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ags/Documents/Lahans/"/>
    </mc:Choice>
  </mc:AlternateContent>
  <xr:revisionPtr revIDLastSave="0" documentId="13_ncr:1_{28EE165B-9738-DF45-A995-3259F64397B0}" xr6:coauthVersionLast="47" xr6:coauthVersionMax="47" xr10:uidLastSave="{00000000-0000-0000-0000-000000000000}"/>
  <bookViews>
    <workbookView xWindow="-40960" yWindow="500" windowWidth="40960" windowHeight="25100" tabRatio="797" activeTab="10" xr2:uid="{00000000-000D-0000-FFFF-FFFF00000000}"/>
  </bookViews>
  <sheets>
    <sheet name="Skema Insentif GT" sheetId="8" state="hidden" r:id="rId1"/>
    <sheet name="Canvasser" sheetId="2" state="hidden" r:id="rId2"/>
    <sheet name="TO" sheetId="20" state="hidden" r:id="rId3"/>
    <sheet name="Mix" sheetId="21" state="hidden" r:id="rId4"/>
    <sheet name="ASS" sheetId="3" state="hidden" r:id="rId5"/>
    <sheet name="ASM" sheetId="4" state="hidden" r:id="rId6"/>
    <sheet name="RSM" sheetId="19" state="hidden" r:id="rId7"/>
    <sheet name="NSM" sheetId="18" state="hidden" r:id="rId8"/>
    <sheet name="Sales SPV (MT)" sheetId="14" r:id="rId9"/>
    <sheet name="Skema Insentif MT HRC DT" sheetId="17" r:id="rId10"/>
    <sheet name="Sales Team (MT)" sheetId="11" r:id="rId11"/>
    <sheet name="Sales Team (Horeca)" sheetId="13" state="hidden" r:id="rId12"/>
    <sheet name="Sales SPV (Horeca)" sheetId="15" state="hidden" r:id="rId13"/>
    <sheet name="Delivery Team" sheetId="16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7" i="11" l="1"/>
  <c r="AF95" i="21"/>
  <c r="T95" i="21"/>
  <c r="Q95" i="21"/>
  <c r="N95" i="21"/>
  <c r="AF94" i="21"/>
  <c r="T94" i="21"/>
  <c r="Q94" i="21"/>
  <c r="N94" i="21"/>
  <c r="AF93" i="21"/>
  <c r="AC93" i="21"/>
  <c r="T93" i="21"/>
  <c r="Q93" i="21"/>
  <c r="N93" i="21"/>
  <c r="AF92" i="21"/>
  <c r="T92" i="21"/>
  <c r="Q92" i="21"/>
  <c r="N92" i="21"/>
  <c r="AF91" i="21"/>
  <c r="T91" i="21"/>
  <c r="Q91" i="21"/>
  <c r="N91" i="21"/>
  <c r="AF82" i="21"/>
  <c r="AC82" i="21"/>
  <c r="W82" i="21"/>
  <c r="T82" i="21"/>
  <c r="K82" i="21"/>
  <c r="AF81" i="21"/>
  <c r="AC81" i="21"/>
  <c r="T81" i="21"/>
  <c r="N81" i="21"/>
  <c r="AF80" i="21"/>
  <c r="AC80" i="21"/>
  <c r="T80" i="21"/>
  <c r="K80" i="21"/>
  <c r="AF79" i="21"/>
  <c r="AC79" i="21"/>
  <c r="T79" i="21"/>
  <c r="AF78" i="21"/>
  <c r="AC78" i="21"/>
  <c r="W78" i="21"/>
  <c r="T78" i="21"/>
  <c r="AF69" i="21"/>
  <c r="AC69" i="21"/>
  <c r="Z69" i="21"/>
  <c r="T69" i="21"/>
  <c r="Q69" i="21"/>
  <c r="N69" i="21"/>
  <c r="AC68" i="21"/>
  <c r="Z68" i="21"/>
  <c r="T68" i="21"/>
  <c r="AC67" i="21"/>
  <c r="Z67" i="21"/>
  <c r="T67" i="21"/>
  <c r="AC66" i="21"/>
  <c r="Z66" i="21"/>
  <c r="W66" i="21"/>
  <c r="T66" i="21"/>
  <c r="Q66" i="21"/>
  <c r="K66" i="21"/>
  <c r="AC65" i="21"/>
  <c r="Z65" i="21"/>
  <c r="T65" i="21"/>
  <c r="K40" i="21"/>
  <c r="K39" i="21"/>
  <c r="AF66" i="21" s="1"/>
  <c r="O38" i="21"/>
  <c r="AC92" i="21" s="1"/>
  <c r="O37" i="21"/>
  <c r="Z93" i="21" s="1"/>
  <c r="M37" i="21"/>
  <c r="Z80" i="21" s="1"/>
  <c r="O36" i="21"/>
  <c r="W94" i="21" s="1"/>
  <c r="M36" i="21"/>
  <c r="W81" i="21" s="1"/>
  <c r="K36" i="21"/>
  <c r="W69" i="21" s="1"/>
  <c r="M34" i="21"/>
  <c r="Q79" i="21" s="1"/>
  <c r="K34" i="21"/>
  <c r="Q67" i="21" s="1"/>
  <c r="M33" i="21"/>
  <c r="N80" i="21" s="1"/>
  <c r="K33" i="21"/>
  <c r="N68" i="21" s="1"/>
  <c r="O32" i="21"/>
  <c r="K94" i="21" s="1"/>
  <c r="M32" i="21"/>
  <c r="K81" i="21" s="1"/>
  <c r="K32" i="21"/>
  <c r="K69" i="21" s="1"/>
  <c r="AE15" i="21"/>
  <c r="AE14" i="21"/>
  <c r="AE13" i="21"/>
  <c r="AF95" i="20"/>
  <c r="T95" i="20"/>
  <c r="Q95" i="20"/>
  <c r="N95" i="20"/>
  <c r="AF94" i="20"/>
  <c r="T94" i="20"/>
  <c r="Q94" i="20"/>
  <c r="N94" i="20"/>
  <c r="AF93" i="20"/>
  <c r="T93" i="20"/>
  <c r="Q93" i="20"/>
  <c r="N93" i="20"/>
  <c r="AF92" i="20"/>
  <c r="T92" i="20"/>
  <c r="Q92" i="20"/>
  <c r="N92" i="20"/>
  <c r="AF91" i="20"/>
  <c r="T91" i="20"/>
  <c r="Q91" i="20"/>
  <c r="N91" i="20"/>
  <c r="AF82" i="20"/>
  <c r="AC82" i="20"/>
  <c r="T82" i="20"/>
  <c r="AF81" i="20"/>
  <c r="AC81" i="20"/>
  <c r="T81" i="20"/>
  <c r="AF80" i="20"/>
  <c r="AC80" i="20"/>
  <c r="T80" i="20"/>
  <c r="AF79" i="20"/>
  <c r="AC79" i="20"/>
  <c r="T79" i="20"/>
  <c r="AF78" i="20"/>
  <c r="AC78" i="20"/>
  <c r="T78" i="20"/>
  <c r="AC69" i="20"/>
  <c r="Z69" i="20"/>
  <c r="T69" i="20"/>
  <c r="AC68" i="20"/>
  <c r="Z68" i="20"/>
  <c r="T68" i="20"/>
  <c r="AC67" i="20"/>
  <c r="Z67" i="20"/>
  <c r="T67" i="20"/>
  <c r="AC66" i="20"/>
  <c r="Z66" i="20"/>
  <c r="T66" i="20"/>
  <c r="AC65" i="20"/>
  <c r="Z65" i="20"/>
  <c r="T65" i="20"/>
  <c r="K39" i="20"/>
  <c r="AF69" i="20" s="1"/>
  <c r="O38" i="20"/>
  <c r="O37" i="20"/>
  <c r="M37" i="20"/>
  <c r="Z82" i="20" s="1"/>
  <c r="O36" i="20"/>
  <c r="W93" i="20" s="1"/>
  <c r="M36" i="20"/>
  <c r="K36" i="20"/>
  <c r="W67" i="20" s="1"/>
  <c r="M34" i="20"/>
  <c r="K34" i="20"/>
  <c r="Q67" i="20" s="1"/>
  <c r="M33" i="20"/>
  <c r="K33" i="20"/>
  <c r="N68" i="20" s="1"/>
  <c r="O32" i="20"/>
  <c r="K93" i="20" s="1"/>
  <c r="M32" i="20"/>
  <c r="K80" i="20" s="1"/>
  <c r="K32" i="20"/>
  <c r="K67" i="20" s="1"/>
  <c r="AE15" i="20"/>
  <c r="AE14" i="20"/>
  <c r="AE13" i="20"/>
  <c r="AN85" i="18"/>
  <c r="AF85" i="18"/>
  <c r="Z85" i="18"/>
  <c r="W85" i="18"/>
  <c r="T85" i="18"/>
  <c r="Q85" i="18"/>
  <c r="N85" i="18"/>
  <c r="AN84" i="18"/>
  <c r="AO85" i="18" s="1"/>
  <c r="AF84" i="18"/>
  <c r="Z84" i="18"/>
  <c r="W84" i="18"/>
  <c r="T84" i="18"/>
  <c r="Q84" i="18"/>
  <c r="N84" i="18"/>
  <c r="AN83" i="18"/>
  <c r="AF83" i="18"/>
  <c r="Z83" i="18"/>
  <c r="W83" i="18"/>
  <c r="T83" i="18"/>
  <c r="Q83" i="18"/>
  <c r="N83" i="18"/>
  <c r="AN82" i="18"/>
  <c r="AF82" i="18"/>
  <c r="Z82" i="18"/>
  <c r="W82" i="18"/>
  <c r="T82" i="18"/>
  <c r="Q82" i="18"/>
  <c r="N82" i="18"/>
  <c r="AN81" i="18"/>
  <c r="AF81" i="18"/>
  <c r="Z81" i="18"/>
  <c r="W81" i="18"/>
  <c r="T81" i="18"/>
  <c r="Q81" i="18"/>
  <c r="N81" i="18"/>
  <c r="AN54" i="18"/>
  <c r="AN124" i="2"/>
  <c r="AN123" i="2"/>
  <c r="AN122" i="2"/>
  <c r="AN121" i="2"/>
  <c r="AN120" i="2"/>
  <c r="AP136" i="2"/>
  <c r="AO136" i="2"/>
  <c r="AN136" i="2"/>
  <c r="AR136" i="2" s="1"/>
  <c r="AF136" i="2"/>
  <c r="T136" i="2"/>
  <c r="Q136" i="2"/>
  <c r="N136" i="2"/>
  <c r="AP135" i="2"/>
  <c r="AO135" i="2"/>
  <c r="AN135" i="2"/>
  <c r="AF135" i="2"/>
  <c r="T135" i="2"/>
  <c r="Q135" i="2"/>
  <c r="N135" i="2"/>
  <c r="AP134" i="2"/>
  <c r="AO134" i="2"/>
  <c r="AN134" i="2"/>
  <c r="AF134" i="2"/>
  <c r="T134" i="2"/>
  <c r="Q134" i="2"/>
  <c r="N134" i="2"/>
  <c r="AP133" i="2"/>
  <c r="AO133" i="2"/>
  <c r="AN133" i="2"/>
  <c r="AR133" i="2" s="1"/>
  <c r="AF133" i="2"/>
  <c r="T133" i="2"/>
  <c r="Q133" i="2"/>
  <c r="N133" i="2"/>
  <c r="AP132" i="2"/>
  <c r="AO132" i="2"/>
  <c r="AN132" i="2"/>
  <c r="AF132" i="2"/>
  <c r="T132" i="2"/>
  <c r="Q132" i="2"/>
  <c r="N132" i="2"/>
  <c r="AO82" i="18" l="1"/>
  <c r="Q65" i="21"/>
  <c r="AF65" i="21"/>
  <c r="Q68" i="21"/>
  <c r="AF68" i="21"/>
  <c r="N78" i="21"/>
  <c r="W92" i="21"/>
  <c r="AC94" i="21"/>
  <c r="AL94" i="21" s="1"/>
  <c r="K79" i="21"/>
  <c r="W93" i="21"/>
  <c r="W95" i="21"/>
  <c r="N65" i="21"/>
  <c r="K67" i="21"/>
  <c r="AF67" i="21"/>
  <c r="K78" i="21"/>
  <c r="W79" i="21"/>
  <c r="N82" i="21"/>
  <c r="W91" i="21"/>
  <c r="Z94" i="21"/>
  <c r="AL69" i="21"/>
  <c r="Q80" i="21"/>
  <c r="AL80" i="21" s="1"/>
  <c r="Z81" i="21"/>
  <c r="K95" i="21"/>
  <c r="M40" i="21"/>
  <c r="N66" i="21"/>
  <c r="AL66" i="21" s="1"/>
  <c r="W67" i="21"/>
  <c r="Z78" i="21"/>
  <c r="Q81" i="21"/>
  <c r="Z82" i="21"/>
  <c r="K91" i="21"/>
  <c r="K92" i="21"/>
  <c r="Z95" i="21"/>
  <c r="O40" i="21"/>
  <c r="N67" i="21"/>
  <c r="K68" i="21"/>
  <c r="W68" i="21"/>
  <c r="Q78" i="21"/>
  <c r="N79" i="21"/>
  <c r="Z79" i="21"/>
  <c r="W80" i="21"/>
  <c r="Q82" i="21"/>
  <c r="AL82" i="21" s="1"/>
  <c r="Z91" i="21"/>
  <c r="Z92" i="21"/>
  <c r="K93" i="21"/>
  <c r="AC95" i="21"/>
  <c r="K65" i="21"/>
  <c r="W65" i="21"/>
  <c r="AC91" i="21"/>
  <c r="K65" i="20"/>
  <c r="W78" i="20"/>
  <c r="Q65" i="20"/>
  <c r="AF65" i="20"/>
  <c r="K66" i="20"/>
  <c r="K69" i="20"/>
  <c r="N81" i="20"/>
  <c r="N82" i="20"/>
  <c r="Z94" i="20"/>
  <c r="Z93" i="20"/>
  <c r="N66" i="20"/>
  <c r="N67" i="20"/>
  <c r="K68" i="20"/>
  <c r="N78" i="20"/>
  <c r="Q79" i="20"/>
  <c r="Q82" i="20"/>
  <c r="AC94" i="20"/>
  <c r="AC95" i="20"/>
  <c r="W66" i="20"/>
  <c r="K40" i="20"/>
  <c r="W69" i="20"/>
  <c r="W80" i="20"/>
  <c r="W81" i="20"/>
  <c r="Z91" i="20"/>
  <c r="K82" i="20"/>
  <c r="M40" i="20"/>
  <c r="K79" i="20"/>
  <c r="Q69" i="20"/>
  <c r="Q66" i="20"/>
  <c r="W94" i="20"/>
  <c r="W95" i="20"/>
  <c r="W92" i="20"/>
  <c r="AF66" i="20"/>
  <c r="AF67" i="20"/>
  <c r="AL67" i="20" s="1"/>
  <c r="K81" i="20"/>
  <c r="Z81" i="20"/>
  <c r="K94" i="20"/>
  <c r="O40" i="20"/>
  <c r="K92" i="20"/>
  <c r="K95" i="20"/>
  <c r="Q80" i="20"/>
  <c r="Q81" i="20"/>
  <c r="Q78" i="20"/>
  <c r="Z79" i="20"/>
  <c r="Z80" i="20"/>
  <c r="Q68" i="20"/>
  <c r="AF68" i="20"/>
  <c r="K78" i="20"/>
  <c r="Z78" i="20"/>
  <c r="K91" i="20"/>
  <c r="W91" i="20"/>
  <c r="W65" i="20"/>
  <c r="W68" i="20"/>
  <c r="N69" i="20"/>
  <c r="W79" i="20"/>
  <c r="N80" i="20"/>
  <c r="AC91" i="20"/>
  <c r="Z92" i="20"/>
  <c r="AC93" i="20"/>
  <c r="N65" i="20"/>
  <c r="N79" i="20"/>
  <c r="W82" i="20"/>
  <c r="AC92" i="20"/>
  <c r="Z95" i="20"/>
  <c r="AO83" i="18"/>
  <c r="AO84" i="18"/>
  <c r="AR132" i="2"/>
  <c r="AR134" i="2"/>
  <c r="AR135" i="2"/>
  <c r="AS135" i="2" s="1"/>
  <c r="AN68" i="19"/>
  <c r="AF68" i="19"/>
  <c r="Z68" i="19"/>
  <c r="W68" i="19"/>
  <c r="T68" i="19"/>
  <c r="N68" i="19"/>
  <c r="AN67" i="19"/>
  <c r="AF67" i="19"/>
  <c r="Z67" i="19"/>
  <c r="W67" i="19"/>
  <c r="T67" i="19"/>
  <c r="N67" i="19"/>
  <c r="AN66" i="19"/>
  <c r="AF66" i="19"/>
  <c r="Z66" i="19"/>
  <c r="W66" i="19"/>
  <c r="T66" i="19"/>
  <c r="N66" i="19"/>
  <c r="AN65" i="19"/>
  <c r="AF65" i="19"/>
  <c r="Z65" i="19"/>
  <c r="W65" i="19"/>
  <c r="T65" i="19"/>
  <c r="N65" i="19"/>
  <c r="AN64" i="19"/>
  <c r="AF64" i="19"/>
  <c r="Z64" i="19"/>
  <c r="W64" i="19"/>
  <c r="T64" i="19"/>
  <c r="N64" i="19"/>
  <c r="AN54" i="19"/>
  <c r="AF54" i="19"/>
  <c r="Z54" i="19"/>
  <c r="W54" i="19"/>
  <c r="T54" i="19"/>
  <c r="Q54" i="19"/>
  <c r="N54" i="19"/>
  <c r="AN53" i="19"/>
  <c r="AF53" i="19"/>
  <c r="Z53" i="19"/>
  <c r="W53" i="19"/>
  <c r="T53" i="19"/>
  <c r="Q53" i="19"/>
  <c r="N53" i="19"/>
  <c r="AN52" i="19"/>
  <c r="AF52" i="19"/>
  <c r="Z52" i="19"/>
  <c r="W52" i="19"/>
  <c r="T52" i="19"/>
  <c r="Q52" i="19"/>
  <c r="N52" i="19"/>
  <c r="AN51" i="19"/>
  <c r="AO52" i="19" s="1"/>
  <c r="AF51" i="19"/>
  <c r="Z51" i="19"/>
  <c r="W51" i="19"/>
  <c r="T51" i="19"/>
  <c r="Q51" i="19"/>
  <c r="N51" i="19"/>
  <c r="AN50" i="19"/>
  <c r="AF50" i="19"/>
  <c r="Z50" i="19"/>
  <c r="W50" i="19"/>
  <c r="T50" i="19"/>
  <c r="Q50" i="19"/>
  <c r="N50" i="19"/>
  <c r="M26" i="19"/>
  <c r="AC67" i="19" s="1"/>
  <c r="K26" i="19"/>
  <c r="AC54" i="19" s="1"/>
  <c r="M22" i="19"/>
  <c r="Q67" i="19" s="1"/>
  <c r="M20" i="19"/>
  <c r="K64" i="19" s="1"/>
  <c r="K20" i="19"/>
  <c r="K53" i="19" s="1"/>
  <c r="AE12" i="19"/>
  <c r="AE11" i="19"/>
  <c r="AN68" i="18"/>
  <c r="AF68" i="18"/>
  <c r="Z68" i="18"/>
  <c r="W68" i="18"/>
  <c r="T68" i="18"/>
  <c r="N68" i="18"/>
  <c r="AN67" i="18"/>
  <c r="AF67" i="18"/>
  <c r="Z67" i="18"/>
  <c r="W67" i="18"/>
  <c r="T67" i="18"/>
  <c r="N67" i="18"/>
  <c r="AN66" i="18"/>
  <c r="AF66" i="18"/>
  <c r="Z66" i="18"/>
  <c r="W66" i="18"/>
  <c r="T66" i="18"/>
  <c r="N66" i="18"/>
  <c r="AN65" i="18"/>
  <c r="AF65" i="18"/>
  <c r="Z65" i="18"/>
  <c r="W65" i="18"/>
  <c r="T65" i="18"/>
  <c r="N65" i="18"/>
  <c r="AN64" i="18"/>
  <c r="AF64" i="18"/>
  <c r="Z64" i="18"/>
  <c r="W64" i="18"/>
  <c r="T64" i="18"/>
  <c r="N64" i="18"/>
  <c r="AF54" i="18"/>
  <c r="Z54" i="18"/>
  <c r="W54" i="18"/>
  <c r="T54" i="18"/>
  <c r="Q54" i="18"/>
  <c r="N54" i="18"/>
  <c r="AN53" i="18"/>
  <c r="AO54" i="18" s="1"/>
  <c r="AF53" i="18"/>
  <c r="Z53" i="18"/>
  <c r="W53" i="18"/>
  <c r="T53" i="18"/>
  <c r="Q53" i="18"/>
  <c r="N53" i="18"/>
  <c r="AN52" i="18"/>
  <c r="AF52" i="18"/>
  <c r="Z52" i="18"/>
  <c r="W52" i="18"/>
  <c r="T52" i="18"/>
  <c r="Q52" i="18"/>
  <c r="N52" i="18"/>
  <c r="AN51" i="18"/>
  <c r="AF51" i="18"/>
  <c r="Z51" i="18"/>
  <c r="W51" i="18"/>
  <c r="T51" i="18"/>
  <c r="Q51" i="18"/>
  <c r="N51" i="18"/>
  <c r="AN50" i="18"/>
  <c r="AF50" i="18"/>
  <c r="Z50" i="18"/>
  <c r="W50" i="18"/>
  <c r="T50" i="18"/>
  <c r="Q50" i="18"/>
  <c r="N50" i="18"/>
  <c r="M26" i="18"/>
  <c r="AC64" i="18" s="1"/>
  <c r="K26" i="18"/>
  <c r="M22" i="18"/>
  <c r="Q64" i="18" s="1"/>
  <c r="M20" i="18"/>
  <c r="K20" i="18"/>
  <c r="K50" i="18" s="1"/>
  <c r="AE12" i="18"/>
  <c r="AE11" i="18"/>
  <c r="AO54" i="19" l="1"/>
  <c r="AC68" i="19"/>
  <c r="AS134" i="2"/>
  <c r="AL93" i="21"/>
  <c r="AS132" i="2"/>
  <c r="AS133" i="2"/>
  <c r="AL67" i="21"/>
  <c r="AS136" i="2"/>
  <c r="M28" i="18"/>
  <c r="AL95" i="21"/>
  <c r="AL68" i="21"/>
  <c r="AL79" i="21"/>
  <c r="AL81" i="21"/>
  <c r="AL92" i="21"/>
  <c r="AL78" i="21"/>
  <c r="AL65" i="21"/>
  <c r="AL93" i="20"/>
  <c r="AL65" i="20"/>
  <c r="AL69" i="20"/>
  <c r="AL66" i="20"/>
  <c r="AL78" i="20"/>
  <c r="AL80" i="20"/>
  <c r="AL68" i="20"/>
  <c r="AL82" i="20"/>
  <c r="AL95" i="20"/>
  <c r="AL81" i="20"/>
  <c r="AL92" i="20"/>
  <c r="AL94" i="20"/>
  <c r="AL79" i="20"/>
  <c r="Q65" i="18"/>
  <c r="AC65" i="18"/>
  <c r="AC53" i="18"/>
  <c r="AC83" i="18"/>
  <c r="AC84" i="18"/>
  <c r="AC82" i="18"/>
  <c r="AC85" i="18"/>
  <c r="AC81" i="18"/>
  <c r="Q67" i="18"/>
  <c r="AC67" i="18"/>
  <c r="K64" i="18"/>
  <c r="K54" i="18"/>
  <c r="K81" i="18"/>
  <c r="K84" i="18"/>
  <c r="K82" i="18"/>
  <c r="K85" i="18"/>
  <c r="K83" i="18"/>
  <c r="AO51" i="18"/>
  <c r="AO65" i="19"/>
  <c r="Q66" i="18"/>
  <c r="Q68" i="18"/>
  <c r="AO65" i="18"/>
  <c r="AO66" i="18"/>
  <c r="AO67" i="18"/>
  <c r="AO68" i="18"/>
  <c r="AO52" i="18"/>
  <c r="AO53" i="18"/>
  <c r="K66" i="18"/>
  <c r="K68" i="18"/>
  <c r="AC50" i="19"/>
  <c r="AO66" i="19"/>
  <c r="Q68" i="19"/>
  <c r="AO53" i="19"/>
  <c r="K28" i="19"/>
  <c r="AO51" i="19"/>
  <c r="Q66" i="19"/>
  <c r="AC66" i="19"/>
  <c r="AO67" i="19"/>
  <c r="AO68" i="19"/>
  <c r="K65" i="19"/>
  <c r="K67" i="19"/>
  <c r="M28" i="19"/>
  <c r="AC51" i="19"/>
  <c r="K52" i="19"/>
  <c r="AC53" i="19"/>
  <c r="K54" i="19"/>
  <c r="Q64" i="19"/>
  <c r="AC64" i="19"/>
  <c r="K50" i="19"/>
  <c r="Q65" i="19"/>
  <c r="AC65" i="19"/>
  <c r="K66" i="19"/>
  <c r="K68" i="19"/>
  <c r="K51" i="19"/>
  <c r="AC52" i="19"/>
  <c r="K51" i="18"/>
  <c r="AC52" i="18"/>
  <c r="K53" i="18"/>
  <c r="AC54" i="18"/>
  <c r="K28" i="18"/>
  <c r="AC50" i="18"/>
  <c r="K65" i="18"/>
  <c r="AC66" i="18"/>
  <c r="K67" i="18"/>
  <c r="AC68" i="18"/>
  <c r="AC51" i="18"/>
  <c r="K52" i="18"/>
  <c r="AE64" i="8" l="1"/>
  <c r="AE63" i="8"/>
  <c r="AE53" i="8"/>
  <c r="AE52" i="8"/>
  <c r="O32" i="3"/>
  <c r="O31" i="3"/>
  <c r="O30" i="3"/>
  <c r="O26" i="3"/>
  <c r="M32" i="3"/>
  <c r="AC73" i="3" s="1"/>
  <c r="M31" i="3"/>
  <c r="M28" i="3"/>
  <c r="M27" i="3"/>
  <c r="M26" i="3"/>
  <c r="M34" i="3" s="1"/>
  <c r="K33" i="3"/>
  <c r="K32" i="3"/>
  <c r="AE16" i="3"/>
  <c r="AE15" i="3"/>
  <c r="AE14" i="3"/>
  <c r="AE12" i="4"/>
  <c r="AE11" i="4"/>
  <c r="M26" i="4"/>
  <c r="M22" i="4"/>
  <c r="M20" i="4"/>
  <c r="K26" i="4"/>
  <c r="K20" i="4"/>
  <c r="K28" i="3"/>
  <c r="K27" i="3"/>
  <c r="K26" i="3"/>
  <c r="M37" i="2"/>
  <c r="M36" i="2"/>
  <c r="W106" i="2" s="1"/>
  <c r="M34" i="2"/>
  <c r="Q105" i="2" s="1"/>
  <c r="M33" i="2"/>
  <c r="N105" i="2" s="1"/>
  <c r="M32" i="2"/>
  <c r="K39" i="2"/>
  <c r="K36" i="2"/>
  <c r="K34" i="2"/>
  <c r="Q65" i="2" s="1"/>
  <c r="K33" i="2"/>
  <c r="N66" i="2" s="1"/>
  <c r="K32" i="2"/>
  <c r="K67" i="2" s="1"/>
  <c r="K40" i="2"/>
  <c r="O38" i="2"/>
  <c r="O37" i="2"/>
  <c r="O36" i="2"/>
  <c r="O32" i="2"/>
  <c r="AE15" i="2"/>
  <c r="AE14" i="2"/>
  <c r="AE13" i="2"/>
  <c r="AG55" i="17"/>
  <c r="AG41" i="17"/>
  <c r="AG27" i="17"/>
  <c r="AG28" i="17"/>
  <c r="AG15" i="17"/>
  <c r="AG14" i="17"/>
  <c r="AF73" i="3"/>
  <c r="Z73" i="3"/>
  <c r="W73" i="3"/>
  <c r="T73" i="3"/>
  <c r="Q73" i="3"/>
  <c r="N73" i="3"/>
  <c r="K73" i="3"/>
  <c r="AF72" i="3"/>
  <c r="Z72" i="3"/>
  <c r="W72" i="3"/>
  <c r="T72" i="3"/>
  <c r="Q72" i="3"/>
  <c r="N72" i="3"/>
  <c r="K72" i="3"/>
  <c r="AF71" i="3"/>
  <c r="Z71" i="3"/>
  <c r="W71" i="3"/>
  <c r="T71" i="3"/>
  <c r="Q71" i="3"/>
  <c r="N71" i="3"/>
  <c r="K71" i="3"/>
  <c r="AF70" i="3"/>
  <c r="Z70" i="3"/>
  <c r="W70" i="3"/>
  <c r="T70" i="3"/>
  <c r="Q70" i="3"/>
  <c r="N70" i="3"/>
  <c r="K70" i="3"/>
  <c r="AF69" i="3"/>
  <c r="Z69" i="3"/>
  <c r="W69" i="3"/>
  <c r="T69" i="3"/>
  <c r="Q69" i="3"/>
  <c r="N69" i="3"/>
  <c r="K69" i="3"/>
  <c r="AF58" i="3"/>
  <c r="AC57" i="3"/>
  <c r="Z56" i="3"/>
  <c r="W55" i="3"/>
  <c r="T55" i="3"/>
  <c r="Q55" i="3"/>
  <c r="N55" i="3"/>
  <c r="K55" i="3"/>
  <c r="AM73" i="3"/>
  <c r="AM72" i="3"/>
  <c r="AM71" i="3"/>
  <c r="AM70" i="3"/>
  <c r="AM69" i="3"/>
  <c r="AF107" i="2"/>
  <c r="AC107" i="2"/>
  <c r="Z107" i="2"/>
  <c r="T107" i="2"/>
  <c r="AF106" i="2"/>
  <c r="AC106" i="2"/>
  <c r="Z106" i="2"/>
  <c r="T106" i="2"/>
  <c r="N106" i="2"/>
  <c r="K106" i="2"/>
  <c r="AF105" i="2"/>
  <c r="AC105" i="2"/>
  <c r="Z105" i="2"/>
  <c r="T105" i="2"/>
  <c r="K105" i="2"/>
  <c r="AF104" i="2"/>
  <c r="AC104" i="2"/>
  <c r="Z104" i="2"/>
  <c r="T104" i="2"/>
  <c r="N104" i="2"/>
  <c r="K104" i="2"/>
  <c r="AF103" i="2"/>
  <c r="AC103" i="2"/>
  <c r="Z103" i="2"/>
  <c r="T103" i="2"/>
  <c r="AF95" i="2"/>
  <c r="AC95" i="2"/>
  <c r="Z95" i="2"/>
  <c r="T95" i="2"/>
  <c r="K95" i="2"/>
  <c r="AF94" i="2"/>
  <c r="AC94" i="2"/>
  <c r="Z94" i="2"/>
  <c r="T94" i="2"/>
  <c r="N94" i="2"/>
  <c r="K94" i="2"/>
  <c r="AF93" i="2"/>
  <c r="AC93" i="2"/>
  <c r="Z93" i="2"/>
  <c r="T93" i="2"/>
  <c r="K93" i="2"/>
  <c r="AF92" i="2"/>
  <c r="AC92" i="2"/>
  <c r="Z92" i="2"/>
  <c r="T92" i="2"/>
  <c r="N92" i="2"/>
  <c r="K92" i="2"/>
  <c r="AF91" i="2"/>
  <c r="AC91" i="2"/>
  <c r="Z91" i="2"/>
  <c r="T91" i="2"/>
  <c r="K91" i="2"/>
  <c r="K69" i="2"/>
  <c r="K68" i="2"/>
  <c r="AP107" i="2"/>
  <c r="AO107" i="2"/>
  <c r="AN107" i="2"/>
  <c r="AP106" i="2"/>
  <c r="AO106" i="2"/>
  <c r="AN106" i="2"/>
  <c r="AP105" i="2"/>
  <c r="AO105" i="2"/>
  <c r="AN105" i="2"/>
  <c r="AP104" i="2"/>
  <c r="AO104" i="2"/>
  <c r="AN104" i="2"/>
  <c r="AP103" i="2"/>
  <c r="AO103" i="2"/>
  <c r="AN103" i="2"/>
  <c r="AN95" i="2"/>
  <c r="AN94" i="2"/>
  <c r="AN93" i="2"/>
  <c r="AN92" i="2"/>
  <c r="AN91" i="2"/>
  <c r="K65" i="16"/>
  <c r="J65" i="16"/>
  <c r="G65" i="16"/>
  <c r="C91" i="16" s="1"/>
  <c r="K64" i="16"/>
  <c r="J64" i="16"/>
  <c r="G64" i="16"/>
  <c r="C90" i="16" s="1"/>
  <c r="D90" i="16" s="1"/>
  <c r="K63" i="16"/>
  <c r="J63" i="16"/>
  <c r="G63" i="16"/>
  <c r="C89" i="16" s="1"/>
  <c r="D89" i="16" s="1"/>
  <c r="K62" i="16"/>
  <c r="G62" i="16"/>
  <c r="C88" i="16" s="1"/>
  <c r="D88" i="16" s="1"/>
  <c r="C62" i="16"/>
  <c r="J62" i="16" s="1"/>
  <c r="K61" i="16"/>
  <c r="G61" i="16"/>
  <c r="C87" i="16" s="1"/>
  <c r="E87" i="16" s="1"/>
  <c r="C61" i="16"/>
  <c r="J61" i="16" s="1"/>
  <c r="K60" i="16"/>
  <c r="G60" i="16"/>
  <c r="C86" i="16" s="1"/>
  <c r="C60" i="16"/>
  <c r="J60" i="16" s="1"/>
  <c r="K59" i="16"/>
  <c r="G59" i="16"/>
  <c r="C85" i="16" s="1"/>
  <c r="C59" i="16"/>
  <c r="J59" i="16" s="1"/>
  <c r="AI51" i="15"/>
  <c r="AF51" i="15"/>
  <c r="AC51" i="15"/>
  <c r="Z51" i="15"/>
  <c r="W51" i="15"/>
  <c r="T51" i="15"/>
  <c r="Q51" i="15"/>
  <c r="N51" i="15"/>
  <c r="K51" i="15"/>
  <c r="AI50" i="15"/>
  <c r="AF50" i="15"/>
  <c r="AC50" i="15"/>
  <c r="Z50" i="15"/>
  <c r="W50" i="15"/>
  <c r="T50" i="15"/>
  <c r="Q50" i="15"/>
  <c r="N50" i="15"/>
  <c r="K50" i="15"/>
  <c r="AI49" i="15"/>
  <c r="AF49" i="15"/>
  <c r="AC49" i="15"/>
  <c r="Z49" i="15"/>
  <c r="W49" i="15"/>
  <c r="T49" i="15"/>
  <c r="Q49" i="15"/>
  <c r="N49" i="15"/>
  <c r="K49" i="15"/>
  <c r="AI48" i="15"/>
  <c r="AF48" i="15"/>
  <c r="AC48" i="15"/>
  <c r="Z48" i="15"/>
  <c r="W48" i="15"/>
  <c r="T48" i="15"/>
  <c r="Q48" i="15"/>
  <c r="N48" i="15"/>
  <c r="K48" i="15"/>
  <c r="AI47" i="15"/>
  <c r="AF47" i="15"/>
  <c r="AC47" i="15"/>
  <c r="Z47" i="15"/>
  <c r="W47" i="15"/>
  <c r="T47" i="15"/>
  <c r="Q47" i="15"/>
  <c r="N47" i="15"/>
  <c r="K47" i="15"/>
  <c r="K23" i="15"/>
  <c r="AL52" i="14"/>
  <c r="AI52" i="14"/>
  <c r="AF52" i="14"/>
  <c r="AC52" i="14"/>
  <c r="Z52" i="14"/>
  <c r="W52" i="14"/>
  <c r="T52" i="14"/>
  <c r="Q52" i="14"/>
  <c r="N52" i="14"/>
  <c r="K52" i="14"/>
  <c r="AL51" i="14"/>
  <c r="AI51" i="14"/>
  <c r="AF51" i="14"/>
  <c r="AC51" i="14"/>
  <c r="Z51" i="14"/>
  <c r="W51" i="14"/>
  <c r="T51" i="14"/>
  <c r="Q51" i="14"/>
  <c r="N51" i="14"/>
  <c r="K51" i="14"/>
  <c r="AL50" i="14"/>
  <c r="AI50" i="14"/>
  <c r="AF50" i="14"/>
  <c r="AC50" i="14"/>
  <c r="Z50" i="14"/>
  <c r="W50" i="14"/>
  <c r="T50" i="14"/>
  <c r="Q50" i="14"/>
  <c r="N50" i="14"/>
  <c r="K50" i="14"/>
  <c r="AL49" i="14"/>
  <c r="AI49" i="14"/>
  <c r="AF49" i="14"/>
  <c r="AC49" i="14"/>
  <c r="Z49" i="14"/>
  <c r="W49" i="14"/>
  <c r="T49" i="14"/>
  <c r="Q49" i="14"/>
  <c r="N49" i="14"/>
  <c r="K49" i="14"/>
  <c r="AL48" i="14"/>
  <c r="AI48" i="14"/>
  <c r="AF48" i="14"/>
  <c r="AC48" i="14"/>
  <c r="Z48" i="14"/>
  <c r="W48" i="14"/>
  <c r="T48" i="14"/>
  <c r="Q48" i="14"/>
  <c r="N48" i="14"/>
  <c r="K48" i="14"/>
  <c r="K24" i="14"/>
  <c r="AF49" i="13"/>
  <c r="AC49" i="13"/>
  <c r="Z49" i="13"/>
  <c r="W49" i="13"/>
  <c r="T49" i="13"/>
  <c r="Q49" i="13"/>
  <c r="N49" i="13"/>
  <c r="K49" i="13"/>
  <c r="AF48" i="13"/>
  <c r="AC48" i="13"/>
  <c r="Z48" i="13"/>
  <c r="W48" i="13"/>
  <c r="T48" i="13"/>
  <c r="Q48" i="13"/>
  <c r="N48" i="13"/>
  <c r="K48" i="13"/>
  <c r="AF47" i="13"/>
  <c r="AC47" i="13"/>
  <c r="Z47" i="13"/>
  <c r="W47" i="13"/>
  <c r="T47" i="13"/>
  <c r="Q47" i="13"/>
  <c r="N47" i="13"/>
  <c r="K47" i="13"/>
  <c r="AF46" i="13"/>
  <c r="AC46" i="13"/>
  <c r="Z46" i="13"/>
  <c r="W46" i="13"/>
  <c r="T46" i="13"/>
  <c r="Q46" i="13"/>
  <c r="N46" i="13"/>
  <c r="K46" i="13"/>
  <c r="AF45" i="13"/>
  <c r="AC45" i="13"/>
  <c r="Z45" i="13"/>
  <c r="W45" i="13"/>
  <c r="T45" i="13"/>
  <c r="Q45" i="13"/>
  <c r="N45" i="13"/>
  <c r="K45" i="13"/>
  <c r="K21" i="13"/>
  <c r="AF49" i="11"/>
  <c r="AC49" i="11"/>
  <c r="Z49" i="11"/>
  <c r="W49" i="11"/>
  <c r="T49" i="11"/>
  <c r="Q49" i="11"/>
  <c r="N49" i="11"/>
  <c r="K49" i="11"/>
  <c r="AF48" i="11"/>
  <c r="AC48" i="11"/>
  <c r="Z48" i="11"/>
  <c r="W48" i="11"/>
  <c r="T48" i="11"/>
  <c r="Q48" i="11"/>
  <c r="N48" i="11"/>
  <c r="K48" i="11"/>
  <c r="AF47" i="11"/>
  <c r="AC47" i="11"/>
  <c r="Z47" i="11"/>
  <c r="T47" i="11"/>
  <c r="Q47" i="11"/>
  <c r="N47" i="11"/>
  <c r="K47" i="11"/>
  <c r="AF46" i="11"/>
  <c r="AC46" i="11"/>
  <c r="Z46" i="11"/>
  <c r="W46" i="11"/>
  <c r="T46" i="11"/>
  <c r="Q46" i="11"/>
  <c r="N46" i="11"/>
  <c r="K46" i="11"/>
  <c r="AF45" i="11"/>
  <c r="AC45" i="11"/>
  <c r="Z45" i="11"/>
  <c r="W45" i="11"/>
  <c r="T45" i="11"/>
  <c r="Q45" i="11"/>
  <c r="N45" i="11"/>
  <c r="K45" i="11"/>
  <c r="K21" i="11"/>
  <c r="K132" i="2" l="1"/>
  <c r="K120" i="2"/>
  <c r="N91" i="2"/>
  <c r="N93" i="2"/>
  <c r="N95" i="2"/>
  <c r="N107" i="2"/>
  <c r="AC69" i="3"/>
  <c r="AC70" i="3"/>
  <c r="AC71" i="3"/>
  <c r="AC72" i="3"/>
  <c r="N103" i="2"/>
  <c r="Z132" i="2"/>
  <c r="Z121" i="2"/>
  <c r="K107" i="2"/>
  <c r="K103" i="2"/>
  <c r="AN71" i="3"/>
  <c r="Q107" i="2"/>
  <c r="AL107" i="2" s="1"/>
  <c r="K134" i="2"/>
  <c r="K135" i="2"/>
  <c r="K136" i="2"/>
  <c r="K133" i="2"/>
  <c r="M40" i="2"/>
  <c r="Q91" i="2"/>
  <c r="Q93" i="2"/>
  <c r="Q103" i="2"/>
  <c r="Q106" i="2"/>
  <c r="AL106" i="2" s="1"/>
  <c r="W134" i="2"/>
  <c r="W132" i="2"/>
  <c r="W135" i="2"/>
  <c r="W136" i="2"/>
  <c r="W133" i="2"/>
  <c r="AR104" i="2"/>
  <c r="K66" i="2"/>
  <c r="K65" i="2"/>
  <c r="W107" i="2"/>
  <c r="Z135" i="2"/>
  <c r="Z134" i="2"/>
  <c r="Z136" i="2"/>
  <c r="Z133" i="2"/>
  <c r="Q92" i="2"/>
  <c r="Q94" i="2"/>
  <c r="AL94" i="2" s="1"/>
  <c r="Q95" i="2"/>
  <c r="Q104" i="2"/>
  <c r="W91" i="2"/>
  <c r="W92" i="2"/>
  <c r="AL92" i="2" s="1"/>
  <c r="W93" i="2"/>
  <c r="W94" i="2"/>
  <c r="W95" i="2"/>
  <c r="W103" i="2"/>
  <c r="AL103" i="2" s="1"/>
  <c r="W104" i="2"/>
  <c r="W105" i="2"/>
  <c r="AC136" i="2"/>
  <c r="AC133" i="2"/>
  <c r="AC134" i="2"/>
  <c r="AC132" i="2"/>
  <c r="AC135" i="2"/>
  <c r="N65" i="2"/>
  <c r="AN45" i="11"/>
  <c r="AN46" i="11"/>
  <c r="AN47" i="11"/>
  <c r="AN48" i="11"/>
  <c r="AP48" i="11" s="1"/>
  <c r="AN49" i="11"/>
  <c r="AN72" i="3"/>
  <c r="AN73" i="3"/>
  <c r="AN70" i="3"/>
  <c r="AR107" i="2"/>
  <c r="AR103" i="2"/>
  <c r="AL105" i="2"/>
  <c r="AR105" i="2"/>
  <c r="AR106" i="2"/>
  <c r="E91" i="16"/>
  <c r="D91" i="16"/>
  <c r="E86" i="16"/>
  <c r="D86" i="16"/>
  <c r="D85" i="16"/>
  <c r="E85" i="16"/>
  <c r="D87" i="16"/>
  <c r="AL91" i="2" l="1"/>
  <c r="AL93" i="2"/>
  <c r="AL95" i="2"/>
  <c r="AL104" i="2"/>
  <c r="AL136" i="2"/>
  <c r="AL135" i="2"/>
  <c r="AL133" i="2"/>
  <c r="AL134" i="2"/>
  <c r="AP46" i="11"/>
  <c r="AP47" i="11"/>
  <c r="AQ48" i="11" s="1"/>
  <c r="AP45" i="11"/>
  <c r="AP49" i="11"/>
  <c r="AQ49" i="11" s="1"/>
  <c r="AQ46" i="11" l="1"/>
  <c r="AQ47" i="11"/>
  <c r="AE31" i="8"/>
  <c r="AE30" i="8"/>
  <c r="AE29" i="8"/>
  <c r="AE16" i="8"/>
  <c r="AE15" i="8"/>
  <c r="AE14" i="8"/>
  <c r="AN51" i="4"/>
  <c r="AN66" i="4"/>
  <c r="AM85" i="3"/>
  <c r="AM84" i="3"/>
  <c r="AM86" i="3"/>
  <c r="AM87" i="3" l="1"/>
  <c r="AM83" i="3"/>
  <c r="AN84" i="3" s="1"/>
  <c r="AN86" i="3"/>
  <c r="AM59" i="3"/>
  <c r="AM57" i="3"/>
  <c r="AM56" i="3"/>
  <c r="AM55" i="3"/>
  <c r="AM58" i="3"/>
  <c r="AN68" i="4"/>
  <c r="AN65" i="4"/>
  <c r="AN64" i="4"/>
  <c r="AN67" i="4"/>
  <c r="AO67" i="4" s="1"/>
  <c r="AN54" i="4"/>
  <c r="AN52" i="4"/>
  <c r="AO52" i="4" s="1"/>
  <c r="AN50" i="4"/>
  <c r="AO51" i="4" s="1"/>
  <c r="AN53" i="4"/>
  <c r="AO53" i="4" s="1"/>
  <c r="Q69" i="2"/>
  <c r="Q66" i="2"/>
  <c r="Q67" i="2"/>
  <c r="N69" i="2"/>
  <c r="N67" i="2"/>
  <c r="N68" i="2"/>
  <c r="Q68" i="2"/>
  <c r="AF120" i="2"/>
  <c r="AC120" i="2"/>
  <c r="Z120" i="2"/>
  <c r="W120" i="2"/>
  <c r="T120" i="2"/>
  <c r="Q120" i="2"/>
  <c r="N120" i="2"/>
  <c r="AF123" i="2"/>
  <c r="AC123" i="2"/>
  <c r="W123" i="2"/>
  <c r="Z123" i="2"/>
  <c r="T123" i="2"/>
  <c r="Q123" i="2"/>
  <c r="T122" i="2"/>
  <c r="N123" i="2"/>
  <c r="N122" i="2"/>
  <c r="N121" i="2"/>
  <c r="K124" i="2"/>
  <c r="K123" i="2"/>
  <c r="K122" i="2"/>
  <c r="K121" i="2"/>
  <c r="AP77" i="2"/>
  <c r="AO77" i="2"/>
  <c r="AN77" i="2"/>
  <c r="AP81" i="2"/>
  <c r="AO81" i="2"/>
  <c r="AN81" i="2"/>
  <c r="AP79" i="2"/>
  <c r="AO79" i="2"/>
  <c r="AN79" i="2"/>
  <c r="AP78" i="2"/>
  <c r="AO78" i="2"/>
  <c r="AN78" i="2"/>
  <c r="AP80" i="2"/>
  <c r="AO80" i="2"/>
  <c r="AN80" i="2"/>
  <c r="AN69" i="2"/>
  <c r="AN67" i="2"/>
  <c r="AN66" i="2"/>
  <c r="AN65" i="2"/>
  <c r="AN68" i="2"/>
  <c r="AN58" i="3" l="1"/>
  <c r="AN59" i="3"/>
  <c r="AR78" i="2"/>
  <c r="AO65" i="4"/>
  <c r="AO66" i="4"/>
  <c r="AO68" i="4"/>
  <c r="AO54" i="4"/>
  <c r="AN85" i="3"/>
  <c r="AN87" i="3"/>
  <c r="AN57" i="3"/>
  <c r="AN56" i="3"/>
  <c r="AR81" i="2"/>
  <c r="AR79" i="2"/>
  <c r="AR77" i="2"/>
  <c r="AR80" i="2"/>
  <c r="AT134" i="2" l="1"/>
  <c r="AS80" i="2"/>
  <c r="AS103" i="2"/>
  <c r="AS105" i="2"/>
  <c r="AS107" i="2"/>
  <c r="AS106" i="2"/>
  <c r="AS104" i="2"/>
  <c r="AT104" i="2" s="1"/>
  <c r="AS77" i="2"/>
  <c r="AS79" i="2"/>
  <c r="AT80" i="2" s="1"/>
  <c r="AS81" i="2"/>
  <c r="AS78" i="2"/>
  <c r="K77" i="2"/>
  <c r="AT136" i="2" l="1"/>
  <c r="AT107" i="2"/>
  <c r="AT135" i="2"/>
  <c r="AT81" i="2"/>
  <c r="AT133" i="2"/>
  <c r="AT105" i="2"/>
  <c r="AT106" i="2"/>
  <c r="AT78" i="2"/>
  <c r="AT79" i="2"/>
  <c r="AE42" i="8" l="1"/>
  <c r="AE41" i="8"/>
  <c r="L145" i="2"/>
  <c r="L144" i="2"/>
  <c r="X147" i="2"/>
  <c r="T147" i="2"/>
  <c r="P147" i="2"/>
  <c r="AC65" i="4"/>
  <c r="T67" i="4"/>
  <c r="W86" i="3"/>
  <c r="K86" i="3"/>
  <c r="AF68" i="4"/>
  <c r="AC68" i="4"/>
  <c r="Z68" i="4"/>
  <c r="W68" i="4"/>
  <c r="T68" i="4"/>
  <c r="Q68" i="4"/>
  <c r="N68" i="4"/>
  <c r="K68" i="4"/>
  <c r="AF67" i="4"/>
  <c r="AC67" i="4"/>
  <c r="Z67" i="4"/>
  <c r="W67" i="4"/>
  <c r="Q67" i="4"/>
  <c r="N67" i="4"/>
  <c r="K67" i="4"/>
  <c r="AF66" i="4"/>
  <c r="AC66" i="4"/>
  <c r="Z66" i="4"/>
  <c r="W66" i="4"/>
  <c r="T66" i="4"/>
  <c r="Q66" i="4"/>
  <c r="N66" i="4"/>
  <c r="K66" i="4"/>
  <c r="AF65" i="4"/>
  <c r="Z65" i="4"/>
  <c r="W65" i="4"/>
  <c r="T65" i="4"/>
  <c r="Q65" i="4"/>
  <c r="N65" i="4"/>
  <c r="K65" i="4"/>
  <c r="AF64" i="4"/>
  <c r="AC64" i="4"/>
  <c r="Z64" i="4"/>
  <c r="W64" i="4"/>
  <c r="T64" i="4"/>
  <c r="Q64" i="4"/>
  <c r="N64" i="4"/>
  <c r="K64" i="4"/>
  <c r="AF54" i="4"/>
  <c r="AC54" i="4"/>
  <c r="Z54" i="4"/>
  <c r="W54" i="4"/>
  <c r="T54" i="4"/>
  <c r="Q54" i="4"/>
  <c r="N54" i="4"/>
  <c r="K54" i="4"/>
  <c r="AF53" i="4"/>
  <c r="AC53" i="4"/>
  <c r="Z53" i="4"/>
  <c r="W53" i="4"/>
  <c r="T53" i="4"/>
  <c r="Q53" i="4"/>
  <c r="N53" i="4"/>
  <c r="K53" i="4"/>
  <c r="AF52" i="4"/>
  <c r="AC52" i="4"/>
  <c r="Z52" i="4"/>
  <c r="W52" i="4"/>
  <c r="T52" i="4"/>
  <c r="Q52" i="4"/>
  <c r="N52" i="4"/>
  <c r="K52" i="4"/>
  <c r="AF51" i="4"/>
  <c r="AC51" i="4"/>
  <c r="Z51" i="4"/>
  <c r="W51" i="4"/>
  <c r="T51" i="4"/>
  <c r="Q51" i="4"/>
  <c r="N51" i="4"/>
  <c r="K51" i="4"/>
  <c r="AF50" i="4"/>
  <c r="AC50" i="4"/>
  <c r="Z50" i="4"/>
  <c r="W50" i="4"/>
  <c r="T50" i="4"/>
  <c r="Q50" i="4"/>
  <c r="N50" i="4"/>
  <c r="K50" i="4"/>
  <c r="M28" i="4"/>
  <c r="K28" i="4"/>
  <c r="Q59" i="3"/>
  <c r="N86" i="3"/>
  <c r="AF124" i="2"/>
  <c r="AC124" i="2"/>
  <c r="Z124" i="2"/>
  <c r="W124" i="2"/>
  <c r="T124" i="2"/>
  <c r="Q124" i="2"/>
  <c r="N124" i="2"/>
  <c r="AL123" i="2"/>
  <c r="AF122" i="2"/>
  <c r="AC122" i="2"/>
  <c r="Z122" i="2"/>
  <c r="W122" i="2"/>
  <c r="Q122" i="2"/>
  <c r="AF121" i="2"/>
  <c r="AC121" i="2"/>
  <c r="W121" i="2"/>
  <c r="T121" i="2"/>
  <c r="Q121" i="2"/>
  <c r="AF81" i="2"/>
  <c r="AC81" i="2"/>
  <c r="Z81" i="2"/>
  <c r="W81" i="2"/>
  <c r="T81" i="2"/>
  <c r="Q81" i="2"/>
  <c r="N81" i="2"/>
  <c r="K81" i="2"/>
  <c r="AF80" i="2"/>
  <c r="AC80" i="2"/>
  <c r="Z80" i="2"/>
  <c r="W80" i="2"/>
  <c r="T80" i="2"/>
  <c r="Q80" i="2"/>
  <c r="N80" i="2"/>
  <c r="K80" i="2"/>
  <c r="AF79" i="2"/>
  <c r="AC79" i="2"/>
  <c r="Z79" i="2"/>
  <c r="W79" i="2"/>
  <c r="T79" i="2"/>
  <c r="Q79" i="2"/>
  <c r="N79" i="2"/>
  <c r="K79" i="2"/>
  <c r="AF78" i="2"/>
  <c r="AC78" i="2"/>
  <c r="Z78" i="2"/>
  <c r="W78" i="2"/>
  <c r="T78" i="2"/>
  <c r="Q78" i="2"/>
  <c r="N78" i="2"/>
  <c r="K78" i="2"/>
  <c r="AF77" i="2"/>
  <c r="AC77" i="2"/>
  <c r="Z77" i="2"/>
  <c r="W77" i="2"/>
  <c r="T77" i="2"/>
  <c r="Q77" i="2"/>
  <c r="N77" i="2"/>
  <c r="AF87" i="3"/>
  <c r="AC87" i="3"/>
  <c r="Z87" i="3"/>
  <c r="W87" i="3"/>
  <c r="T87" i="3"/>
  <c r="Q87" i="3"/>
  <c r="N87" i="3"/>
  <c r="K87" i="3"/>
  <c r="AF86" i="3"/>
  <c r="AC86" i="3"/>
  <c r="Z86" i="3"/>
  <c r="T86" i="3"/>
  <c r="Q86" i="3"/>
  <c r="AF85" i="3"/>
  <c r="AC85" i="3"/>
  <c r="Z85" i="3"/>
  <c r="W85" i="3"/>
  <c r="T85" i="3"/>
  <c r="Q85" i="3"/>
  <c r="N85" i="3"/>
  <c r="K85" i="3"/>
  <c r="AF84" i="3"/>
  <c r="AC84" i="3"/>
  <c r="Z84" i="3"/>
  <c r="W84" i="3"/>
  <c r="T84" i="3"/>
  <c r="Q84" i="3"/>
  <c r="N84" i="3"/>
  <c r="K84" i="3"/>
  <c r="AF83" i="3"/>
  <c r="AC83" i="3"/>
  <c r="Z83" i="3"/>
  <c r="W83" i="3"/>
  <c r="T83" i="3"/>
  <c r="Q83" i="3"/>
  <c r="N83" i="3"/>
  <c r="K83" i="3"/>
  <c r="AF59" i="3"/>
  <c r="AC59" i="3"/>
  <c r="Z59" i="3"/>
  <c r="W59" i="3"/>
  <c r="T59" i="3"/>
  <c r="N59" i="3"/>
  <c r="K59" i="3"/>
  <c r="AC58" i="3"/>
  <c r="Z58" i="3"/>
  <c r="W58" i="3"/>
  <c r="T58" i="3"/>
  <c r="Q58" i="3"/>
  <c r="N58" i="3"/>
  <c r="K58" i="3"/>
  <c r="AF57" i="3"/>
  <c r="Z57" i="3"/>
  <c r="W57" i="3"/>
  <c r="T57" i="3"/>
  <c r="Q57" i="3"/>
  <c r="N57" i="3"/>
  <c r="K57" i="3"/>
  <c r="AF56" i="3"/>
  <c r="AC56" i="3"/>
  <c r="W56" i="3"/>
  <c r="T56" i="3"/>
  <c r="Q56" i="3"/>
  <c r="N56" i="3"/>
  <c r="K56" i="3"/>
  <c r="AF55" i="3"/>
  <c r="AC55" i="3"/>
  <c r="Z55" i="3"/>
  <c r="O34" i="3"/>
  <c r="K34" i="3"/>
  <c r="AF69" i="2"/>
  <c r="AC69" i="2"/>
  <c r="Z69" i="2"/>
  <c r="W69" i="2"/>
  <c r="T69" i="2"/>
  <c r="AF68" i="2"/>
  <c r="AC68" i="2"/>
  <c r="Z68" i="2"/>
  <c r="W68" i="2"/>
  <c r="T68" i="2"/>
  <c r="AF67" i="2"/>
  <c r="AC67" i="2"/>
  <c r="Z67" i="2"/>
  <c r="W67" i="2"/>
  <c r="T67" i="2"/>
  <c r="AF66" i="2"/>
  <c r="AC66" i="2"/>
  <c r="Z66" i="2"/>
  <c r="W66" i="2"/>
  <c r="T66" i="2"/>
  <c r="AF65" i="2"/>
  <c r="AC65" i="2"/>
  <c r="Z65" i="2"/>
  <c r="W65" i="2"/>
  <c r="T65" i="2"/>
  <c r="O40" i="2"/>
  <c r="AO121" i="2" l="1"/>
  <c r="AO122" i="2"/>
  <c r="AO123" i="2"/>
  <c r="AO124" i="2"/>
  <c r="AR124" i="2" s="1"/>
  <c r="AO120" i="2"/>
  <c r="AP122" i="2"/>
  <c r="AP124" i="2"/>
  <c r="AP120" i="2"/>
  <c r="AP121" i="2"/>
  <c r="AP123" i="2"/>
  <c r="AL124" i="2"/>
  <c r="AO93" i="2"/>
  <c r="AO94" i="2"/>
  <c r="AO91" i="2"/>
  <c r="AO95" i="2"/>
  <c r="AO92" i="2"/>
  <c r="AP94" i="2"/>
  <c r="AP91" i="2"/>
  <c r="AP95" i="2"/>
  <c r="AP92" i="2"/>
  <c r="AP93" i="2"/>
  <c r="AP67" i="2"/>
  <c r="AP69" i="2"/>
  <c r="AP68" i="2"/>
  <c r="AP65" i="2"/>
  <c r="AP66" i="2"/>
  <c r="AL69" i="2"/>
  <c r="AL121" i="2"/>
  <c r="AO66" i="2"/>
  <c r="AO67" i="2"/>
  <c r="AR67" i="2" s="1"/>
  <c r="AO69" i="2"/>
  <c r="AR69" i="2" s="1"/>
  <c r="AO68" i="2"/>
  <c r="AR68" i="2" s="1"/>
  <c r="AS68" i="2" s="1"/>
  <c r="AO65" i="2"/>
  <c r="AR65" i="2" s="1"/>
  <c r="AL122" i="2"/>
  <c r="AL65" i="2"/>
  <c r="AL67" i="2"/>
  <c r="AL81" i="2"/>
  <c r="AL79" i="2"/>
  <c r="AL78" i="2"/>
  <c r="AL77" i="2"/>
  <c r="AL80" i="2"/>
  <c r="AL68" i="2"/>
  <c r="AL66" i="2"/>
  <c r="L147" i="2"/>
  <c r="AR123" i="2" l="1"/>
  <c r="AS123" i="2" s="1"/>
  <c r="AR122" i="2"/>
  <c r="AS122" i="2" s="1"/>
  <c r="AS124" i="2"/>
  <c r="AR120" i="2"/>
  <c r="AS120" i="2" s="1"/>
  <c r="AR137" i="2" s="1"/>
  <c r="AR121" i="2"/>
  <c r="AS121" i="2" s="1"/>
  <c r="AS69" i="2"/>
  <c r="AT69" i="2" s="1"/>
  <c r="AS65" i="2"/>
  <c r="AR95" i="2"/>
  <c r="AS95" i="2" s="1"/>
  <c r="AR91" i="2"/>
  <c r="AS91" i="2" s="1"/>
  <c r="AR66" i="2"/>
  <c r="AS66" i="2" s="1"/>
  <c r="AR94" i="2"/>
  <c r="AS94" i="2" s="1"/>
  <c r="AR92" i="2"/>
  <c r="AS92" i="2" s="1"/>
  <c r="AR93" i="2"/>
  <c r="AS93" i="2" s="1"/>
  <c r="AS67" i="2"/>
  <c r="AT124" i="2" l="1"/>
  <c r="AR141" i="2"/>
  <c r="AR139" i="2"/>
  <c r="AT122" i="2"/>
  <c r="AR138" i="2"/>
  <c r="AT121" i="2"/>
  <c r="AT123" i="2"/>
  <c r="AT66" i="2"/>
  <c r="AT94" i="2"/>
  <c r="AT93" i="2"/>
  <c r="AT67" i="2"/>
  <c r="AT92" i="2"/>
  <c r="AT95" i="2"/>
  <c r="AT68" i="2"/>
</calcChain>
</file>

<file path=xl/sharedStrings.xml><?xml version="1.0" encoding="utf-8"?>
<sst xmlns="http://schemas.openxmlformats.org/spreadsheetml/2006/main" count="1705" uniqueCount="408">
  <si>
    <t>Number (#) - Item per Outlet (IPO)</t>
  </si>
  <si>
    <t>Number (#) - Active Outlet (AO)</t>
  </si>
  <si>
    <t>Penghapusan Insentif, jika dalam waktu 30 hari sejak Insentif ditangguhkan Bad-Debt belum terselesaikan</t>
  </si>
  <si>
    <t>Number (#) - New Opened Outlet (NOO)</t>
  </si>
  <si>
    <t>Number (#) - Effective Call (EC)</t>
  </si>
  <si>
    <r>
      <t>Pinalti, berupa pengurangan Insentif sebesar 20%, jika ada Total Piutang Langganan lewat Jatuh Tempo (</t>
    </r>
    <r>
      <rPr>
        <b/>
        <sz val="11"/>
        <color theme="1"/>
        <rFont val="Calibri"/>
        <family val="2"/>
        <scheme val="minor"/>
      </rPr>
      <t>Overdue</t>
    </r>
    <r>
      <rPr>
        <sz val="11"/>
        <color theme="1"/>
        <rFont val="Calibri"/>
        <family val="2"/>
        <scheme val="minor"/>
      </rPr>
      <t xml:space="preserve">) lebih dari 0.5% </t>
    </r>
  </si>
  <si>
    <t>Sales Value - All Product</t>
  </si>
  <si>
    <t>PENALTY - 2</t>
  </si>
  <si>
    <t>PENALTY - 1</t>
  </si>
  <si>
    <t>BOBOT</t>
  </si>
  <si>
    <t>PARAMETER</t>
  </si>
  <si>
    <t>No</t>
  </si>
  <si>
    <r>
      <t>Pinalti, berupa pengurangan Insentif sebesar 10%, jika ada Total Piutang Langganan lewat Jatuh Tempo (</t>
    </r>
    <r>
      <rPr>
        <b/>
        <sz val="11"/>
        <color theme="1"/>
        <rFont val="Calibri"/>
        <family val="2"/>
        <scheme val="minor"/>
      </rPr>
      <t>Overdue</t>
    </r>
    <r>
      <rPr>
        <sz val="11"/>
        <color theme="1"/>
        <rFont val="Calibri"/>
        <family val="2"/>
        <scheme val="minor"/>
      </rPr>
      <t xml:space="preserve">) lebih dari 0.5% </t>
    </r>
  </si>
  <si>
    <t xml:space="preserve">≥ 110% </t>
  </si>
  <si>
    <t>IPT/IPO</t>
  </si>
  <si>
    <t>AO</t>
  </si>
  <si>
    <t>EC</t>
  </si>
  <si>
    <t>SC</t>
  </si>
  <si>
    <t>All Product</t>
  </si>
  <si>
    <t>NOMINAL</t>
  </si>
  <si>
    <t>Pencapaian</t>
  </si>
  <si>
    <t>Cab. Baru</t>
  </si>
  <si>
    <t>Nominal Insentif Salesman (Tim Kanvas)</t>
  </si>
  <si>
    <t>Skema Insentif Salesman (Tim Kanvas)</t>
  </si>
  <si>
    <t>Malang</t>
  </si>
  <si>
    <t>Solo</t>
  </si>
  <si>
    <t>Jember</t>
  </si>
  <si>
    <t>Sukabumi</t>
  </si>
  <si>
    <t>Garut</t>
  </si>
  <si>
    <t>Banyuwangi</t>
  </si>
  <si>
    <t>Tangerang</t>
  </si>
  <si>
    <t>Bandung</t>
  </si>
  <si>
    <t>Cab. Baru (NB)</t>
  </si>
  <si>
    <t>Cab. Kecil (SB)</t>
  </si>
  <si>
    <t>Cab. Menengah (MB)</t>
  </si>
  <si>
    <t>Note</t>
  </si>
  <si>
    <t>(New Branch - NB)</t>
  </si>
  <si>
    <t>Cabang Baru</t>
  </si>
  <si>
    <t>(Small Branch - SB)</t>
  </si>
  <si>
    <t>Cabang Kecil</t>
  </si>
  <si>
    <t>(Medium Branch - MB)</t>
  </si>
  <si>
    <t>Cabang Menengah</t>
  </si>
  <si>
    <t>(Large Branch - LB)</t>
  </si>
  <si>
    <t>Cabang Besar</t>
  </si>
  <si>
    <t>(Top Branch - TB)</t>
  </si>
  <si>
    <t>Cabang Utama</t>
  </si>
  <si>
    <t>Total</t>
  </si>
  <si>
    <t>NOO</t>
  </si>
  <si>
    <t>(Branch)</t>
  </si>
  <si>
    <t>Cabang</t>
  </si>
  <si>
    <t>(Parameter of Reguler Incentive)</t>
  </si>
  <si>
    <t>(Regular Incentive Scheme)</t>
  </si>
  <si>
    <t>SKEMA INSENTIF REGULER</t>
  </si>
  <si>
    <t>Number (#) - Sales Call (SC)</t>
  </si>
  <si>
    <r>
      <t xml:space="preserve">Penangguhan Insentif, jika terdapat </t>
    </r>
    <r>
      <rPr>
        <b/>
        <sz val="11"/>
        <color theme="1"/>
        <rFont val="Calibri"/>
        <family val="2"/>
        <scheme val="minor"/>
      </rPr>
      <t>Bad Debt</t>
    </r>
    <r>
      <rPr>
        <sz val="11"/>
        <color theme="1"/>
        <rFont val="Calibri"/>
        <family val="2"/>
        <scheme val="minor"/>
      </rPr>
      <t xml:space="preserve"> dengan Jumlah Hari Lewat Jatuh Tempo lebih dari 60 hari (OD BadDebt &gt; 60 days)</t>
    </r>
  </si>
  <si>
    <t>≥ 70%   ;   &lt; 80%</t>
  </si>
  <si>
    <t>≥ 80%   ;   &lt; 90%</t>
  </si>
  <si>
    <t>≥ 90%   ;   &lt; 100%</t>
  </si>
  <si>
    <t>≥ 100%   ;   &lt; 110%</t>
  </si>
  <si>
    <t>New Branch</t>
  </si>
  <si>
    <t>Skema Insentif  Area Sales Supervisor (ASS)</t>
  </si>
  <si>
    <t>Nominal Insentif Area Sales Spv (ASS)</t>
  </si>
  <si>
    <t>Skema Insentif  Area Sales Manager (ASM)</t>
  </si>
  <si>
    <t>Nominal Insentif Area Sales Mgr (ASM)</t>
  </si>
  <si>
    <t>Area Jawa</t>
  </si>
  <si>
    <t>Jawa</t>
  </si>
  <si>
    <t>L Pulau</t>
  </si>
  <si>
    <t>Number (#) - Registered Outlet (RO)</t>
  </si>
  <si>
    <t>Luar Pulau</t>
  </si>
  <si>
    <t>(Java Area)</t>
  </si>
  <si>
    <t>(Other Island)</t>
  </si>
  <si>
    <t>Area Jawa (Direct &amp; Indirect)</t>
  </si>
  <si>
    <t>Area Luar Pulau (Indirect &amp; Trading)</t>
  </si>
  <si>
    <t>¨</t>
  </si>
  <si>
    <t>Salesman (Canvasser)</t>
  </si>
  <si>
    <t>Canvass Driver</t>
  </si>
  <si>
    <t>Canvass Helper</t>
  </si>
  <si>
    <t>Note :</t>
  </si>
  <si>
    <t>Sales Team</t>
  </si>
  <si>
    <t>3 Person</t>
  </si>
  <si>
    <t>2 Person</t>
  </si>
  <si>
    <t>4 Person</t>
  </si>
  <si>
    <t>v</t>
  </si>
  <si>
    <t>Parameter Insentif Reguler - CANVASS TEAM</t>
  </si>
  <si>
    <t>Parameter Insentif Reguler - AREA SALES SUPERVISOR</t>
  </si>
  <si>
    <t>Parameter Insentif Reguler - AREA SALES MANAGER</t>
  </si>
  <si>
    <t>Lampiran 02</t>
  </si>
  <si>
    <t>Lampiran 03</t>
  </si>
  <si>
    <t>Lampiran 04</t>
  </si>
  <si>
    <t>Item per Outlet (IPO)</t>
  </si>
  <si>
    <t>Salesman</t>
  </si>
  <si>
    <t>Nominal Insentif</t>
  </si>
  <si>
    <t>New Opened Outlet (NOO)</t>
  </si>
  <si>
    <t>Active Outlet (AO)</t>
  </si>
  <si>
    <t>NOA</t>
  </si>
  <si>
    <t>RO</t>
  </si>
  <si>
    <t>SP</t>
  </si>
  <si>
    <t>Number (#) - Sales Point (SP)</t>
  </si>
  <si>
    <t>Sales Volume (Produk Fokus)</t>
  </si>
  <si>
    <t>Sales Call (# SC)</t>
  </si>
  <si>
    <t>Sales Value (All Product)</t>
  </si>
  <si>
    <t>Effective Call (# EC)</t>
  </si>
  <si>
    <t>Sales Volume (Ctn) - Focus Product</t>
  </si>
  <si>
    <t>Sales Value - Fast Moving &amp; Anchor Prd</t>
  </si>
  <si>
    <t>Focus</t>
  </si>
  <si>
    <t>FM/Anchor</t>
  </si>
  <si>
    <t>Lampiran 01</t>
  </si>
  <si>
    <t>Jogja</t>
  </si>
  <si>
    <t>Subang (Purwasuka)</t>
  </si>
  <si>
    <t>Tasikmalaya (Ciamis)</t>
  </si>
  <si>
    <t>Babat (Latubo)</t>
  </si>
  <si>
    <t>Sidoarjo (Gerbangsusi)</t>
  </si>
  <si>
    <t>Wonosobo (Purwomannggung / Kedu Raya)</t>
  </si>
  <si>
    <t>Wangon (Barlingmascakeb)</t>
  </si>
  <si>
    <t>Semarang (Kedungsepur)</t>
  </si>
  <si>
    <t>Kudus (wanarakuti banglor))</t>
  </si>
  <si>
    <t>Tegal (Bregas Kalang)</t>
  </si>
  <si>
    <t>Madiun (Pawitandirogo)</t>
  </si>
  <si>
    <t>Madura (Pasamsu)</t>
  </si>
  <si>
    <t>Probolinggo (Paspro)</t>
  </si>
  <si>
    <t>Jombang (Joker)</t>
  </si>
  <si>
    <t>Fast Moving Product</t>
  </si>
  <si>
    <t>Anchor Product</t>
  </si>
  <si>
    <t>Focus Product</t>
  </si>
  <si>
    <t>Sales Point</t>
  </si>
  <si>
    <t>Adalah produk dengan kontribusi omset terbesar (termasuk main product / backbone product) di suatu wilayah (net sales value).</t>
  </si>
  <si>
    <t>Adalah semua produk yang dijual di wilayah tersebut (net sales value).</t>
  </si>
  <si>
    <t>Adalah produk yang memiliki daya tarik paling tinggi terhadap minat konsumen di suatu wilayah (fungsi utamanya untuk menciptakan jaringan) (net sales value).</t>
  </si>
  <si>
    <t>Adalah produk yang sudah memiliki konsumen, dan masih memiliki potensi untuk menjadi lebih besar di target dan segment tertentu (Net sales volume / Ctn).</t>
  </si>
  <si>
    <t>Effective Call</t>
  </si>
  <si>
    <t>Adalah titik penjualan dengan kriteria ada minimal 30% WM aktif (ada RO/AO dengan jumlah min 30% dari PTO).</t>
  </si>
  <si>
    <t>Adalah kunjungan yang menghasilkan transaksi penjualan dengan nilai minimal Rp 50 rb/faktur (cab. Baru, cab. Kecil/menengah).</t>
  </si>
  <si>
    <t>Registered outlet</t>
  </si>
  <si>
    <t>Active Outlet</t>
  </si>
  <si>
    <t>Item Per Outlet</t>
  </si>
  <si>
    <t>Adalah outlet yang telah melakukan transaksi minimal 1 (satu) kali per 1 (satu) bulan, (next 1 (satu) kali transaksi per 3 (tiga) siklus kunjungan (CC)).</t>
  </si>
  <si>
    <t>Adalah outlet yang telah melakukan transaksi minimal 1 (satu) kali per 3 (tiga) bulan, (next 1 (satu) kali transaksi per 7 (tujuh) siklus kunjungan (CC)).</t>
  </si>
  <si>
    <t>Adalah jumlah produk item (SKU) di outlet dalam satu periode atau satu bulan.</t>
  </si>
  <si>
    <t>Produk fokus dalam satu cabang bisa lebih dari satu (satu salesman memiliki maks dua produk fokus).</t>
  </si>
  <si>
    <t>Call Plan (PJP), dan transaksi dikatakan efektif, jika nilainya minimal Rp 50 rb / faktur.</t>
  </si>
  <si>
    <t>Adalah penjualan bersih setelah diskon reguler dan retur dalam satuan Rupiah untuk semua produk.</t>
  </si>
  <si>
    <t>Adalah penjualan bersih setelah diskon dan retur dalam satuan Karton atau Dus untuk produk tertentu (wajib lebih diperhatikan oleh salesman).</t>
  </si>
  <si>
    <t>Masing-masing parameter Insentif berdiri sendiri-sendiri, satu parameter tidak terkait dengan parameter lainnya.</t>
  </si>
  <si>
    <t>Adalah jumlah kunjungan penjualan ke outlet, baik sesuai Call Plan (PJP) atau diluar Call Plan (PJP).</t>
  </si>
  <si>
    <t>Adalah jumlah kunjungan penjualan yang menghasilkan transaksi penjualan (efektif) ke outlet, baik sesuai Call Plan (PJP) ataupun diluar.</t>
  </si>
  <si>
    <t>Adalah jumlah pembukaan outlet baru. Pengakuan NOO adalah, jika telah mendapatkan nomer atau kode pelanggan dari bagian Administrasi Data Pelanggan</t>
  </si>
  <si>
    <t>(FA/EDP/DA), dengan kata lain telah menjadi RO (kode dan nama pelanggan telah teregister di database pelanggan).</t>
  </si>
  <si>
    <t>Adalah RO yang bertransaksi minimal 1 kali per bulan (next, harus bertransaksi minimal 1 (satu) kali per 3 (tiga) kali kunjungan (Call Cycle))</t>
  </si>
  <si>
    <t>Adalah rata-rata jumlah produk item (SKU) per outlet dalam satu periode.</t>
  </si>
  <si>
    <t>Untuk sales team dengan 4 person (salesman, driver/ass.salesman, 2 helper) komposisi pembagian insentif adalah 40:20:15:15, atau menurut kesepakatan sendiri.</t>
  </si>
  <si>
    <t>Next, untuk sales team dengan 2 person (Salesman dan Helper), dimana Salesman merangkap sebagai driver, komposisi pembagian insentif adalah 75:25 atau 80 : 20.</t>
  </si>
  <si>
    <t>Driver</t>
  </si>
  <si>
    <t>Helper 1</t>
  </si>
  <si>
    <t>Helper 2</t>
  </si>
  <si>
    <t>Lampiran 05</t>
  </si>
  <si>
    <t>Parameter Insentif Reguler - MT</t>
  </si>
  <si>
    <t>Skema Insentif Salesman (MT)</t>
  </si>
  <si>
    <t>Nominal Insentif Salesman (MT)</t>
  </si>
  <si>
    <t>Sales Team : TO (Taking Order) - 1</t>
  </si>
  <si>
    <t>Note: Non-Existing MT</t>
  </si>
  <si>
    <t>Lampiran 06</t>
  </si>
  <si>
    <t>Product Display (PD)</t>
  </si>
  <si>
    <t>Merchandising &amp; Plano Compliance (PC)</t>
  </si>
  <si>
    <t>Product Display</t>
  </si>
  <si>
    <t>Merchandising &amp; Plano Compliance</t>
  </si>
  <si>
    <t>PD</t>
  </si>
  <si>
    <t>PC</t>
  </si>
  <si>
    <t>Parameter Insentif Reguler - Horeca</t>
  </si>
  <si>
    <t>Skema Insentif Salesman (Horeca)</t>
  </si>
  <si>
    <t>Sales Contract ( 6 - 12 bulan)</t>
  </si>
  <si>
    <t>Co-Branding (min 3 bulan)</t>
  </si>
  <si>
    <t>Sales Contract (6 - 12 bln)</t>
  </si>
  <si>
    <t>Adalah jumlah outlet yang menandatangani kontrak penjualan 6 - 12 bulan kedepan, bonus di awal kontrak.</t>
  </si>
  <si>
    <t>Co-Branding (min 3 bln)</t>
  </si>
  <si>
    <t>Adalah outlet yang mencantumkan Brand produk kita (menu listing presence atau POSM utilization).</t>
  </si>
  <si>
    <t>Nominal Insentif Salesman (Horeca)</t>
  </si>
  <si>
    <t>Contract</t>
  </si>
  <si>
    <t>Co-Brand</t>
  </si>
  <si>
    <t>Lampiran 07</t>
  </si>
  <si>
    <t>Parameter Insentif Reguler - ASS MT</t>
  </si>
  <si>
    <t>Skema Insentif ASS MT</t>
  </si>
  <si>
    <t>Adalah jumlah outlet yang telah melakukan pajangan dengan benar (standar display SM, MM, GMM)</t>
  </si>
  <si>
    <t>Adalah jumlah outlet yang memiliki pajangan sesuai planogram (planogram SM, MM, GMM)</t>
  </si>
  <si>
    <t>Nominal Insentif ASS MT</t>
  </si>
  <si>
    <t>Lampiran 08</t>
  </si>
  <si>
    <t>Parameter Insentif Reguler - ASS Horeca</t>
  </si>
  <si>
    <t>Skema Insentif ASS Horeca</t>
  </si>
  <si>
    <t>Customer Satisfaction (CSI / NPS)</t>
  </si>
  <si>
    <t>Number (#) - Joint Event Activity (JE)</t>
  </si>
  <si>
    <t>Sales Contract (6-12 Bulan)</t>
  </si>
  <si>
    <t>Co-Branding (Min 3 bulan)</t>
  </si>
  <si>
    <t>New Open Outlet</t>
  </si>
  <si>
    <t>Customer Satisfaction</t>
  </si>
  <si>
    <t>Adalah rata2 tingkat kepuasan pelanggan, didapat melalui survei secara berkala (quarterly/semesterly).</t>
  </si>
  <si>
    <t>Event Participant</t>
  </si>
  <si>
    <t>Adalah jumlah HORECA yangg terlibat dalam setiap event yang diselenggarakan brand product kita.</t>
  </si>
  <si>
    <t xml:space="preserve">(Joint Event) </t>
  </si>
  <si>
    <t>Jumlah Event dari HORECA Team</t>
  </si>
  <si>
    <t>3x simple event / bulan</t>
  </si>
  <si>
    <t>1x middle event / kuartal</t>
  </si>
  <si>
    <t>Nominal Insentif ASS Horeca</t>
  </si>
  <si>
    <t>CSI / NPS</t>
  </si>
  <si>
    <t>JEA</t>
  </si>
  <si>
    <t>Lampiran 09</t>
  </si>
  <si>
    <t>SKEMA INSENTIF TIM PENGIRIMAN</t>
  </si>
  <si>
    <t>(Delivery Team Incentive Scheme)</t>
  </si>
  <si>
    <t>Struktur Skema Insentif</t>
  </si>
  <si>
    <t>Komponen Insentif Tim Pengiriman:</t>
  </si>
  <si>
    <t>1. Jumlah Produk (Cartonnage / Kartonase)</t>
  </si>
  <si>
    <t>2. Jumlah Faktur (Drop Point / Titik Lokasi Penurunan Barang)</t>
  </si>
  <si>
    <t>3. Quality Gate (Service Level / Kualitas Layanan)</t>
  </si>
  <si>
    <r>
      <t xml:space="preserve">Jumlah barang atau produk dalam satuan karton atau dus yang </t>
    </r>
    <r>
      <rPr>
        <b/>
        <sz val="11"/>
        <color theme="1"/>
        <rFont val="Calibri"/>
        <family val="2"/>
        <scheme val="minor"/>
      </rPr>
      <t>berhasil dikirim</t>
    </r>
    <r>
      <rPr>
        <sz val="11"/>
        <color theme="1"/>
        <rFont val="Calibri"/>
        <family val="2"/>
        <scheme val="minor"/>
      </rPr>
      <t xml:space="preserve"> oleh tim pengiriman dalam satu periode (bulan),</t>
    </r>
  </si>
  <si>
    <t>dengan Tiering sebagai berikut:</t>
  </si>
  <si>
    <t>Armada (Kendaraan) Pick-Up:</t>
  </si>
  <si>
    <t>Rata2 per hari (26 HKE)</t>
  </si>
  <si>
    <t>(Kapasitas muat rata-rata 150 karton (maks 200 karton))</t>
  </si>
  <si>
    <t>Jumlah barang  &lt;  1.950 karton</t>
  </si>
  <si>
    <t>Rp   0,-  (tidak mendapatkan insentif)</t>
  </si>
  <si>
    <t>Jml Brg &lt; 75 Ctn</t>
  </si>
  <si>
    <t>Jumlah barang  1.951 - 2.860 karton</t>
  </si>
  <si>
    <t>Rp   40.000,-</t>
  </si>
  <si>
    <t>Jml Brg 75 - 110 Ctn</t>
  </si>
  <si>
    <t>Jumlah barang 2.861 - 3.900 karton</t>
  </si>
  <si>
    <t>Rp   75.000,-</t>
  </si>
  <si>
    <t>Jml Brg  110 - 150 Ctn</t>
  </si>
  <si>
    <t>Jumlah barang  &gt; 3.900 karton</t>
  </si>
  <si>
    <t>Rp 125.000,-</t>
  </si>
  <si>
    <t>Jml Brg &gt; 150 Ctn</t>
  </si>
  <si>
    <t>Armada (Kendaraan) Engkel:</t>
  </si>
  <si>
    <t>(Kapasitas muat rata-rata 400 karton (maks 500 karton))</t>
  </si>
  <si>
    <t>Jumlah barang  &lt; 2.600 karton</t>
  </si>
  <si>
    <t>Jml Brg &lt; 100 Ctn</t>
  </si>
  <si>
    <t>Jumlah barang  2.601 - 6.500 karton</t>
  </si>
  <si>
    <t>Rp   100.000,-</t>
  </si>
  <si>
    <t>Jml Brg 100 - 250 Ctn</t>
  </si>
  <si>
    <t>Jumlah barang 6.501 - 10.400 karton</t>
  </si>
  <si>
    <t>Rp   160.000,-</t>
  </si>
  <si>
    <t>Jml Brg  251 - 400 Ctn</t>
  </si>
  <si>
    <t>Jumlah barang  &gt; 10.400 karton</t>
  </si>
  <si>
    <t>Rp   275.000,-</t>
  </si>
  <si>
    <t>Jml Brg &gt; 400 Ctn</t>
  </si>
  <si>
    <t>Dengan Nominal Pengali Rp 50,- (Lima Puluh Rupiah) per Karton atau Per Dus</t>
  </si>
  <si>
    <t>Untuk satuan yang lain digunakan ekuvalennya, misal 1 Krat = 2 Karton (2 Dus)</t>
  </si>
  <si>
    <t>Perhitungan:</t>
  </si>
  <si>
    <t>Nilai Insentif Jumlah Produk = Total Produk Terkirim x Rp 50,-)</t>
  </si>
  <si>
    <r>
      <t xml:space="preserve">Jumlah Titik Lokasi Penurunan Barang (Drop Point) yang diidentifikasi dengan jumlah Faktur yang </t>
    </r>
    <r>
      <rPr>
        <b/>
        <sz val="11"/>
        <color theme="1"/>
        <rFont val="Calibri"/>
        <family val="2"/>
        <scheme val="minor"/>
      </rPr>
      <t>berhasil dikirim</t>
    </r>
    <r>
      <rPr>
        <sz val="11"/>
        <color theme="1"/>
        <rFont val="Calibri"/>
        <family val="2"/>
        <scheme val="minor"/>
      </rPr>
      <t xml:space="preserve"> dalam satu periode (bulan).</t>
    </r>
  </si>
  <si>
    <t>Nominal Insentif Drop Point berdasarkan Tiering per periode (bulan):</t>
  </si>
  <si>
    <t>Semua Armada (Kendaraan)</t>
  </si>
  <si>
    <t xml:space="preserve">Jumlah Faktur &lt; 130; </t>
  </si>
  <si>
    <t>Rp. 0 (Tidak mendapatkan insentif Drop Point)</t>
  </si>
  <si>
    <t>Jml Faktur &lt; 5</t>
  </si>
  <si>
    <t>Jumlah Faktur 131 s/d 400</t>
  </si>
  <si>
    <t>Rp 25.000,-</t>
  </si>
  <si>
    <t>Jml Faktur 5.x - 15.x</t>
  </si>
  <si>
    <t>Jumlah Faktur 401 s/d 650</t>
  </si>
  <si>
    <t>Rp 40.000,-</t>
  </si>
  <si>
    <t>Jml Faktur 15.x - 25</t>
  </si>
  <si>
    <t>Jumlah Faktur &gt; 650</t>
  </si>
  <si>
    <t>Rp 60.000,-</t>
  </si>
  <si>
    <t>Jml Faktur &gt; 25</t>
  </si>
  <si>
    <r>
      <t xml:space="preserve">3. Quality Gate (Service Level / Kualitas Layanan) </t>
    </r>
    <r>
      <rPr>
        <b/>
        <sz val="12"/>
        <color theme="5"/>
        <rFont val="Calibri"/>
        <family val="2"/>
        <scheme val="minor"/>
      </rPr>
      <t>--- Optional / belum diterapkan</t>
    </r>
  </si>
  <si>
    <t>Quality Gate atau Service Level untuk memastikan barang / produk dikirim tepat waktu, tidak ada kesalahan barang/produk dalam pengiriman</t>
  </si>
  <si>
    <t>dan Tim Pengiriman tetap mampu menjaga kondisi barang / produk tetap baik / tidak rusak / tidak pecah selama proses pengiriman.</t>
  </si>
  <si>
    <t>Ketepatan Waktu Pengiriman (On Time Delivery)</t>
  </si>
  <si>
    <t>(Maximal 2 x 24 jam, dari tgl Faktur)</t>
  </si>
  <si>
    <t>Ketepatan Produk Terkirim (Accuracy of Product)</t>
  </si>
  <si>
    <t>(Selisih harus diselesaikan maksimal 2 x 24 jam)</t>
  </si>
  <si>
    <t>Contoh Tabel Insentif Tim Pengiriman:</t>
  </si>
  <si>
    <t>Produk (Kartonase)</t>
  </si>
  <si>
    <t>Faktur (Drop Point)</t>
  </si>
  <si>
    <t>Total Insentif</t>
  </si>
  <si>
    <t>Jenis Armada</t>
  </si>
  <si>
    <t>HKE:</t>
  </si>
  <si>
    <t>Delivery Team</t>
  </si>
  <si>
    <t>Jumlah</t>
  </si>
  <si>
    <t>Nominal Pengali</t>
  </si>
  <si>
    <t>Nominal (Tier)</t>
  </si>
  <si>
    <t>Rata / hari</t>
  </si>
  <si>
    <t>(Karton)</t>
  </si>
  <si>
    <t>(Rp. / Karton)</t>
  </si>
  <si>
    <t>(Lembar)</t>
  </si>
  <si>
    <t>(Rp.)</t>
  </si>
  <si>
    <t>Brg/Prd</t>
  </si>
  <si>
    <t>Faktur / SJ</t>
  </si>
  <si>
    <t>DT001 - Roni</t>
  </si>
  <si>
    <t>Engkel</t>
  </si>
  <si>
    <t>DT002 - Agil</t>
  </si>
  <si>
    <t>DT003 - Bardan</t>
  </si>
  <si>
    <t>DT004 - Rahman</t>
  </si>
  <si>
    <t>Pick Up</t>
  </si>
  <si>
    <t>DT005 - Felix</t>
  </si>
  <si>
    <t>DT006 - Hotman</t>
  </si>
  <si>
    <t>DT007 - Parman</t>
  </si>
  <si>
    <t>Adalah tim pengiriman yang terdiri dari:</t>
  </si>
  <si>
    <t>Delivery Driver + Delivery Helper (1 atau 2 orang, tergantung jenis kendaraan / kapasitas muatannya)</t>
  </si>
  <si>
    <t>Misal:</t>
  </si>
  <si>
    <t>Jenis Kendaraan</t>
  </si>
  <si>
    <t>Tim Pengiriman</t>
  </si>
  <si>
    <t>Keterangan</t>
  </si>
  <si>
    <t>Pick Up (bak/box)</t>
  </si>
  <si>
    <t>L-300 / Grand Max / Carry</t>
  </si>
  <si>
    <t>Truk Engkel (4 Roda)</t>
  </si>
  <si>
    <t>Driver + 1 Helper</t>
  </si>
  <si>
    <t>Truk Double (6 Roda)</t>
  </si>
  <si>
    <t>Driver + 2 Helper</t>
  </si>
  <si>
    <t>Pembagian Insentif</t>
  </si>
  <si>
    <t>Secara umum pembagian insentif pengiriman diatur sbb:</t>
  </si>
  <si>
    <r>
      <t xml:space="preserve">Pick Up </t>
    </r>
    <r>
      <rPr>
        <sz val="11"/>
        <color theme="1"/>
        <rFont val="Symbol"/>
        <family val="1"/>
        <charset val="2"/>
      </rPr>
      <t>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Driver  = 100%</t>
    </r>
  </si>
  <si>
    <r>
      <t xml:space="preserve">Engkel </t>
    </r>
    <r>
      <rPr>
        <sz val="11"/>
        <color theme="1"/>
        <rFont val="Symbol"/>
        <family val="1"/>
        <charset val="2"/>
      </rPr>
      <t>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Driver : Helper = 55% : 45%</t>
    </r>
  </si>
  <si>
    <r>
      <t xml:space="preserve">Double </t>
    </r>
    <r>
      <rPr>
        <sz val="11"/>
        <color theme="1"/>
        <rFont val="Symbol"/>
        <family val="1"/>
        <charset val="2"/>
      </rPr>
      <t>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Driver : Helper : Helper = 40% : 30% : 30%</t>
    </r>
  </si>
  <si>
    <t>Atau menurut kesepakatan Delivery Team sendiri.</t>
  </si>
  <si>
    <t>Contoh:</t>
  </si>
  <si>
    <t>(Driver + 1 Helper)</t>
  </si>
  <si>
    <t>(Driver)</t>
  </si>
  <si>
    <t>Focus (Vol)</t>
  </si>
  <si>
    <t>Focus (RO)</t>
  </si>
  <si>
    <t>Small Branch</t>
  </si>
  <si>
    <t xml:space="preserve"> Medium Branch</t>
  </si>
  <si>
    <t>Cab. Medium</t>
  </si>
  <si>
    <r>
      <t>Sales Team :</t>
    </r>
    <r>
      <rPr>
        <sz val="11"/>
        <color rgb="FFFF0000"/>
        <rFont val="Calibri"/>
        <family val="2"/>
        <scheme val="minor"/>
      </rPr>
      <t xml:space="preserve"> 3 (tiga) Person </t>
    </r>
  </si>
  <si>
    <r>
      <t xml:space="preserve">Sales Team : </t>
    </r>
    <r>
      <rPr>
        <sz val="11"/>
        <color rgb="FFFF0000"/>
        <rFont val="Calibri"/>
        <family val="2"/>
        <scheme val="minor"/>
      </rPr>
      <t xml:space="preserve">2 (dua) Person </t>
    </r>
  </si>
  <si>
    <t>Cab. Kecil</t>
  </si>
  <si>
    <r>
      <t xml:space="preserve">Sales Team : </t>
    </r>
    <r>
      <rPr>
        <sz val="11"/>
        <color rgb="FFFF0000"/>
        <rFont val="Calibri"/>
        <family val="2"/>
        <scheme val="minor"/>
      </rPr>
      <t xml:space="preserve">3 (tiga) Person </t>
    </r>
  </si>
  <si>
    <t>Sales Volume (Focus Product)</t>
  </si>
  <si>
    <t>Registered Outlet (Focus Product)</t>
  </si>
  <si>
    <t>Adalah Outlet yang bertransaksi Produk Fokus minimal 1 kali per 3 bulan (next, harus bertransaksi minimal 1 (satu) kali per 7 (tujuh) kali kunjungan (Call Cycle))</t>
  </si>
  <si>
    <t>Focus (Sls Vol)</t>
  </si>
  <si>
    <t># RO (Focus) - Focus Product</t>
  </si>
  <si>
    <t>Focus Product di NB (Cab Baru) sama dengan Anchor Product</t>
  </si>
  <si>
    <t>Note:</t>
  </si>
  <si>
    <t>Medium Branch</t>
  </si>
  <si>
    <t>Co-Branding</t>
  </si>
  <si>
    <t>NPS</t>
  </si>
  <si>
    <t>Parameter Insentif Reguler - ACCOUNT SUPERVISOR HORECA (AS HORECA)</t>
  </si>
  <si>
    <t>Parameter Insentif Reguler - KEY ACCOUNT SUPERVISOR MT (KAS MT)</t>
  </si>
  <si>
    <t>Parameter Insentif Reguler - ACCOUNT EXECUTIVE HORECA (AE HORECA)</t>
  </si>
  <si>
    <t>Parameter Insentif Reguler - KEY ACCOUNT EXECUTIVE MT (KAE MT)</t>
  </si>
  <si>
    <t>JE</t>
  </si>
  <si>
    <t>Parameter Insentif Reguler - DELIVERY TEAM</t>
  </si>
  <si>
    <t>TIM PENGIRIMAN</t>
  </si>
  <si>
    <t>(Delivery Team)</t>
  </si>
  <si>
    <t>Armada PICK UP</t>
  </si>
  <si>
    <t>Armada ENGKEL</t>
  </si>
  <si>
    <t>Kapasitas Muat (Loading Capacity)</t>
  </si>
  <si>
    <t>Jumlah Barang (Dus/Karton) / Bln</t>
  </si>
  <si>
    <t>Barang &lt; 1.950 karton</t>
  </si>
  <si>
    <t>Barang 1.951 - 2.860 karton</t>
  </si>
  <si>
    <t>Barang 2.861 - 3.900 karton</t>
  </si>
  <si>
    <t>Barang &gt; 3.900 karton</t>
  </si>
  <si>
    <t>Rp 0,-</t>
  </si>
  <si>
    <t>Rp 75.000,-</t>
  </si>
  <si>
    <t>Rp 100.000,-</t>
  </si>
  <si>
    <t>Rp 160.000,-</t>
  </si>
  <si>
    <t>Rp 275.000,-</t>
  </si>
  <si>
    <t>Jumlah Faktur</t>
  </si>
  <si>
    <t>Faktur &lt; 130</t>
  </si>
  <si>
    <t>Faktur 131 - 400</t>
  </si>
  <si>
    <t>Faktur &gt; 650</t>
  </si>
  <si>
    <t>Faktur 401 - 650</t>
  </si>
  <si>
    <t>Titik Lokasi Penurunan (Drop Point)</t>
  </si>
  <si>
    <t xml:space="preserve"> </t>
  </si>
  <si>
    <t xml:space="preserve"> Small Branch</t>
  </si>
  <si>
    <t>Number (#) - New Open Area (NOA)</t>
  </si>
  <si>
    <t>New Open Area</t>
  </si>
  <si>
    <t>Adalah pembukaan wilayah baru dalam territory yang menjadi tanggungjawabnya, sesuai standar distribusi (terkait kesesuaian channel, baik secara numeric maupun weighted).</t>
  </si>
  <si>
    <t>Parameter Insentif Reguler - NATIONAL SALES MANAGER - NSM</t>
  </si>
  <si>
    <t>Parameter Insentif Reguler - REGIONAL SALES MANAGER - RSM</t>
  </si>
  <si>
    <t>Parameter Insentif Reguler - AREA SALES MANAGER - ASM</t>
  </si>
  <si>
    <t>Parameter Insentif Reguler - AREA SALES SUPERVISOR - ASS</t>
  </si>
  <si>
    <t>Parameter Insentif Reguler - CANVASS TEAM - VS</t>
  </si>
  <si>
    <t>(Other/Outer Island)</t>
  </si>
  <si>
    <t>Wilayah</t>
  </si>
  <si>
    <t>(Area)</t>
  </si>
  <si>
    <t>(Bentuk Distribusi)</t>
  </si>
  <si>
    <t>Distribution Model</t>
  </si>
  <si>
    <t>Direct Distribustion</t>
  </si>
  <si>
    <t>Indirect Distribution</t>
  </si>
  <si>
    <t>(by LMN Distributor)</t>
  </si>
  <si>
    <t>(by External Distributor)</t>
  </si>
  <si>
    <t>Parameter Insentif Reguler - REGIONAL SALES MANAGER</t>
  </si>
  <si>
    <t>Parameter Insentif Reguler - NATIONAL SALES MANAGER</t>
  </si>
  <si>
    <t>Skema Insentif  Rgional Sales Manager (RSM)</t>
  </si>
  <si>
    <t>Nominal Insentif Regional Sales Mgr (RSM)</t>
  </si>
  <si>
    <t>Skema Insentif  National Sales Manager (NSM)</t>
  </si>
  <si>
    <t>Direct Distribution (by LMN Distributor)</t>
  </si>
  <si>
    <t>Indirect Distribution (by External Distributor)</t>
  </si>
  <si>
    <r>
      <t xml:space="preserve">Sales Team : </t>
    </r>
    <r>
      <rPr>
        <sz val="11"/>
        <color rgb="FFFF0000"/>
        <rFont val="Calibri"/>
        <family val="2"/>
        <scheme val="minor"/>
      </rPr>
      <t xml:space="preserve"> 3 (tiga) Person </t>
    </r>
  </si>
  <si>
    <t>per Bulan</t>
  </si>
  <si>
    <t>per Kuartal</t>
  </si>
  <si>
    <r>
      <t xml:space="preserve">atau </t>
    </r>
    <r>
      <rPr>
        <b/>
        <sz val="11"/>
        <color rgb="FF00B0F0"/>
        <rFont val="Calibri"/>
        <family val="2"/>
        <scheme val="minor"/>
      </rPr>
      <t>Direct Dist dan Indirect Dist</t>
    </r>
    <r>
      <rPr>
        <sz val="11"/>
        <color rgb="FF00B0F0"/>
        <rFont val="Calibri"/>
        <family val="2"/>
        <scheme val="minor"/>
      </rPr>
      <t xml:space="preserve"> dijadikan satu.</t>
    </r>
  </si>
  <si>
    <t>National Distribution</t>
  </si>
  <si>
    <t>Lampiran 10</t>
  </si>
  <si>
    <t>Lampiran 11</t>
  </si>
  <si>
    <t>Lampiran 12</t>
  </si>
  <si>
    <t>Lampiran 13</t>
  </si>
  <si>
    <t>Nominal Insentif Salesman (Taking Order - TO)</t>
  </si>
  <si>
    <r>
      <t xml:space="preserve">Sales Team : </t>
    </r>
    <r>
      <rPr>
        <sz val="11"/>
        <color rgb="FFFF0000"/>
        <rFont val="Calibri"/>
        <family val="2"/>
        <scheme val="minor"/>
      </rPr>
      <t xml:space="preserve"> TO (Taking Order) / SE (Sls Exclusive)</t>
    </r>
  </si>
  <si>
    <t>Lampiran 14</t>
  </si>
  <si>
    <r>
      <t xml:space="preserve">Sales Team : </t>
    </r>
    <r>
      <rPr>
        <sz val="11"/>
        <color rgb="FFFF0000"/>
        <rFont val="Calibri"/>
        <family val="2"/>
        <scheme val="minor"/>
      </rPr>
      <t xml:space="preserve"> SLD (Salesman Distributor - Mix)</t>
    </r>
  </si>
  <si>
    <t>Nominal Insentif Salesman Distributor (SLD MIX)</t>
  </si>
  <si>
    <t>Mis. Percentage of OPM / OPV, GPM / Price Var</t>
  </si>
  <si>
    <t>Plus Others Variable Income [opt]</t>
  </si>
  <si>
    <t>Purwakarta</t>
  </si>
  <si>
    <t>Cirebon (Ciayumajakuning)</t>
  </si>
  <si>
    <t>Parameter Insentif Reguler - TAKING ORDER</t>
  </si>
  <si>
    <t>Skema Insentif Salesman (Taking Order)</t>
  </si>
  <si>
    <t>Parameter Insentif Reguler - SLD MIX</t>
  </si>
  <si>
    <t>Skema Insentif Salesman (SLD MIX)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</si>
</sst>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 tint="0.249977111117893"/>
      <name val="Calibri"/>
      <family val="2"/>
      <scheme val="minor"/>
    </font>
    <font>
      <sz val="11"/>
      <color theme="1" tint="0.34998626667073579"/>
      <name val="Wingdings"/>
      <charset val="2"/>
    </font>
    <font>
      <sz val="16"/>
      <color theme="5" tint="-0.249977111117893"/>
      <name val="Calibri"/>
      <family val="2"/>
      <scheme val="minor"/>
    </font>
    <font>
      <sz val="16"/>
      <color theme="8"/>
      <name val="Calibri"/>
      <family val="2"/>
      <scheme val="minor"/>
    </font>
    <font>
      <b/>
      <sz val="12"/>
      <color theme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2" tint="-0.249977111117893"/>
      <name val="Wingdings"/>
      <charset val="2"/>
    </font>
    <font>
      <sz val="10"/>
      <color rgb="FF0070C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0"/>
      <color theme="3" tint="0.59999389629810485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b/>
      <sz val="12"/>
      <color theme="3"/>
      <name val="Calibri"/>
      <family val="2"/>
      <scheme val="minor"/>
    </font>
    <font>
      <sz val="11"/>
      <name val="Wingdings"/>
      <charset val="2"/>
    </font>
    <font>
      <b/>
      <sz val="12"/>
      <color theme="7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A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5D5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indexed="64"/>
      </right>
      <top/>
      <bottom style="thin">
        <color theme="2" tint="-9.9978637043366805E-2"/>
      </bottom>
      <diagonal/>
    </border>
    <border>
      <left style="thin">
        <color indexed="64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 style="thin">
        <color theme="2" tint="-9.9978637043366805E-2"/>
      </top>
      <bottom style="thin">
        <color indexed="64"/>
      </bottom>
      <diagonal/>
    </border>
    <border>
      <left/>
      <right/>
      <top style="thin">
        <color theme="2" tint="-9.9978637043366805E-2"/>
      </top>
      <bottom style="thin">
        <color indexed="64"/>
      </bottom>
      <diagonal/>
    </border>
    <border>
      <left/>
      <right style="thin">
        <color indexed="64"/>
      </right>
      <top style="thin">
        <color theme="2" tint="-9.9978637043366805E-2"/>
      </top>
      <bottom style="thin">
        <color indexed="64"/>
      </bottom>
      <diagonal/>
    </border>
    <border>
      <left/>
      <right/>
      <top/>
      <bottom style="thin">
        <color theme="3" tint="0.59999389629810485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3" tint="0.59999389629810485"/>
      </left>
      <right/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0" tint="-4.9989318521683403E-2"/>
      </right>
      <top/>
      <bottom style="thin">
        <color theme="0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1">
    <xf numFmtId="0" fontId="0" fillId="0" borderId="0" xfId="0"/>
    <xf numFmtId="0" fontId="0" fillId="0" borderId="1" xfId="0" applyBorder="1" applyAlignment="1">
      <alignment horizontal="center"/>
    </xf>
    <xf numFmtId="0" fontId="3" fillId="0" borderId="0" xfId="0" applyFont="1"/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vertical="center"/>
    </xf>
    <xf numFmtId="0" fontId="6" fillId="0" borderId="0" xfId="0" applyFont="1"/>
    <xf numFmtId="0" fontId="12" fillId="0" borderId="0" xfId="0" applyFont="1"/>
    <xf numFmtId="0" fontId="4" fillId="6" borderId="3" xfId="0" applyFont="1" applyFill="1" applyBorder="1" applyAlignment="1">
      <alignment vertical="center"/>
    </xf>
    <xf numFmtId="0" fontId="0" fillId="3" borderId="10" xfId="0" applyFill="1" applyBorder="1"/>
    <xf numFmtId="0" fontId="2" fillId="6" borderId="3" xfId="0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0" fontId="13" fillId="0" borderId="0" xfId="0" applyFont="1"/>
    <xf numFmtId="0" fontId="2" fillId="13" borderId="3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14" fillId="0" borderId="0" xfId="0" applyFont="1"/>
    <xf numFmtId="0" fontId="15" fillId="0" borderId="0" xfId="0" applyFont="1"/>
    <xf numFmtId="0" fontId="0" fillId="0" borderId="1" xfId="0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vertical="top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1" xfId="0" applyBorder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3" fillId="0" borderId="0" xfId="0" applyFont="1" applyAlignment="1">
      <alignment horizontal="left" indent="1"/>
    </xf>
    <xf numFmtId="0" fontId="6" fillId="0" borderId="0" xfId="0" applyFont="1" applyAlignment="1">
      <alignment horizontal="left" indent="2"/>
    </xf>
    <xf numFmtId="164" fontId="26" fillId="0" borderId="0" xfId="0" applyNumberFormat="1" applyFont="1" applyAlignment="1">
      <alignment vertical="center"/>
    </xf>
    <xf numFmtId="9" fontId="27" fillId="0" borderId="0" xfId="2" applyFont="1" applyAlignment="1">
      <alignment vertical="center"/>
    </xf>
    <xf numFmtId="0" fontId="27" fillId="0" borderId="0" xfId="0" applyFont="1" applyAlignment="1">
      <alignment vertical="center"/>
    </xf>
    <xf numFmtId="164" fontId="27" fillId="0" borderId="0" xfId="0" applyNumberFormat="1" applyFont="1"/>
    <xf numFmtId="0" fontId="27" fillId="0" borderId="0" xfId="0" applyFont="1"/>
    <xf numFmtId="9" fontId="28" fillId="0" borderId="0" xfId="2" applyFont="1" applyAlignment="1">
      <alignment vertical="center"/>
    </xf>
    <xf numFmtId="0" fontId="28" fillId="0" borderId="0" xfId="0" applyFont="1" applyAlignment="1">
      <alignment vertical="center"/>
    </xf>
    <xf numFmtId="9" fontId="28" fillId="0" borderId="0" xfId="0" applyNumberFormat="1" applyFont="1" applyAlignment="1">
      <alignment vertical="center"/>
    </xf>
    <xf numFmtId="164" fontId="28" fillId="0" borderId="0" xfId="0" applyNumberFormat="1" applyFont="1"/>
    <xf numFmtId="0" fontId="28" fillId="0" borderId="0" xfId="0" applyFont="1"/>
    <xf numFmtId="164" fontId="28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64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43" fontId="0" fillId="0" borderId="0" xfId="0" applyNumberFormat="1" applyAlignment="1">
      <alignment horizontal="right"/>
    </xf>
    <xf numFmtId="0" fontId="23" fillId="0" borderId="0" xfId="0" applyFont="1" applyAlignment="1">
      <alignment horizontal="right"/>
    </xf>
    <xf numFmtId="164" fontId="29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9" fontId="29" fillId="0" borderId="0" xfId="2" applyFont="1" applyAlignment="1">
      <alignment vertical="center"/>
    </xf>
    <xf numFmtId="9" fontId="29" fillId="0" borderId="0" xfId="0" applyNumberFormat="1" applyFont="1" applyAlignment="1">
      <alignment vertical="center"/>
    </xf>
    <xf numFmtId="0" fontId="30" fillId="0" borderId="0" xfId="0" applyFont="1"/>
    <xf numFmtId="43" fontId="0" fillId="0" borderId="0" xfId="0" applyNumberFormat="1"/>
    <xf numFmtId="0" fontId="0" fillId="0" borderId="27" xfId="0" applyBorder="1" applyAlignment="1">
      <alignment horizontal="center"/>
    </xf>
    <xf numFmtId="0" fontId="0" fillId="0" borderId="0" xfId="0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0" fillId="0" borderId="0" xfId="0" applyAlignment="1">
      <alignment horizontal="left" indent="3"/>
    </xf>
    <xf numFmtId="0" fontId="0" fillId="0" borderId="0" xfId="0" applyAlignment="1">
      <alignment horizontal="left" indent="5"/>
    </xf>
    <xf numFmtId="0" fontId="33" fillId="0" borderId="3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/>
    <xf numFmtId="0" fontId="0" fillId="0" borderId="0" xfId="0" applyAlignment="1">
      <alignment horizontal="left" indent="7"/>
    </xf>
    <xf numFmtId="0" fontId="0" fillId="0" borderId="0" xfId="0" applyAlignment="1">
      <alignment horizontal="left" vertical="center" indent="2"/>
    </xf>
    <xf numFmtId="0" fontId="33" fillId="0" borderId="0" xfId="0" applyFont="1" applyAlignment="1">
      <alignment horizontal="left" vertical="center" indent="1"/>
    </xf>
    <xf numFmtId="0" fontId="0" fillId="0" borderId="0" xfId="0" quotePrefix="1" applyAlignment="1">
      <alignment horizontal="left" vertical="center" indent="7"/>
    </xf>
    <xf numFmtId="0" fontId="36" fillId="0" borderId="0" xfId="0" applyFont="1" applyAlignment="1">
      <alignment horizontal="left" indent="3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left" indent="5"/>
    </xf>
    <xf numFmtId="9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39" xfId="0" applyFont="1" applyBorder="1" applyAlignment="1">
      <alignment horizontal="center"/>
    </xf>
    <xf numFmtId="0" fontId="36" fillId="0" borderId="40" xfId="0" applyFont="1" applyBorder="1" applyAlignment="1">
      <alignment horizontal="center"/>
    </xf>
    <xf numFmtId="0" fontId="4" fillId="5" borderId="38" xfId="0" applyFont="1" applyFill="1" applyBorder="1" applyAlignment="1">
      <alignment horizontal="center" vertical="center"/>
    </xf>
    <xf numFmtId="0" fontId="37" fillId="17" borderId="44" xfId="0" applyFont="1" applyFill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36" fillId="0" borderId="0" xfId="0" applyNumberFormat="1" applyFont="1" applyAlignment="1">
      <alignment horizontal="left" vertical="center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inden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0" fillId="0" borderId="3" xfId="0" applyBorder="1" applyAlignment="1">
      <alignment horizontal="right" vertical="center" indent="1"/>
    </xf>
    <xf numFmtId="164" fontId="0" fillId="0" borderId="0" xfId="1" applyNumberFormat="1" applyFont="1" applyAlignment="1">
      <alignment horizontal="left" vertical="center"/>
    </xf>
    <xf numFmtId="0" fontId="0" fillId="0" borderId="3" xfId="0" applyBorder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19" borderId="45" xfId="0" applyFill="1" applyBorder="1"/>
    <xf numFmtId="0" fontId="0" fillId="20" borderId="45" xfId="0" applyFill="1" applyBorder="1"/>
    <xf numFmtId="0" fontId="0" fillId="18" borderId="45" xfId="0" applyFill="1" applyBorder="1"/>
    <xf numFmtId="9" fontId="7" fillId="0" borderId="12" xfId="2" applyFont="1" applyBorder="1" applyAlignment="1">
      <alignment horizontal="center" vertical="center"/>
    </xf>
    <xf numFmtId="0" fontId="40" fillId="0" borderId="0" xfId="0" applyFont="1"/>
    <xf numFmtId="9" fontId="7" fillId="0" borderId="11" xfId="2" applyFont="1" applyBorder="1" applyAlignment="1">
      <alignment horizontal="center" vertical="center"/>
    </xf>
    <xf numFmtId="9" fontId="7" fillId="0" borderId="10" xfId="2" applyFont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41" fillId="0" borderId="0" xfId="0" applyFont="1"/>
    <xf numFmtId="0" fontId="7" fillId="0" borderId="0" xfId="0" applyFont="1"/>
    <xf numFmtId="0" fontId="42" fillId="0" borderId="0" xfId="0" applyFont="1"/>
    <xf numFmtId="0" fontId="43" fillId="0" borderId="0" xfId="0" applyFont="1"/>
    <xf numFmtId="164" fontId="0" fillId="0" borderId="0" xfId="1" applyNumberFormat="1" applyFont="1"/>
    <xf numFmtId="164" fontId="0" fillId="0" borderId="0" xfId="0" applyNumberFormat="1"/>
    <xf numFmtId="0" fontId="44" fillId="0" borderId="0" xfId="0" applyFont="1"/>
    <xf numFmtId="0" fontId="2" fillId="22" borderId="12" xfId="0" applyFont="1" applyFill="1" applyBorder="1" applyAlignment="1">
      <alignment vertical="center"/>
    </xf>
    <xf numFmtId="0" fontId="2" fillId="22" borderId="11" xfId="0" applyFont="1" applyFill="1" applyBorder="1" applyAlignment="1">
      <alignment vertical="center"/>
    </xf>
    <xf numFmtId="0" fontId="2" fillId="22" borderId="10" xfId="0" applyFont="1" applyFill="1" applyBorder="1" applyAlignment="1">
      <alignment vertical="center"/>
    </xf>
    <xf numFmtId="0" fontId="2" fillId="23" borderId="9" xfId="0" applyFont="1" applyFill="1" applyBorder="1" applyAlignment="1">
      <alignment vertical="center"/>
    </xf>
    <xf numFmtId="0" fontId="2" fillId="23" borderId="8" xfId="0" applyFont="1" applyFill="1" applyBorder="1" applyAlignment="1">
      <alignment vertical="center"/>
    </xf>
    <xf numFmtId="0" fontId="2" fillId="23" borderId="7" xfId="0" applyFont="1" applyFill="1" applyBorder="1" applyAlignment="1">
      <alignment vertical="center"/>
    </xf>
    <xf numFmtId="0" fontId="45" fillId="0" borderId="0" xfId="0" applyFont="1"/>
    <xf numFmtId="0" fontId="46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9" fontId="7" fillId="0" borderId="1" xfId="2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9" fontId="7" fillId="3" borderId="1" xfId="2" applyFont="1" applyFill="1" applyBorder="1" applyAlignment="1">
      <alignment horizontal="center" vertical="center"/>
    </xf>
    <xf numFmtId="9" fontId="7" fillId="3" borderId="12" xfId="2" applyFont="1" applyFill="1" applyBorder="1" applyAlignment="1">
      <alignment horizontal="center" vertical="center"/>
    </xf>
    <xf numFmtId="9" fontId="7" fillId="3" borderId="10" xfId="2" applyFont="1" applyFill="1" applyBorder="1" applyAlignment="1">
      <alignment horizontal="center" vertical="center"/>
    </xf>
    <xf numFmtId="9" fontId="7" fillId="0" borderId="12" xfId="2" applyFont="1" applyBorder="1" applyAlignment="1">
      <alignment horizontal="center" vertical="center"/>
    </xf>
    <xf numFmtId="9" fontId="7" fillId="0" borderId="11" xfId="2" applyFont="1" applyBorder="1" applyAlignment="1">
      <alignment horizontal="center" vertical="center"/>
    </xf>
    <xf numFmtId="9" fontId="7" fillId="0" borderId="10" xfId="2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2" xfId="0" applyFill="1" applyBorder="1" applyAlignment="1">
      <alignment horizontal="left" vertical="center" indent="3"/>
    </xf>
    <xf numFmtId="0" fontId="0" fillId="3" borderId="11" xfId="0" applyFill="1" applyBorder="1" applyAlignment="1">
      <alignment horizontal="left" vertical="center" indent="3"/>
    </xf>
    <xf numFmtId="0" fontId="0" fillId="3" borderId="10" xfId="0" applyFill="1" applyBorder="1" applyAlignment="1">
      <alignment horizontal="left" vertical="center" indent="3"/>
    </xf>
    <xf numFmtId="164" fontId="0" fillId="3" borderId="1" xfId="1" applyNumberFormat="1" applyFont="1" applyFill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0" fontId="0" fillId="4" borderId="12" xfId="0" applyFill="1" applyBorder="1" applyAlignment="1">
      <alignment horizontal="left" vertical="center" indent="3"/>
    </xf>
    <xf numFmtId="0" fontId="0" fillId="4" borderId="11" xfId="0" applyFill="1" applyBorder="1" applyAlignment="1">
      <alignment horizontal="left" vertical="center" indent="3"/>
    </xf>
    <xf numFmtId="0" fontId="0" fillId="4" borderId="10" xfId="0" applyFill="1" applyBorder="1" applyAlignment="1">
      <alignment horizontal="left" vertical="center" indent="3"/>
    </xf>
    <xf numFmtId="164" fontId="0" fillId="4" borderId="1" xfId="1" applyNumberFormat="1" applyFont="1" applyFill="1" applyBorder="1" applyAlignment="1">
      <alignment horizontal="center" vertical="center"/>
    </xf>
    <xf numFmtId="164" fontId="0" fillId="8" borderId="12" xfId="1" applyNumberFormat="1" applyFont="1" applyFill="1" applyBorder="1" applyAlignment="1">
      <alignment horizontal="center" vertical="center"/>
    </xf>
    <xf numFmtId="164" fontId="0" fillId="8" borderId="11" xfId="1" applyNumberFormat="1" applyFont="1" applyFill="1" applyBorder="1" applyAlignment="1">
      <alignment horizontal="center" vertical="center"/>
    </xf>
    <xf numFmtId="164" fontId="0" fillId="8" borderId="10" xfId="1" applyNumberFormat="1" applyFont="1" applyFill="1" applyBorder="1" applyAlignment="1">
      <alignment horizontal="center" vertical="center"/>
    </xf>
    <xf numFmtId="164" fontId="0" fillId="8" borderId="12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left"/>
    </xf>
    <xf numFmtId="0" fontId="11" fillId="7" borderId="3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/>
    </xf>
    <xf numFmtId="0" fontId="0" fillId="0" borderId="9" xfId="0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7" borderId="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10" fontId="0" fillId="0" borderId="12" xfId="2" applyNumberFormat="1" applyFont="1" applyBorder="1" applyAlignment="1">
      <alignment horizontal="center" vertical="center"/>
    </xf>
    <xf numFmtId="10" fontId="0" fillId="0" borderId="11" xfId="2" applyNumberFormat="1" applyFont="1" applyBorder="1" applyAlignment="1">
      <alignment horizontal="center" vertical="center"/>
    </xf>
    <xf numFmtId="10" fontId="0" fillId="0" borderId="10" xfId="2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left" vertical="center" indent="2"/>
    </xf>
    <xf numFmtId="10" fontId="0" fillId="3" borderId="12" xfId="2" applyNumberFormat="1" applyFont="1" applyFill="1" applyBorder="1" applyAlignment="1">
      <alignment horizontal="center" vertical="center"/>
    </xf>
    <xf numFmtId="10" fontId="0" fillId="3" borderId="11" xfId="2" applyNumberFormat="1" applyFont="1" applyFill="1" applyBorder="1" applyAlignment="1">
      <alignment horizontal="center" vertical="center"/>
    </xf>
    <xf numFmtId="10" fontId="0" fillId="3" borderId="10" xfId="2" applyNumberFormat="1" applyFont="1" applyFill="1" applyBorder="1" applyAlignment="1">
      <alignment horizontal="center" vertical="center"/>
    </xf>
    <xf numFmtId="10" fontId="0" fillId="16" borderId="12" xfId="2" applyNumberFormat="1" applyFont="1" applyFill="1" applyBorder="1" applyAlignment="1">
      <alignment horizontal="center" vertical="center"/>
    </xf>
    <xf numFmtId="10" fontId="0" fillId="16" borderId="11" xfId="2" applyNumberFormat="1" applyFont="1" applyFill="1" applyBorder="1" applyAlignment="1">
      <alignment horizontal="center" vertical="center"/>
    </xf>
    <xf numFmtId="10" fontId="0" fillId="16" borderId="10" xfId="2" applyNumberFormat="1" applyFont="1" applyFill="1" applyBorder="1" applyAlignment="1">
      <alignment horizontal="center" vertical="center"/>
    </xf>
    <xf numFmtId="9" fontId="0" fillId="9" borderId="1" xfId="2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left" vertical="center" indent="4"/>
    </xf>
    <xf numFmtId="0" fontId="0" fillId="3" borderId="11" xfId="0" applyFill="1" applyBorder="1" applyAlignment="1">
      <alignment horizontal="left" vertical="center" indent="4"/>
    </xf>
    <xf numFmtId="0" fontId="0" fillId="3" borderId="10" xfId="0" applyFill="1" applyBorder="1" applyAlignment="1">
      <alignment horizontal="left" vertical="center" indent="4"/>
    </xf>
    <xf numFmtId="0" fontId="0" fillId="4" borderId="12" xfId="0" applyFill="1" applyBorder="1" applyAlignment="1">
      <alignment horizontal="left" vertical="center" indent="4"/>
    </xf>
    <xf numFmtId="0" fontId="0" fillId="4" borderId="11" xfId="0" applyFill="1" applyBorder="1" applyAlignment="1">
      <alignment horizontal="left" vertical="center" indent="4"/>
    </xf>
    <xf numFmtId="0" fontId="0" fillId="4" borderId="10" xfId="0" applyFill="1" applyBorder="1" applyAlignment="1">
      <alignment horizontal="left" vertical="center" indent="4"/>
    </xf>
    <xf numFmtId="164" fontId="0" fillId="12" borderId="12" xfId="1" applyNumberFormat="1" applyFont="1" applyFill="1" applyBorder="1" applyAlignment="1">
      <alignment horizontal="center" vertical="center"/>
    </xf>
    <xf numFmtId="164" fontId="0" fillId="12" borderId="11" xfId="1" applyNumberFormat="1" applyFont="1" applyFill="1" applyBorder="1" applyAlignment="1">
      <alignment horizontal="center" vertical="center"/>
    </xf>
    <xf numFmtId="164" fontId="0" fillId="12" borderId="10" xfId="1" applyNumberFormat="1" applyFont="1" applyFill="1" applyBorder="1" applyAlignment="1">
      <alignment horizontal="center" vertical="center"/>
    </xf>
    <xf numFmtId="164" fontId="0" fillId="12" borderId="12" xfId="0" applyNumberForma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164" fontId="0" fillId="15" borderId="12" xfId="1" applyNumberFormat="1" applyFont="1" applyFill="1" applyBorder="1" applyAlignment="1">
      <alignment horizontal="center" vertical="center"/>
    </xf>
    <xf numFmtId="164" fontId="0" fillId="15" borderId="11" xfId="1" applyNumberFormat="1" applyFont="1" applyFill="1" applyBorder="1" applyAlignment="1">
      <alignment horizontal="center" vertical="center"/>
    </xf>
    <xf numFmtId="164" fontId="0" fillId="15" borderId="10" xfId="1" applyNumberFormat="1" applyFont="1" applyFill="1" applyBorder="1" applyAlignment="1">
      <alignment horizontal="center" vertical="center"/>
    </xf>
    <xf numFmtId="164" fontId="0" fillId="15" borderId="12" xfId="0" applyNumberFormat="1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2" borderId="9" xfId="0" applyFont="1" applyFill="1" applyBorder="1" applyAlignment="1">
      <alignment horizontal="center" vertical="center"/>
    </xf>
    <xf numFmtId="0" fontId="2" fillId="22" borderId="8" xfId="0" applyFont="1" applyFill="1" applyBorder="1" applyAlignment="1">
      <alignment horizontal="center" vertical="center"/>
    </xf>
    <xf numFmtId="0" fontId="2" fillId="22" borderId="7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164" fontId="0" fillId="25" borderId="12" xfId="0" applyNumberFormat="1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164" fontId="0" fillId="25" borderId="12" xfId="1" applyNumberFormat="1" applyFont="1" applyFill="1" applyBorder="1" applyAlignment="1">
      <alignment horizontal="center" vertical="center"/>
    </xf>
    <xf numFmtId="164" fontId="0" fillId="25" borderId="11" xfId="1" applyNumberFormat="1" applyFont="1" applyFill="1" applyBorder="1" applyAlignment="1">
      <alignment horizontal="center" vertical="center"/>
    </xf>
    <xf numFmtId="164" fontId="0" fillId="25" borderId="10" xfId="1" applyNumberFormat="1" applyFont="1" applyFill="1" applyBorder="1" applyAlignment="1">
      <alignment horizontal="center" vertical="center"/>
    </xf>
    <xf numFmtId="164" fontId="0" fillId="26" borderId="12" xfId="1" applyNumberFormat="1" applyFont="1" applyFill="1" applyBorder="1" applyAlignment="1">
      <alignment horizontal="center" vertical="center"/>
    </xf>
    <xf numFmtId="164" fontId="0" fillId="26" borderId="11" xfId="1" applyNumberFormat="1" applyFont="1" applyFill="1" applyBorder="1" applyAlignment="1">
      <alignment horizontal="center" vertical="center"/>
    </xf>
    <xf numFmtId="164" fontId="0" fillId="26" borderId="10" xfId="1" applyNumberFormat="1" applyFont="1" applyFill="1" applyBorder="1" applyAlignment="1">
      <alignment horizontal="center" vertical="center"/>
    </xf>
    <xf numFmtId="164" fontId="0" fillId="26" borderId="12" xfId="0" applyNumberFormat="1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2" fillId="23" borderId="12" xfId="0" applyFont="1" applyFill="1" applyBorder="1" applyAlignment="1">
      <alignment horizontal="center" vertical="center"/>
    </xf>
    <xf numFmtId="0" fontId="2" fillId="23" borderId="11" xfId="0" applyFont="1" applyFill="1" applyBorder="1" applyAlignment="1">
      <alignment horizontal="center" vertical="center"/>
    </xf>
    <xf numFmtId="0" fontId="2" fillId="23" borderId="10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1" fillId="24" borderId="11" xfId="0" applyFont="1" applyFill="1" applyBorder="1" applyAlignment="1">
      <alignment horizontal="center" vertical="center"/>
    </xf>
    <xf numFmtId="0" fontId="11" fillId="24" borderId="10" xfId="0" applyFont="1" applyFill="1" applyBorder="1" applyAlignment="1">
      <alignment horizontal="center" vertical="center"/>
    </xf>
    <xf numFmtId="0" fontId="2" fillId="24" borderId="12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2" fillId="24" borderId="8" xfId="0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9" xfId="0" applyFont="1" applyFill="1" applyBorder="1" applyAlignment="1">
      <alignment horizontal="center" vertical="center"/>
    </xf>
    <xf numFmtId="0" fontId="2" fillId="23" borderId="8" xfId="0" applyFont="1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9" fontId="7" fillId="0" borderId="12" xfId="2" applyFont="1" applyBorder="1" applyAlignment="1">
      <alignment horizontal="right" vertical="center" indent="1"/>
    </xf>
    <xf numFmtId="9" fontId="7" fillId="0" borderId="11" xfId="2" applyFont="1" applyBorder="1" applyAlignment="1">
      <alignment horizontal="right" vertical="center" indent="1"/>
    </xf>
    <xf numFmtId="9" fontId="7" fillId="0" borderId="10" xfId="2" applyFont="1" applyBorder="1" applyAlignment="1">
      <alignment horizontal="right" vertical="center" indent="1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9" fontId="0" fillId="0" borderId="20" xfId="2" applyFont="1" applyBorder="1" applyAlignment="1">
      <alignment horizontal="center"/>
    </xf>
    <xf numFmtId="9" fontId="0" fillId="0" borderId="11" xfId="2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9" fontId="0" fillId="3" borderId="20" xfId="2" applyFont="1" applyFill="1" applyBorder="1" applyAlignment="1">
      <alignment horizontal="center"/>
    </xf>
    <xf numFmtId="9" fontId="0" fillId="3" borderId="11" xfId="2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9" borderId="22" xfId="2" applyFont="1" applyFill="1" applyBorder="1" applyAlignment="1">
      <alignment horizontal="center"/>
    </xf>
    <xf numFmtId="9" fontId="0" fillId="9" borderId="23" xfId="2" applyFont="1" applyFill="1" applyBorder="1" applyAlignment="1">
      <alignment horizontal="center"/>
    </xf>
    <xf numFmtId="9" fontId="0" fillId="9" borderId="24" xfId="2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9" fontId="0" fillId="0" borderId="32" xfId="2" applyFont="1" applyBorder="1" applyAlignment="1">
      <alignment horizontal="center"/>
    </xf>
    <xf numFmtId="9" fontId="0" fillId="0" borderId="26" xfId="2" applyFont="1" applyBorder="1" applyAlignment="1">
      <alignment horizontal="center"/>
    </xf>
    <xf numFmtId="9" fontId="0" fillId="0" borderId="33" xfId="2" applyFont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9" fontId="0" fillId="3" borderId="32" xfId="2" applyFont="1" applyFill="1" applyBorder="1" applyAlignment="1">
      <alignment horizontal="center" vertical="center"/>
    </xf>
    <xf numFmtId="9" fontId="0" fillId="3" borderId="26" xfId="2" applyFont="1" applyFill="1" applyBorder="1" applyAlignment="1">
      <alignment horizontal="center" vertical="center"/>
    </xf>
    <xf numFmtId="9" fontId="0" fillId="3" borderId="33" xfId="2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9" fontId="0" fillId="9" borderId="34" xfId="2" applyFont="1" applyFill="1" applyBorder="1" applyAlignment="1">
      <alignment horizontal="center" vertical="center"/>
    </xf>
    <xf numFmtId="9" fontId="0" fillId="9" borderId="35" xfId="2" applyFont="1" applyFill="1" applyBorder="1" applyAlignment="1">
      <alignment horizontal="center" vertical="center"/>
    </xf>
    <xf numFmtId="9" fontId="0" fillId="9" borderId="36" xfId="2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 wrapText="1"/>
    </xf>
    <xf numFmtId="0" fontId="11" fillId="5" borderId="43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D5D5"/>
      <color rgb="FFFFBDBD"/>
      <color rgb="FF9A0000"/>
      <color rgb="FFB7C2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08BD-4614-4C5F-ABD4-EA180A1DB8DE}">
  <sheetPr>
    <tabColor theme="4"/>
  </sheetPr>
  <dimension ref="B1:AI64"/>
  <sheetViews>
    <sheetView showGridLines="0" topLeftCell="L1" zoomScale="80" zoomScaleNormal="80" workbookViewId="0">
      <selection activeCell="Y5" sqref="Y5"/>
    </sheetView>
  </sheetViews>
  <sheetFormatPr baseColWidth="10" defaultColWidth="8.83203125" defaultRowHeight="15" x14ac:dyDescent="0.2"/>
  <cols>
    <col min="1" max="82" width="4.6640625" customWidth="1"/>
  </cols>
  <sheetData>
    <row r="1" spans="2:32" x14ac:dyDescent="0.2">
      <c r="B1" s="24" t="s">
        <v>106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6" spans="2:32" ht="18" customHeight="1" x14ac:dyDescent="0.25">
      <c r="B6" s="22" t="s">
        <v>369</v>
      </c>
      <c r="E6" s="6"/>
      <c r="H6" s="19"/>
      <c r="I6" s="19"/>
      <c r="J6" s="19"/>
      <c r="K6" s="19"/>
      <c r="L6" s="19"/>
      <c r="M6" s="19"/>
      <c r="N6" s="19"/>
    </row>
    <row r="7" spans="2:32" x14ac:dyDescent="0.2">
      <c r="B7" s="21" t="s">
        <v>50</v>
      </c>
      <c r="E7" s="6"/>
      <c r="H7" s="6"/>
    </row>
    <row r="8" spans="2:32" ht="5" customHeight="1" x14ac:dyDescent="0.2">
      <c r="B8" s="2"/>
      <c r="E8" s="6"/>
      <c r="G8" s="6"/>
    </row>
    <row r="9" spans="2:32" x14ac:dyDescent="0.2">
      <c r="B9" s="2"/>
      <c r="E9" s="6"/>
      <c r="G9" s="6"/>
      <c r="L9" s="119" t="s">
        <v>10</v>
      </c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</row>
    <row r="10" spans="2:32" s="5" customFormat="1" ht="25" customHeight="1" x14ac:dyDescent="0.2">
      <c r="B10" s="121" t="s">
        <v>49</v>
      </c>
      <c r="C10" s="121"/>
      <c r="D10" s="121"/>
      <c r="E10" s="121"/>
      <c r="F10" s="121"/>
      <c r="G10" s="122" t="s">
        <v>48</v>
      </c>
      <c r="H10" s="122"/>
      <c r="I10" s="122"/>
      <c r="J10" s="122"/>
      <c r="K10" s="123"/>
      <c r="L10" s="124" t="s">
        <v>18</v>
      </c>
      <c r="M10" s="124"/>
      <c r="N10" s="124"/>
      <c r="O10" s="124" t="s">
        <v>314</v>
      </c>
      <c r="P10" s="124"/>
      <c r="Q10" s="124"/>
      <c r="R10" s="124" t="s">
        <v>315</v>
      </c>
      <c r="S10" s="124"/>
      <c r="T10" s="124"/>
      <c r="U10" s="124" t="s">
        <v>17</v>
      </c>
      <c r="V10" s="124"/>
      <c r="W10" s="124" t="s">
        <v>16</v>
      </c>
      <c r="X10" s="124"/>
      <c r="Y10" s="124" t="s">
        <v>47</v>
      </c>
      <c r="Z10" s="124"/>
      <c r="AA10" s="124" t="s">
        <v>15</v>
      </c>
      <c r="AB10" s="124"/>
      <c r="AC10" s="124" t="s">
        <v>14</v>
      </c>
      <c r="AD10" s="124"/>
      <c r="AE10" s="126" t="s">
        <v>46</v>
      </c>
      <c r="AF10" s="126"/>
    </row>
    <row r="11" spans="2:32" ht="5" customHeight="1" x14ac:dyDescent="0.2">
      <c r="B11" s="4"/>
      <c r="C11" s="3"/>
      <c r="D11" s="3"/>
      <c r="E11" s="3"/>
      <c r="F11" s="3"/>
      <c r="G11" s="3"/>
      <c r="H11" s="3"/>
      <c r="I11" s="3"/>
      <c r="J11" s="3"/>
      <c r="K11" s="9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8"/>
      <c r="AF11" s="128"/>
    </row>
    <row r="12" spans="2:32" s="5" customFormat="1" ht="17" customHeight="1" x14ac:dyDescent="0.2">
      <c r="B12" s="129" t="s">
        <v>45</v>
      </c>
      <c r="C12" s="129"/>
      <c r="D12" s="129"/>
      <c r="E12" s="129"/>
      <c r="F12" s="130"/>
      <c r="G12" s="131" t="s">
        <v>44</v>
      </c>
      <c r="H12" s="131"/>
      <c r="I12" s="131"/>
      <c r="J12" s="131"/>
      <c r="K12" s="132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33"/>
      <c r="AF12" s="133"/>
    </row>
    <row r="13" spans="2:32" s="5" customFormat="1" ht="17" customHeight="1" x14ac:dyDescent="0.2">
      <c r="B13" s="129" t="s">
        <v>43</v>
      </c>
      <c r="C13" s="129"/>
      <c r="D13" s="129"/>
      <c r="E13" s="129"/>
      <c r="F13" s="130"/>
      <c r="G13" s="131" t="s">
        <v>42</v>
      </c>
      <c r="H13" s="131"/>
      <c r="I13" s="131"/>
      <c r="J13" s="131"/>
      <c r="K13" s="132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33"/>
      <c r="AF13" s="133"/>
    </row>
    <row r="14" spans="2:32" s="5" customFormat="1" ht="17" customHeight="1" x14ac:dyDescent="0.2">
      <c r="B14" s="129" t="s">
        <v>41</v>
      </c>
      <c r="C14" s="129"/>
      <c r="D14" s="129"/>
      <c r="E14" s="129"/>
      <c r="F14" s="130"/>
      <c r="G14" s="131" t="s">
        <v>40</v>
      </c>
      <c r="H14" s="131"/>
      <c r="I14" s="131"/>
      <c r="J14" s="131"/>
      <c r="K14" s="132"/>
      <c r="L14" s="125">
        <v>0.5</v>
      </c>
      <c r="M14" s="125"/>
      <c r="N14" s="125"/>
      <c r="O14" s="125">
        <v>0.1</v>
      </c>
      <c r="P14" s="125"/>
      <c r="Q14" s="125"/>
      <c r="R14" s="125">
        <v>0.1</v>
      </c>
      <c r="S14" s="125"/>
      <c r="T14" s="125"/>
      <c r="U14" s="125"/>
      <c r="V14" s="125"/>
      <c r="W14" s="125">
        <v>0.15</v>
      </c>
      <c r="X14" s="125"/>
      <c r="Y14" s="125"/>
      <c r="Z14" s="125"/>
      <c r="AA14" s="125"/>
      <c r="AB14" s="125"/>
      <c r="AC14" s="125">
        <v>0.15</v>
      </c>
      <c r="AD14" s="125"/>
      <c r="AE14" s="134">
        <f>SUM(L14:AD14)</f>
        <v>1</v>
      </c>
      <c r="AF14" s="135"/>
    </row>
    <row r="15" spans="2:32" s="5" customFormat="1" ht="17" customHeight="1" x14ac:dyDescent="0.2">
      <c r="B15" s="129" t="s">
        <v>39</v>
      </c>
      <c r="C15" s="129"/>
      <c r="D15" s="129"/>
      <c r="E15" s="129"/>
      <c r="F15" s="130"/>
      <c r="G15" s="131" t="s">
        <v>38</v>
      </c>
      <c r="H15" s="131"/>
      <c r="I15" s="131"/>
      <c r="J15" s="131"/>
      <c r="K15" s="132"/>
      <c r="L15" s="125">
        <v>0.5</v>
      </c>
      <c r="M15" s="125"/>
      <c r="N15" s="125"/>
      <c r="O15" s="125">
        <v>0.1</v>
      </c>
      <c r="P15" s="125"/>
      <c r="Q15" s="125"/>
      <c r="R15" s="125">
        <v>0.1</v>
      </c>
      <c r="S15" s="125"/>
      <c r="T15" s="125"/>
      <c r="U15" s="125"/>
      <c r="V15" s="125"/>
      <c r="W15" s="125">
        <v>0.15</v>
      </c>
      <c r="X15" s="125"/>
      <c r="Y15" s="125">
        <v>0.15</v>
      </c>
      <c r="Z15" s="125"/>
      <c r="AA15" s="125"/>
      <c r="AB15" s="125"/>
      <c r="AC15" s="125"/>
      <c r="AD15" s="125"/>
      <c r="AE15" s="134">
        <f>SUM(L15:AD15)</f>
        <v>1</v>
      </c>
      <c r="AF15" s="135"/>
    </row>
    <row r="16" spans="2:32" s="5" customFormat="1" ht="17" customHeight="1" x14ac:dyDescent="0.2">
      <c r="B16" s="129" t="s">
        <v>37</v>
      </c>
      <c r="C16" s="129"/>
      <c r="D16" s="129"/>
      <c r="E16" s="129"/>
      <c r="F16" s="130"/>
      <c r="G16" s="131" t="s">
        <v>36</v>
      </c>
      <c r="H16" s="131"/>
      <c r="I16" s="131"/>
      <c r="J16" s="131"/>
      <c r="K16" s="132"/>
      <c r="L16" s="125">
        <v>0.5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>
        <v>0.2</v>
      </c>
      <c r="X16" s="125"/>
      <c r="Y16" s="125">
        <v>0.2</v>
      </c>
      <c r="Z16" s="125"/>
      <c r="AA16" s="125">
        <v>0.1</v>
      </c>
      <c r="AB16" s="125"/>
      <c r="AC16" s="125"/>
      <c r="AD16" s="125"/>
      <c r="AE16" s="134">
        <f>SUM(L16:AD16)</f>
        <v>0.99999999999999989</v>
      </c>
      <c r="AF16" s="135"/>
    </row>
    <row r="20" spans="2:32" ht="18" customHeight="1" x14ac:dyDescent="0.25">
      <c r="B20" s="20" t="s">
        <v>368</v>
      </c>
      <c r="E20" s="6"/>
      <c r="H20" s="18"/>
      <c r="I20" s="18"/>
      <c r="J20" s="18"/>
      <c r="K20" s="18"/>
      <c r="L20" s="18"/>
      <c r="M20" s="18"/>
      <c r="N20" s="18"/>
    </row>
    <row r="21" spans="2:32" ht="14.5" customHeight="1" x14ac:dyDescent="0.25">
      <c r="B21" s="21" t="s">
        <v>50</v>
      </c>
      <c r="E21" s="6"/>
      <c r="H21" s="18"/>
      <c r="I21" s="18"/>
      <c r="J21" s="18"/>
      <c r="K21" s="18"/>
      <c r="L21" s="18"/>
      <c r="M21" s="18"/>
      <c r="N21" s="18"/>
    </row>
    <row r="22" spans="2:32" ht="5" customHeight="1" x14ac:dyDescent="0.2">
      <c r="B22" s="2"/>
      <c r="E22" s="6"/>
      <c r="G22" s="6"/>
    </row>
    <row r="23" spans="2:32" ht="5" customHeight="1" x14ac:dyDescent="0.2">
      <c r="B23" s="2"/>
      <c r="E23" s="6"/>
      <c r="G23" s="6"/>
    </row>
    <row r="24" spans="2:32" x14ac:dyDescent="0.2">
      <c r="B24" s="2"/>
      <c r="E24" s="6"/>
      <c r="G24" s="6"/>
      <c r="L24" s="119" t="s">
        <v>10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</row>
    <row r="25" spans="2:32" s="5" customFormat="1" ht="25" customHeight="1" x14ac:dyDescent="0.2">
      <c r="B25" s="121" t="s">
        <v>49</v>
      </c>
      <c r="C25" s="121"/>
      <c r="D25" s="121"/>
      <c r="E25" s="121"/>
      <c r="F25" s="121"/>
      <c r="G25" s="122" t="s">
        <v>48</v>
      </c>
      <c r="H25" s="122"/>
      <c r="I25" s="122"/>
      <c r="J25" s="122"/>
      <c r="K25" s="123"/>
      <c r="L25" s="124" t="s">
        <v>18</v>
      </c>
      <c r="M25" s="124"/>
      <c r="N25" s="124"/>
      <c r="O25" s="124" t="s">
        <v>314</v>
      </c>
      <c r="P25" s="124"/>
      <c r="Q25" s="124"/>
      <c r="R25" s="124" t="s">
        <v>315</v>
      </c>
      <c r="S25" s="124"/>
      <c r="T25" s="124"/>
      <c r="U25" s="124" t="s">
        <v>17</v>
      </c>
      <c r="V25" s="124"/>
      <c r="W25" s="124" t="s">
        <v>16</v>
      </c>
      <c r="X25" s="124"/>
      <c r="Y25" s="124" t="s">
        <v>47</v>
      </c>
      <c r="Z25" s="124"/>
      <c r="AA25" s="124" t="s">
        <v>15</v>
      </c>
      <c r="AB25" s="124"/>
      <c r="AC25" s="124" t="s">
        <v>14</v>
      </c>
      <c r="AD25" s="124"/>
      <c r="AE25" s="126" t="s">
        <v>46</v>
      </c>
      <c r="AF25" s="126"/>
    </row>
    <row r="26" spans="2:32" ht="5" customHeight="1" x14ac:dyDescent="0.2">
      <c r="B26" s="4"/>
      <c r="C26" s="3"/>
      <c r="D26" s="3"/>
      <c r="E26" s="3"/>
      <c r="F26" s="3"/>
      <c r="G26" s="3"/>
      <c r="H26" s="3"/>
      <c r="I26" s="3"/>
      <c r="J26" s="3"/>
      <c r="K26" s="9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8"/>
      <c r="AF26" s="128"/>
    </row>
    <row r="27" spans="2:32" s="5" customFormat="1" ht="17" customHeight="1" x14ac:dyDescent="0.2">
      <c r="B27" s="129" t="s">
        <v>45</v>
      </c>
      <c r="C27" s="129"/>
      <c r="D27" s="129"/>
      <c r="E27" s="129"/>
      <c r="F27" s="130"/>
      <c r="G27" s="131" t="s">
        <v>44</v>
      </c>
      <c r="H27" s="131"/>
      <c r="I27" s="131"/>
      <c r="J27" s="131"/>
      <c r="K27" s="132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33"/>
      <c r="AF27" s="133"/>
    </row>
    <row r="28" spans="2:32" s="5" customFormat="1" ht="17" customHeight="1" x14ac:dyDescent="0.2">
      <c r="B28" s="129" t="s">
        <v>43</v>
      </c>
      <c r="C28" s="129"/>
      <c r="D28" s="129"/>
      <c r="E28" s="129"/>
      <c r="F28" s="130"/>
      <c r="G28" s="131" t="s">
        <v>42</v>
      </c>
      <c r="H28" s="131"/>
      <c r="I28" s="131"/>
      <c r="J28" s="131"/>
      <c r="K28" s="132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33"/>
      <c r="AF28" s="133"/>
    </row>
    <row r="29" spans="2:32" s="5" customFormat="1" ht="17" customHeight="1" x14ac:dyDescent="0.2">
      <c r="B29" s="129" t="s">
        <v>41</v>
      </c>
      <c r="C29" s="129"/>
      <c r="D29" s="129"/>
      <c r="E29" s="129"/>
      <c r="F29" s="130"/>
      <c r="G29" s="131" t="s">
        <v>40</v>
      </c>
      <c r="H29" s="131"/>
      <c r="I29" s="131"/>
      <c r="J29" s="131"/>
      <c r="K29" s="132"/>
      <c r="L29" s="136">
        <v>0.4</v>
      </c>
      <c r="M29" s="137"/>
      <c r="N29" s="138"/>
      <c r="O29" s="125">
        <v>0.1</v>
      </c>
      <c r="P29" s="125"/>
      <c r="Q29" s="125"/>
      <c r="R29" s="125">
        <v>0.1</v>
      </c>
      <c r="S29" s="125"/>
      <c r="T29" s="125"/>
      <c r="U29" s="125"/>
      <c r="V29" s="125"/>
      <c r="W29" s="125"/>
      <c r="X29" s="125"/>
      <c r="Y29" s="125"/>
      <c r="Z29" s="125"/>
      <c r="AA29" s="125">
        <v>0.2</v>
      </c>
      <c r="AB29" s="125"/>
      <c r="AC29" s="125">
        <v>0.2</v>
      </c>
      <c r="AD29" s="125"/>
      <c r="AE29" s="134">
        <f>SUM(L29:AD29)</f>
        <v>1</v>
      </c>
      <c r="AF29" s="135"/>
    </row>
    <row r="30" spans="2:32" s="5" customFormat="1" ht="17" customHeight="1" x14ac:dyDescent="0.2">
      <c r="B30" s="129" t="s">
        <v>39</v>
      </c>
      <c r="C30" s="129"/>
      <c r="D30" s="129"/>
      <c r="E30" s="129"/>
      <c r="F30" s="130"/>
      <c r="G30" s="131" t="s">
        <v>38</v>
      </c>
      <c r="H30" s="131"/>
      <c r="I30" s="131"/>
      <c r="J30" s="131"/>
      <c r="K30" s="132"/>
      <c r="L30" s="136">
        <v>0.4</v>
      </c>
      <c r="M30" s="137"/>
      <c r="N30" s="138"/>
      <c r="O30" s="125">
        <v>0.1</v>
      </c>
      <c r="P30" s="125"/>
      <c r="Q30" s="125"/>
      <c r="R30" s="125">
        <v>0.1</v>
      </c>
      <c r="S30" s="125"/>
      <c r="T30" s="125"/>
      <c r="U30" s="125"/>
      <c r="V30" s="125"/>
      <c r="W30" s="125"/>
      <c r="X30" s="125"/>
      <c r="Y30" s="125">
        <v>0.2</v>
      </c>
      <c r="Z30" s="125"/>
      <c r="AA30" s="125">
        <v>0.2</v>
      </c>
      <c r="AB30" s="125"/>
      <c r="AC30" s="125"/>
      <c r="AD30" s="125"/>
      <c r="AE30" s="134">
        <f>SUM(L30:AD30)</f>
        <v>1</v>
      </c>
      <c r="AF30" s="135"/>
    </row>
    <row r="31" spans="2:32" s="5" customFormat="1" ht="17" customHeight="1" x14ac:dyDescent="0.2">
      <c r="B31" s="129" t="s">
        <v>37</v>
      </c>
      <c r="C31" s="129"/>
      <c r="D31" s="129"/>
      <c r="E31" s="129"/>
      <c r="F31" s="130"/>
      <c r="G31" s="131" t="s">
        <v>36</v>
      </c>
      <c r="H31" s="131"/>
      <c r="I31" s="131"/>
      <c r="J31" s="131"/>
      <c r="K31" s="132"/>
      <c r="L31" s="136">
        <v>0.4</v>
      </c>
      <c r="M31" s="137"/>
      <c r="N31" s="138"/>
      <c r="O31" s="125"/>
      <c r="P31" s="125"/>
      <c r="Q31" s="125"/>
      <c r="R31" s="125"/>
      <c r="S31" s="125"/>
      <c r="T31" s="125"/>
      <c r="U31" s="125"/>
      <c r="V31" s="125"/>
      <c r="W31" s="125">
        <v>0.2</v>
      </c>
      <c r="X31" s="125"/>
      <c r="Y31" s="125">
        <v>0.2</v>
      </c>
      <c r="Z31" s="125"/>
      <c r="AA31" s="125">
        <v>0.2</v>
      </c>
      <c r="AB31" s="125"/>
      <c r="AC31" s="125"/>
      <c r="AD31" s="125"/>
      <c r="AE31" s="134">
        <f>SUM(L31:AD31)</f>
        <v>1</v>
      </c>
      <c r="AF31" s="135"/>
    </row>
    <row r="35" spans="2:35" ht="16" x14ac:dyDescent="0.2">
      <c r="B35" s="23" t="s">
        <v>367</v>
      </c>
      <c r="E35" s="6"/>
      <c r="AI35" t="s">
        <v>360</v>
      </c>
    </row>
    <row r="36" spans="2:35" x14ac:dyDescent="0.2">
      <c r="B36" s="21" t="s">
        <v>50</v>
      </c>
      <c r="E36" s="6"/>
      <c r="H36" s="6"/>
    </row>
    <row r="37" spans="2:35" ht="5" customHeight="1" x14ac:dyDescent="0.2">
      <c r="B37" s="2"/>
      <c r="E37" s="6"/>
      <c r="G37" s="6"/>
    </row>
    <row r="38" spans="2:35" x14ac:dyDescent="0.2">
      <c r="B38" s="2"/>
      <c r="E38" s="6"/>
      <c r="G38" s="6"/>
      <c r="L38" s="139" t="s">
        <v>10</v>
      </c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</row>
    <row r="39" spans="2:35" s="5" customFormat="1" ht="25" customHeight="1" x14ac:dyDescent="0.2">
      <c r="B39" s="121" t="s">
        <v>371</v>
      </c>
      <c r="C39" s="121"/>
      <c r="D39" s="121"/>
      <c r="E39" s="121"/>
      <c r="F39" s="121"/>
      <c r="G39" s="122" t="s">
        <v>372</v>
      </c>
      <c r="H39" s="122"/>
      <c r="I39" s="122"/>
      <c r="J39" s="122"/>
      <c r="K39" s="123"/>
      <c r="L39" s="141" t="s">
        <v>18</v>
      </c>
      <c r="M39" s="141"/>
      <c r="N39" s="141"/>
      <c r="O39" s="141" t="s">
        <v>105</v>
      </c>
      <c r="P39" s="141"/>
      <c r="Q39" s="141"/>
      <c r="R39" s="141" t="s">
        <v>104</v>
      </c>
      <c r="S39" s="141"/>
      <c r="T39" s="141"/>
      <c r="U39" s="141" t="s">
        <v>96</v>
      </c>
      <c r="V39" s="141"/>
      <c r="W39" s="141" t="s">
        <v>16</v>
      </c>
      <c r="X39" s="141"/>
      <c r="Y39" s="141" t="s">
        <v>94</v>
      </c>
      <c r="Z39" s="141"/>
      <c r="AA39" s="141" t="s">
        <v>15</v>
      </c>
      <c r="AB39" s="141"/>
      <c r="AC39" s="141" t="s">
        <v>14</v>
      </c>
      <c r="AD39" s="141"/>
      <c r="AE39" s="142" t="s">
        <v>46</v>
      </c>
      <c r="AF39" s="142"/>
    </row>
    <row r="40" spans="2:35" ht="5" customHeight="1" x14ac:dyDescent="0.2">
      <c r="B40" s="4"/>
      <c r="C40" s="3"/>
      <c r="D40" s="3"/>
      <c r="E40" s="3"/>
      <c r="F40" s="3"/>
      <c r="G40" s="3"/>
      <c r="H40" s="3"/>
      <c r="I40" s="3"/>
      <c r="J40" s="3"/>
      <c r="K40" s="9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8"/>
      <c r="AF40" s="128"/>
    </row>
    <row r="41" spans="2:35" s="5" customFormat="1" ht="25" customHeight="1" x14ac:dyDescent="0.2">
      <c r="B41" s="129" t="s">
        <v>64</v>
      </c>
      <c r="C41" s="129"/>
      <c r="D41" s="129"/>
      <c r="E41" s="129"/>
      <c r="F41" s="130"/>
      <c r="G41" s="131" t="s">
        <v>69</v>
      </c>
      <c r="H41" s="131"/>
      <c r="I41" s="131"/>
      <c r="J41" s="131"/>
      <c r="K41" s="132"/>
      <c r="L41" s="125">
        <v>0.7</v>
      </c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>
        <v>0.3</v>
      </c>
      <c r="AB41" s="125"/>
      <c r="AC41" s="125"/>
      <c r="AD41" s="125"/>
      <c r="AE41" s="134">
        <f>SUM(L41:AD41)</f>
        <v>1</v>
      </c>
      <c r="AF41" s="135"/>
    </row>
    <row r="42" spans="2:35" s="5" customFormat="1" ht="25" customHeight="1" x14ac:dyDescent="0.2">
      <c r="B42" s="129" t="s">
        <v>68</v>
      </c>
      <c r="C42" s="129"/>
      <c r="D42" s="129"/>
      <c r="E42" s="129"/>
      <c r="F42" s="130"/>
      <c r="G42" s="131" t="s">
        <v>370</v>
      </c>
      <c r="H42" s="131"/>
      <c r="I42" s="131"/>
      <c r="J42" s="131"/>
      <c r="K42" s="132"/>
      <c r="L42" s="125">
        <v>0.75</v>
      </c>
      <c r="M42" s="125"/>
      <c r="N42" s="125"/>
      <c r="O42" s="125"/>
      <c r="P42" s="125"/>
      <c r="Q42" s="125"/>
      <c r="R42" s="125">
        <v>0.15</v>
      </c>
      <c r="S42" s="125"/>
      <c r="T42" s="125"/>
      <c r="U42" s="125"/>
      <c r="V42" s="125"/>
      <c r="W42" s="125"/>
      <c r="X42" s="125"/>
      <c r="Y42" s="125"/>
      <c r="Z42" s="125"/>
      <c r="AA42" s="125">
        <v>0.1</v>
      </c>
      <c r="AB42" s="125"/>
      <c r="AC42" s="125"/>
      <c r="AD42" s="125"/>
      <c r="AE42" s="134">
        <f>SUM(L42:AD42)</f>
        <v>1</v>
      </c>
      <c r="AF42" s="135"/>
    </row>
    <row r="46" spans="2:35" ht="16" x14ac:dyDescent="0.2">
      <c r="B46" s="106" t="s">
        <v>366</v>
      </c>
      <c r="E46" s="6"/>
      <c r="AI46" t="s">
        <v>360</v>
      </c>
    </row>
    <row r="47" spans="2:35" x14ac:dyDescent="0.2">
      <c r="B47" s="21" t="s">
        <v>50</v>
      </c>
      <c r="E47" s="6"/>
      <c r="H47" s="6"/>
    </row>
    <row r="48" spans="2:35" ht="5" customHeight="1" x14ac:dyDescent="0.2">
      <c r="B48" s="2"/>
      <c r="E48" s="6"/>
      <c r="G48" s="6"/>
    </row>
    <row r="49" spans="2:35" x14ac:dyDescent="0.2">
      <c r="B49" s="2"/>
      <c r="E49" s="6"/>
      <c r="G49" s="6"/>
      <c r="L49" s="139" t="s">
        <v>10</v>
      </c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</row>
    <row r="50" spans="2:35" s="5" customFormat="1" ht="25" customHeight="1" x14ac:dyDescent="0.2">
      <c r="B50" s="121" t="s">
        <v>374</v>
      </c>
      <c r="C50" s="121"/>
      <c r="D50" s="121"/>
      <c r="E50" s="121"/>
      <c r="F50" s="121"/>
      <c r="G50" s="122" t="s">
        <v>373</v>
      </c>
      <c r="H50" s="122"/>
      <c r="I50" s="122"/>
      <c r="J50" s="122"/>
      <c r="K50" s="123"/>
      <c r="L50" s="141" t="s">
        <v>18</v>
      </c>
      <c r="M50" s="141"/>
      <c r="N50" s="141"/>
      <c r="O50" s="141" t="s">
        <v>105</v>
      </c>
      <c r="P50" s="141"/>
      <c r="Q50" s="141"/>
      <c r="R50" s="141" t="s">
        <v>104</v>
      </c>
      <c r="S50" s="141"/>
      <c r="T50" s="141"/>
      <c r="U50" s="141" t="s">
        <v>96</v>
      </c>
      <c r="V50" s="141"/>
      <c r="W50" s="141" t="s">
        <v>16</v>
      </c>
      <c r="X50" s="141"/>
      <c r="Y50" s="141" t="s">
        <v>94</v>
      </c>
      <c r="Z50" s="141"/>
      <c r="AA50" s="141" t="s">
        <v>15</v>
      </c>
      <c r="AB50" s="141"/>
      <c r="AC50" s="141" t="s">
        <v>14</v>
      </c>
      <c r="AD50" s="141"/>
      <c r="AE50" s="142" t="s">
        <v>46</v>
      </c>
      <c r="AF50" s="142"/>
    </row>
    <row r="51" spans="2:35" ht="5" customHeight="1" x14ac:dyDescent="0.2">
      <c r="B51" s="4"/>
      <c r="C51" s="3"/>
      <c r="D51" s="3"/>
      <c r="E51" s="3"/>
      <c r="F51" s="3"/>
      <c r="G51" s="3"/>
      <c r="H51" s="3"/>
      <c r="I51" s="3"/>
      <c r="J51" s="3"/>
      <c r="K51" s="9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8"/>
      <c r="AF51" s="128"/>
    </row>
    <row r="52" spans="2:35" s="5" customFormat="1" ht="25" customHeight="1" x14ac:dyDescent="0.2">
      <c r="B52" s="129" t="s">
        <v>375</v>
      </c>
      <c r="C52" s="129"/>
      <c r="D52" s="129"/>
      <c r="E52" s="129"/>
      <c r="F52" s="130"/>
      <c r="G52" s="131" t="s">
        <v>377</v>
      </c>
      <c r="H52" s="131"/>
      <c r="I52" s="131"/>
      <c r="J52" s="131"/>
      <c r="K52" s="132"/>
      <c r="L52" s="125">
        <v>0.7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>
        <v>0.3</v>
      </c>
      <c r="AB52" s="125"/>
      <c r="AC52" s="125"/>
      <c r="AD52" s="125"/>
      <c r="AE52" s="134">
        <f>SUM(L52:AD52)</f>
        <v>1</v>
      </c>
      <c r="AF52" s="135"/>
    </row>
    <row r="53" spans="2:35" s="5" customFormat="1" ht="25" customHeight="1" x14ac:dyDescent="0.2">
      <c r="B53" s="129" t="s">
        <v>376</v>
      </c>
      <c r="C53" s="129"/>
      <c r="D53" s="129"/>
      <c r="E53" s="129"/>
      <c r="F53" s="130"/>
      <c r="G53" s="131" t="s">
        <v>378</v>
      </c>
      <c r="H53" s="131"/>
      <c r="I53" s="131"/>
      <c r="J53" s="131"/>
      <c r="K53" s="132"/>
      <c r="L53" s="125">
        <v>0.75</v>
      </c>
      <c r="M53" s="125"/>
      <c r="N53" s="125"/>
      <c r="O53" s="125"/>
      <c r="P53" s="125"/>
      <c r="Q53" s="125"/>
      <c r="R53" s="125">
        <v>0.15</v>
      </c>
      <c r="S53" s="125"/>
      <c r="T53" s="125"/>
      <c r="U53" s="125"/>
      <c r="V53" s="125"/>
      <c r="W53" s="125"/>
      <c r="X53" s="125"/>
      <c r="Y53" s="125"/>
      <c r="Z53" s="125"/>
      <c r="AA53" s="125">
        <v>0.1</v>
      </c>
      <c r="AB53" s="125"/>
      <c r="AC53" s="125"/>
      <c r="AD53" s="125"/>
      <c r="AE53" s="134">
        <f>SUM(L53:AD53)</f>
        <v>1</v>
      </c>
      <c r="AF53" s="135"/>
    </row>
    <row r="57" spans="2:35" ht="16" x14ac:dyDescent="0.2">
      <c r="B57" s="107" t="s">
        <v>365</v>
      </c>
      <c r="E57" s="6"/>
      <c r="AI57" t="s">
        <v>360</v>
      </c>
    </row>
    <row r="58" spans="2:35" x14ac:dyDescent="0.2">
      <c r="B58" s="21" t="s">
        <v>50</v>
      </c>
      <c r="E58" s="6"/>
      <c r="H58" s="6"/>
    </row>
    <row r="59" spans="2:35" ht="5" customHeight="1" x14ac:dyDescent="0.2">
      <c r="B59" s="2"/>
      <c r="E59" s="6"/>
      <c r="G59" s="6"/>
    </row>
    <row r="60" spans="2:35" x14ac:dyDescent="0.2">
      <c r="B60" s="2"/>
      <c r="E60" s="6"/>
      <c r="G60" s="6"/>
      <c r="L60" s="139" t="s">
        <v>10</v>
      </c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</row>
    <row r="61" spans="2:35" s="5" customFormat="1" ht="25" customHeight="1" x14ac:dyDescent="0.2">
      <c r="B61" s="121" t="s">
        <v>374</v>
      </c>
      <c r="C61" s="121"/>
      <c r="D61" s="121"/>
      <c r="E61" s="121"/>
      <c r="F61" s="121"/>
      <c r="G61" s="122" t="s">
        <v>373</v>
      </c>
      <c r="H61" s="122"/>
      <c r="I61" s="122"/>
      <c r="J61" s="122"/>
      <c r="K61" s="123"/>
      <c r="L61" s="141" t="s">
        <v>18</v>
      </c>
      <c r="M61" s="141"/>
      <c r="N61" s="141"/>
      <c r="O61" s="141" t="s">
        <v>105</v>
      </c>
      <c r="P61" s="141"/>
      <c r="Q61" s="141"/>
      <c r="R61" s="141" t="s">
        <v>104</v>
      </c>
      <c r="S61" s="141"/>
      <c r="T61" s="141"/>
      <c r="U61" s="141" t="s">
        <v>96</v>
      </c>
      <c r="V61" s="141"/>
      <c r="W61" s="141" t="s">
        <v>16</v>
      </c>
      <c r="X61" s="141"/>
      <c r="Y61" s="141" t="s">
        <v>94</v>
      </c>
      <c r="Z61" s="141"/>
      <c r="AA61" s="141" t="s">
        <v>15</v>
      </c>
      <c r="AB61" s="141"/>
      <c r="AC61" s="141" t="s">
        <v>14</v>
      </c>
      <c r="AD61" s="141"/>
      <c r="AE61" s="142" t="s">
        <v>46</v>
      </c>
      <c r="AF61" s="142"/>
    </row>
    <row r="62" spans="2:35" ht="5" customHeight="1" x14ac:dyDescent="0.2">
      <c r="B62" s="4"/>
      <c r="C62" s="3"/>
      <c r="D62" s="3"/>
      <c r="E62" s="3"/>
      <c r="F62" s="3"/>
      <c r="G62" s="3"/>
      <c r="H62" s="3"/>
      <c r="I62" s="3"/>
      <c r="J62" s="3"/>
      <c r="K62" s="9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8"/>
      <c r="AF62" s="128"/>
    </row>
    <row r="63" spans="2:35" s="5" customFormat="1" ht="25" customHeight="1" x14ac:dyDescent="0.2">
      <c r="B63" s="129" t="s">
        <v>375</v>
      </c>
      <c r="C63" s="129"/>
      <c r="D63" s="129"/>
      <c r="E63" s="129"/>
      <c r="F63" s="130"/>
      <c r="G63" s="131" t="s">
        <v>377</v>
      </c>
      <c r="H63" s="131"/>
      <c r="I63" s="131"/>
      <c r="J63" s="131"/>
      <c r="K63" s="132"/>
      <c r="L63" s="125">
        <v>0.7</v>
      </c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>
        <v>0.3</v>
      </c>
      <c r="AB63" s="125"/>
      <c r="AC63" s="125"/>
      <c r="AD63" s="125"/>
      <c r="AE63" s="134">
        <f>SUM(L63:AD63)</f>
        <v>1</v>
      </c>
      <c r="AF63" s="135"/>
    </row>
    <row r="64" spans="2:35" s="5" customFormat="1" ht="25" customHeight="1" x14ac:dyDescent="0.2">
      <c r="B64" s="129" t="s">
        <v>376</v>
      </c>
      <c r="C64" s="129"/>
      <c r="D64" s="129"/>
      <c r="E64" s="129"/>
      <c r="F64" s="130"/>
      <c r="G64" s="131" t="s">
        <v>378</v>
      </c>
      <c r="H64" s="131"/>
      <c r="I64" s="131"/>
      <c r="J64" s="131"/>
      <c r="K64" s="132"/>
      <c r="L64" s="125">
        <v>0.75</v>
      </c>
      <c r="M64" s="125"/>
      <c r="N64" s="125"/>
      <c r="O64" s="125"/>
      <c r="P64" s="125"/>
      <c r="Q64" s="125"/>
      <c r="R64" s="125">
        <v>0.15</v>
      </c>
      <c r="S64" s="125"/>
      <c r="T64" s="125"/>
      <c r="U64" s="125"/>
      <c r="V64" s="125"/>
      <c r="W64" s="125"/>
      <c r="X64" s="125"/>
      <c r="Y64" s="125"/>
      <c r="Z64" s="125"/>
      <c r="AA64" s="125">
        <v>0.1</v>
      </c>
      <c r="AB64" s="125"/>
      <c r="AC64" s="125"/>
      <c r="AD64" s="125"/>
      <c r="AE64" s="134">
        <f>SUM(L64:AD64)</f>
        <v>1</v>
      </c>
      <c r="AF64" s="135"/>
    </row>
  </sheetData>
  <mergeCells count="281">
    <mergeCell ref="AC63:AD63"/>
    <mergeCell ref="AE63:AF63"/>
    <mergeCell ref="B64:F64"/>
    <mergeCell ref="G64:K64"/>
    <mergeCell ref="L64:N64"/>
    <mergeCell ref="O64:Q64"/>
    <mergeCell ref="R64:T64"/>
    <mergeCell ref="U64:V64"/>
    <mergeCell ref="W64:X64"/>
    <mergeCell ref="Y64:Z64"/>
    <mergeCell ref="AA64:AB64"/>
    <mergeCell ref="AC64:AD64"/>
    <mergeCell ref="AE64:AF64"/>
    <mergeCell ref="B63:F63"/>
    <mergeCell ref="G63:K63"/>
    <mergeCell ref="L63:N63"/>
    <mergeCell ref="O63:Q63"/>
    <mergeCell ref="R63:T63"/>
    <mergeCell ref="U63:V63"/>
    <mergeCell ref="W63:X63"/>
    <mergeCell ref="Y63:Z63"/>
    <mergeCell ref="AA63:AB63"/>
    <mergeCell ref="AE61:AF61"/>
    <mergeCell ref="L62:N62"/>
    <mergeCell ref="O62:Q62"/>
    <mergeCell ref="R62:T62"/>
    <mergeCell ref="U62:V62"/>
    <mergeCell ref="W62:X62"/>
    <mergeCell ref="Y62:Z62"/>
    <mergeCell ref="AA62:AB62"/>
    <mergeCell ref="AC62:AD62"/>
    <mergeCell ref="AE62:AF62"/>
    <mergeCell ref="L60:AD60"/>
    <mergeCell ref="B61:F61"/>
    <mergeCell ref="G61:K61"/>
    <mergeCell ref="L61:N61"/>
    <mergeCell ref="O61:Q61"/>
    <mergeCell ref="R61:T61"/>
    <mergeCell ref="U61:V61"/>
    <mergeCell ref="W61:X61"/>
    <mergeCell ref="Y61:Z61"/>
    <mergeCell ref="AA61:AB61"/>
    <mergeCell ref="AC61:AD61"/>
    <mergeCell ref="AC52:AD52"/>
    <mergeCell ref="AE52:AF52"/>
    <mergeCell ref="B53:F53"/>
    <mergeCell ref="G53:K53"/>
    <mergeCell ref="L53:N53"/>
    <mergeCell ref="O53:Q53"/>
    <mergeCell ref="R53:T53"/>
    <mergeCell ref="U53:V53"/>
    <mergeCell ref="W53:X53"/>
    <mergeCell ref="Y53:Z53"/>
    <mergeCell ref="AA53:AB53"/>
    <mergeCell ref="AC53:AD53"/>
    <mergeCell ref="AE53:AF53"/>
    <mergeCell ref="B52:F52"/>
    <mergeCell ref="G52:K52"/>
    <mergeCell ref="L52:N52"/>
    <mergeCell ref="O52:Q52"/>
    <mergeCell ref="R52:T52"/>
    <mergeCell ref="U52:V52"/>
    <mergeCell ref="W52:X52"/>
    <mergeCell ref="Y52:Z52"/>
    <mergeCell ref="AA52:AB52"/>
    <mergeCell ref="AE50:AF50"/>
    <mergeCell ref="L51:N51"/>
    <mergeCell ref="O51:Q51"/>
    <mergeCell ref="R51:T51"/>
    <mergeCell ref="U51:V51"/>
    <mergeCell ref="W51:X51"/>
    <mergeCell ref="Y51:Z51"/>
    <mergeCell ref="AA51:AB51"/>
    <mergeCell ref="AC51:AD51"/>
    <mergeCell ref="AE51:AF51"/>
    <mergeCell ref="L49:AD49"/>
    <mergeCell ref="B50:F50"/>
    <mergeCell ref="G50:K50"/>
    <mergeCell ref="L50:N50"/>
    <mergeCell ref="O50:Q50"/>
    <mergeCell ref="R50:T50"/>
    <mergeCell ref="U50:V50"/>
    <mergeCell ref="W50:X50"/>
    <mergeCell ref="Y50:Z50"/>
    <mergeCell ref="AA50:AB50"/>
    <mergeCell ref="AC50:AD50"/>
    <mergeCell ref="AA42:AB42"/>
    <mergeCell ref="AC42:AD42"/>
    <mergeCell ref="AE42:AF42"/>
    <mergeCell ref="AC41:AD41"/>
    <mergeCell ref="AE41:AF41"/>
    <mergeCell ref="B42:F42"/>
    <mergeCell ref="G42:K42"/>
    <mergeCell ref="L42:N42"/>
    <mergeCell ref="O42:Q42"/>
    <mergeCell ref="R42:T42"/>
    <mergeCell ref="U42:V42"/>
    <mergeCell ref="W42:X42"/>
    <mergeCell ref="Y42:Z42"/>
    <mergeCell ref="B41:F41"/>
    <mergeCell ref="G41:K41"/>
    <mergeCell ref="L41:N41"/>
    <mergeCell ref="O41:Q41"/>
    <mergeCell ref="R41:T41"/>
    <mergeCell ref="U41:V41"/>
    <mergeCell ref="W41:X41"/>
    <mergeCell ref="Y41:Z41"/>
    <mergeCell ref="AA41:AB41"/>
    <mergeCell ref="AE39:AF39"/>
    <mergeCell ref="L40:N40"/>
    <mergeCell ref="O40:Q40"/>
    <mergeCell ref="R40:T40"/>
    <mergeCell ref="U40:V40"/>
    <mergeCell ref="W40:X40"/>
    <mergeCell ref="Y40:Z40"/>
    <mergeCell ref="AA40:AB40"/>
    <mergeCell ref="AC40:AD40"/>
    <mergeCell ref="AE40:AF40"/>
    <mergeCell ref="L38:AD38"/>
    <mergeCell ref="B39:F39"/>
    <mergeCell ref="G39:K39"/>
    <mergeCell ref="L39:N39"/>
    <mergeCell ref="O39:Q39"/>
    <mergeCell ref="R39:T39"/>
    <mergeCell ref="U39:V39"/>
    <mergeCell ref="W39:X39"/>
    <mergeCell ref="Y39:Z39"/>
    <mergeCell ref="AA39:AB39"/>
    <mergeCell ref="AC39:AD39"/>
    <mergeCell ref="Y31:Z31"/>
    <mergeCell ref="AA31:AB31"/>
    <mergeCell ref="AC31:AD31"/>
    <mergeCell ref="AE31:AF31"/>
    <mergeCell ref="W30:X30"/>
    <mergeCell ref="Y30:Z30"/>
    <mergeCell ref="AA30:AB30"/>
    <mergeCell ref="AC30:AD30"/>
    <mergeCell ref="AE30:AF30"/>
    <mergeCell ref="Y29:Z29"/>
    <mergeCell ref="AA29:AB29"/>
    <mergeCell ref="AC29:AD29"/>
    <mergeCell ref="AE29:AF29"/>
    <mergeCell ref="B30:F30"/>
    <mergeCell ref="G30:K30"/>
    <mergeCell ref="L30:N30"/>
    <mergeCell ref="O30:Q30"/>
    <mergeCell ref="R30:T30"/>
    <mergeCell ref="U30:V30"/>
    <mergeCell ref="B29:F29"/>
    <mergeCell ref="G29:K29"/>
    <mergeCell ref="L29:N29"/>
    <mergeCell ref="O29:Q29"/>
    <mergeCell ref="R29:T29"/>
    <mergeCell ref="U29:V29"/>
    <mergeCell ref="W29:X29"/>
    <mergeCell ref="B31:F31"/>
    <mergeCell ref="G31:K31"/>
    <mergeCell ref="L31:N31"/>
    <mergeCell ref="O31:Q31"/>
    <mergeCell ref="R31:T31"/>
    <mergeCell ref="U31:V31"/>
    <mergeCell ref="W31:X31"/>
    <mergeCell ref="AC27:AD27"/>
    <mergeCell ref="AE27:AF27"/>
    <mergeCell ref="B28:F28"/>
    <mergeCell ref="G28:K28"/>
    <mergeCell ref="L28:N28"/>
    <mergeCell ref="O28:Q28"/>
    <mergeCell ref="R28:T28"/>
    <mergeCell ref="U28:V28"/>
    <mergeCell ref="W28:X28"/>
    <mergeCell ref="Y28:Z28"/>
    <mergeCell ref="AA28:AB28"/>
    <mergeCell ref="AC28:AD28"/>
    <mergeCell ref="AE28:AF28"/>
    <mergeCell ref="B27:F27"/>
    <mergeCell ref="G27:K27"/>
    <mergeCell ref="L27:N27"/>
    <mergeCell ref="O27:Q27"/>
    <mergeCell ref="R27:T27"/>
    <mergeCell ref="U27:V27"/>
    <mergeCell ref="W27:X27"/>
    <mergeCell ref="Y27:Z27"/>
    <mergeCell ref="AA27:AB27"/>
    <mergeCell ref="AE25:AF25"/>
    <mergeCell ref="L26:N26"/>
    <mergeCell ref="O26:Q26"/>
    <mergeCell ref="R26:T26"/>
    <mergeCell ref="U26:V26"/>
    <mergeCell ref="W26:X26"/>
    <mergeCell ref="Y26:Z26"/>
    <mergeCell ref="AA26:AB26"/>
    <mergeCell ref="AC26:AD26"/>
    <mergeCell ref="AE26:AF26"/>
    <mergeCell ref="L24:AD24"/>
    <mergeCell ref="B25:F25"/>
    <mergeCell ref="G25:K25"/>
    <mergeCell ref="L25:N25"/>
    <mergeCell ref="O25:Q25"/>
    <mergeCell ref="R25:T25"/>
    <mergeCell ref="U25:V25"/>
    <mergeCell ref="W25:X25"/>
    <mergeCell ref="Y25:Z25"/>
    <mergeCell ref="AA25:AB25"/>
    <mergeCell ref="AC25:AD25"/>
    <mergeCell ref="Y16:Z16"/>
    <mergeCell ref="AA16:AB16"/>
    <mergeCell ref="AC16:AD16"/>
    <mergeCell ref="AE16:AF16"/>
    <mergeCell ref="W15:X15"/>
    <mergeCell ref="Y15:Z15"/>
    <mergeCell ref="AA15:AB15"/>
    <mergeCell ref="AC15:AD15"/>
    <mergeCell ref="AE15:AF15"/>
    <mergeCell ref="Y14:Z14"/>
    <mergeCell ref="AA14:AB14"/>
    <mergeCell ref="AC14:AD14"/>
    <mergeCell ref="AE14:AF14"/>
    <mergeCell ref="B15:F15"/>
    <mergeCell ref="G15:K15"/>
    <mergeCell ref="L15:N15"/>
    <mergeCell ref="O15:Q15"/>
    <mergeCell ref="R15:T15"/>
    <mergeCell ref="U15:V15"/>
    <mergeCell ref="B14:F14"/>
    <mergeCell ref="G14:K14"/>
    <mergeCell ref="L14:N14"/>
    <mergeCell ref="O14:Q14"/>
    <mergeCell ref="R14:T14"/>
    <mergeCell ref="U14:V14"/>
    <mergeCell ref="W14:X14"/>
    <mergeCell ref="B16:F16"/>
    <mergeCell ref="G16:K16"/>
    <mergeCell ref="L16:N16"/>
    <mergeCell ref="O16:Q16"/>
    <mergeCell ref="R16:T16"/>
    <mergeCell ref="U16:V16"/>
    <mergeCell ref="W16:X16"/>
    <mergeCell ref="AC12:AD12"/>
    <mergeCell ref="AE12:AF12"/>
    <mergeCell ref="B13:F13"/>
    <mergeCell ref="G13:K13"/>
    <mergeCell ref="L13:N13"/>
    <mergeCell ref="O13:Q13"/>
    <mergeCell ref="R13:T13"/>
    <mergeCell ref="U13:V13"/>
    <mergeCell ref="W13:X13"/>
    <mergeCell ref="Y13:Z13"/>
    <mergeCell ref="AA13:AB13"/>
    <mergeCell ref="AC13:AD13"/>
    <mergeCell ref="AE13:AF13"/>
    <mergeCell ref="B12:F12"/>
    <mergeCell ref="G12:K12"/>
    <mergeCell ref="L12:N12"/>
    <mergeCell ref="O12:Q12"/>
    <mergeCell ref="R12:T12"/>
    <mergeCell ref="U12:V12"/>
    <mergeCell ref="W12:X12"/>
    <mergeCell ref="Y12:Z12"/>
    <mergeCell ref="AA12:AB12"/>
    <mergeCell ref="AE10:AF10"/>
    <mergeCell ref="L11:N11"/>
    <mergeCell ref="O11:Q11"/>
    <mergeCell ref="R11:T11"/>
    <mergeCell ref="U11:V11"/>
    <mergeCell ref="W11:X11"/>
    <mergeCell ref="Y11:Z11"/>
    <mergeCell ref="AA11:AB11"/>
    <mergeCell ref="AC11:AD11"/>
    <mergeCell ref="AE11:AF11"/>
    <mergeCell ref="L9:AD9"/>
    <mergeCell ref="B10:F10"/>
    <mergeCell ref="G10:K10"/>
    <mergeCell ref="L10:N10"/>
    <mergeCell ref="O10:Q10"/>
    <mergeCell ref="R10:T10"/>
    <mergeCell ref="U10:V10"/>
    <mergeCell ref="W10:X10"/>
    <mergeCell ref="Y10:Z10"/>
    <mergeCell ref="AA10:AB10"/>
    <mergeCell ref="AC10:AD10"/>
  </mergeCells>
  <pageMargins left="0.25" right="0.25" top="0.25" bottom="0.25" header="0.2" footer="0.15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CEFE-9338-42A4-A32E-771BB123A3A2}">
  <sheetPr>
    <tabColor theme="4"/>
  </sheetPr>
  <dimension ref="B1:AU150"/>
  <sheetViews>
    <sheetView showGridLines="0" topLeftCell="N84" zoomScale="80" zoomScaleNormal="80" workbookViewId="0">
      <selection activeCell="Y5" sqref="Y5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7" width="4.6640625" customWidth="1"/>
    <col min="38" max="38" width="18.83203125" customWidth="1"/>
    <col min="39" max="39" width="4.6640625" customWidth="1"/>
    <col min="40" max="42" width="13.33203125" customWidth="1"/>
    <col min="43" max="43" width="10.83203125" customWidth="1"/>
    <col min="44" max="44" width="13.83203125" customWidth="1"/>
    <col min="45" max="45" width="9" customWidth="1"/>
    <col min="46" max="46" width="7.83203125" customWidth="1"/>
    <col min="47" max="72" width="4.6640625" customWidth="1"/>
  </cols>
  <sheetData>
    <row r="1" spans="2:32" x14ac:dyDescent="0.2">
      <c r="B1" s="24" t="s">
        <v>86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4" spans="2:32" ht="14.5" customHeight="1" x14ac:dyDescent="0.25">
      <c r="H4" s="19"/>
      <c r="I4" s="19"/>
      <c r="J4" s="19"/>
      <c r="K4" s="19"/>
      <c r="L4" s="19"/>
      <c r="M4" s="19"/>
      <c r="N4" s="19"/>
    </row>
    <row r="5" spans="2:32" ht="18" customHeight="1" x14ac:dyDescent="0.25">
      <c r="B5" s="22" t="s">
        <v>83</v>
      </c>
      <c r="E5" s="6"/>
      <c r="H5" s="19"/>
      <c r="I5" s="19"/>
      <c r="J5" s="19"/>
      <c r="K5" s="19"/>
      <c r="L5" s="19"/>
      <c r="M5" s="19"/>
      <c r="N5" s="19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/>
      <c r="E8" s="6"/>
      <c r="G8" s="6"/>
      <c r="L8" s="119" t="s">
        <v>10</v>
      </c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</row>
    <row r="9" spans="2:32" s="5" customFormat="1" ht="25" customHeight="1" x14ac:dyDescent="0.2">
      <c r="B9" s="121" t="s">
        <v>49</v>
      </c>
      <c r="C9" s="121"/>
      <c r="D9" s="121"/>
      <c r="E9" s="121"/>
      <c r="F9" s="121"/>
      <c r="G9" s="122" t="s">
        <v>48</v>
      </c>
      <c r="H9" s="122"/>
      <c r="I9" s="122"/>
      <c r="J9" s="122"/>
      <c r="K9" s="123"/>
      <c r="L9" s="124" t="s">
        <v>18</v>
      </c>
      <c r="M9" s="124"/>
      <c r="N9" s="124"/>
      <c r="O9" s="124" t="s">
        <v>314</v>
      </c>
      <c r="P9" s="124"/>
      <c r="Q9" s="124"/>
      <c r="R9" s="124" t="s">
        <v>315</v>
      </c>
      <c r="S9" s="124"/>
      <c r="T9" s="124"/>
      <c r="U9" s="124" t="s">
        <v>17</v>
      </c>
      <c r="V9" s="124"/>
      <c r="W9" s="124" t="s">
        <v>16</v>
      </c>
      <c r="X9" s="124"/>
      <c r="Y9" s="124" t="s">
        <v>47</v>
      </c>
      <c r="Z9" s="124"/>
      <c r="AA9" s="124" t="s">
        <v>15</v>
      </c>
      <c r="AB9" s="124"/>
      <c r="AC9" s="124" t="s">
        <v>14</v>
      </c>
      <c r="AD9" s="124"/>
      <c r="AE9" s="126" t="s">
        <v>46</v>
      </c>
      <c r="AF9" s="126"/>
    </row>
    <row r="10" spans="2:32" ht="5" customHeight="1" x14ac:dyDescent="0.2">
      <c r="B10" s="4"/>
      <c r="C10" s="3"/>
      <c r="D10" s="3"/>
      <c r="E10" s="3"/>
      <c r="F10" s="3"/>
      <c r="G10" s="3"/>
      <c r="H10" s="3"/>
      <c r="I10" s="3"/>
      <c r="J10" s="3"/>
      <c r="K10" s="9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8"/>
      <c r="AF10" s="128"/>
    </row>
    <row r="11" spans="2:32" s="5" customFormat="1" ht="17" customHeight="1" x14ac:dyDescent="0.2">
      <c r="B11" s="129" t="s">
        <v>45</v>
      </c>
      <c r="C11" s="129"/>
      <c r="D11" s="129"/>
      <c r="E11" s="129"/>
      <c r="F11" s="130"/>
      <c r="G11" s="131" t="s">
        <v>44</v>
      </c>
      <c r="H11" s="131"/>
      <c r="I11" s="131"/>
      <c r="J11" s="131"/>
      <c r="K11" s="132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33"/>
      <c r="AF11" s="133"/>
    </row>
    <row r="12" spans="2:32" s="5" customFormat="1" ht="17" customHeight="1" x14ac:dyDescent="0.2">
      <c r="B12" s="129" t="s">
        <v>43</v>
      </c>
      <c r="C12" s="129"/>
      <c r="D12" s="129"/>
      <c r="E12" s="129"/>
      <c r="F12" s="130"/>
      <c r="G12" s="131" t="s">
        <v>42</v>
      </c>
      <c r="H12" s="131"/>
      <c r="I12" s="131"/>
      <c r="J12" s="131"/>
      <c r="K12" s="132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33"/>
      <c r="AF12" s="133"/>
    </row>
    <row r="13" spans="2:32" s="5" customFormat="1" ht="17" customHeight="1" x14ac:dyDescent="0.2">
      <c r="B13" s="129" t="s">
        <v>41</v>
      </c>
      <c r="C13" s="129"/>
      <c r="D13" s="129"/>
      <c r="E13" s="129"/>
      <c r="F13" s="130"/>
      <c r="G13" s="131" t="s">
        <v>40</v>
      </c>
      <c r="H13" s="131"/>
      <c r="I13" s="131"/>
      <c r="J13" s="131"/>
      <c r="K13" s="132"/>
      <c r="L13" s="125">
        <v>0.5</v>
      </c>
      <c r="M13" s="125"/>
      <c r="N13" s="125"/>
      <c r="O13" s="125">
        <v>0.1</v>
      </c>
      <c r="P13" s="125"/>
      <c r="Q13" s="125"/>
      <c r="R13" s="125">
        <v>0.1</v>
      </c>
      <c r="S13" s="125"/>
      <c r="T13" s="125"/>
      <c r="U13" s="125"/>
      <c r="V13" s="125"/>
      <c r="W13" s="125">
        <v>0.15</v>
      </c>
      <c r="X13" s="125"/>
      <c r="Y13" s="125"/>
      <c r="Z13" s="125"/>
      <c r="AA13" s="125"/>
      <c r="AB13" s="125"/>
      <c r="AC13" s="125">
        <v>0.15</v>
      </c>
      <c r="AD13" s="125"/>
      <c r="AE13" s="134">
        <f>SUM(L13:AD13)</f>
        <v>1</v>
      </c>
      <c r="AF13" s="135"/>
    </row>
    <row r="14" spans="2:32" s="5" customFormat="1" ht="17" customHeight="1" x14ac:dyDescent="0.2">
      <c r="B14" s="129" t="s">
        <v>39</v>
      </c>
      <c r="C14" s="129"/>
      <c r="D14" s="129"/>
      <c r="E14" s="129"/>
      <c r="F14" s="130"/>
      <c r="G14" s="131" t="s">
        <v>38</v>
      </c>
      <c r="H14" s="131"/>
      <c r="I14" s="131"/>
      <c r="J14" s="131"/>
      <c r="K14" s="132"/>
      <c r="L14" s="125">
        <v>0.5</v>
      </c>
      <c r="M14" s="125"/>
      <c r="N14" s="125"/>
      <c r="O14" s="125">
        <v>0.1</v>
      </c>
      <c r="P14" s="125"/>
      <c r="Q14" s="125"/>
      <c r="R14" s="125">
        <v>0.1</v>
      </c>
      <c r="S14" s="125"/>
      <c r="T14" s="125"/>
      <c r="U14" s="125"/>
      <c r="V14" s="125"/>
      <c r="W14" s="125">
        <v>0.15</v>
      </c>
      <c r="X14" s="125"/>
      <c r="Y14" s="125">
        <v>0.15</v>
      </c>
      <c r="Z14" s="125"/>
      <c r="AA14" s="125"/>
      <c r="AB14" s="125"/>
      <c r="AC14" s="125"/>
      <c r="AD14" s="125"/>
      <c r="AE14" s="134">
        <f>SUM(L14:AD14)</f>
        <v>1</v>
      </c>
      <c r="AF14" s="135"/>
    </row>
    <row r="15" spans="2:32" s="5" customFormat="1" ht="17" customHeight="1" x14ac:dyDescent="0.2">
      <c r="B15" s="129" t="s">
        <v>37</v>
      </c>
      <c r="C15" s="129"/>
      <c r="D15" s="129"/>
      <c r="E15" s="129"/>
      <c r="F15" s="130"/>
      <c r="G15" s="131" t="s">
        <v>36</v>
      </c>
      <c r="H15" s="131"/>
      <c r="I15" s="131"/>
      <c r="J15" s="131"/>
      <c r="K15" s="132"/>
      <c r="L15" s="125">
        <v>0.5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>
        <v>0.2</v>
      </c>
      <c r="X15" s="125"/>
      <c r="Y15" s="125">
        <v>0.2</v>
      </c>
      <c r="Z15" s="125"/>
      <c r="AA15" s="125">
        <v>0.1</v>
      </c>
      <c r="AB15" s="125"/>
      <c r="AC15" s="125"/>
      <c r="AD15" s="125"/>
      <c r="AE15" s="134">
        <f>SUM(L15:AD15)</f>
        <v>0.99999999999999989</v>
      </c>
      <c r="AF15" s="135"/>
    </row>
    <row r="17" spans="2:34" x14ac:dyDescent="0.2">
      <c r="B17" t="s">
        <v>35</v>
      </c>
    </row>
    <row r="18" spans="2:34" x14ac:dyDescent="0.2">
      <c r="C18" s="2" t="s">
        <v>34</v>
      </c>
      <c r="I18" s="2" t="s">
        <v>33</v>
      </c>
      <c r="P18" s="2" t="s">
        <v>32</v>
      </c>
    </row>
    <row r="19" spans="2:34" x14ac:dyDescent="0.2">
      <c r="C19" s="16" t="s">
        <v>73</v>
      </c>
      <c r="D19" t="s">
        <v>31</v>
      </c>
      <c r="I19" s="16" t="s">
        <v>73</v>
      </c>
      <c r="J19" t="s">
        <v>109</v>
      </c>
      <c r="P19" s="16" t="s">
        <v>73</v>
      </c>
      <c r="Q19" t="s">
        <v>30</v>
      </c>
      <c r="V19" s="16" t="s">
        <v>73</v>
      </c>
      <c r="W19" t="s">
        <v>29</v>
      </c>
      <c r="AB19" s="104" t="s">
        <v>73</v>
      </c>
      <c r="AC19" s="105" t="s">
        <v>403</v>
      </c>
    </row>
    <row r="20" spans="2:34" x14ac:dyDescent="0.2">
      <c r="C20" s="16" t="s">
        <v>73</v>
      </c>
      <c r="D20" t="s">
        <v>28</v>
      </c>
      <c r="I20" s="16" t="s">
        <v>73</v>
      </c>
      <c r="J20" t="s">
        <v>108</v>
      </c>
      <c r="P20" s="16" t="s">
        <v>73</v>
      </c>
      <c r="Q20" t="s">
        <v>27</v>
      </c>
      <c r="V20" s="16" t="s">
        <v>73</v>
      </c>
      <c r="W20" t="s">
        <v>26</v>
      </c>
      <c r="AB20" s="104" t="s">
        <v>73</v>
      </c>
      <c r="AC20" s="105" t="s">
        <v>402</v>
      </c>
    </row>
    <row r="21" spans="2:34" x14ac:dyDescent="0.2">
      <c r="I21" s="16" t="s">
        <v>73</v>
      </c>
      <c r="J21" t="s">
        <v>116</v>
      </c>
      <c r="P21" s="16" t="s">
        <v>73</v>
      </c>
      <c r="Q21" t="s">
        <v>25</v>
      </c>
      <c r="V21" s="16" t="s">
        <v>73</v>
      </c>
      <c r="W21" t="s">
        <v>120</v>
      </c>
      <c r="AB21" s="28" t="s">
        <v>73</v>
      </c>
      <c r="AC21" s="27" t="s">
        <v>107</v>
      </c>
    </row>
    <row r="22" spans="2:34" x14ac:dyDescent="0.2">
      <c r="I22" s="16" t="s">
        <v>73</v>
      </c>
      <c r="J22" t="s">
        <v>113</v>
      </c>
      <c r="P22" s="16" t="s">
        <v>73</v>
      </c>
      <c r="Q22" t="s">
        <v>114</v>
      </c>
      <c r="V22" s="16" t="s">
        <v>73</v>
      </c>
      <c r="W22" t="s">
        <v>119</v>
      </c>
      <c r="AB22" s="28" t="s">
        <v>73</v>
      </c>
      <c r="AC22" s="27" t="s">
        <v>115</v>
      </c>
    </row>
    <row r="23" spans="2:34" x14ac:dyDescent="0.2">
      <c r="I23" s="16" t="s">
        <v>73</v>
      </c>
      <c r="J23" t="s">
        <v>112</v>
      </c>
      <c r="V23" s="16" t="s">
        <v>73</v>
      </c>
      <c r="W23" t="s">
        <v>111</v>
      </c>
      <c r="AB23" s="28" t="s">
        <v>73</v>
      </c>
      <c r="AC23" s="27" t="s">
        <v>110</v>
      </c>
    </row>
    <row r="24" spans="2:34" x14ac:dyDescent="0.2">
      <c r="V24" s="16" t="s">
        <v>73</v>
      </c>
      <c r="W24" t="s">
        <v>24</v>
      </c>
      <c r="AB24" s="28" t="s">
        <v>73</v>
      </c>
      <c r="AC24" s="27" t="s">
        <v>117</v>
      </c>
    </row>
    <row r="25" spans="2:34" x14ac:dyDescent="0.2">
      <c r="AB25" s="28" t="s">
        <v>73</v>
      </c>
      <c r="AC25" s="27" t="s">
        <v>118</v>
      </c>
    </row>
    <row r="26" spans="2:34" ht="5" customHeight="1" x14ac:dyDescent="0.2">
      <c r="K26" s="91"/>
      <c r="L26" s="91"/>
      <c r="M26" s="93"/>
      <c r="N26" s="93"/>
      <c r="O26" s="92"/>
      <c r="P26" s="92"/>
    </row>
    <row r="27" spans="2:34" x14ac:dyDescent="0.2">
      <c r="B27" s="2" t="s">
        <v>23</v>
      </c>
      <c r="K27" s="172" t="s">
        <v>9</v>
      </c>
      <c r="L27" s="173"/>
      <c r="M27" s="173"/>
      <c r="N27" s="173"/>
      <c r="O27" s="173"/>
      <c r="P27" s="174"/>
    </row>
    <row r="28" spans="2:34" ht="5" customHeight="1" x14ac:dyDescent="0.2">
      <c r="K28" s="194" t="s">
        <v>317</v>
      </c>
      <c r="L28" s="195"/>
      <c r="M28" s="194" t="s">
        <v>361</v>
      </c>
      <c r="N28" s="195"/>
      <c r="O28" s="194" t="s">
        <v>59</v>
      </c>
      <c r="P28" s="195"/>
    </row>
    <row r="29" spans="2:34" ht="20" customHeight="1" x14ac:dyDescent="0.2">
      <c r="B29" s="185" t="s">
        <v>11</v>
      </c>
      <c r="C29" s="187" t="s">
        <v>10</v>
      </c>
      <c r="D29" s="188"/>
      <c r="E29" s="188"/>
      <c r="F29" s="188"/>
      <c r="G29" s="188"/>
      <c r="H29" s="188"/>
      <c r="I29" s="188"/>
      <c r="J29" s="189"/>
      <c r="K29" s="196"/>
      <c r="L29" s="197"/>
      <c r="M29" s="196"/>
      <c r="N29" s="197"/>
      <c r="O29" s="196"/>
      <c r="P29" s="197"/>
      <c r="Q29" s="185" t="s">
        <v>8</v>
      </c>
      <c r="R29" s="185"/>
      <c r="S29" s="185"/>
      <c r="T29" s="185"/>
      <c r="U29" s="185"/>
      <c r="V29" s="185"/>
      <c r="W29" s="185"/>
      <c r="X29" s="187" t="s">
        <v>7</v>
      </c>
      <c r="Y29" s="188"/>
      <c r="Z29" s="188"/>
      <c r="AA29" s="188"/>
      <c r="AB29" s="188"/>
      <c r="AC29" s="188"/>
      <c r="AD29" s="188"/>
      <c r="AE29" s="188"/>
      <c r="AF29" s="188"/>
      <c r="AG29" s="188"/>
      <c r="AH29" s="189"/>
    </row>
    <row r="30" spans="2:34" ht="20" customHeight="1" x14ac:dyDescent="0.2">
      <c r="B30" s="185"/>
      <c r="C30" s="190"/>
      <c r="D30" s="191"/>
      <c r="E30" s="191"/>
      <c r="F30" s="191"/>
      <c r="G30" s="191"/>
      <c r="H30" s="191"/>
      <c r="I30" s="191"/>
      <c r="J30" s="192"/>
      <c r="K30" s="198"/>
      <c r="L30" s="199"/>
      <c r="M30" s="198"/>
      <c r="N30" s="199"/>
      <c r="O30" s="198"/>
      <c r="P30" s="199"/>
      <c r="Q30" s="185"/>
      <c r="R30" s="185"/>
      <c r="S30" s="185"/>
      <c r="T30" s="185"/>
      <c r="U30" s="185"/>
      <c r="V30" s="185"/>
      <c r="W30" s="185"/>
      <c r="X30" s="190"/>
      <c r="Y30" s="191"/>
      <c r="Z30" s="191"/>
      <c r="AA30" s="191"/>
      <c r="AB30" s="191"/>
      <c r="AC30" s="191"/>
      <c r="AD30" s="191"/>
      <c r="AE30" s="191"/>
      <c r="AF30" s="191"/>
      <c r="AG30" s="191"/>
      <c r="AH30" s="192"/>
    </row>
    <row r="31" spans="2:34" ht="5" customHeight="1" x14ac:dyDescent="0.2">
      <c r="B31" s="1"/>
      <c r="C31" s="166"/>
      <c r="D31" s="167"/>
      <c r="E31" s="167"/>
      <c r="F31" s="167"/>
      <c r="G31" s="167"/>
      <c r="H31" s="167"/>
      <c r="I31" s="167"/>
      <c r="J31" s="168"/>
      <c r="K31" s="186"/>
      <c r="L31" s="186"/>
      <c r="M31" s="186"/>
      <c r="N31" s="186"/>
      <c r="O31" s="186"/>
      <c r="P31" s="186"/>
      <c r="Q31" s="193"/>
      <c r="R31" s="193"/>
      <c r="S31" s="193"/>
      <c r="T31" s="193"/>
      <c r="U31" s="193"/>
      <c r="V31" s="193"/>
      <c r="W31" s="193"/>
      <c r="X31" s="166"/>
      <c r="Y31" s="167"/>
      <c r="Z31" s="167"/>
      <c r="AA31" s="167"/>
      <c r="AB31" s="167"/>
      <c r="AC31" s="167"/>
      <c r="AD31" s="167"/>
      <c r="AE31" s="167"/>
      <c r="AF31" s="167"/>
      <c r="AG31" s="167"/>
      <c r="AH31" s="168"/>
    </row>
    <row r="32" spans="2:34" ht="14.5" customHeight="1" x14ac:dyDescent="0.2">
      <c r="B32" s="1">
        <v>1</v>
      </c>
      <c r="C32" s="200" t="s">
        <v>6</v>
      </c>
      <c r="D32" s="201"/>
      <c r="E32" s="201"/>
      <c r="F32" s="201"/>
      <c r="G32" s="201"/>
      <c r="H32" s="201"/>
      <c r="I32" s="201"/>
      <c r="J32" s="202"/>
      <c r="K32" s="175">
        <f>L13</f>
        <v>0.5</v>
      </c>
      <c r="L32" s="175"/>
      <c r="M32" s="175">
        <f>L14</f>
        <v>0.5</v>
      </c>
      <c r="N32" s="175"/>
      <c r="O32" s="175">
        <f>L15</f>
        <v>0.5</v>
      </c>
      <c r="P32" s="175"/>
      <c r="Q32" s="176" t="s">
        <v>12</v>
      </c>
      <c r="R32" s="177"/>
      <c r="S32" s="177"/>
      <c r="T32" s="177"/>
      <c r="U32" s="177"/>
      <c r="V32" s="177"/>
      <c r="W32" s="178"/>
      <c r="X32" s="177" t="s">
        <v>54</v>
      </c>
      <c r="Y32" s="177"/>
      <c r="Z32" s="177"/>
      <c r="AA32" s="177"/>
      <c r="AB32" s="177"/>
      <c r="AC32" s="177"/>
      <c r="AD32" s="177"/>
      <c r="AE32" s="177"/>
      <c r="AF32" s="177"/>
      <c r="AG32" s="177"/>
      <c r="AH32" s="178"/>
    </row>
    <row r="33" spans="2:34" x14ac:dyDescent="0.2">
      <c r="B33" s="1">
        <v>2</v>
      </c>
      <c r="C33" s="200" t="s">
        <v>102</v>
      </c>
      <c r="D33" s="201"/>
      <c r="E33" s="201"/>
      <c r="F33" s="201"/>
      <c r="G33" s="201"/>
      <c r="H33" s="201"/>
      <c r="I33" s="201"/>
      <c r="J33" s="202"/>
      <c r="K33" s="175">
        <f>O13</f>
        <v>0.1</v>
      </c>
      <c r="L33" s="175"/>
      <c r="M33" s="175">
        <f>O14</f>
        <v>0.1</v>
      </c>
      <c r="N33" s="175"/>
      <c r="O33" s="175"/>
      <c r="P33" s="175"/>
      <c r="Q33" s="179"/>
      <c r="R33" s="180"/>
      <c r="S33" s="180"/>
      <c r="T33" s="180"/>
      <c r="U33" s="180"/>
      <c r="V33" s="180"/>
      <c r="W33" s="181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1"/>
    </row>
    <row r="34" spans="2:34" x14ac:dyDescent="0.2">
      <c r="B34" s="1">
        <v>3</v>
      </c>
      <c r="C34" s="200" t="s">
        <v>327</v>
      </c>
      <c r="D34" s="201"/>
      <c r="E34" s="201"/>
      <c r="F34" s="201"/>
      <c r="G34" s="201"/>
      <c r="H34" s="201"/>
      <c r="I34" s="201"/>
      <c r="J34" s="202"/>
      <c r="K34" s="175">
        <f>R13</f>
        <v>0.1</v>
      </c>
      <c r="L34" s="175"/>
      <c r="M34" s="175">
        <f>R14</f>
        <v>0.1</v>
      </c>
      <c r="N34" s="175"/>
      <c r="O34" s="175"/>
      <c r="P34" s="175"/>
      <c r="Q34" s="179"/>
      <c r="R34" s="180"/>
      <c r="S34" s="180"/>
      <c r="T34" s="180"/>
      <c r="U34" s="180"/>
      <c r="V34" s="180"/>
      <c r="W34" s="181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1"/>
    </row>
    <row r="35" spans="2:34" x14ac:dyDescent="0.2">
      <c r="B35" s="1">
        <v>4</v>
      </c>
      <c r="C35" s="200" t="s">
        <v>53</v>
      </c>
      <c r="D35" s="201"/>
      <c r="E35" s="201"/>
      <c r="F35" s="201"/>
      <c r="G35" s="201"/>
      <c r="H35" s="201"/>
      <c r="I35" s="201"/>
      <c r="J35" s="202"/>
      <c r="K35" s="175"/>
      <c r="L35" s="175"/>
      <c r="M35" s="175"/>
      <c r="N35" s="175"/>
      <c r="O35" s="175"/>
      <c r="P35" s="175"/>
      <c r="Q35" s="179"/>
      <c r="R35" s="180"/>
      <c r="S35" s="180"/>
      <c r="T35" s="180"/>
      <c r="U35" s="180"/>
      <c r="V35" s="180"/>
      <c r="W35" s="181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4"/>
    </row>
    <row r="36" spans="2:34" x14ac:dyDescent="0.2">
      <c r="B36" s="1">
        <v>5</v>
      </c>
      <c r="C36" s="200" t="s">
        <v>4</v>
      </c>
      <c r="D36" s="201"/>
      <c r="E36" s="201"/>
      <c r="F36" s="201"/>
      <c r="G36" s="201"/>
      <c r="H36" s="201"/>
      <c r="I36" s="201"/>
      <c r="J36" s="202"/>
      <c r="K36" s="175">
        <f>W13</f>
        <v>0.15</v>
      </c>
      <c r="L36" s="175"/>
      <c r="M36" s="175">
        <f>W14</f>
        <v>0.15</v>
      </c>
      <c r="N36" s="175"/>
      <c r="O36" s="175">
        <f>W15</f>
        <v>0.2</v>
      </c>
      <c r="P36" s="175"/>
      <c r="Q36" s="179"/>
      <c r="R36" s="180"/>
      <c r="S36" s="180"/>
      <c r="T36" s="180"/>
      <c r="U36" s="180"/>
      <c r="V36" s="180"/>
      <c r="W36" s="181"/>
      <c r="X36" s="177" t="s">
        <v>2</v>
      </c>
      <c r="Y36" s="177"/>
      <c r="Z36" s="177"/>
      <c r="AA36" s="177"/>
      <c r="AB36" s="177"/>
      <c r="AC36" s="177"/>
      <c r="AD36" s="177"/>
      <c r="AE36" s="177"/>
      <c r="AF36" s="177"/>
      <c r="AG36" s="177"/>
      <c r="AH36" s="178"/>
    </row>
    <row r="37" spans="2:34" ht="14.5" customHeight="1" x14ac:dyDescent="0.2">
      <c r="B37" s="1">
        <v>6</v>
      </c>
      <c r="C37" s="200" t="s">
        <v>3</v>
      </c>
      <c r="D37" s="201"/>
      <c r="E37" s="201"/>
      <c r="F37" s="201"/>
      <c r="G37" s="201"/>
      <c r="H37" s="201"/>
      <c r="I37" s="201"/>
      <c r="J37" s="202"/>
      <c r="K37" s="175"/>
      <c r="L37" s="175"/>
      <c r="M37" s="175">
        <f>Y14</f>
        <v>0.15</v>
      </c>
      <c r="N37" s="175"/>
      <c r="O37" s="175">
        <f>Y15</f>
        <v>0.2</v>
      </c>
      <c r="P37" s="175"/>
      <c r="Q37" s="179"/>
      <c r="R37" s="180"/>
      <c r="S37" s="180"/>
      <c r="T37" s="180"/>
      <c r="U37" s="180"/>
      <c r="V37" s="180"/>
      <c r="W37" s="181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1"/>
    </row>
    <row r="38" spans="2:34" x14ac:dyDescent="0.2">
      <c r="B38" s="1">
        <v>7</v>
      </c>
      <c r="C38" s="200" t="s">
        <v>1</v>
      </c>
      <c r="D38" s="201"/>
      <c r="E38" s="201"/>
      <c r="F38" s="201"/>
      <c r="G38" s="201"/>
      <c r="H38" s="201"/>
      <c r="I38" s="201"/>
      <c r="J38" s="202"/>
      <c r="K38" s="175"/>
      <c r="L38" s="175"/>
      <c r="M38" s="175"/>
      <c r="N38" s="175"/>
      <c r="O38" s="175">
        <f>AA15</f>
        <v>0.1</v>
      </c>
      <c r="P38" s="175"/>
      <c r="Q38" s="179"/>
      <c r="R38" s="180"/>
      <c r="S38" s="180"/>
      <c r="T38" s="180"/>
      <c r="U38" s="180"/>
      <c r="V38" s="180"/>
      <c r="W38" s="181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1"/>
    </row>
    <row r="39" spans="2:34" x14ac:dyDescent="0.2">
      <c r="B39" s="1">
        <v>8</v>
      </c>
      <c r="C39" s="200" t="s">
        <v>0</v>
      </c>
      <c r="D39" s="201"/>
      <c r="E39" s="201"/>
      <c r="F39" s="201"/>
      <c r="G39" s="201"/>
      <c r="H39" s="201"/>
      <c r="I39" s="201"/>
      <c r="J39" s="202"/>
      <c r="K39" s="175">
        <f>AC13</f>
        <v>0.15</v>
      </c>
      <c r="L39" s="175"/>
      <c r="M39" s="175"/>
      <c r="N39" s="175"/>
      <c r="O39" s="175"/>
      <c r="P39" s="175"/>
      <c r="Q39" s="182"/>
      <c r="R39" s="183"/>
      <c r="S39" s="183"/>
      <c r="T39" s="183"/>
      <c r="U39" s="183"/>
      <c r="V39" s="183"/>
      <c r="W39" s="184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4"/>
    </row>
    <row r="40" spans="2:34" x14ac:dyDescent="0.2">
      <c r="K40" s="213">
        <f>SUM(K32:L39)</f>
        <v>1</v>
      </c>
      <c r="L40" s="213"/>
      <c r="M40" s="213">
        <f>SUM(M32:N39)</f>
        <v>1</v>
      </c>
      <c r="N40" s="213"/>
      <c r="O40" s="213">
        <f>SUM(O32:P39)</f>
        <v>0.99999999999999989</v>
      </c>
      <c r="P40" s="213"/>
    </row>
    <row r="43" spans="2:34" x14ac:dyDescent="0.2">
      <c r="B43" s="5" t="s">
        <v>77</v>
      </c>
    </row>
    <row r="44" spans="2:34" x14ac:dyDescent="0.2">
      <c r="B44" s="30" t="s">
        <v>142</v>
      </c>
    </row>
    <row r="45" spans="2:34" x14ac:dyDescent="0.2">
      <c r="B45" s="30" t="s">
        <v>100</v>
      </c>
      <c r="H45" s="6" t="s">
        <v>140</v>
      </c>
    </row>
    <row r="46" spans="2:34" x14ac:dyDescent="0.2">
      <c r="B46" s="30" t="s">
        <v>323</v>
      </c>
      <c r="H46" s="6" t="s">
        <v>141</v>
      </c>
    </row>
    <row r="47" spans="2:34" x14ac:dyDescent="0.2">
      <c r="B47" s="30" t="s">
        <v>324</v>
      </c>
      <c r="H47" s="6" t="s">
        <v>325</v>
      </c>
    </row>
    <row r="48" spans="2:34" x14ac:dyDescent="0.2">
      <c r="B48" s="30" t="s">
        <v>99</v>
      </c>
      <c r="H48" s="6" t="s">
        <v>143</v>
      </c>
    </row>
    <row r="49" spans="2:43" x14ac:dyDescent="0.2">
      <c r="B49" s="30" t="s">
        <v>101</v>
      </c>
      <c r="H49" s="6" t="s">
        <v>144</v>
      </c>
    </row>
    <row r="50" spans="2:43" x14ac:dyDescent="0.2">
      <c r="B50" s="30"/>
      <c r="H50" s="6" t="s">
        <v>139</v>
      </c>
    </row>
    <row r="51" spans="2:43" x14ac:dyDescent="0.2">
      <c r="B51" s="30" t="s">
        <v>92</v>
      </c>
      <c r="H51" s="6" t="s">
        <v>145</v>
      </c>
    </row>
    <row r="52" spans="2:43" x14ac:dyDescent="0.2">
      <c r="B52" s="30"/>
      <c r="H52" s="6" t="s">
        <v>146</v>
      </c>
    </row>
    <row r="53" spans="2:43" x14ac:dyDescent="0.2">
      <c r="B53" s="30" t="s">
        <v>93</v>
      </c>
      <c r="H53" s="6" t="s">
        <v>147</v>
      </c>
    </row>
    <row r="54" spans="2:43" x14ac:dyDescent="0.2">
      <c r="B54" s="30" t="s">
        <v>89</v>
      </c>
      <c r="H54" s="6" t="s">
        <v>148</v>
      </c>
    </row>
    <row r="55" spans="2:43" x14ac:dyDescent="0.2">
      <c r="B55" s="5"/>
    </row>
    <row r="56" spans="2:43" x14ac:dyDescent="0.2">
      <c r="B56" s="5"/>
    </row>
    <row r="57" spans="2:43" x14ac:dyDescent="0.2">
      <c r="B57" s="5"/>
    </row>
    <row r="58" spans="2:43" x14ac:dyDescent="0.2">
      <c r="B58" s="2" t="s">
        <v>22</v>
      </c>
    </row>
    <row r="59" spans="2:43" ht="5" customHeight="1" x14ac:dyDescent="0.2"/>
    <row r="60" spans="2:43" x14ac:dyDescent="0.2">
      <c r="B60" s="169" t="s">
        <v>318</v>
      </c>
      <c r="C60" s="169"/>
      <c r="D60" s="169"/>
      <c r="E60" s="169"/>
      <c r="F60" s="169"/>
      <c r="G60" s="169"/>
      <c r="H60" s="169"/>
      <c r="I60" s="169"/>
      <c r="J60" s="169"/>
    </row>
    <row r="61" spans="2:43" ht="5" customHeight="1" x14ac:dyDescent="0.2">
      <c r="B61" s="169"/>
      <c r="C61" s="169"/>
      <c r="D61" s="169"/>
      <c r="E61" s="169"/>
      <c r="F61" s="169"/>
      <c r="G61" s="169"/>
      <c r="H61" s="169"/>
      <c r="I61" s="169"/>
      <c r="J61" s="169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</row>
    <row r="62" spans="2:43" ht="20" customHeight="1" x14ac:dyDescent="0.2">
      <c r="B62" s="14" t="s">
        <v>319</v>
      </c>
      <c r="H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10" t="s">
        <v>10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2:43" s="5" customFormat="1" ht="25" customHeight="1" x14ac:dyDescent="0.2">
      <c r="B63" s="170" t="s">
        <v>20</v>
      </c>
      <c r="C63" s="170"/>
      <c r="D63" s="170"/>
      <c r="E63" s="170"/>
      <c r="F63" s="170"/>
      <c r="G63" s="171"/>
      <c r="H63" s="172" t="s">
        <v>19</v>
      </c>
      <c r="I63" s="173"/>
      <c r="J63" s="174"/>
      <c r="K63" s="163" t="s">
        <v>18</v>
      </c>
      <c r="L63" s="164"/>
      <c r="M63" s="165"/>
      <c r="N63" s="163" t="s">
        <v>326</v>
      </c>
      <c r="O63" s="164"/>
      <c r="P63" s="165"/>
      <c r="Q63" s="163" t="s">
        <v>315</v>
      </c>
      <c r="R63" s="164"/>
      <c r="S63" s="165"/>
      <c r="T63" s="163" t="s">
        <v>17</v>
      </c>
      <c r="U63" s="164"/>
      <c r="V63" s="165"/>
      <c r="W63" s="163" t="s">
        <v>16</v>
      </c>
      <c r="X63" s="164"/>
      <c r="Y63" s="165"/>
      <c r="Z63" s="163" t="s">
        <v>47</v>
      </c>
      <c r="AA63" s="164"/>
      <c r="AB63" s="165"/>
      <c r="AC63" s="163" t="s">
        <v>15</v>
      </c>
      <c r="AD63" s="164"/>
      <c r="AE63" s="165"/>
      <c r="AF63" s="163" t="s">
        <v>14</v>
      </c>
      <c r="AG63" s="164"/>
      <c r="AH63" s="164"/>
      <c r="AI63"/>
      <c r="AJ63"/>
      <c r="AK63"/>
      <c r="AN63" s="42" t="s">
        <v>90</v>
      </c>
      <c r="AO63" s="42" t="s">
        <v>151</v>
      </c>
      <c r="AP63" s="42" t="s">
        <v>152</v>
      </c>
      <c r="AQ63" s="42" t="s">
        <v>153</v>
      </c>
    </row>
    <row r="64" spans="2:43" ht="5" customHeight="1" x14ac:dyDescent="0.2">
      <c r="B64" s="4"/>
      <c r="C64" s="3"/>
      <c r="D64" s="3"/>
      <c r="E64" s="3"/>
      <c r="F64" s="3"/>
      <c r="G64" s="3"/>
      <c r="H64" s="3"/>
      <c r="I64" s="3"/>
      <c r="J64" s="3"/>
      <c r="K64" s="166"/>
      <c r="L64" s="167"/>
      <c r="M64" s="168"/>
      <c r="N64" s="166"/>
      <c r="O64" s="167"/>
      <c r="P64" s="168"/>
      <c r="Q64" s="166"/>
      <c r="R64" s="167"/>
      <c r="S64" s="168"/>
      <c r="T64" s="166"/>
      <c r="U64" s="167"/>
      <c r="V64" s="168"/>
      <c r="W64" s="166"/>
      <c r="X64" s="167"/>
      <c r="Y64" s="168"/>
      <c r="Z64" s="166"/>
      <c r="AA64" s="167"/>
      <c r="AB64" s="168"/>
      <c r="AC64" s="166"/>
      <c r="AD64" s="167"/>
      <c r="AE64" s="168"/>
      <c r="AF64" s="166"/>
      <c r="AG64" s="167"/>
      <c r="AH64" s="168"/>
      <c r="AN64" s="43"/>
      <c r="AO64" s="43"/>
      <c r="AP64" s="43"/>
      <c r="AQ64" s="43"/>
    </row>
    <row r="65" spans="2:47" s="5" customFormat="1" ht="20" customHeight="1" x14ac:dyDescent="0.2">
      <c r="B65" s="146" t="s">
        <v>55</v>
      </c>
      <c r="C65" s="147"/>
      <c r="D65" s="147"/>
      <c r="E65" s="147"/>
      <c r="F65" s="147"/>
      <c r="G65" s="148"/>
      <c r="H65" s="149">
        <v>300000</v>
      </c>
      <c r="I65" s="149"/>
      <c r="J65" s="149"/>
      <c r="K65" s="143">
        <f>$H65*$K$32</f>
        <v>150000</v>
      </c>
      <c r="L65" s="144"/>
      <c r="M65" s="145"/>
      <c r="N65" s="143">
        <f>$H65*$K$33</f>
        <v>30000</v>
      </c>
      <c r="O65" s="144"/>
      <c r="P65" s="145"/>
      <c r="Q65" s="143">
        <f>$H65*$K$34</f>
        <v>30000</v>
      </c>
      <c r="R65" s="144"/>
      <c r="S65" s="145"/>
      <c r="T65" s="143">
        <f>$H65*$K$35</f>
        <v>0</v>
      </c>
      <c r="U65" s="144"/>
      <c r="V65" s="145"/>
      <c r="W65" s="143">
        <f>$H65*$K$36</f>
        <v>45000</v>
      </c>
      <c r="X65" s="144"/>
      <c r="Y65" s="145"/>
      <c r="Z65" s="143">
        <f>$H65*$K$37</f>
        <v>0</v>
      </c>
      <c r="AA65" s="144"/>
      <c r="AB65" s="145"/>
      <c r="AC65" s="143">
        <f>$H65*$K$38</f>
        <v>0</v>
      </c>
      <c r="AD65" s="144"/>
      <c r="AE65" s="145"/>
      <c r="AF65" s="143">
        <f>$H65*$K$39</f>
        <v>45000</v>
      </c>
      <c r="AG65" s="144"/>
      <c r="AH65" s="145"/>
      <c r="AL65" s="41">
        <f>SUM(K65:AH65)</f>
        <v>300000</v>
      </c>
      <c r="AN65" s="44">
        <f>H65*$L$143</f>
        <v>165000</v>
      </c>
      <c r="AO65" s="44">
        <f>H65*$L$144</f>
        <v>67500</v>
      </c>
      <c r="AP65" s="44">
        <f>H65*$L$145</f>
        <v>67500</v>
      </c>
      <c r="AQ65" s="45"/>
      <c r="AR65" s="31">
        <f>SUM(AN65:AP65)</f>
        <v>300000</v>
      </c>
      <c r="AS65" s="36">
        <f>AR65/$AR$68</f>
        <v>0.25</v>
      </c>
      <c r="AT65" s="37"/>
      <c r="AU65" s="37"/>
    </row>
    <row r="66" spans="2:47" s="5" customFormat="1" ht="20" customHeight="1" x14ac:dyDescent="0.2">
      <c r="B66" s="146" t="s">
        <v>56</v>
      </c>
      <c r="C66" s="147"/>
      <c r="D66" s="147"/>
      <c r="E66" s="147"/>
      <c r="F66" s="147"/>
      <c r="G66" s="148"/>
      <c r="H66" s="149">
        <v>600000</v>
      </c>
      <c r="I66" s="149"/>
      <c r="J66" s="149"/>
      <c r="K66" s="143">
        <f>$H66*$K$32</f>
        <v>300000</v>
      </c>
      <c r="L66" s="144"/>
      <c r="M66" s="145"/>
      <c r="N66" s="143">
        <f>$H66*$K$33</f>
        <v>60000</v>
      </c>
      <c r="O66" s="144"/>
      <c r="P66" s="145"/>
      <c r="Q66" s="143">
        <f>$H66*$K$34</f>
        <v>60000</v>
      </c>
      <c r="R66" s="144"/>
      <c r="S66" s="145"/>
      <c r="T66" s="143">
        <f>$H66*$K$35</f>
        <v>0</v>
      </c>
      <c r="U66" s="144"/>
      <c r="V66" s="145"/>
      <c r="W66" s="143">
        <f>$H66*$K$36</f>
        <v>90000</v>
      </c>
      <c r="X66" s="144"/>
      <c r="Y66" s="145"/>
      <c r="Z66" s="143">
        <f>$H66*$K$37</f>
        <v>0</v>
      </c>
      <c r="AA66" s="144"/>
      <c r="AB66" s="145"/>
      <c r="AC66" s="143">
        <f>$H66*$K$38</f>
        <v>0</v>
      </c>
      <c r="AD66" s="144"/>
      <c r="AE66" s="145"/>
      <c r="AF66" s="143">
        <f>$H66*$K$39</f>
        <v>90000</v>
      </c>
      <c r="AG66" s="144"/>
      <c r="AH66" s="145"/>
      <c r="AL66" s="41">
        <f>SUM(K66:AH66)</f>
        <v>600000</v>
      </c>
      <c r="AN66" s="44">
        <f>H66*$L$143</f>
        <v>330000</v>
      </c>
      <c r="AO66" s="44">
        <f>H66*$L$144</f>
        <v>135000</v>
      </c>
      <c r="AP66" s="44">
        <f>H66*$L$145</f>
        <v>135000</v>
      </c>
      <c r="AQ66" s="45"/>
      <c r="AR66" s="31">
        <f>SUM(AN66:AP66)</f>
        <v>600000</v>
      </c>
      <c r="AS66" s="36">
        <f>AR66/$AR$68</f>
        <v>0.5</v>
      </c>
      <c r="AT66" s="38">
        <f>AS66-AS65</f>
        <v>0.25</v>
      </c>
      <c r="AU66" s="37"/>
    </row>
    <row r="67" spans="2:47" s="5" customFormat="1" ht="20" customHeight="1" x14ac:dyDescent="0.2">
      <c r="B67" s="146" t="s">
        <v>57</v>
      </c>
      <c r="C67" s="147"/>
      <c r="D67" s="147"/>
      <c r="E67" s="147"/>
      <c r="F67" s="147"/>
      <c r="G67" s="148"/>
      <c r="H67" s="149">
        <v>900000</v>
      </c>
      <c r="I67" s="149"/>
      <c r="J67" s="149"/>
      <c r="K67" s="143">
        <f>$H67*$K$32</f>
        <v>450000</v>
      </c>
      <c r="L67" s="144"/>
      <c r="M67" s="145"/>
      <c r="N67" s="143">
        <f>$H67*$K$33</f>
        <v>90000</v>
      </c>
      <c r="O67" s="144"/>
      <c r="P67" s="145"/>
      <c r="Q67" s="143">
        <f>$H67*$K$34</f>
        <v>90000</v>
      </c>
      <c r="R67" s="144"/>
      <c r="S67" s="145"/>
      <c r="T67" s="143">
        <f>$H67*$K$35</f>
        <v>0</v>
      </c>
      <c r="U67" s="144"/>
      <c r="V67" s="145"/>
      <c r="W67" s="143">
        <f>$H67*$K$36</f>
        <v>135000</v>
      </c>
      <c r="X67" s="144"/>
      <c r="Y67" s="145"/>
      <c r="Z67" s="143">
        <f>$H67*$K$37</f>
        <v>0</v>
      </c>
      <c r="AA67" s="144"/>
      <c r="AB67" s="145"/>
      <c r="AC67" s="143">
        <f>$H67*$K$38</f>
        <v>0</v>
      </c>
      <c r="AD67" s="144"/>
      <c r="AE67" s="145"/>
      <c r="AF67" s="143">
        <f>$H67*$K$39</f>
        <v>135000</v>
      </c>
      <c r="AG67" s="144"/>
      <c r="AH67" s="145"/>
      <c r="AL67" s="41">
        <f>SUM(K67:AH67)</f>
        <v>900000</v>
      </c>
      <c r="AN67" s="44">
        <f>H67*$L$143</f>
        <v>495000.00000000006</v>
      </c>
      <c r="AO67" s="44">
        <f>H67*$L$144</f>
        <v>202500</v>
      </c>
      <c r="AP67" s="44">
        <f>H67*$L$145</f>
        <v>202500</v>
      </c>
      <c r="AQ67" s="45"/>
      <c r="AR67" s="31">
        <f>SUM(AN67:AP67)</f>
        <v>900000</v>
      </c>
      <c r="AS67" s="36">
        <f>AR67/$AR$68</f>
        <v>0.75</v>
      </c>
      <c r="AT67" s="38">
        <f>AS67-AS66</f>
        <v>0.25</v>
      </c>
      <c r="AU67" s="37"/>
    </row>
    <row r="68" spans="2:47" s="5" customFormat="1" ht="20" customHeight="1" x14ac:dyDescent="0.2">
      <c r="B68" s="153" t="s">
        <v>58</v>
      </c>
      <c r="C68" s="154"/>
      <c r="D68" s="154"/>
      <c r="E68" s="154"/>
      <c r="F68" s="154"/>
      <c r="G68" s="155"/>
      <c r="H68" s="156">
        <v>1200000</v>
      </c>
      <c r="I68" s="156"/>
      <c r="J68" s="156"/>
      <c r="K68" s="160">
        <f>$H68*$K$32</f>
        <v>600000</v>
      </c>
      <c r="L68" s="161"/>
      <c r="M68" s="162"/>
      <c r="N68" s="160">
        <f>$H68*$K$33</f>
        <v>120000</v>
      </c>
      <c r="O68" s="161"/>
      <c r="P68" s="162"/>
      <c r="Q68" s="160">
        <f>$H68*$K$34</f>
        <v>120000</v>
      </c>
      <c r="R68" s="161"/>
      <c r="S68" s="162"/>
      <c r="T68" s="160">
        <f>$H68*$K$35</f>
        <v>0</v>
      </c>
      <c r="U68" s="161"/>
      <c r="V68" s="162"/>
      <c r="W68" s="160">
        <f>$H68*$K$36</f>
        <v>180000</v>
      </c>
      <c r="X68" s="161"/>
      <c r="Y68" s="162"/>
      <c r="Z68" s="160">
        <f>$H68*$K$37</f>
        <v>0</v>
      </c>
      <c r="AA68" s="161"/>
      <c r="AB68" s="162"/>
      <c r="AC68" s="160">
        <f>$H68*$K$38</f>
        <v>0</v>
      </c>
      <c r="AD68" s="161"/>
      <c r="AE68" s="162"/>
      <c r="AF68" s="160">
        <f>$H68*$K$39</f>
        <v>180000</v>
      </c>
      <c r="AG68" s="161"/>
      <c r="AH68" s="162"/>
      <c r="AL68" s="41">
        <f>SUM(K68:AH68)</f>
        <v>1200000</v>
      </c>
      <c r="AN68" s="44">
        <f>H68*$L$143</f>
        <v>660000</v>
      </c>
      <c r="AO68" s="44">
        <f>H68*$L$144</f>
        <v>270000</v>
      </c>
      <c r="AP68" s="44">
        <f>H68*$L$145</f>
        <v>270000</v>
      </c>
      <c r="AQ68" s="45"/>
      <c r="AR68" s="31">
        <f>SUM(AN68:AP68)</f>
        <v>1200000</v>
      </c>
      <c r="AS68" s="36">
        <f>AR68/$AR$68</f>
        <v>1</v>
      </c>
      <c r="AT68" s="38">
        <f>AS68-AS67</f>
        <v>0.25</v>
      </c>
      <c r="AU68" s="37"/>
    </row>
    <row r="69" spans="2:47" s="5" customFormat="1" ht="20" customHeight="1" x14ac:dyDescent="0.2">
      <c r="B69" s="146" t="s">
        <v>13</v>
      </c>
      <c r="C69" s="147"/>
      <c r="D69" s="147"/>
      <c r="E69" s="147"/>
      <c r="F69" s="147"/>
      <c r="G69" s="148"/>
      <c r="H69" s="149">
        <v>1500000</v>
      </c>
      <c r="I69" s="149"/>
      <c r="J69" s="149"/>
      <c r="K69" s="143">
        <f>$H69*$K$32</f>
        <v>750000</v>
      </c>
      <c r="L69" s="144"/>
      <c r="M69" s="145"/>
      <c r="N69" s="143">
        <f>$H69*$K$33</f>
        <v>150000</v>
      </c>
      <c r="O69" s="144"/>
      <c r="P69" s="145"/>
      <c r="Q69" s="143">
        <f>$H69*$K$34</f>
        <v>150000</v>
      </c>
      <c r="R69" s="144"/>
      <c r="S69" s="145"/>
      <c r="T69" s="143">
        <f>$H69*$K$35</f>
        <v>0</v>
      </c>
      <c r="U69" s="144"/>
      <c r="V69" s="145"/>
      <c r="W69" s="143">
        <f>$H69*$K$36</f>
        <v>225000</v>
      </c>
      <c r="X69" s="144"/>
      <c r="Y69" s="145"/>
      <c r="Z69" s="143">
        <f>$H69*$K$37</f>
        <v>0</v>
      </c>
      <c r="AA69" s="144"/>
      <c r="AB69" s="145"/>
      <c r="AC69" s="143">
        <f>$H69*$K$38</f>
        <v>0</v>
      </c>
      <c r="AD69" s="144"/>
      <c r="AE69" s="145"/>
      <c r="AF69" s="143">
        <f>$H69*$K$39</f>
        <v>225000</v>
      </c>
      <c r="AG69" s="144"/>
      <c r="AH69" s="145"/>
      <c r="AL69" s="41">
        <f>SUM(K69:AH69)</f>
        <v>1500000</v>
      </c>
      <c r="AN69" s="44">
        <f>H69*$L$143</f>
        <v>825000.00000000012</v>
      </c>
      <c r="AO69" s="44">
        <f>H69*$L$144</f>
        <v>337500</v>
      </c>
      <c r="AP69" s="44">
        <f>H69*$L$145</f>
        <v>337500</v>
      </c>
      <c r="AQ69" s="45"/>
      <c r="AR69" s="31">
        <f>SUM(AN69:AP69)</f>
        <v>1500000</v>
      </c>
      <c r="AS69" s="36">
        <f>AR69/$AR$68</f>
        <v>1.25</v>
      </c>
      <c r="AT69" s="38">
        <f>AS69-AS68</f>
        <v>0.25</v>
      </c>
      <c r="AU69" s="37"/>
    </row>
    <row r="70" spans="2:47" x14ac:dyDescent="0.2">
      <c r="AL70" s="40"/>
      <c r="AN70" s="43"/>
      <c r="AO70" s="43"/>
      <c r="AP70" s="43"/>
      <c r="AQ70" s="43"/>
      <c r="AS70" s="40"/>
      <c r="AT70" s="40"/>
      <c r="AU70" s="40"/>
    </row>
    <row r="71" spans="2:47" x14ac:dyDescent="0.2">
      <c r="AL71" s="40"/>
      <c r="AN71" s="43"/>
      <c r="AO71" s="43"/>
      <c r="AP71" s="43"/>
      <c r="AQ71" s="43"/>
      <c r="AS71" s="40"/>
      <c r="AT71" s="40"/>
      <c r="AU71" s="40"/>
    </row>
    <row r="72" spans="2:47" x14ac:dyDescent="0.2">
      <c r="B72" s="169" t="s">
        <v>318</v>
      </c>
      <c r="C72" s="169"/>
      <c r="D72" s="169"/>
      <c r="E72" s="169"/>
      <c r="F72" s="169"/>
      <c r="G72" s="169"/>
      <c r="H72" s="169"/>
      <c r="I72" s="169"/>
      <c r="J72" s="169"/>
      <c r="AL72" s="40"/>
      <c r="AN72" s="43"/>
      <c r="AO72" s="43"/>
      <c r="AP72" s="43"/>
      <c r="AQ72" s="43"/>
      <c r="AS72" s="40"/>
      <c r="AT72" s="40"/>
      <c r="AU72" s="40"/>
    </row>
    <row r="73" spans="2:47" ht="5" customHeight="1" x14ac:dyDescent="0.2">
      <c r="B73" s="169"/>
      <c r="C73" s="169"/>
      <c r="D73" s="169"/>
      <c r="E73" s="169"/>
      <c r="F73" s="169"/>
      <c r="G73" s="169"/>
      <c r="H73" s="169"/>
      <c r="I73" s="169"/>
      <c r="J73" s="169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L73" s="40"/>
      <c r="AN73" s="43"/>
      <c r="AO73" s="43"/>
      <c r="AP73" s="43"/>
      <c r="AQ73" s="43"/>
      <c r="AS73" s="40"/>
      <c r="AT73" s="40"/>
      <c r="AU73" s="40"/>
    </row>
    <row r="74" spans="2:47" ht="20" customHeight="1" x14ac:dyDescent="0.2">
      <c r="B74" s="14" t="s">
        <v>320</v>
      </c>
      <c r="H74" s="6"/>
      <c r="J74" s="6"/>
      <c r="K74" s="8"/>
      <c r="L74" s="8"/>
      <c r="M74" s="8"/>
      <c r="N74" s="8"/>
      <c r="O74" s="8"/>
      <c r="P74" s="8"/>
      <c r="Q74" s="8"/>
      <c r="R74" s="8"/>
      <c r="S74" s="8"/>
      <c r="T74" s="8"/>
      <c r="U74" s="10" t="s">
        <v>10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L74" s="40"/>
      <c r="AN74" s="43"/>
      <c r="AO74" s="43"/>
      <c r="AP74" s="43"/>
      <c r="AQ74" s="43"/>
      <c r="AS74" s="40"/>
      <c r="AT74" s="40"/>
      <c r="AU74" s="40"/>
    </row>
    <row r="75" spans="2:47" s="5" customFormat="1" ht="25" customHeight="1" x14ac:dyDescent="0.2">
      <c r="B75" s="170" t="s">
        <v>20</v>
      </c>
      <c r="C75" s="170"/>
      <c r="D75" s="170"/>
      <c r="E75" s="170"/>
      <c r="F75" s="170"/>
      <c r="G75" s="171"/>
      <c r="H75" s="172" t="s">
        <v>19</v>
      </c>
      <c r="I75" s="173"/>
      <c r="J75" s="174"/>
      <c r="K75" s="163" t="s">
        <v>18</v>
      </c>
      <c r="L75" s="164"/>
      <c r="M75" s="165"/>
      <c r="N75" s="163" t="s">
        <v>326</v>
      </c>
      <c r="O75" s="164"/>
      <c r="P75" s="165"/>
      <c r="Q75" s="163" t="s">
        <v>315</v>
      </c>
      <c r="R75" s="164"/>
      <c r="S75" s="165"/>
      <c r="T75" s="163" t="s">
        <v>17</v>
      </c>
      <c r="U75" s="164"/>
      <c r="V75" s="165"/>
      <c r="W75" s="163" t="s">
        <v>16</v>
      </c>
      <c r="X75" s="164"/>
      <c r="Y75" s="165"/>
      <c r="Z75" s="163" t="s">
        <v>47</v>
      </c>
      <c r="AA75" s="164"/>
      <c r="AB75" s="165"/>
      <c r="AC75" s="163" t="s">
        <v>15</v>
      </c>
      <c r="AD75" s="164"/>
      <c r="AE75" s="165"/>
      <c r="AF75" s="163" t="s">
        <v>14</v>
      </c>
      <c r="AG75" s="164"/>
      <c r="AH75" s="164"/>
      <c r="AI75"/>
      <c r="AJ75"/>
      <c r="AK75"/>
      <c r="AL75" s="37"/>
      <c r="AN75" s="42" t="s">
        <v>90</v>
      </c>
      <c r="AO75" s="42" t="s">
        <v>151</v>
      </c>
      <c r="AP75" s="42" t="s">
        <v>152</v>
      </c>
      <c r="AQ75" s="42" t="s">
        <v>153</v>
      </c>
      <c r="AS75" s="37"/>
      <c r="AT75" s="37"/>
      <c r="AU75" s="37"/>
    </row>
    <row r="76" spans="2:47" ht="5" customHeight="1" x14ac:dyDescent="0.2">
      <c r="B76" s="4"/>
      <c r="C76" s="3"/>
      <c r="D76" s="3"/>
      <c r="E76" s="3"/>
      <c r="F76" s="3"/>
      <c r="G76" s="3"/>
      <c r="H76" s="3"/>
      <c r="I76" s="3"/>
      <c r="J76" s="3"/>
      <c r="K76" s="166"/>
      <c r="L76" s="167"/>
      <c r="M76" s="168"/>
      <c r="N76" s="166"/>
      <c r="O76" s="167"/>
      <c r="P76" s="168"/>
      <c r="Q76" s="166"/>
      <c r="R76" s="167"/>
      <c r="S76" s="168"/>
      <c r="T76" s="166"/>
      <c r="U76" s="167"/>
      <c r="V76" s="168"/>
      <c r="W76" s="166"/>
      <c r="X76" s="167"/>
      <c r="Y76" s="168"/>
      <c r="Z76" s="166"/>
      <c r="AA76" s="167"/>
      <c r="AB76" s="168"/>
      <c r="AC76" s="166"/>
      <c r="AD76" s="167"/>
      <c r="AE76" s="168"/>
      <c r="AF76" s="166"/>
      <c r="AG76" s="167"/>
      <c r="AH76" s="168"/>
      <c r="AL76" s="40"/>
      <c r="AN76" s="43"/>
      <c r="AO76" s="43"/>
      <c r="AP76" s="43"/>
      <c r="AQ76" s="43"/>
      <c r="AS76" s="40"/>
      <c r="AT76" s="40"/>
      <c r="AU76" s="40"/>
    </row>
    <row r="77" spans="2:47" s="5" customFormat="1" ht="20" customHeight="1" x14ac:dyDescent="0.2">
      <c r="B77" s="146" t="s">
        <v>55</v>
      </c>
      <c r="C77" s="147"/>
      <c r="D77" s="147"/>
      <c r="E77" s="147"/>
      <c r="F77" s="147"/>
      <c r="G77" s="148"/>
      <c r="H77" s="149">
        <v>225000</v>
      </c>
      <c r="I77" s="149"/>
      <c r="J77" s="149"/>
      <c r="K77" s="150">
        <f>$H77*$K$32</f>
        <v>112500</v>
      </c>
      <c r="L77" s="151"/>
      <c r="M77" s="152"/>
      <c r="N77" s="143">
        <f>$H77*$K$33</f>
        <v>22500</v>
      </c>
      <c r="O77" s="144"/>
      <c r="P77" s="145"/>
      <c r="Q77" s="143">
        <f>$H77*$K$34</f>
        <v>22500</v>
      </c>
      <c r="R77" s="144"/>
      <c r="S77" s="145"/>
      <c r="T77" s="143">
        <f>$H77*$K$35</f>
        <v>0</v>
      </c>
      <c r="U77" s="144"/>
      <c r="V77" s="145"/>
      <c r="W77" s="143">
        <f>$H77*$K$36</f>
        <v>33750</v>
      </c>
      <c r="X77" s="144"/>
      <c r="Y77" s="145"/>
      <c r="Z77" s="143">
        <f>$H77*$K$37</f>
        <v>0</v>
      </c>
      <c r="AA77" s="144"/>
      <c r="AB77" s="145"/>
      <c r="AC77" s="143">
        <f>$H77*$K$38</f>
        <v>0</v>
      </c>
      <c r="AD77" s="144"/>
      <c r="AE77" s="145"/>
      <c r="AF77" s="143">
        <f>$H77*$K$39</f>
        <v>33750</v>
      </c>
      <c r="AG77" s="144"/>
      <c r="AH77" s="145"/>
      <c r="AL77" s="41">
        <f>SUM(K77:AH77)</f>
        <v>225000</v>
      </c>
      <c r="AN77" s="44">
        <f>H77*$P$143</f>
        <v>157500</v>
      </c>
      <c r="AO77" s="44">
        <f>H77*$P$144</f>
        <v>67500</v>
      </c>
      <c r="AP77" s="44">
        <f>H77*$P$145</f>
        <v>0</v>
      </c>
      <c r="AQ77" s="45"/>
      <c r="AR77" s="31">
        <f>SUM(AN77:AP77)</f>
        <v>225000</v>
      </c>
      <c r="AS77" s="36">
        <f>AR77/$AR$80</f>
        <v>0.25</v>
      </c>
      <c r="AT77" s="37"/>
      <c r="AU77" s="37"/>
    </row>
    <row r="78" spans="2:47" s="5" customFormat="1" ht="20" customHeight="1" x14ac:dyDescent="0.2">
      <c r="B78" s="146" t="s">
        <v>56</v>
      </c>
      <c r="C78" s="147"/>
      <c r="D78" s="147"/>
      <c r="E78" s="147"/>
      <c r="F78" s="147"/>
      <c r="G78" s="148"/>
      <c r="H78" s="149">
        <v>450000</v>
      </c>
      <c r="I78" s="149"/>
      <c r="J78" s="149"/>
      <c r="K78" s="150">
        <f>$H78*$K$32</f>
        <v>225000</v>
      </c>
      <c r="L78" s="151"/>
      <c r="M78" s="152"/>
      <c r="N78" s="143">
        <f>$H78*$K$33</f>
        <v>45000</v>
      </c>
      <c r="O78" s="144"/>
      <c r="P78" s="145"/>
      <c r="Q78" s="143">
        <f>$H78*$K$34</f>
        <v>45000</v>
      </c>
      <c r="R78" s="144"/>
      <c r="S78" s="145"/>
      <c r="T78" s="143">
        <f>$H78*$K$35</f>
        <v>0</v>
      </c>
      <c r="U78" s="144"/>
      <c r="V78" s="145"/>
      <c r="W78" s="143">
        <f>$H78*$K$36</f>
        <v>67500</v>
      </c>
      <c r="X78" s="144"/>
      <c r="Y78" s="145"/>
      <c r="Z78" s="143">
        <f>$H78*$K$37</f>
        <v>0</v>
      </c>
      <c r="AA78" s="144"/>
      <c r="AB78" s="145"/>
      <c r="AC78" s="143">
        <f>$H78*$K$38</f>
        <v>0</v>
      </c>
      <c r="AD78" s="144"/>
      <c r="AE78" s="145"/>
      <c r="AF78" s="143">
        <f>$H78*$K$39</f>
        <v>67500</v>
      </c>
      <c r="AG78" s="144"/>
      <c r="AH78" s="145"/>
      <c r="AL78" s="41">
        <f>SUM(K78:AH78)</f>
        <v>450000</v>
      </c>
      <c r="AN78" s="44">
        <f>H78*$P$143</f>
        <v>315000</v>
      </c>
      <c r="AO78" s="44">
        <f>H78*$P$144</f>
        <v>135000</v>
      </c>
      <c r="AP78" s="44">
        <f>H78*$P$145</f>
        <v>0</v>
      </c>
      <c r="AQ78" s="45"/>
      <c r="AR78" s="31">
        <f>SUM(AN78:AP78)</f>
        <v>450000</v>
      </c>
      <c r="AS78" s="36">
        <f>AR78/$AR$80</f>
        <v>0.5</v>
      </c>
      <c r="AT78" s="38">
        <f>AS78-AS77</f>
        <v>0.25</v>
      </c>
      <c r="AU78" s="37"/>
    </row>
    <row r="79" spans="2:47" s="5" customFormat="1" ht="20" customHeight="1" x14ac:dyDescent="0.2">
      <c r="B79" s="146" t="s">
        <v>57</v>
      </c>
      <c r="C79" s="147"/>
      <c r="D79" s="147"/>
      <c r="E79" s="147"/>
      <c r="F79" s="147"/>
      <c r="G79" s="148"/>
      <c r="H79" s="149">
        <v>675000</v>
      </c>
      <c r="I79" s="149"/>
      <c r="J79" s="149"/>
      <c r="K79" s="150">
        <f>$H79*$K$32</f>
        <v>337500</v>
      </c>
      <c r="L79" s="151"/>
      <c r="M79" s="152"/>
      <c r="N79" s="143">
        <f>$H79*$K$33</f>
        <v>67500</v>
      </c>
      <c r="O79" s="144"/>
      <c r="P79" s="145"/>
      <c r="Q79" s="143">
        <f>$H79*$K$34</f>
        <v>67500</v>
      </c>
      <c r="R79" s="144"/>
      <c r="S79" s="145"/>
      <c r="T79" s="143">
        <f>$H79*$K$35</f>
        <v>0</v>
      </c>
      <c r="U79" s="144"/>
      <c r="V79" s="145"/>
      <c r="W79" s="143">
        <f>$H79*$K$36</f>
        <v>101250</v>
      </c>
      <c r="X79" s="144"/>
      <c r="Y79" s="145"/>
      <c r="Z79" s="143">
        <f>$H79*$K$37</f>
        <v>0</v>
      </c>
      <c r="AA79" s="144"/>
      <c r="AB79" s="145"/>
      <c r="AC79" s="143">
        <f>$H79*$K$38</f>
        <v>0</v>
      </c>
      <c r="AD79" s="144"/>
      <c r="AE79" s="145"/>
      <c r="AF79" s="143">
        <f>$H79*$K$39</f>
        <v>101250</v>
      </c>
      <c r="AG79" s="144"/>
      <c r="AH79" s="145"/>
      <c r="AL79" s="41">
        <f>SUM(K79:AH79)</f>
        <v>675000</v>
      </c>
      <c r="AN79" s="44">
        <f>H79*$P$143</f>
        <v>472499.99999999994</v>
      </c>
      <c r="AO79" s="44">
        <f>H79*$P$144</f>
        <v>202500</v>
      </c>
      <c r="AP79" s="44">
        <f>H79*$P$145</f>
        <v>0</v>
      </c>
      <c r="AQ79" s="45"/>
      <c r="AR79" s="31">
        <f>SUM(AN79:AP79)</f>
        <v>675000</v>
      </c>
      <c r="AS79" s="36">
        <f>AR79/$AR$80</f>
        <v>0.75</v>
      </c>
      <c r="AT79" s="38">
        <f>AS79-AS78</f>
        <v>0.25</v>
      </c>
      <c r="AU79" s="37"/>
    </row>
    <row r="80" spans="2:47" s="5" customFormat="1" ht="20" customHeight="1" x14ac:dyDescent="0.2">
      <c r="B80" s="153" t="s">
        <v>58</v>
      </c>
      <c r="C80" s="154"/>
      <c r="D80" s="154"/>
      <c r="E80" s="154"/>
      <c r="F80" s="154"/>
      <c r="G80" s="155"/>
      <c r="H80" s="156">
        <v>900000</v>
      </c>
      <c r="I80" s="156"/>
      <c r="J80" s="156"/>
      <c r="K80" s="157">
        <f>$H80*$K$32</f>
        <v>450000</v>
      </c>
      <c r="L80" s="158"/>
      <c r="M80" s="159"/>
      <c r="N80" s="160">
        <f>$H80*$K$33</f>
        <v>90000</v>
      </c>
      <c r="O80" s="161"/>
      <c r="P80" s="162"/>
      <c r="Q80" s="160">
        <f>$H80*$K$34</f>
        <v>90000</v>
      </c>
      <c r="R80" s="161"/>
      <c r="S80" s="162"/>
      <c r="T80" s="160">
        <f>$H80*$K$35</f>
        <v>0</v>
      </c>
      <c r="U80" s="161"/>
      <c r="V80" s="162"/>
      <c r="W80" s="160">
        <f>$H80*$K$36</f>
        <v>135000</v>
      </c>
      <c r="X80" s="161"/>
      <c r="Y80" s="162"/>
      <c r="Z80" s="160">
        <f>$H80*$K$37</f>
        <v>0</v>
      </c>
      <c r="AA80" s="161"/>
      <c r="AB80" s="162"/>
      <c r="AC80" s="160">
        <f>$H80*$K$38</f>
        <v>0</v>
      </c>
      <c r="AD80" s="161"/>
      <c r="AE80" s="162"/>
      <c r="AF80" s="160">
        <f>$H80*$K$39</f>
        <v>135000</v>
      </c>
      <c r="AG80" s="161"/>
      <c r="AH80" s="162"/>
      <c r="AL80" s="41">
        <f>SUM(K80:AH80)</f>
        <v>900000</v>
      </c>
      <c r="AN80" s="44">
        <f>H80*$P$143</f>
        <v>630000</v>
      </c>
      <c r="AO80" s="44">
        <f>H80*$P$144</f>
        <v>270000</v>
      </c>
      <c r="AP80" s="44">
        <f>H80*$P$145</f>
        <v>0</v>
      </c>
      <c r="AQ80" s="45"/>
      <c r="AR80" s="31">
        <f>SUM(AN80:AP80)</f>
        <v>900000</v>
      </c>
      <c r="AS80" s="36">
        <f>AR80/$AR$80</f>
        <v>1</v>
      </c>
      <c r="AT80" s="38">
        <f>AS80-AS79</f>
        <v>0.25</v>
      </c>
      <c r="AU80" s="37"/>
    </row>
    <row r="81" spans="2:47" s="5" customFormat="1" ht="20" customHeight="1" x14ac:dyDescent="0.2">
      <c r="B81" s="146" t="s">
        <v>13</v>
      </c>
      <c r="C81" s="147"/>
      <c r="D81" s="147"/>
      <c r="E81" s="147"/>
      <c r="F81" s="147"/>
      <c r="G81" s="148"/>
      <c r="H81" s="149">
        <v>1125000</v>
      </c>
      <c r="I81" s="149"/>
      <c r="J81" s="149"/>
      <c r="K81" s="150">
        <f>$H81*$K$32</f>
        <v>562500</v>
      </c>
      <c r="L81" s="151"/>
      <c r="M81" s="152"/>
      <c r="N81" s="143">
        <f>$H81*$K$33</f>
        <v>112500</v>
      </c>
      <c r="O81" s="144"/>
      <c r="P81" s="145"/>
      <c r="Q81" s="143">
        <f>$H81*$K$34</f>
        <v>112500</v>
      </c>
      <c r="R81" s="144"/>
      <c r="S81" s="145"/>
      <c r="T81" s="143">
        <f>$H81*$K$35</f>
        <v>0</v>
      </c>
      <c r="U81" s="144"/>
      <c r="V81" s="145"/>
      <c r="W81" s="143">
        <f>$H81*$K$36</f>
        <v>168750</v>
      </c>
      <c r="X81" s="144"/>
      <c r="Y81" s="145"/>
      <c r="Z81" s="143">
        <f>$H81*$K$37</f>
        <v>0</v>
      </c>
      <c r="AA81" s="144"/>
      <c r="AB81" s="145"/>
      <c r="AC81" s="143">
        <f>$H81*$K$38</f>
        <v>0</v>
      </c>
      <c r="AD81" s="144"/>
      <c r="AE81" s="145"/>
      <c r="AF81" s="143">
        <f>$H81*$K$39</f>
        <v>168750</v>
      </c>
      <c r="AG81" s="144"/>
      <c r="AH81" s="145"/>
      <c r="AL81" s="41">
        <f>SUM(K81:AH81)</f>
        <v>1125000</v>
      </c>
      <c r="AN81" s="44">
        <f>H81*$P$143</f>
        <v>787500</v>
      </c>
      <c r="AO81" s="44">
        <f>H81*$P$144</f>
        <v>337500</v>
      </c>
      <c r="AP81" s="44">
        <f>H81*$P$145</f>
        <v>0</v>
      </c>
      <c r="AQ81" s="45"/>
      <c r="AR81" s="31">
        <f>SUM(AN81:AP81)</f>
        <v>1125000</v>
      </c>
      <c r="AS81" s="36">
        <f>AR81/$AR$80</f>
        <v>1.25</v>
      </c>
      <c r="AT81" s="38">
        <f>AS81-AS80</f>
        <v>0.25</v>
      </c>
      <c r="AU81" s="37"/>
    </row>
    <row r="82" spans="2:47" x14ac:dyDescent="0.2">
      <c r="AL82" s="40"/>
      <c r="AN82" s="43"/>
      <c r="AO82" s="43"/>
      <c r="AP82" s="43"/>
      <c r="AQ82" s="43"/>
      <c r="AS82" s="40"/>
      <c r="AT82" s="40"/>
      <c r="AU82" s="40"/>
    </row>
    <row r="83" spans="2:47" x14ac:dyDescent="0.2">
      <c r="AL83" s="40"/>
      <c r="AN83" s="46"/>
      <c r="AO83" s="43"/>
      <c r="AP83" s="43"/>
      <c r="AQ83" s="43"/>
      <c r="AS83" s="40"/>
      <c r="AT83" s="40"/>
      <c r="AU83" s="40"/>
    </row>
    <row r="84" spans="2:47" x14ac:dyDescent="0.2">
      <c r="B84" s="2" t="s">
        <v>22</v>
      </c>
    </row>
    <row r="85" spans="2:47" ht="5" customHeight="1" x14ac:dyDescent="0.2"/>
    <row r="86" spans="2:47" x14ac:dyDescent="0.2">
      <c r="B86" s="169" t="s">
        <v>321</v>
      </c>
      <c r="C86" s="169"/>
      <c r="D86" s="169"/>
      <c r="E86" s="169"/>
      <c r="F86" s="169"/>
      <c r="G86" s="169"/>
      <c r="H86" s="169"/>
      <c r="I86" s="169"/>
      <c r="J86" s="169"/>
    </row>
    <row r="87" spans="2:47" ht="5" customHeight="1" x14ac:dyDescent="0.2">
      <c r="B87" s="169"/>
      <c r="C87" s="169"/>
      <c r="D87" s="169"/>
      <c r="E87" s="169"/>
      <c r="F87" s="169"/>
      <c r="G87" s="169"/>
      <c r="H87" s="169"/>
      <c r="I87" s="169"/>
      <c r="J87" s="169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</row>
    <row r="88" spans="2:47" ht="20" customHeight="1" x14ac:dyDescent="0.2">
      <c r="B88" s="14" t="s">
        <v>322</v>
      </c>
      <c r="H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10" t="s">
        <v>10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2:47" s="5" customFormat="1" ht="25" customHeight="1" x14ac:dyDescent="0.2">
      <c r="B89" s="170" t="s">
        <v>20</v>
      </c>
      <c r="C89" s="170"/>
      <c r="D89" s="170"/>
      <c r="E89" s="170"/>
      <c r="F89" s="170"/>
      <c r="G89" s="171"/>
      <c r="H89" s="172" t="s">
        <v>19</v>
      </c>
      <c r="I89" s="173"/>
      <c r="J89" s="174"/>
      <c r="K89" s="163" t="s">
        <v>18</v>
      </c>
      <c r="L89" s="164"/>
      <c r="M89" s="165"/>
      <c r="N89" s="163" t="s">
        <v>326</v>
      </c>
      <c r="O89" s="164"/>
      <c r="P89" s="165"/>
      <c r="Q89" s="163" t="s">
        <v>315</v>
      </c>
      <c r="R89" s="164"/>
      <c r="S89" s="165"/>
      <c r="T89" s="163" t="s">
        <v>17</v>
      </c>
      <c r="U89" s="164"/>
      <c r="V89" s="165"/>
      <c r="W89" s="163" t="s">
        <v>16</v>
      </c>
      <c r="X89" s="164"/>
      <c r="Y89" s="165"/>
      <c r="Z89" s="163" t="s">
        <v>47</v>
      </c>
      <c r="AA89" s="164"/>
      <c r="AB89" s="165"/>
      <c r="AC89" s="163" t="s">
        <v>15</v>
      </c>
      <c r="AD89" s="164"/>
      <c r="AE89" s="165"/>
      <c r="AF89" s="163" t="s">
        <v>14</v>
      </c>
      <c r="AG89" s="164"/>
      <c r="AH89" s="164"/>
      <c r="AI89"/>
      <c r="AJ89"/>
      <c r="AK89"/>
      <c r="AN89" s="42" t="s">
        <v>90</v>
      </c>
      <c r="AO89" s="42" t="s">
        <v>151</v>
      </c>
      <c r="AP89" s="42" t="s">
        <v>152</v>
      </c>
      <c r="AQ89" s="42" t="s">
        <v>153</v>
      </c>
    </row>
    <row r="90" spans="2:47" ht="5" customHeight="1" x14ac:dyDescent="0.2">
      <c r="B90" s="4"/>
      <c r="C90" s="3"/>
      <c r="D90" s="3"/>
      <c r="E90" s="3"/>
      <c r="F90" s="3"/>
      <c r="G90" s="3"/>
      <c r="H90" s="3"/>
      <c r="I90" s="3"/>
      <c r="J90" s="3"/>
      <c r="K90" s="166"/>
      <c r="L90" s="167"/>
      <c r="M90" s="168"/>
      <c r="N90" s="166"/>
      <c r="O90" s="167"/>
      <c r="P90" s="168"/>
      <c r="Q90" s="166"/>
      <c r="R90" s="167"/>
      <c r="S90" s="168"/>
      <c r="T90" s="166"/>
      <c r="U90" s="167"/>
      <c r="V90" s="168"/>
      <c r="W90" s="166"/>
      <c r="X90" s="167"/>
      <c r="Y90" s="168"/>
      <c r="Z90" s="166"/>
      <c r="AA90" s="167"/>
      <c r="AB90" s="168"/>
      <c r="AC90" s="166"/>
      <c r="AD90" s="167"/>
      <c r="AE90" s="168"/>
      <c r="AF90" s="166"/>
      <c r="AG90" s="167"/>
      <c r="AH90" s="168"/>
      <c r="AN90" s="43"/>
      <c r="AO90" s="43"/>
      <c r="AP90" s="43"/>
      <c r="AQ90" s="43"/>
    </row>
    <row r="91" spans="2:47" s="5" customFormat="1" ht="20" customHeight="1" x14ac:dyDescent="0.2">
      <c r="B91" s="146" t="s">
        <v>55</v>
      </c>
      <c r="C91" s="147"/>
      <c r="D91" s="147"/>
      <c r="E91" s="147"/>
      <c r="F91" s="147"/>
      <c r="G91" s="148"/>
      <c r="H91" s="149">
        <v>300000</v>
      </c>
      <c r="I91" s="149"/>
      <c r="J91" s="149"/>
      <c r="K91" s="143">
        <f>$H91*$M$32</f>
        <v>150000</v>
      </c>
      <c r="L91" s="144"/>
      <c r="M91" s="145"/>
      <c r="N91" s="143">
        <f>$H91*$M$33</f>
        <v>30000</v>
      </c>
      <c r="O91" s="144"/>
      <c r="P91" s="145"/>
      <c r="Q91" s="143">
        <f>$H91*$M$34</f>
        <v>30000</v>
      </c>
      <c r="R91" s="144"/>
      <c r="S91" s="145"/>
      <c r="T91" s="143">
        <f>$H91*$M$35</f>
        <v>0</v>
      </c>
      <c r="U91" s="144"/>
      <c r="V91" s="145"/>
      <c r="W91" s="143">
        <f>$H91*$M$36</f>
        <v>45000</v>
      </c>
      <c r="X91" s="144"/>
      <c r="Y91" s="145"/>
      <c r="Z91" s="143">
        <f>$H91*$M$37</f>
        <v>45000</v>
      </c>
      <c r="AA91" s="144"/>
      <c r="AB91" s="145"/>
      <c r="AC91" s="143">
        <f>$H91*$M$38</f>
        <v>0</v>
      </c>
      <c r="AD91" s="144"/>
      <c r="AE91" s="145"/>
      <c r="AF91" s="143">
        <f>$H91*$M$39</f>
        <v>0</v>
      </c>
      <c r="AG91" s="144"/>
      <c r="AH91" s="145"/>
      <c r="AL91" s="41">
        <f>SUM(K91:AH91)</f>
        <v>300000</v>
      </c>
      <c r="AN91" s="44">
        <f>H91*$L$143</f>
        <v>165000</v>
      </c>
      <c r="AO91" s="44">
        <f>H91*$L$144</f>
        <v>67500</v>
      </c>
      <c r="AP91" s="44">
        <f>H91*$L$145</f>
        <v>67500</v>
      </c>
      <c r="AQ91" s="45"/>
      <c r="AR91" s="31">
        <f>SUM(AN91:AP91)</f>
        <v>300000</v>
      </c>
      <c r="AS91" s="36">
        <f>AR91/$AR$68</f>
        <v>0.25</v>
      </c>
      <c r="AT91" s="37"/>
      <c r="AU91" s="37"/>
    </row>
    <row r="92" spans="2:47" s="5" customFormat="1" ht="20" customHeight="1" x14ac:dyDescent="0.2">
      <c r="B92" s="146" t="s">
        <v>56</v>
      </c>
      <c r="C92" s="147"/>
      <c r="D92" s="147"/>
      <c r="E92" s="147"/>
      <c r="F92" s="147"/>
      <c r="G92" s="148"/>
      <c r="H92" s="149">
        <v>600000</v>
      </c>
      <c r="I92" s="149"/>
      <c r="J92" s="149"/>
      <c r="K92" s="143">
        <f>$H92*$M$32</f>
        <v>300000</v>
      </c>
      <c r="L92" s="144"/>
      <c r="M92" s="145"/>
      <c r="N92" s="143">
        <f>$H92*$M$33</f>
        <v>60000</v>
      </c>
      <c r="O92" s="144"/>
      <c r="P92" s="145"/>
      <c r="Q92" s="143">
        <f>$H92*$M$34</f>
        <v>60000</v>
      </c>
      <c r="R92" s="144"/>
      <c r="S92" s="145"/>
      <c r="T92" s="143">
        <f>$H92*$M$35</f>
        <v>0</v>
      </c>
      <c r="U92" s="144"/>
      <c r="V92" s="145"/>
      <c r="W92" s="143">
        <f>$H92*$M$36</f>
        <v>90000</v>
      </c>
      <c r="X92" s="144"/>
      <c r="Y92" s="145"/>
      <c r="Z92" s="143">
        <f>$H92*$M$37</f>
        <v>90000</v>
      </c>
      <c r="AA92" s="144"/>
      <c r="AB92" s="145"/>
      <c r="AC92" s="143">
        <f>$H92*$M$38</f>
        <v>0</v>
      </c>
      <c r="AD92" s="144"/>
      <c r="AE92" s="145"/>
      <c r="AF92" s="143">
        <f>$H92*$M$39</f>
        <v>0</v>
      </c>
      <c r="AG92" s="144"/>
      <c r="AH92" s="145"/>
      <c r="AL92" s="41">
        <f>SUM(K92:AH92)</f>
        <v>600000</v>
      </c>
      <c r="AN92" s="44">
        <f>H92*$L$143</f>
        <v>330000</v>
      </c>
      <c r="AO92" s="44">
        <f>H92*$L$144</f>
        <v>135000</v>
      </c>
      <c r="AP92" s="44">
        <f>H92*$L$145</f>
        <v>135000</v>
      </c>
      <c r="AQ92" s="45"/>
      <c r="AR92" s="31">
        <f>SUM(AN92:AP92)</f>
        <v>600000</v>
      </c>
      <c r="AS92" s="36">
        <f>AR92/$AR$68</f>
        <v>0.5</v>
      </c>
      <c r="AT92" s="38">
        <f>AS92-AS91</f>
        <v>0.25</v>
      </c>
      <c r="AU92" s="37"/>
    </row>
    <row r="93" spans="2:47" s="5" customFormat="1" ht="20" customHeight="1" x14ac:dyDescent="0.2">
      <c r="B93" s="146" t="s">
        <v>57</v>
      </c>
      <c r="C93" s="147"/>
      <c r="D93" s="147"/>
      <c r="E93" s="147"/>
      <c r="F93" s="147"/>
      <c r="G93" s="148"/>
      <c r="H93" s="149">
        <v>900000</v>
      </c>
      <c r="I93" s="149"/>
      <c r="J93" s="149"/>
      <c r="K93" s="143">
        <f>$H93*$M$32</f>
        <v>450000</v>
      </c>
      <c r="L93" s="144"/>
      <c r="M93" s="145"/>
      <c r="N93" s="143">
        <f>$H93*$M$33</f>
        <v>90000</v>
      </c>
      <c r="O93" s="144"/>
      <c r="P93" s="145"/>
      <c r="Q93" s="143">
        <f>$H93*$M$34</f>
        <v>90000</v>
      </c>
      <c r="R93" s="144"/>
      <c r="S93" s="145"/>
      <c r="T93" s="143">
        <f>$H93*$M$35</f>
        <v>0</v>
      </c>
      <c r="U93" s="144"/>
      <c r="V93" s="145"/>
      <c r="W93" s="143">
        <f>$H93*$M$36</f>
        <v>135000</v>
      </c>
      <c r="X93" s="144"/>
      <c r="Y93" s="145"/>
      <c r="Z93" s="143">
        <f>$H93*$M$37</f>
        <v>135000</v>
      </c>
      <c r="AA93" s="144"/>
      <c r="AB93" s="145"/>
      <c r="AC93" s="143">
        <f>$H93*$M$38</f>
        <v>0</v>
      </c>
      <c r="AD93" s="144"/>
      <c r="AE93" s="145"/>
      <c r="AF93" s="143">
        <f>$H93*$M$39</f>
        <v>0</v>
      </c>
      <c r="AG93" s="144"/>
      <c r="AH93" s="145"/>
      <c r="AL93" s="41">
        <f>SUM(K93:AH93)</f>
        <v>900000</v>
      </c>
      <c r="AN93" s="44">
        <f>H93*$L$143</f>
        <v>495000.00000000006</v>
      </c>
      <c r="AO93" s="44">
        <f>H93*$L$144</f>
        <v>202500</v>
      </c>
      <c r="AP93" s="44">
        <f>H93*$L$145</f>
        <v>202500</v>
      </c>
      <c r="AQ93" s="45"/>
      <c r="AR93" s="31">
        <f>SUM(AN93:AP93)</f>
        <v>900000</v>
      </c>
      <c r="AS93" s="36">
        <f>AR93/$AR$68</f>
        <v>0.75</v>
      </c>
      <c r="AT93" s="38">
        <f>AS93-AS92</f>
        <v>0.25</v>
      </c>
      <c r="AU93" s="37"/>
    </row>
    <row r="94" spans="2:47" s="5" customFormat="1" ht="20" customHeight="1" x14ac:dyDescent="0.2">
      <c r="B94" s="153" t="s">
        <v>58</v>
      </c>
      <c r="C94" s="154"/>
      <c r="D94" s="154"/>
      <c r="E94" s="154"/>
      <c r="F94" s="154"/>
      <c r="G94" s="155"/>
      <c r="H94" s="156">
        <v>1200000</v>
      </c>
      <c r="I94" s="156"/>
      <c r="J94" s="156"/>
      <c r="K94" s="160">
        <f>$H94*$M$32</f>
        <v>600000</v>
      </c>
      <c r="L94" s="161"/>
      <c r="M94" s="162"/>
      <c r="N94" s="160">
        <f>$H94*$M$33</f>
        <v>120000</v>
      </c>
      <c r="O94" s="161"/>
      <c r="P94" s="162"/>
      <c r="Q94" s="160">
        <f>$H94*$M$34</f>
        <v>120000</v>
      </c>
      <c r="R94" s="161"/>
      <c r="S94" s="162"/>
      <c r="T94" s="160">
        <f>$H94*$M$35</f>
        <v>0</v>
      </c>
      <c r="U94" s="161"/>
      <c r="V94" s="162"/>
      <c r="W94" s="160">
        <f>$H94*$M$36</f>
        <v>180000</v>
      </c>
      <c r="X94" s="161"/>
      <c r="Y94" s="162"/>
      <c r="Z94" s="160">
        <f>$H94*$M$37</f>
        <v>180000</v>
      </c>
      <c r="AA94" s="161"/>
      <c r="AB94" s="162"/>
      <c r="AC94" s="160">
        <f>$H94*$M$38</f>
        <v>0</v>
      </c>
      <c r="AD94" s="161"/>
      <c r="AE94" s="162"/>
      <c r="AF94" s="160">
        <f>$H94*$M$39</f>
        <v>0</v>
      </c>
      <c r="AG94" s="161"/>
      <c r="AH94" s="162"/>
      <c r="AL94" s="41">
        <f>SUM(K94:AH94)</f>
        <v>1200000</v>
      </c>
      <c r="AN94" s="44">
        <f>H94*$L$143</f>
        <v>660000</v>
      </c>
      <c r="AO94" s="44">
        <f>H94*$L$144</f>
        <v>270000</v>
      </c>
      <c r="AP94" s="44">
        <f>H94*$L$145</f>
        <v>270000</v>
      </c>
      <c r="AQ94" s="45"/>
      <c r="AR94" s="31">
        <f>SUM(AN94:AP94)</f>
        <v>1200000</v>
      </c>
      <c r="AS94" s="36">
        <f>AR94/$AR$68</f>
        <v>1</v>
      </c>
      <c r="AT94" s="38">
        <f>AS94-AS93</f>
        <v>0.25</v>
      </c>
      <c r="AU94" s="37"/>
    </row>
    <row r="95" spans="2:47" s="5" customFormat="1" ht="20" customHeight="1" x14ac:dyDescent="0.2">
      <c r="B95" s="146" t="s">
        <v>13</v>
      </c>
      <c r="C95" s="147"/>
      <c r="D95" s="147"/>
      <c r="E95" s="147"/>
      <c r="F95" s="147"/>
      <c r="G95" s="148"/>
      <c r="H95" s="149">
        <v>1500000</v>
      </c>
      <c r="I95" s="149"/>
      <c r="J95" s="149"/>
      <c r="K95" s="143">
        <f>$H95*$M$32</f>
        <v>750000</v>
      </c>
      <c r="L95" s="144"/>
      <c r="M95" s="145"/>
      <c r="N95" s="143">
        <f>$H95*$M$33</f>
        <v>150000</v>
      </c>
      <c r="O95" s="144"/>
      <c r="P95" s="145"/>
      <c r="Q95" s="143">
        <f>$H95*$M$34</f>
        <v>150000</v>
      </c>
      <c r="R95" s="144"/>
      <c r="S95" s="145"/>
      <c r="T95" s="143">
        <f>$H95*$M$35</f>
        <v>0</v>
      </c>
      <c r="U95" s="144"/>
      <c r="V95" s="145"/>
      <c r="W95" s="143">
        <f>$H95*$M$36</f>
        <v>225000</v>
      </c>
      <c r="X95" s="144"/>
      <c r="Y95" s="145"/>
      <c r="Z95" s="143">
        <f>$H95*$M$37</f>
        <v>225000</v>
      </c>
      <c r="AA95" s="144"/>
      <c r="AB95" s="145"/>
      <c r="AC95" s="143">
        <f>$H95*$M$38</f>
        <v>0</v>
      </c>
      <c r="AD95" s="144"/>
      <c r="AE95" s="145"/>
      <c r="AF95" s="143">
        <f>$H95*$M$39</f>
        <v>0</v>
      </c>
      <c r="AG95" s="144"/>
      <c r="AH95" s="145"/>
      <c r="AL95" s="41">
        <f>SUM(K95:AH95)</f>
        <v>1500000</v>
      </c>
      <c r="AN95" s="44">
        <f>H95*$L$143</f>
        <v>825000.00000000012</v>
      </c>
      <c r="AO95" s="44">
        <f>H95*$L$144</f>
        <v>337500</v>
      </c>
      <c r="AP95" s="44">
        <f>H95*$L$145</f>
        <v>337500</v>
      </c>
      <c r="AQ95" s="45"/>
      <c r="AR95" s="31">
        <f>SUM(AN95:AP95)</f>
        <v>1500000</v>
      </c>
      <c r="AS95" s="36">
        <f>AR95/$AR$68</f>
        <v>1.25</v>
      </c>
      <c r="AT95" s="38">
        <f>AS95-AS94</f>
        <v>0.25</v>
      </c>
      <c r="AU95" s="37"/>
    </row>
    <row r="96" spans="2:47" x14ac:dyDescent="0.2">
      <c r="AL96" s="40"/>
      <c r="AN96" s="43"/>
      <c r="AO96" s="43"/>
      <c r="AP96" s="43"/>
      <c r="AQ96" s="43"/>
      <c r="AS96" s="40"/>
      <c r="AT96" s="40"/>
      <c r="AU96" s="40"/>
    </row>
    <row r="97" spans="2:47" x14ac:dyDescent="0.2">
      <c r="AL97" s="40"/>
      <c r="AN97" s="43"/>
      <c r="AO97" s="43"/>
      <c r="AP97" s="43"/>
      <c r="AQ97" s="43"/>
      <c r="AS97" s="40"/>
      <c r="AT97" s="40"/>
      <c r="AU97" s="40"/>
    </row>
    <row r="98" spans="2:47" x14ac:dyDescent="0.2">
      <c r="B98" s="169" t="s">
        <v>321</v>
      </c>
      <c r="C98" s="169"/>
      <c r="D98" s="169"/>
      <c r="E98" s="169"/>
      <c r="F98" s="169"/>
      <c r="G98" s="169"/>
      <c r="H98" s="169"/>
      <c r="I98" s="169"/>
      <c r="J98" s="169"/>
      <c r="AL98" s="40"/>
      <c r="AN98" s="43"/>
      <c r="AO98" s="43"/>
      <c r="AP98" s="43"/>
      <c r="AQ98" s="43"/>
      <c r="AS98" s="40"/>
      <c r="AT98" s="40"/>
      <c r="AU98" s="40"/>
    </row>
    <row r="99" spans="2:47" ht="5" customHeight="1" x14ac:dyDescent="0.2">
      <c r="B99" s="169"/>
      <c r="C99" s="169"/>
      <c r="D99" s="169"/>
      <c r="E99" s="169"/>
      <c r="F99" s="169"/>
      <c r="G99" s="169"/>
      <c r="H99" s="169"/>
      <c r="I99" s="169"/>
      <c r="J99" s="169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L99" s="40"/>
      <c r="AN99" s="43"/>
      <c r="AO99" s="43"/>
      <c r="AP99" s="43"/>
      <c r="AQ99" s="43"/>
      <c r="AS99" s="40"/>
      <c r="AT99" s="40"/>
      <c r="AU99" s="40"/>
    </row>
    <row r="100" spans="2:47" ht="20" customHeight="1" x14ac:dyDescent="0.2">
      <c r="B100" s="14" t="s">
        <v>320</v>
      </c>
      <c r="H100" s="6"/>
      <c r="J100" s="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10" t="s">
        <v>10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L100" s="40"/>
      <c r="AN100" s="43"/>
      <c r="AO100" s="43"/>
      <c r="AP100" s="43"/>
      <c r="AQ100" s="43"/>
      <c r="AS100" s="40"/>
      <c r="AT100" s="40"/>
      <c r="AU100" s="40"/>
    </row>
    <row r="101" spans="2:47" s="5" customFormat="1" ht="25" customHeight="1" x14ac:dyDescent="0.2">
      <c r="B101" s="170" t="s">
        <v>20</v>
      </c>
      <c r="C101" s="170"/>
      <c r="D101" s="170"/>
      <c r="E101" s="170"/>
      <c r="F101" s="170"/>
      <c r="G101" s="171"/>
      <c r="H101" s="172" t="s">
        <v>19</v>
      </c>
      <c r="I101" s="173"/>
      <c r="J101" s="174"/>
      <c r="K101" s="163" t="s">
        <v>18</v>
      </c>
      <c r="L101" s="164"/>
      <c r="M101" s="165"/>
      <c r="N101" s="163" t="s">
        <v>326</v>
      </c>
      <c r="O101" s="164"/>
      <c r="P101" s="165"/>
      <c r="Q101" s="163" t="s">
        <v>315</v>
      </c>
      <c r="R101" s="164"/>
      <c r="S101" s="165"/>
      <c r="T101" s="163" t="s">
        <v>17</v>
      </c>
      <c r="U101" s="164"/>
      <c r="V101" s="165"/>
      <c r="W101" s="163" t="s">
        <v>16</v>
      </c>
      <c r="X101" s="164"/>
      <c r="Y101" s="165"/>
      <c r="Z101" s="163" t="s">
        <v>47</v>
      </c>
      <c r="AA101" s="164"/>
      <c r="AB101" s="165"/>
      <c r="AC101" s="163" t="s">
        <v>15</v>
      </c>
      <c r="AD101" s="164"/>
      <c r="AE101" s="165"/>
      <c r="AF101" s="163" t="s">
        <v>14</v>
      </c>
      <c r="AG101" s="164"/>
      <c r="AH101" s="164"/>
      <c r="AI101"/>
      <c r="AJ101"/>
      <c r="AK101"/>
      <c r="AL101" s="37"/>
      <c r="AN101" s="42" t="s">
        <v>90</v>
      </c>
      <c r="AO101" s="42" t="s">
        <v>151</v>
      </c>
      <c r="AP101" s="42" t="s">
        <v>152</v>
      </c>
      <c r="AQ101" s="42" t="s">
        <v>153</v>
      </c>
      <c r="AS101" s="37"/>
      <c r="AT101" s="37"/>
      <c r="AU101" s="37"/>
    </row>
    <row r="102" spans="2:47" ht="5" customHeight="1" x14ac:dyDescent="0.2">
      <c r="B102" s="4"/>
      <c r="C102" s="3"/>
      <c r="D102" s="3"/>
      <c r="E102" s="3"/>
      <c r="F102" s="3"/>
      <c r="G102" s="3"/>
      <c r="H102" s="3"/>
      <c r="I102" s="3"/>
      <c r="J102" s="3"/>
      <c r="K102" s="166"/>
      <c r="L102" s="167"/>
      <c r="M102" s="168"/>
      <c r="N102" s="166"/>
      <c r="O102" s="167"/>
      <c r="P102" s="168"/>
      <c r="Q102" s="166"/>
      <c r="R102" s="167"/>
      <c r="S102" s="168"/>
      <c r="T102" s="166"/>
      <c r="U102" s="167"/>
      <c r="V102" s="168"/>
      <c r="W102" s="166"/>
      <c r="X102" s="167"/>
      <c r="Y102" s="168"/>
      <c r="Z102" s="166"/>
      <c r="AA102" s="167"/>
      <c r="AB102" s="168"/>
      <c r="AC102" s="166"/>
      <c r="AD102" s="167"/>
      <c r="AE102" s="168"/>
      <c r="AF102" s="166"/>
      <c r="AG102" s="167"/>
      <c r="AH102" s="168"/>
      <c r="AL102" s="40"/>
      <c r="AN102" s="43"/>
      <c r="AO102" s="43"/>
      <c r="AP102" s="43"/>
      <c r="AQ102" s="43"/>
      <c r="AS102" s="40"/>
      <c r="AT102" s="40"/>
      <c r="AU102" s="40"/>
    </row>
    <row r="103" spans="2:47" s="5" customFormat="1" ht="20" customHeight="1" x14ac:dyDescent="0.2">
      <c r="B103" s="146" t="s">
        <v>55</v>
      </c>
      <c r="C103" s="147"/>
      <c r="D103" s="147"/>
      <c r="E103" s="147"/>
      <c r="F103" s="147"/>
      <c r="G103" s="148"/>
      <c r="H103" s="149">
        <v>225000</v>
      </c>
      <c r="I103" s="149"/>
      <c r="J103" s="149"/>
      <c r="K103" s="143">
        <f>$H103*$M$32</f>
        <v>112500</v>
      </c>
      <c r="L103" s="144"/>
      <c r="M103" s="145"/>
      <c r="N103" s="143">
        <f>$H103*$M$33</f>
        <v>22500</v>
      </c>
      <c r="O103" s="144"/>
      <c r="P103" s="145"/>
      <c r="Q103" s="143">
        <f>$H103*$M$34</f>
        <v>22500</v>
      </c>
      <c r="R103" s="144"/>
      <c r="S103" s="145"/>
      <c r="T103" s="143">
        <f>$H103*$M$35</f>
        <v>0</v>
      </c>
      <c r="U103" s="144"/>
      <c r="V103" s="145"/>
      <c r="W103" s="143">
        <f>$H103*$M$36</f>
        <v>33750</v>
      </c>
      <c r="X103" s="144"/>
      <c r="Y103" s="145"/>
      <c r="Z103" s="143">
        <f>$H103*$M$37</f>
        <v>33750</v>
      </c>
      <c r="AA103" s="144"/>
      <c r="AB103" s="145"/>
      <c r="AC103" s="143">
        <f>$H103*$M$38</f>
        <v>0</v>
      </c>
      <c r="AD103" s="144"/>
      <c r="AE103" s="145"/>
      <c r="AF103" s="143">
        <f>$H103*$M$39</f>
        <v>0</v>
      </c>
      <c r="AG103" s="144"/>
      <c r="AH103" s="145"/>
      <c r="AL103" s="41">
        <f>SUM(K103:AH103)</f>
        <v>225000</v>
      </c>
      <c r="AN103" s="44">
        <f>H103*$P$143</f>
        <v>157500</v>
      </c>
      <c r="AO103" s="44">
        <f>H103*$P$144</f>
        <v>67500</v>
      </c>
      <c r="AP103" s="44">
        <f>H103*$P$145</f>
        <v>0</v>
      </c>
      <c r="AQ103" s="45"/>
      <c r="AR103" s="31">
        <f>SUM(AN103:AP103)</f>
        <v>225000</v>
      </c>
      <c r="AS103" s="36">
        <f>AR103/$AR$80</f>
        <v>0.25</v>
      </c>
      <c r="AT103" s="37"/>
      <c r="AU103" s="37"/>
    </row>
    <row r="104" spans="2:47" s="5" customFormat="1" ht="20" customHeight="1" x14ac:dyDescent="0.2">
      <c r="B104" s="146" t="s">
        <v>56</v>
      </c>
      <c r="C104" s="147"/>
      <c r="D104" s="147"/>
      <c r="E104" s="147"/>
      <c r="F104" s="147"/>
      <c r="G104" s="148"/>
      <c r="H104" s="149">
        <v>450000</v>
      </c>
      <c r="I104" s="149"/>
      <c r="J104" s="149"/>
      <c r="K104" s="143">
        <f>$H104*$M$32</f>
        <v>225000</v>
      </c>
      <c r="L104" s="144"/>
      <c r="M104" s="145"/>
      <c r="N104" s="143">
        <f>$H104*$M$33</f>
        <v>45000</v>
      </c>
      <c r="O104" s="144"/>
      <c r="P104" s="145"/>
      <c r="Q104" s="143">
        <f>$H104*$M$34</f>
        <v>45000</v>
      </c>
      <c r="R104" s="144"/>
      <c r="S104" s="145"/>
      <c r="T104" s="143">
        <f>$H104*$M$35</f>
        <v>0</v>
      </c>
      <c r="U104" s="144"/>
      <c r="V104" s="145"/>
      <c r="W104" s="143">
        <f>$H104*$M$36</f>
        <v>67500</v>
      </c>
      <c r="X104" s="144"/>
      <c r="Y104" s="145"/>
      <c r="Z104" s="143">
        <f>$H104*$M$37</f>
        <v>67500</v>
      </c>
      <c r="AA104" s="144"/>
      <c r="AB104" s="145"/>
      <c r="AC104" s="143">
        <f>$H104*$M$38</f>
        <v>0</v>
      </c>
      <c r="AD104" s="144"/>
      <c r="AE104" s="145"/>
      <c r="AF104" s="143">
        <f>$H104*$M$39</f>
        <v>0</v>
      </c>
      <c r="AG104" s="144"/>
      <c r="AH104" s="145"/>
      <c r="AL104" s="41">
        <f>SUM(K104:AH104)</f>
        <v>450000</v>
      </c>
      <c r="AN104" s="44">
        <f>H104*$P$143</f>
        <v>315000</v>
      </c>
      <c r="AO104" s="44">
        <f>H104*$P$144</f>
        <v>135000</v>
      </c>
      <c r="AP104" s="44">
        <f>H104*$P$145</f>
        <v>0</v>
      </c>
      <c r="AQ104" s="45"/>
      <c r="AR104" s="31">
        <f>SUM(AN104:AP104)</f>
        <v>450000</v>
      </c>
      <c r="AS104" s="36">
        <f>AR104/$AR$80</f>
        <v>0.5</v>
      </c>
      <c r="AT104" s="38">
        <f>AS104-AS103</f>
        <v>0.25</v>
      </c>
      <c r="AU104" s="37"/>
    </row>
    <row r="105" spans="2:47" s="5" customFormat="1" ht="20" customHeight="1" x14ac:dyDescent="0.2">
      <c r="B105" s="146" t="s">
        <v>57</v>
      </c>
      <c r="C105" s="147"/>
      <c r="D105" s="147"/>
      <c r="E105" s="147"/>
      <c r="F105" s="147"/>
      <c r="G105" s="148"/>
      <c r="H105" s="149">
        <v>675000</v>
      </c>
      <c r="I105" s="149"/>
      <c r="J105" s="149"/>
      <c r="K105" s="143">
        <f>$H105*$M$32</f>
        <v>337500</v>
      </c>
      <c r="L105" s="144"/>
      <c r="M105" s="145"/>
      <c r="N105" s="143">
        <f>$H105*$M$33</f>
        <v>67500</v>
      </c>
      <c r="O105" s="144"/>
      <c r="P105" s="145"/>
      <c r="Q105" s="143">
        <f>$H105*$M$34</f>
        <v>67500</v>
      </c>
      <c r="R105" s="144"/>
      <c r="S105" s="145"/>
      <c r="T105" s="143">
        <f>$H105*$M$35</f>
        <v>0</v>
      </c>
      <c r="U105" s="144"/>
      <c r="V105" s="145"/>
      <c r="W105" s="143">
        <f>$H105*$M$36</f>
        <v>101250</v>
      </c>
      <c r="X105" s="144"/>
      <c r="Y105" s="145"/>
      <c r="Z105" s="143">
        <f>$H105*$M$37</f>
        <v>101250</v>
      </c>
      <c r="AA105" s="144"/>
      <c r="AB105" s="145"/>
      <c r="AC105" s="143">
        <f>$H105*$M$38</f>
        <v>0</v>
      </c>
      <c r="AD105" s="144"/>
      <c r="AE105" s="145"/>
      <c r="AF105" s="143">
        <f>$H105*$M$39</f>
        <v>0</v>
      </c>
      <c r="AG105" s="144"/>
      <c r="AH105" s="145"/>
      <c r="AL105" s="41">
        <f>SUM(K105:AH105)</f>
        <v>675000</v>
      </c>
      <c r="AN105" s="44">
        <f>H105*$P$143</f>
        <v>472499.99999999994</v>
      </c>
      <c r="AO105" s="44">
        <f>H105*$P$144</f>
        <v>202500</v>
      </c>
      <c r="AP105" s="44">
        <f>H105*$P$145</f>
        <v>0</v>
      </c>
      <c r="AQ105" s="45"/>
      <c r="AR105" s="31">
        <f>SUM(AN105:AP105)</f>
        <v>675000</v>
      </c>
      <c r="AS105" s="36">
        <f>AR105/$AR$80</f>
        <v>0.75</v>
      </c>
      <c r="AT105" s="38">
        <f>AS105-AS104</f>
        <v>0.25</v>
      </c>
      <c r="AU105" s="37"/>
    </row>
    <row r="106" spans="2:47" s="5" customFormat="1" ht="20" customHeight="1" x14ac:dyDescent="0.2">
      <c r="B106" s="153" t="s">
        <v>58</v>
      </c>
      <c r="C106" s="154"/>
      <c r="D106" s="154"/>
      <c r="E106" s="154"/>
      <c r="F106" s="154"/>
      <c r="G106" s="155"/>
      <c r="H106" s="156">
        <v>900000</v>
      </c>
      <c r="I106" s="156"/>
      <c r="J106" s="156"/>
      <c r="K106" s="160">
        <f>$H106*$M$32</f>
        <v>450000</v>
      </c>
      <c r="L106" s="161"/>
      <c r="M106" s="162"/>
      <c r="N106" s="160">
        <f>$H106*$M$33</f>
        <v>90000</v>
      </c>
      <c r="O106" s="161"/>
      <c r="P106" s="162"/>
      <c r="Q106" s="160">
        <f>$H106*$M$34</f>
        <v>90000</v>
      </c>
      <c r="R106" s="161"/>
      <c r="S106" s="162"/>
      <c r="T106" s="160">
        <f>$H106*$M$35</f>
        <v>0</v>
      </c>
      <c r="U106" s="161"/>
      <c r="V106" s="162"/>
      <c r="W106" s="160">
        <f>$H106*$M$36</f>
        <v>135000</v>
      </c>
      <c r="X106" s="161"/>
      <c r="Y106" s="162"/>
      <c r="Z106" s="160">
        <f>$H106*$M$37</f>
        <v>135000</v>
      </c>
      <c r="AA106" s="161"/>
      <c r="AB106" s="162"/>
      <c r="AC106" s="160">
        <f>$H106*$M$38</f>
        <v>0</v>
      </c>
      <c r="AD106" s="161"/>
      <c r="AE106" s="162"/>
      <c r="AF106" s="160">
        <f>$H106*$M$39</f>
        <v>0</v>
      </c>
      <c r="AG106" s="161"/>
      <c r="AH106" s="162"/>
      <c r="AL106" s="41">
        <f>SUM(K106:AH106)</f>
        <v>900000</v>
      </c>
      <c r="AN106" s="44">
        <f>H106*$P$143</f>
        <v>630000</v>
      </c>
      <c r="AO106" s="44">
        <f>H106*$P$144</f>
        <v>270000</v>
      </c>
      <c r="AP106" s="44">
        <f>H106*$P$145</f>
        <v>0</v>
      </c>
      <c r="AQ106" s="45"/>
      <c r="AR106" s="31">
        <f>SUM(AN106:AP106)</f>
        <v>900000</v>
      </c>
      <c r="AS106" s="36">
        <f>AR106/$AR$80</f>
        <v>1</v>
      </c>
      <c r="AT106" s="38">
        <f>AS106-AS105</f>
        <v>0.25</v>
      </c>
      <c r="AU106" s="37"/>
    </row>
    <row r="107" spans="2:47" s="5" customFormat="1" ht="20" customHeight="1" x14ac:dyDescent="0.2">
      <c r="B107" s="146" t="s">
        <v>13</v>
      </c>
      <c r="C107" s="147"/>
      <c r="D107" s="147"/>
      <c r="E107" s="147"/>
      <c r="F107" s="147"/>
      <c r="G107" s="148"/>
      <c r="H107" s="149">
        <v>1125000</v>
      </c>
      <c r="I107" s="149"/>
      <c r="J107" s="149"/>
      <c r="K107" s="143">
        <f>$H107*$M$32</f>
        <v>562500</v>
      </c>
      <c r="L107" s="144"/>
      <c r="M107" s="145"/>
      <c r="N107" s="143">
        <f>$H107*$M$33</f>
        <v>112500</v>
      </c>
      <c r="O107" s="144"/>
      <c r="P107" s="145"/>
      <c r="Q107" s="143">
        <f>$H107*$M$34</f>
        <v>112500</v>
      </c>
      <c r="R107" s="144"/>
      <c r="S107" s="145"/>
      <c r="T107" s="143">
        <f>$H107*$M$35</f>
        <v>0</v>
      </c>
      <c r="U107" s="144"/>
      <c r="V107" s="145"/>
      <c r="W107" s="143">
        <f>$H107*$M$36</f>
        <v>168750</v>
      </c>
      <c r="X107" s="144"/>
      <c r="Y107" s="145"/>
      <c r="Z107" s="143">
        <f>$H107*$M$37</f>
        <v>168750</v>
      </c>
      <c r="AA107" s="144"/>
      <c r="AB107" s="145"/>
      <c r="AC107" s="143">
        <f>$H107*$M$38</f>
        <v>0</v>
      </c>
      <c r="AD107" s="144"/>
      <c r="AE107" s="145"/>
      <c r="AF107" s="143">
        <f>$H107*$M$39</f>
        <v>0</v>
      </c>
      <c r="AG107" s="144"/>
      <c r="AH107" s="145"/>
      <c r="AL107" s="41">
        <f>SUM(K107:AH107)</f>
        <v>1125000</v>
      </c>
      <c r="AN107" s="44">
        <f>H107*$P$143</f>
        <v>787500</v>
      </c>
      <c r="AO107" s="44">
        <f>H107*$P$144</f>
        <v>337500</v>
      </c>
      <c r="AP107" s="44">
        <f>H107*$P$145</f>
        <v>0</v>
      </c>
      <c r="AQ107" s="45"/>
      <c r="AR107" s="31">
        <f>SUM(AN107:AP107)</f>
        <v>1125000</v>
      </c>
      <c r="AS107" s="36">
        <f>AR107/$AR$80</f>
        <v>1.25</v>
      </c>
      <c r="AT107" s="38">
        <f>AS107-AS106</f>
        <v>0.25</v>
      </c>
      <c r="AU107" s="37"/>
    </row>
    <row r="108" spans="2:47" x14ac:dyDescent="0.2">
      <c r="AL108" s="40"/>
      <c r="AN108" s="43"/>
      <c r="AO108" s="43"/>
      <c r="AP108" s="43"/>
      <c r="AQ108" s="43"/>
      <c r="AS108" s="40"/>
      <c r="AT108" s="40"/>
      <c r="AU108" s="40"/>
    </row>
    <row r="109" spans="2:47" x14ac:dyDescent="0.2">
      <c r="AL109" s="40"/>
      <c r="AN109" s="46"/>
      <c r="AO109" s="43"/>
      <c r="AP109" s="43"/>
      <c r="AQ109" s="43"/>
      <c r="AS109" s="40"/>
      <c r="AT109" s="40"/>
      <c r="AU109" s="40"/>
    </row>
    <row r="110" spans="2:47" x14ac:dyDescent="0.2">
      <c r="AL110" s="40"/>
      <c r="AN110" s="43"/>
      <c r="AO110" s="43"/>
      <c r="AP110" s="43"/>
      <c r="AQ110" s="43"/>
      <c r="AS110" s="40"/>
      <c r="AT110" s="40"/>
      <c r="AU110" s="40"/>
    </row>
    <row r="111" spans="2:47" x14ac:dyDescent="0.2">
      <c r="B111" s="2" t="s">
        <v>22</v>
      </c>
      <c r="AL111" s="40"/>
      <c r="AN111" s="43"/>
      <c r="AO111" s="43"/>
      <c r="AP111" s="43"/>
      <c r="AQ111" s="43"/>
      <c r="AS111" s="40"/>
      <c r="AT111" s="40"/>
      <c r="AU111" s="40"/>
    </row>
    <row r="112" spans="2:47" ht="5" customHeight="1" x14ac:dyDescent="0.2">
      <c r="AL112" s="40"/>
      <c r="AN112" s="43"/>
      <c r="AO112" s="43"/>
      <c r="AP112" s="43"/>
      <c r="AQ112" s="43"/>
      <c r="AS112" s="40"/>
      <c r="AT112" s="40"/>
      <c r="AU112" s="40"/>
    </row>
    <row r="113" spans="2:47" x14ac:dyDescent="0.2">
      <c r="AL113" s="40"/>
      <c r="AN113" s="47"/>
      <c r="AO113" s="47"/>
      <c r="AP113" s="47"/>
      <c r="AQ113" s="47"/>
      <c r="AR113" s="26"/>
      <c r="AS113" s="40"/>
      <c r="AT113" s="40"/>
      <c r="AU113" s="40"/>
    </row>
    <row r="114" spans="2:47" x14ac:dyDescent="0.2">
      <c r="AL114" s="40"/>
      <c r="AN114" s="43"/>
      <c r="AO114" s="43"/>
      <c r="AP114" s="43"/>
      <c r="AQ114" s="43"/>
      <c r="AS114" s="40"/>
      <c r="AT114" s="40"/>
      <c r="AU114" s="40"/>
    </row>
    <row r="115" spans="2:47" x14ac:dyDescent="0.2">
      <c r="B115" s="169" t="s">
        <v>21</v>
      </c>
      <c r="C115" s="169"/>
      <c r="D115" s="169"/>
      <c r="E115" s="169"/>
      <c r="F115" s="169"/>
      <c r="G115" s="169"/>
      <c r="H115" s="169"/>
      <c r="I115" s="169"/>
      <c r="J115" s="169"/>
      <c r="AL115" s="40"/>
      <c r="AN115" s="43"/>
      <c r="AO115" s="43"/>
      <c r="AP115" s="43"/>
      <c r="AQ115" s="43"/>
      <c r="AS115" s="40"/>
      <c r="AT115" s="40"/>
      <c r="AU115" s="40"/>
    </row>
    <row r="116" spans="2:47" ht="5" customHeight="1" x14ac:dyDescent="0.2">
      <c r="B116" s="169"/>
      <c r="C116" s="169"/>
      <c r="D116" s="169"/>
      <c r="E116" s="169"/>
      <c r="F116" s="169"/>
      <c r="G116" s="169"/>
      <c r="H116" s="169"/>
      <c r="I116" s="169"/>
      <c r="J116" s="169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L116" s="40"/>
      <c r="AN116" s="43"/>
      <c r="AO116" s="43"/>
      <c r="AP116" s="43"/>
      <c r="AQ116" s="43"/>
      <c r="AS116" s="40"/>
      <c r="AT116" s="40"/>
      <c r="AU116" s="40"/>
    </row>
    <row r="117" spans="2:47" ht="20" customHeight="1" x14ac:dyDescent="0.2">
      <c r="B117" s="14" t="s">
        <v>386</v>
      </c>
      <c r="H117" s="6"/>
      <c r="J117" s="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10" t="s">
        <v>10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L117" s="40"/>
      <c r="AN117" s="43"/>
      <c r="AO117" s="43"/>
      <c r="AP117" s="43"/>
      <c r="AQ117" s="43"/>
      <c r="AS117" s="40"/>
      <c r="AT117" s="40"/>
      <c r="AU117" s="40"/>
    </row>
    <row r="118" spans="2:47" s="5" customFormat="1" ht="25" customHeight="1" x14ac:dyDescent="0.2">
      <c r="B118" s="170" t="s">
        <v>20</v>
      </c>
      <c r="C118" s="170"/>
      <c r="D118" s="170"/>
      <c r="E118" s="170"/>
      <c r="F118" s="170"/>
      <c r="G118" s="171"/>
      <c r="H118" s="172" t="s">
        <v>19</v>
      </c>
      <c r="I118" s="173"/>
      <c r="J118" s="174"/>
      <c r="K118" s="163" t="s">
        <v>18</v>
      </c>
      <c r="L118" s="164"/>
      <c r="M118" s="165"/>
      <c r="N118" s="163" t="s">
        <v>326</v>
      </c>
      <c r="O118" s="164"/>
      <c r="P118" s="165"/>
      <c r="Q118" s="163" t="s">
        <v>315</v>
      </c>
      <c r="R118" s="164"/>
      <c r="S118" s="165"/>
      <c r="T118" s="163" t="s">
        <v>17</v>
      </c>
      <c r="U118" s="164"/>
      <c r="V118" s="165"/>
      <c r="W118" s="163" t="s">
        <v>16</v>
      </c>
      <c r="X118" s="164"/>
      <c r="Y118" s="165"/>
      <c r="Z118" s="163" t="s">
        <v>47</v>
      </c>
      <c r="AA118" s="164"/>
      <c r="AB118" s="165"/>
      <c r="AC118" s="163" t="s">
        <v>15</v>
      </c>
      <c r="AD118" s="164"/>
      <c r="AE118" s="165"/>
      <c r="AF118" s="163" t="s">
        <v>14</v>
      </c>
      <c r="AG118" s="164"/>
      <c r="AH118" s="164"/>
      <c r="AI118"/>
      <c r="AJ118"/>
      <c r="AK118"/>
      <c r="AL118" s="37"/>
      <c r="AN118" s="42" t="s">
        <v>90</v>
      </c>
      <c r="AO118" s="42" t="s">
        <v>151</v>
      </c>
      <c r="AP118" s="42" t="s">
        <v>152</v>
      </c>
      <c r="AQ118" s="42" t="s">
        <v>153</v>
      </c>
      <c r="AS118" s="37"/>
      <c r="AT118" s="37"/>
      <c r="AU118" s="37"/>
    </row>
    <row r="119" spans="2:47" ht="5" customHeight="1" x14ac:dyDescent="0.2">
      <c r="B119" s="4"/>
      <c r="C119" s="3"/>
      <c r="D119" s="3"/>
      <c r="E119" s="3"/>
      <c r="F119" s="3"/>
      <c r="G119" s="3"/>
      <c r="H119" s="3"/>
      <c r="I119" s="3"/>
      <c r="J119" s="3"/>
      <c r="K119" s="166"/>
      <c r="L119" s="167"/>
      <c r="M119" s="168"/>
      <c r="N119" s="166"/>
      <c r="O119" s="167"/>
      <c r="P119" s="168"/>
      <c r="Q119" s="166"/>
      <c r="R119" s="167"/>
      <c r="S119" s="168"/>
      <c r="T119" s="166"/>
      <c r="U119" s="167"/>
      <c r="V119" s="168"/>
      <c r="W119" s="166"/>
      <c r="X119" s="167"/>
      <c r="Y119" s="168"/>
      <c r="Z119" s="166"/>
      <c r="AA119" s="167"/>
      <c r="AB119" s="168"/>
      <c r="AC119" s="166"/>
      <c r="AD119" s="167"/>
      <c r="AE119" s="168"/>
      <c r="AF119" s="166"/>
      <c r="AG119" s="167"/>
      <c r="AH119" s="168"/>
      <c r="AL119" s="40"/>
      <c r="AN119" s="43"/>
      <c r="AO119" s="43"/>
      <c r="AP119" s="43"/>
      <c r="AQ119" s="43"/>
      <c r="AS119" s="40"/>
      <c r="AT119" s="40"/>
      <c r="AU119" s="40"/>
    </row>
    <row r="120" spans="2:47" s="5" customFormat="1" ht="20" customHeight="1" x14ac:dyDescent="0.2">
      <c r="B120" s="146" t="s">
        <v>55</v>
      </c>
      <c r="C120" s="147"/>
      <c r="D120" s="147"/>
      <c r="E120" s="147"/>
      <c r="F120" s="147"/>
      <c r="G120" s="148"/>
      <c r="H120" s="149">
        <v>300000</v>
      </c>
      <c r="I120" s="149"/>
      <c r="J120" s="149"/>
      <c r="K120" s="150">
        <f>$H120*$O$32</f>
        <v>150000</v>
      </c>
      <c r="L120" s="151"/>
      <c r="M120" s="152"/>
      <c r="N120" s="143">
        <f>$H120*$O$33</f>
        <v>0</v>
      </c>
      <c r="O120" s="144"/>
      <c r="P120" s="145"/>
      <c r="Q120" s="143">
        <f>$H120*$O$34</f>
        <v>0</v>
      </c>
      <c r="R120" s="144"/>
      <c r="S120" s="145"/>
      <c r="T120" s="143">
        <f>$H120*$O$35</f>
        <v>0</v>
      </c>
      <c r="U120" s="144"/>
      <c r="V120" s="145"/>
      <c r="W120" s="143">
        <f>$H120*$O$36</f>
        <v>60000</v>
      </c>
      <c r="X120" s="144"/>
      <c r="Y120" s="145"/>
      <c r="Z120" s="143">
        <f>$H120*$O$37</f>
        <v>60000</v>
      </c>
      <c r="AA120" s="144"/>
      <c r="AB120" s="145"/>
      <c r="AC120" s="143">
        <f>$H120*$O$38</f>
        <v>30000</v>
      </c>
      <c r="AD120" s="144"/>
      <c r="AE120" s="145"/>
      <c r="AF120" s="143">
        <f>$H120*$O$39</f>
        <v>0</v>
      </c>
      <c r="AG120" s="144"/>
      <c r="AH120" s="145"/>
      <c r="AL120" s="37"/>
      <c r="AN120" s="44">
        <f>H120*$L$143</f>
        <v>165000</v>
      </c>
      <c r="AO120" s="44">
        <f>H120*$L$144</f>
        <v>67500</v>
      </c>
      <c r="AP120" s="44">
        <f>H120*$L$145</f>
        <v>67500</v>
      </c>
      <c r="AQ120" s="45"/>
      <c r="AR120" s="31">
        <f>SUM(AN120:AP120)</f>
        <v>300000</v>
      </c>
      <c r="AS120" s="36">
        <f>AR120/$AR$123</f>
        <v>0.25</v>
      </c>
      <c r="AT120" s="37"/>
      <c r="AU120" s="37"/>
    </row>
    <row r="121" spans="2:47" s="5" customFormat="1" ht="20" customHeight="1" x14ac:dyDescent="0.2">
      <c r="B121" s="146" t="s">
        <v>56</v>
      </c>
      <c r="C121" s="147"/>
      <c r="D121" s="147"/>
      <c r="E121" s="147"/>
      <c r="F121" s="147"/>
      <c r="G121" s="148"/>
      <c r="H121" s="149">
        <v>600000</v>
      </c>
      <c r="I121" s="149"/>
      <c r="J121" s="149"/>
      <c r="K121" s="150">
        <f>$H121*$O$32</f>
        <v>300000</v>
      </c>
      <c r="L121" s="151"/>
      <c r="M121" s="152"/>
      <c r="N121" s="143">
        <f>$H121*$O$33</f>
        <v>0</v>
      </c>
      <c r="O121" s="144"/>
      <c r="P121" s="145"/>
      <c r="Q121" s="143">
        <f>$H121*$O$34</f>
        <v>0</v>
      </c>
      <c r="R121" s="144"/>
      <c r="S121" s="145"/>
      <c r="T121" s="143">
        <f>$H121*$O$35</f>
        <v>0</v>
      </c>
      <c r="U121" s="144"/>
      <c r="V121" s="145"/>
      <c r="W121" s="143">
        <f>$H121*$O$36</f>
        <v>120000</v>
      </c>
      <c r="X121" s="144"/>
      <c r="Y121" s="145"/>
      <c r="Z121" s="143">
        <f>$H121*$O$37</f>
        <v>120000</v>
      </c>
      <c r="AA121" s="144"/>
      <c r="AB121" s="145"/>
      <c r="AC121" s="143">
        <f>$H121*$O$38</f>
        <v>60000</v>
      </c>
      <c r="AD121" s="144"/>
      <c r="AE121" s="145"/>
      <c r="AF121" s="143">
        <f>$H121*$O$39</f>
        <v>0</v>
      </c>
      <c r="AG121" s="144"/>
      <c r="AH121" s="145"/>
      <c r="AL121" s="41">
        <f>SUM(K121:AH121)</f>
        <v>600000</v>
      </c>
      <c r="AN121" s="44">
        <f t="shared" ref="AN121:AN124" si="0">H121*$L$143</f>
        <v>330000</v>
      </c>
      <c r="AO121" s="44">
        <f t="shared" ref="AO121:AO124" si="1">H121*$L$144</f>
        <v>135000</v>
      </c>
      <c r="AP121" s="44">
        <f t="shared" ref="AP121:AP124" si="2">H121*$L$145</f>
        <v>135000</v>
      </c>
      <c r="AQ121" s="45"/>
      <c r="AR121" s="31">
        <f>SUM(AN121:AP121)</f>
        <v>600000</v>
      </c>
      <c r="AS121" s="36">
        <f>AR121/$AR$123</f>
        <v>0.5</v>
      </c>
      <c r="AT121" s="38">
        <f>AS121-AS120</f>
        <v>0.25</v>
      </c>
      <c r="AU121" s="37"/>
    </row>
    <row r="122" spans="2:47" s="5" customFormat="1" ht="20" customHeight="1" x14ac:dyDescent="0.2">
      <c r="B122" s="146" t="s">
        <v>57</v>
      </c>
      <c r="C122" s="147"/>
      <c r="D122" s="147"/>
      <c r="E122" s="147"/>
      <c r="F122" s="147"/>
      <c r="G122" s="148"/>
      <c r="H122" s="149">
        <v>900000</v>
      </c>
      <c r="I122" s="149"/>
      <c r="J122" s="149"/>
      <c r="K122" s="150">
        <f>$H122*$O$32</f>
        <v>450000</v>
      </c>
      <c r="L122" s="151"/>
      <c r="M122" s="152"/>
      <c r="N122" s="143">
        <f>$H122*$O$33</f>
        <v>0</v>
      </c>
      <c r="O122" s="144"/>
      <c r="P122" s="145"/>
      <c r="Q122" s="143">
        <f>$H122*$O$34</f>
        <v>0</v>
      </c>
      <c r="R122" s="144"/>
      <c r="S122" s="145"/>
      <c r="T122" s="143">
        <f>$H122*$O$35</f>
        <v>0</v>
      </c>
      <c r="U122" s="144"/>
      <c r="V122" s="145"/>
      <c r="W122" s="143">
        <f>$H122*$O$36</f>
        <v>180000</v>
      </c>
      <c r="X122" s="144"/>
      <c r="Y122" s="145"/>
      <c r="Z122" s="143">
        <f>$H122*$O$37</f>
        <v>180000</v>
      </c>
      <c r="AA122" s="144"/>
      <c r="AB122" s="145"/>
      <c r="AC122" s="143">
        <f>$H122*$O$38</f>
        <v>90000</v>
      </c>
      <c r="AD122" s="144"/>
      <c r="AE122" s="145"/>
      <c r="AF122" s="143">
        <f>$H122*$O$39</f>
        <v>0</v>
      </c>
      <c r="AG122" s="144"/>
      <c r="AH122" s="145"/>
      <c r="AL122" s="41">
        <f>SUM(K122:AH122)</f>
        <v>900000</v>
      </c>
      <c r="AN122" s="44">
        <f t="shared" si="0"/>
        <v>495000.00000000006</v>
      </c>
      <c r="AO122" s="44">
        <f t="shared" si="1"/>
        <v>202500</v>
      </c>
      <c r="AP122" s="44">
        <f t="shared" si="2"/>
        <v>202500</v>
      </c>
      <c r="AQ122" s="45"/>
      <c r="AR122" s="31">
        <f>SUM(AN122:AP122)</f>
        <v>900000</v>
      </c>
      <c r="AS122" s="36">
        <f>AR122/$AR$123</f>
        <v>0.75</v>
      </c>
      <c r="AT122" s="38">
        <f>AS122-AS121</f>
        <v>0.25</v>
      </c>
      <c r="AU122" s="37"/>
    </row>
    <row r="123" spans="2:47" s="5" customFormat="1" ht="20" customHeight="1" x14ac:dyDescent="0.2">
      <c r="B123" s="153" t="s">
        <v>58</v>
      </c>
      <c r="C123" s="154"/>
      <c r="D123" s="154"/>
      <c r="E123" s="154"/>
      <c r="F123" s="154"/>
      <c r="G123" s="155"/>
      <c r="H123" s="156">
        <v>1200000</v>
      </c>
      <c r="I123" s="156"/>
      <c r="J123" s="156"/>
      <c r="K123" s="157">
        <f>$H123*$O$32</f>
        <v>600000</v>
      </c>
      <c r="L123" s="158"/>
      <c r="M123" s="159"/>
      <c r="N123" s="160">
        <f>$H123*$O$33</f>
        <v>0</v>
      </c>
      <c r="O123" s="161"/>
      <c r="P123" s="162"/>
      <c r="Q123" s="160">
        <f>$H123*$O$34</f>
        <v>0</v>
      </c>
      <c r="R123" s="161"/>
      <c r="S123" s="162"/>
      <c r="T123" s="160">
        <f>$H123*$O$35</f>
        <v>0</v>
      </c>
      <c r="U123" s="161"/>
      <c r="V123" s="162"/>
      <c r="W123" s="160">
        <f>$H123*$O$36</f>
        <v>240000</v>
      </c>
      <c r="X123" s="161"/>
      <c r="Y123" s="162"/>
      <c r="Z123" s="160">
        <f>$H123*$O$37</f>
        <v>240000</v>
      </c>
      <c r="AA123" s="161"/>
      <c r="AB123" s="162"/>
      <c r="AC123" s="160">
        <f>$H123*$O$38</f>
        <v>120000</v>
      </c>
      <c r="AD123" s="161"/>
      <c r="AE123" s="162"/>
      <c r="AF123" s="160">
        <f>$H123*$O$39</f>
        <v>0</v>
      </c>
      <c r="AG123" s="161"/>
      <c r="AH123" s="162"/>
      <c r="AL123" s="41">
        <f>SUM(K123:AH123)</f>
        <v>1200000</v>
      </c>
      <c r="AN123" s="44">
        <f t="shared" si="0"/>
        <v>660000</v>
      </c>
      <c r="AO123" s="44">
        <f t="shared" si="1"/>
        <v>270000</v>
      </c>
      <c r="AP123" s="44">
        <f t="shared" si="2"/>
        <v>270000</v>
      </c>
      <c r="AQ123" s="45"/>
      <c r="AR123" s="31">
        <f>SUM(AN123:AP123)</f>
        <v>1200000</v>
      </c>
      <c r="AS123" s="36">
        <f>AR123/$AR$123</f>
        <v>1</v>
      </c>
      <c r="AT123" s="38">
        <f>AS123-AS122</f>
        <v>0.25</v>
      </c>
      <c r="AU123" s="37"/>
    </row>
    <row r="124" spans="2:47" s="5" customFormat="1" ht="20" customHeight="1" x14ac:dyDescent="0.2">
      <c r="B124" s="146" t="s">
        <v>13</v>
      </c>
      <c r="C124" s="147"/>
      <c r="D124" s="147"/>
      <c r="E124" s="147"/>
      <c r="F124" s="147"/>
      <c r="G124" s="148"/>
      <c r="H124" s="149">
        <v>1500000</v>
      </c>
      <c r="I124" s="149"/>
      <c r="J124" s="149"/>
      <c r="K124" s="150">
        <f>$H124*$O$32</f>
        <v>750000</v>
      </c>
      <c r="L124" s="151"/>
      <c r="M124" s="152"/>
      <c r="N124" s="143">
        <f>$H124*$O$33</f>
        <v>0</v>
      </c>
      <c r="O124" s="144"/>
      <c r="P124" s="145"/>
      <c r="Q124" s="143">
        <f>$H124*$O$34</f>
        <v>0</v>
      </c>
      <c r="R124" s="144"/>
      <c r="S124" s="145"/>
      <c r="T124" s="143">
        <f>$H124*$O$35</f>
        <v>0</v>
      </c>
      <c r="U124" s="144"/>
      <c r="V124" s="145"/>
      <c r="W124" s="143">
        <f>$H124*$O$36</f>
        <v>300000</v>
      </c>
      <c r="X124" s="144"/>
      <c r="Y124" s="145"/>
      <c r="Z124" s="143">
        <f>$H124*$O$37</f>
        <v>300000</v>
      </c>
      <c r="AA124" s="144"/>
      <c r="AB124" s="145"/>
      <c r="AC124" s="143">
        <f>$H124*$O$38</f>
        <v>150000</v>
      </c>
      <c r="AD124" s="144"/>
      <c r="AE124" s="145"/>
      <c r="AF124" s="143">
        <f>$H124*$O$39</f>
        <v>0</v>
      </c>
      <c r="AG124" s="144"/>
      <c r="AH124" s="145"/>
      <c r="AL124" s="41">
        <f>SUM(K124:AH124)</f>
        <v>1500000</v>
      </c>
      <c r="AN124" s="44">
        <f t="shared" si="0"/>
        <v>825000.00000000012</v>
      </c>
      <c r="AO124" s="44">
        <f t="shared" si="1"/>
        <v>337500</v>
      </c>
      <c r="AP124" s="44">
        <f t="shared" si="2"/>
        <v>337500</v>
      </c>
      <c r="AQ124" s="45"/>
      <c r="AR124" s="31">
        <f>SUM(AN124:AP124)</f>
        <v>1500000</v>
      </c>
      <c r="AS124" s="36">
        <f>AR124/$AR$123</f>
        <v>1.25</v>
      </c>
      <c r="AT124" s="38">
        <f>AS124-AS123</f>
        <v>0.25</v>
      </c>
      <c r="AU124" s="37"/>
    </row>
    <row r="125" spans="2:47" x14ac:dyDescent="0.2">
      <c r="AL125" s="40"/>
      <c r="AN125" s="43"/>
      <c r="AO125" s="43"/>
      <c r="AP125" s="43"/>
      <c r="AQ125" s="43"/>
      <c r="AS125" s="40"/>
      <c r="AT125" s="40"/>
      <c r="AU125" s="40"/>
    </row>
    <row r="126" spans="2:47" x14ac:dyDescent="0.2">
      <c r="AL126" s="40"/>
      <c r="AN126" s="43"/>
      <c r="AO126" s="43"/>
      <c r="AP126" s="43"/>
      <c r="AQ126" s="43"/>
      <c r="AS126" s="40"/>
      <c r="AT126" s="40"/>
      <c r="AU126" s="40"/>
    </row>
    <row r="127" spans="2:47" x14ac:dyDescent="0.2">
      <c r="B127" s="169" t="s">
        <v>21</v>
      </c>
      <c r="C127" s="169"/>
      <c r="D127" s="169"/>
      <c r="E127" s="169"/>
      <c r="F127" s="169"/>
      <c r="G127" s="169"/>
      <c r="H127" s="169"/>
      <c r="I127" s="169"/>
      <c r="J127" s="169"/>
      <c r="AL127" s="40"/>
      <c r="AN127" s="43"/>
      <c r="AO127" s="43"/>
      <c r="AP127" s="43"/>
      <c r="AQ127" s="43"/>
      <c r="AS127" s="40"/>
      <c r="AT127" s="40"/>
      <c r="AU127" s="40"/>
    </row>
    <row r="128" spans="2:47" ht="5" customHeight="1" x14ac:dyDescent="0.2">
      <c r="B128" s="169"/>
      <c r="C128" s="169"/>
      <c r="D128" s="169"/>
      <c r="E128" s="169"/>
      <c r="F128" s="169"/>
      <c r="G128" s="169"/>
      <c r="H128" s="169"/>
      <c r="I128" s="169"/>
      <c r="J128" s="169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L128" s="40"/>
      <c r="AN128" s="43"/>
      <c r="AO128" s="43"/>
      <c r="AP128" s="43"/>
      <c r="AQ128" s="43"/>
      <c r="AS128" s="40"/>
      <c r="AT128" s="40"/>
      <c r="AU128" s="40"/>
    </row>
    <row r="129" spans="2:47" ht="20" customHeight="1" x14ac:dyDescent="0.2">
      <c r="B129" s="14" t="s">
        <v>320</v>
      </c>
      <c r="H129" s="6"/>
      <c r="J129" s="6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10" t="s">
        <v>10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L129" s="40"/>
      <c r="AN129" s="43"/>
      <c r="AO129" s="43"/>
      <c r="AP129" s="43"/>
      <c r="AQ129" s="43"/>
      <c r="AS129" s="40"/>
      <c r="AT129" s="40"/>
      <c r="AU129" s="40"/>
    </row>
    <row r="130" spans="2:47" s="5" customFormat="1" ht="25" customHeight="1" x14ac:dyDescent="0.2">
      <c r="B130" s="170" t="s">
        <v>20</v>
      </c>
      <c r="C130" s="170"/>
      <c r="D130" s="170"/>
      <c r="E130" s="170"/>
      <c r="F130" s="170"/>
      <c r="G130" s="171"/>
      <c r="H130" s="172" t="s">
        <v>19</v>
      </c>
      <c r="I130" s="173"/>
      <c r="J130" s="174"/>
      <c r="K130" s="163" t="s">
        <v>18</v>
      </c>
      <c r="L130" s="164"/>
      <c r="M130" s="165"/>
      <c r="N130" s="163" t="s">
        <v>326</v>
      </c>
      <c r="O130" s="164"/>
      <c r="P130" s="165"/>
      <c r="Q130" s="163" t="s">
        <v>315</v>
      </c>
      <c r="R130" s="164"/>
      <c r="S130" s="165"/>
      <c r="T130" s="163" t="s">
        <v>17</v>
      </c>
      <c r="U130" s="164"/>
      <c r="V130" s="165"/>
      <c r="W130" s="163" t="s">
        <v>16</v>
      </c>
      <c r="X130" s="164"/>
      <c r="Y130" s="165"/>
      <c r="Z130" s="163" t="s">
        <v>47</v>
      </c>
      <c r="AA130" s="164"/>
      <c r="AB130" s="165"/>
      <c r="AC130" s="163" t="s">
        <v>15</v>
      </c>
      <c r="AD130" s="164"/>
      <c r="AE130" s="165"/>
      <c r="AF130" s="163" t="s">
        <v>14</v>
      </c>
      <c r="AG130" s="164"/>
      <c r="AH130" s="164"/>
      <c r="AI130"/>
      <c r="AJ130"/>
      <c r="AK130"/>
      <c r="AL130" s="37"/>
      <c r="AN130" s="42" t="s">
        <v>90</v>
      </c>
      <c r="AO130" s="42" t="s">
        <v>151</v>
      </c>
      <c r="AP130" s="42" t="s">
        <v>152</v>
      </c>
      <c r="AQ130" s="42" t="s">
        <v>153</v>
      </c>
      <c r="AS130" s="37"/>
      <c r="AT130" s="37"/>
      <c r="AU130" s="37"/>
    </row>
    <row r="131" spans="2:47" ht="5" customHeight="1" x14ac:dyDescent="0.2">
      <c r="B131" s="4"/>
      <c r="C131" s="3"/>
      <c r="D131" s="3"/>
      <c r="E131" s="3"/>
      <c r="F131" s="3"/>
      <c r="G131" s="3"/>
      <c r="H131" s="3"/>
      <c r="I131" s="3"/>
      <c r="J131" s="3"/>
      <c r="K131" s="166"/>
      <c r="L131" s="167"/>
      <c r="M131" s="168"/>
      <c r="N131" s="166"/>
      <c r="O131" s="167"/>
      <c r="P131" s="168"/>
      <c r="Q131" s="166"/>
      <c r="R131" s="167"/>
      <c r="S131" s="168"/>
      <c r="T131" s="166"/>
      <c r="U131" s="167"/>
      <c r="V131" s="168"/>
      <c r="W131" s="166"/>
      <c r="X131" s="167"/>
      <c r="Y131" s="168"/>
      <c r="Z131" s="166"/>
      <c r="AA131" s="167"/>
      <c r="AB131" s="168"/>
      <c r="AC131" s="166"/>
      <c r="AD131" s="167"/>
      <c r="AE131" s="168"/>
      <c r="AF131" s="166"/>
      <c r="AG131" s="167"/>
      <c r="AH131" s="168"/>
      <c r="AL131" s="40"/>
      <c r="AN131" s="43"/>
      <c r="AO131" s="43"/>
      <c r="AP131" s="43"/>
      <c r="AQ131" s="43"/>
      <c r="AS131" s="40"/>
      <c r="AT131" s="40"/>
      <c r="AU131" s="40"/>
    </row>
    <row r="132" spans="2:47" s="5" customFormat="1" ht="20" customHeight="1" x14ac:dyDescent="0.2">
      <c r="B132" s="146" t="s">
        <v>55</v>
      </c>
      <c r="C132" s="147"/>
      <c r="D132" s="147"/>
      <c r="E132" s="147"/>
      <c r="F132" s="147"/>
      <c r="G132" s="148"/>
      <c r="H132" s="149">
        <v>225000</v>
      </c>
      <c r="I132" s="149"/>
      <c r="J132" s="149"/>
      <c r="K132" s="150">
        <f>$H132*$O$32</f>
        <v>112500</v>
      </c>
      <c r="L132" s="151"/>
      <c r="M132" s="152"/>
      <c r="N132" s="143">
        <f>$H132*$O$33</f>
        <v>0</v>
      </c>
      <c r="O132" s="144"/>
      <c r="P132" s="145"/>
      <c r="Q132" s="143">
        <f>$H132*$O$34</f>
        <v>0</v>
      </c>
      <c r="R132" s="144"/>
      <c r="S132" s="145"/>
      <c r="T132" s="143">
        <f>$H132*$O$35</f>
        <v>0</v>
      </c>
      <c r="U132" s="144"/>
      <c r="V132" s="145"/>
      <c r="W132" s="143">
        <f>$H132*$O$36</f>
        <v>45000</v>
      </c>
      <c r="X132" s="144"/>
      <c r="Y132" s="145"/>
      <c r="Z132" s="143">
        <f>$H132*$O$37</f>
        <v>45000</v>
      </c>
      <c r="AA132" s="144"/>
      <c r="AB132" s="145"/>
      <c r="AC132" s="143">
        <f>$H132*$O$38</f>
        <v>22500</v>
      </c>
      <c r="AD132" s="144"/>
      <c r="AE132" s="145"/>
      <c r="AF132" s="143">
        <f>$H132*$O$39</f>
        <v>0</v>
      </c>
      <c r="AG132" s="144"/>
      <c r="AH132" s="145"/>
      <c r="AL132" s="37"/>
      <c r="AN132" s="44">
        <f>H132*$P$143</f>
        <v>157500</v>
      </c>
      <c r="AO132" s="44">
        <f>H132*$P$144</f>
        <v>67500</v>
      </c>
      <c r="AP132" s="44">
        <f>H132*$P$145</f>
        <v>0</v>
      </c>
      <c r="AQ132" s="45"/>
      <c r="AR132" s="31">
        <f>SUM(AN132:AP132)</f>
        <v>225000</v>
      </c>
      <c r="AS132" s="36">
        <f t="shared" ref="AS132:AS136" si="3">AR132/$AR$135</f>
        <v>0.25</v>
      </c>
      <c r="AT132" s="37"/>
      <c r="AU132" s="37"/>
    </row>
    <row r="133" spans="2:47" s="5" customFormat="1" ht="20" customHeight="1" x14ac:dyDescent="0.2">
      <c r="B133" s="146" t="s">
        <v>56</v>
      </c>
      <c r="C133" s="147"/>
      <c r="D133" s="147"/>
      <c r="E133" s="147"/>
      <c r="F133" s="147"/>
      <c r="G133" s="148"/>
      <c r="H133" s="149">
        <v>450000</v>
      </c>
      <c r="I133" s="149"/>
      <c r="J133" s="149"/>
      <c r="K133" s="150">
        <f>$H133*$O$32</f>
        <v>225000</v>
      </c>
      <c r="L133" s="151"/>
      <c r="M133" s="152"/>
      <c r="N133" s="143">
        <f>$H133*$O$33</f>
        <v>0</v>
      </c>
      <c r="O133" s="144"/>
      <c r="P133" s="145"/>
      <c r="Q133" s="143">
        <f>$H133*$O$34</f>
        <v>0</v>
      </c>
      <c r="R133" s="144"/>
      <c r="S133" s="145"/>
      <c r="T133" s="143">
        <f>$H133*$O$35</f>
        <v>0</v>
      </c>
      <c r="U133" s="144"/>
      <c r="V133" s="145"/>
      <c r="W133" s="143">
        <f>$H133*$O$36</f>
        <v>90000</v>
      </c>
      <c r="X133" s="144"/>
      <c r="Y133" s="145"/>
      <c r="Z133" s="143">
        <f>$H133*$O$37</f>
        <v>90000</v>
      </c>
      <c r="AA133" s="144"/>
      <c r="AB133" s="145"/>
      <c r="AC133" s="143">
        <f>$H133*$O$38</f>
        <v>45000</v>
      </c>
      <c r="AD133" s="144"/>
      <c r="AE133" s="145"/>
      <c r="AF133" s="143">
        <f>$H133*$O$39</f>
        <v>0</v>
      </c>
      <c r="AG133" s="144"/>
      <c r="AH133" s="145"/>
      <c r="AL133" s="41">
        <f>SUM(K133:AH133)</f>
        <v>450000</v>
      </c>
      <c r="AN133" s="44">
        <f>H133*$P$143</f>
        <v>315000</v>
      </c>
      <c r="AO133" s="44">
        <f>H133*$P$144</f>
        <v>135000</v>
      </c>
      <c r="AP133" s="44">
        <f>H133*$P$145</f>
        <v>0</v>
      </c>
      <c r="AQ133" s="45"/>
      <c r="AR133" s="31">
        <f>SUM(AN133:AP133)</f>
        <v>450000</v>
      </c>
      <c r="AS133" s="36">
        <f t="shared" si="3"/>
        <v>0.5</v>
      </c>
      <c r="AT133" s="38">
        <f>AS133-AS132</f>
        <v>0.25</v>
      </c>
      <c r="AU133" s="37"/>
    </row>
    <row r="134" spans="2:47" s="5" customFormat="1" ht="20" customHeight="1" x14ac:dyDescent="0.2">
      <c r="B134" s="146" t="s">
        <v>57</v>
      </c>
      <c r="C134" s="147"/>
      <c r="D134" s="147"/>
      <c r="E134" s="147"/>
      <c r="F134" s="147"/>
      <c r="G134" s="148"/>
      <c r="H134" s="149">
        <v>675000</v>
      </c>
      <c r="I134" s="149"/>
      <c r="J134" s="149"/>
      <c r="K134" s="150">
        <f>$H134*$O$32</f>
        <v>337500</v>
      </c>
      <c r="L134" s="151"/>
      <c r="M134" s="152"/>
      <c r="N134" s="143">
        <f>$H134*$O$33</f>
        <v>0</v>
      </c>
      <c r="O134" s="144"/>
      <c r="P134" s="145"/>
      <c r="Q134" s="143">
        <f>$H134*$O$34</f>
        <v>0</v>
      </c>
      <c r="R134" s="144"/>
      <c r="S134" s="145"/>
      <c r="T134" s="143">
        <f>$H134*$O$35</f>
        <v>0</v>
      </c>
      <c r="U134" s="144"/>
      <c r="V134" s="145"/>
      <c r="W134" s="143">
        <f>$H134*$O$36</f>
        <v>135000</v>
      </c>
      <c r="X134" s="144"/>
      <c r="Y134" s="145"/>
      <c r="Z134" s="143">
        <f>$H134*$O$37</f>
        <v>135000</v>
      </c>
      <c r="AA134" s="144"/>
      <c r="AB134" s="145"/>
      <c r="AC134" s="143">
        <f>$H134*$O$38</f>
        <v>67500</v>
      </c>
      <c r="AD134" s="144"/>
      <c r="AE134" s="145"/>
      <c r="AF134" s="143">
        <f>$H134*$O$39</f>
        <v>0</v>
      </c>
      <c r="AG134" s="144"/>
      <c r="AH134" s="145"/>
      <c r="AL134" s="41">
        <f>SUM(K134:AH134)</f>
        <v>675000</v>
      </c>
      <c r="AN134" s="44">
        <f>H134*$P$143</f>
        <v>472499.99999999994</v>
      </c>
      <c r="AO134" s="44">
        <f>H134*$P$144</f>
        <v>202500</v>
      </c>
      <c r="AP134" s="44">
        <f>H134*$P$145</f>
        <v>0</v>
      </c>
      <c r="AQ134" s="45"/>
      <c r="AR134" s="31">
        <f>SUM(AN134:AP134)</f>
        <v>675000</v>
      </c>
      <c r="AS134" s="36">
        <f t="shared" si="3"/>
        <v>0.75</v>
      </c>
      <c r="AT134" s="38">
        <f>AS134-AS133</f>
        <v>0.25</v>
      </c>
      <c r="AU134" s="37"/>
    </row>
    <row r="135" spans="2:47" s="5" customFormat="1" ht="20" customHeight="1" x14ac:dyDescent="0.2">
      <c r="B135" s="153" t="s">
        <v>58</v>
      </c>
      <c r="C135" s="154"/>
      <c r="D135" s="154"/>
      <c r="E135" s="154"/>
      <c r="F135" s="154"/>
      <c r="G135" s="155"/>
      <c r="H135" s="156">
        <v>900000</v>
      </c>
      <c r="I135" s="156"/>
      <c r="J135" s="156"/>
      <c r="K135" s="157">
        <f>$H135*$O$32</f>
        <v>450000</v>
      </c>
      <c r="L135" s="158"/>
      <c r="M135" s="159"/>
      <c r="N135" s="160">
        <f>$H135*$O$33</f>
        <v>0</v>
      </c>
      <c r="O135" s="161"/>
      <c r="P135" s="162"/>
      <c r="Q135" s="160">
        <f>$H135*$O$34</f>
        <v>0</v>
      </c>
      <c r="R135" s="161"/>
      <c r="S135" s="162"/>
      <c r="T135" s="160">
        <f>$H135*$O$35</f>
        <v>0</v>
      </c>
      <c r="U135" s="161"/>
      <c r="V135" s="162"/>
      <c r="W135" s="160">
        <f>$H135*$O$36</f>
        <v>180000</v>
      </c>
      <c r="X135" s="161"/>
      <c r="Y135" s="162"/>
      <c r="Z135" s="160">
        <f>$H135*$O$37</f>
        <v>180000</v>
      </c>
      <c r="AA135" s="161"/>
      <c r="AB135" s="162"/>
      <c r="AC135" s="160">
        <f>$H135*$O$38</f>
        <v>90000</v>
      </c>
      <c r="AD135" s="161"/>
      <c r="AE135" s="162"/>
      <c r="AF135" s="160">
        <f>$H135*$O$39</f>
        <v>0</v>
      </c>
      <c r="AG135" s="161"/>
      <c r="AH135" s="162"/>
      <c r="AL135" s="41">
        <f>SUM(K135:AH135)</f>
        <v>900000</v>
      </c>
      <c r="AN135" s="44">
        <f>H135*$P$143</f>
        <v>630000</v>
      </c>
      <c r="AO135" s="44">
        <f>H135*$P$144</f>
        <v>270000</v>
      </c>
      <c r="AP135" s="44">
        <f>H135*$P$145</f>
        <v>0</v>
      </c>
      <c r="AQ135" s="45"/>
      <c r="AR135" s="31">
        <f>SUM(AN135:AP135)</f>
        <v>900000</v>
      </c>
      <c r="AS135" s="36">
        <f>AR135/$AR$135</f>
        <v>1</v>
      </c>
      <c r="AT135" s="38">
        <f>AS135-AS134</f>
        <v>0.25</v>
      </c>
      <c r="AU135" s="37"/>
    </row>
    <row r="136" spans="2:47" s="5" customFormat="1" ht="20" customHeight="1" x14ac:dyDescent="0.2">
      <c r="B136" s="146" t="s">
        <v>13</v>
      </c>
      <c r="C136" s="147"/>
      <c r="D136" s="147"/>
      <c r="E136" s="147"/>
      <c r="F136" s="147"/>
      <c r="G136" s="148"/>
      <c r="H136" s="149">
        <v>1125000</v>
      </c>
      <c r="I136" s="149"/>
      <c r="J136" s="149"/>
      <c r="K136" s="150">
        <f>$H136*$O$32</f>
        <v>562500</v>
      </c>
      <c r="L136" s="151"/>
      <c r="M136" s="152"/>
      <c r="N136" s="143">
        <f>$H136*$O$33</f>
        <v>0</v>
      </c>
      <c r="O136" s="144"/>
      <c r="P136" s="145"/>
      <c r="Q136" s="143">
        <f>$H136*$O$34</f>
        <v>0</v>
      </c>
      <c r="R136" s="144"/>
      <c r="S136" s="145"/>
      <c r="T136" s="143">
        <f>$H136*$O$35</f>
        <v>0</v>
      </c>
      <c r="U136" s="144"/>
      <c r="V136" s="145"/>
      <c r="W136" s="143">
        <f>$H136*$O$36</f>
        <v>225000</v>
      </c>
      <c r="X136" s="144"/>
      <c r="Y136" s="145"/>
      <c r="Z136" s="143">
        <f>$H136*$O$37</f>
        <v>225000</v>
      </c>
      <c r="AA136" s="144"/>
      <c r="AB136" s="145"/>
      <c r="AC136" s="143">
        <f>$H136*$O$38</f>
        <v>112500</v>
      </c>
      <c r="AD136" s="144"/>
      <c r="AE136" s="145"/>
      <c r="AF136" s="143">
        <f>$H136*$O$39</f>
        <v>0</v>
      </c>
      <c r="AG136" s="144"/>
      <c r="AH136" s="145"/>
      <c r="AL136" s="41">
        <f>SUM(K136:AH136)</f>
        <v>1125000</v>
      </c>
      <c r="AN136" s="44">
        <f>H136*$P$143</f>
        <v>787500</v>
      </c>
      <c r="AO136" s="44">
        <f>H136*$P$144</f>
        <v>337500</v>
      </c>
      <c r="AP136" s="44">
        <f>H136*$P$145</f>
        <v>0</v>
      </c>
      <c r="AQ136" s="45"/>
      <c r="AR136" s="31">
        <f>SUM(AN136:AP136)</f>
        <v>1125000</v>
      </c>
      <c r="AS136" s="36">
        <f t="shared" si="3"/>
        <v>1.25</v>
      </c>
      <c r="AT136" s="38">
        <f>AS136-AS135</f>
        <v>0.25</v>
      </c>
      <c r="AU136" s="37"/>
    </row>
    <row r="137" spans="2:47" x14ac:dyDescent="0.2">
      <c r="B137" t="s">
        <v>329</v>
      </c>
      <c r="AL137" s="35"/>
      <c r="AN137" s="43"/>
      <c r="AO137" s="43"/>
      <c r="AP137" s="43"/>
      <c r="AQ137" s="43"/>
      <c r="AR137" s="108">
        <f t="shared" ref="AR137:AR138" si="4">$AR$140*AS120</f>
        <v>62500</v>
      </c>
    </row>
    <row r="138" spans="2:47" x14ac:dyDescent="0.2">
      <c r="B138" s="30" t="s">
        <v>328</v>
      </c>
      <c r="AL138" s="35"/>
      <c r="AN138" s="43"/>
      <c r="AO138" s="43"/>
      <c r="AP138" s="43"/>
      <c r="AQ138" s="43"/>
      <c r="AR138" s="108">
        <f t="shared" si="4"/>
        <v>125000</v>
      </c>
    </row>
    <row r="139" spans="2:47" x14ac:dyDescent="0.2">
      <c r="AL139" s="35"/>
      <c r="AN139" s="43"/>
      <c r="AO139" s="43"/>
      <c r="AP139" s="43"/>
      <c r="AQ139" s="43"/>
      <c r="AR139" s="108">
        <f>$AR$140*AS122</f>
        <v>187500</v>
      </c>
    </row>
    <row r="140" spans="2:47" x14ac:dyDescent="0.2">
      <c r="B140" s="5"/>
      <c r="AL140" s="35"/>
      <c r="AN140" s="43"/>
      <c r="AO140" s="43"/>
      <c r="AP140" s="43"/>
      <c r="AQ140" s="43"/>
      <c r="AR140" s="108">
        <v>250000</v>
      </c>
    </row>
    <row r="141" spans="2:47" s="5" customFormat="1" ht="25" customHeight="1" x14ac:dyDescent="0.2">
      <c r="B141" s="142" t="s">
        <v>78</v>
      </c>
      <c r="C141" s="142"/>
      <c r="D141" s="142"/>
      <c r="E141" s="142"/>
      <c r="F141" s="142"/>
      <c r="G141" s="142"/>
      <c r="H141" s="142"/>
      <c r="I141" s="142"/>
      <c r="J141" s="142"/>
      <c r="K141" s="141" t="s">
        <v>79</v>
      </c>
      <c r="L141" s="141"/>
      <c r="M141" s="141"/>
      <c r="N141" s="141"/>
      <c r="O141" s="141" t="s">
        <v>80</v>
      </c>
      <c r="P141" s="141"/>
      <c r="Q141" s="141"/>
      <c r="R141" s="141"/>
      <c r="S141" s="141" t="s">
        <v>80</v>
      </c>
      <c r="T141" s="141"/>
      <c r="U141" s="141"/>
      <c r="V141" s="141"/>
      <c r="W141" s="141" t="s">
        <v>81</v>
      </c>
      <c r="X141" s="141"/>
      <c r="Y141" s="141"/>
      <c r="Z141" s="141"/>
      <c r="AN141" s="42"/>
      <c r="AO141" s="42"/>
      <c r="AP141" s="42"/>
      <c r="AQ141" s="42"/>
      <c r="AR141" s="108">
        <f>$AR$140*AS124</f>
        <v>312500</v>
      </c>
    </row>
    <row r="142" spans="2:47" ht="5" customHeight="1" x14ac:dyDescent="0.2"/>
    <row r="143" spans="2:47" x14ac:dyDescent="0.2">
      <c r="B143" s="206" t="s">
        <v>74</v>
      </c>
      <c r="C143" s="206"/>
      <c r="D143" s="206"/>
      <c r="E143" s="206"/>
      <c r="F143" s="206"/>
      <c r="G143" s="206"/>
      <c r="H143" s="206"/>
      <c r="I143" s="206"/>
      <c r="J143" s="206"/>
      <c r="K143" s="17" t="s">
        <v>82</v>
      </c>
      <c r="L143" s="203">
        <v>0.55000000000000004</v>
      </c>
      <c r="M143" s="204"/>
      <c r="N143" s="205"/>
      <c r="O143" s="17" t="s">
        <v>82</v>
      </c>
      <c r="P143" s="203">
        <v>0.7</v>
      </c>
      <c r="Q143" s="204"/>
      <c r="R143" s="205"/>
      <c r="S143" s="17" t="s">
        <v>82</v>
      </c>
      <c r="T143" s="210">
        <v>0.7</v>
      </c>
      <c r="U143" s="211"/>
      <c r="V143" s="212"/>
      <c r="W143" s="17" t="s">
        <v>82</v>
      </c>
      <c r="X143" s="203"/>
      <c r="Y143" s="204"/>
      <c r="Z143" s="205"/>
    </row>
    <row r="144" spans="2:47" x14ac:dyDescent="0.2">
      <c r="B144" s="206" t="s">
        <v>75</v>
      </c>
      <c r="C144" s="206"/>
      <c r="D144" s="206"/>
      <c r="E144" s="206"/>
      <c r="F144" s="206"/>
      <c r="G144" s="206"/>
      <c r="H144" s="206"/>
      <c r="I144" s="206"/>
      <c r="J144" s="206"/>
      <c r="K144" s="17" t="s">
        <v>82</v>
      </c>
      <c r="L144" s="203">
        <f>45%/2</f>
        <v>0.22500000000000001</v>
      </c>
      <c r="M144" s="204"/>
      <c r="N144" s="205"/>
      <c r="O144" s="17" t="s">
        <v>82</v>
      </c>
      <c r="P144" s="203">
        <v>0.3</v>
      </c>
      <c r="Q144" s="204"/>
      <c r="R144" s="205"/>
      <c r="S144" s="17"/>
      <c r="T144" s="203"/>
      <c r="U144" s="204"/>
      <c r="V144" s="205"/>
      <c r="W144" s="17" t="s">
        <v>82</v>
      </c>
      <c r="X144" s="203"/>
      <c r="Y144" s="204"/>
      <c r="Z144" s="205"/>
    </row>
    <row r="145" spans="2:26" x14ac:dyDescent="0.2">
      <c r="B145" s="206" t="s">
        <v>76</v>
      </c>
      <c r="C145" s="206"/>
      <c r="D145" s="206"/>
      <c r="E145" s="206"/>
      <c r="F145" s="206"/>
      <c r="G145" s="206"/>
      <c r="H145" s="206"/>
      <c r="I145" s="206"/>
      <c r="J145" s="206"/>
      <c r="K145" s="17" t="s">
        <v>82</v>
      </c>
      <c r="L145" s="203">
        <f>45%/2</f>
        <v>0.22500000000000001</v>
      </c>
      <c r="M145" s="204"/>
      <c r="N145" s="205"/>
      <c r="O145" s="17"/>
      <c r="P145" s="203"/>
      <c r="Q145" s="204"/>
      <c r="R145" s="205"/>
      <c r="S145" s="17" t="s">
        <v>82</v>
      </c>
      <c r="T145" s="210">
        <v>0.3</v>
      </c>
      <c r="U145" s="211"/>
      <c r="V145" s="212"/>
      <c r="W145" s="17" t="s">
        <v>82</v>
      </c>
      <c r="X145" s="203"/>
      <c r="Y145" s="204"/>
      <c r="Z145" s="205"/>
    </row>
    <row r="146" spans="2:26" x14ac:dyDescent="0.2">
      <c r="B146" s="206" t="s">
        <v>76</v>
      </c>
      <c r="C146" s="206"/>
      <c r="D146" s="206"/>
      <c r="E146" s="206"/>
      <c r="F146" s="206"/>
      <c r="G146" s="206"/>
      <c r="H146" s="206"/>
      <c r="I146" s="206"/>
      <c r="J146" s="206"/>
      <c r="K146" s="17"/>
      <c r="L146" s="203"/>
      <c r="M146" s="204"/>
      <c r="N146" s="205"/>
      <c r="O146" s="17"/>
      <c r="P146" s="203"/>
      <c r="Q146" s="204"/>
      <c r="R146" s="205"/>
      <c r="S146" s="17"/>
      <c r="T146" s="203"/>
      <c r="U146" s="204"/>
      <c r="V146" s="205"/>
      <c r="W146" s="17" t="s">
        <v>82</v>
      </c>
      <c r="X146" s="203"/>
      <c r="Y146" s="204"/>
      <c r="Z146" s="205"/>
    </row>
    <row r="147" spans="2:26" x14ac:dyDescent="0.2">
      <c r="L147" s="207">
        <f>SUM(L143:N146)</f>
        <v>1</v>
      </c>
      <c r="M147" s="208"/>
      <c r="N147" s="209"/>
      <c r="P147" s="207">
        <f>SUM(P143:R146)</f>
        <v>1</v>
      </c>
      <c r="Q147" s="208"/>
      <c r="R147" s="209"/>
      <c r="T147" s="207">
        <f>SUM(T143:V146)</f>
        <v>1</v>
      </c>
      <c r="U147" s="208"/>
      <c r="V147" s="209"/>
      <c r="X147" s="207">
        <f>SUM(X143:Z146)</f>
        <v>0</v>
      </c>
      <c r="Y147" s="208"/>
      <c r="Z147" s="209"/>
    </row>
    <row r="148" spans="2:26" x14ac:dyDescent="0.2">
      <c r="B148" t="s">
        <v>77</v>
      </c>
    </row>
    <row r="149" spans="2:26" x14ac:dyDescent="0.2">
      <c r="B149" s="30" t="s">
        <v>150</v>
      </c>
    </row>
    <row r="150" spans="2:26" x14ac:dyDescent="0.2">
      <c r="B150" s="30" t="s">
        <v>149</v>
      </c>
    </row>
  </sheetData>
  <mergeCells count="571">
    <mergeCell ref="AF106:AH106"/>
    <mergeCell ref="B107:G107"/>
    <mergeCell ref="H107:J107"/>
    <mergeCell ref="K107:M107"/>
    <mergeCell ref="N107:P107"/>
    <mergeCell ref="Q107:S107"/>
    <mergeCell ref="T107:V107"/>
    <mergeCell ref="W107:Y107"/>
    <mergeCell ref="Z107:AB107"/>
    <mergeCell ref="AC107:AE107"/>
    <mergeCell ref="AF107:AH107"/>
    <mergeCell ref="B106:G106"/>
    <mergeCell ref="H106:J106"/>
    <mergeCell ref="K106:M106"/>
    <mergeCell ref="N106:P106"/>
    <mergeCell ref="Q106:S106"/>
    <mergeCell ref="T106:V106"/>
    <mergeCell ref="W106:Y106"/>
    <mergeCell ref="Z106:AB106"/>
    <mergeCell ref="AC106:AE106"/>
    <mergeCell ref="AF104:AH104"/>
    <mergeCell ref="B105:G105"/>
    <mergeCell ref="H105:J105"/>
    <mergeCell ref="K105:M105"/>
    <mergeCell ref="N105:P105"/>
    <mergeCell ref="Q105:S105"/>
    <mergeCell ref="T105:V105"/>
    <mergeCell ref="W105:Y105"/>
    <mergeCell ref="Z105:AB105"/>
    <mergeCell ref="AC105:AE105"/>
    <mergeCell ref="AF105:AH105"/>
    <mergeCell ref="B104:G104"/>
    <mergeCell ref="H104:J104"/>
    <mergeCell ref="K104:M104"/>
    <mergeCell ref="N104:P104"/>
    <mergeCell ref="Q104:S104"/>
    <mergeCell ref="T104:V104"/>
    <mergeCell ref="W104:Y104"/>
    <mergeCell ref="Z104:AB104"/>
    <mergeCell ref="AC104:AE104"/>
    <mergeCell ref="K102:M102"/>
    <mergeCell ref="N102:P102"/>
    <mergeCell ref="Q102:S102"/>
    <mergeCell ref="T102:V102"/>
    <mergeCell ref="W102:Y102"/>
    <mergeCell ref="Z102:AB102"/>
    <mergeCell ref="AC102:AE102"/>
    <mergeCell ref="AF102:AH102"/>
    <mergeCell ref="B103:G103"/>
    <mergeCell ref="H103:J103"/>
    <mergeCell ref="K103:M103"/>
    <mergeCell ref="N103:P103"/>
    <mergeCell ref="Q103:S103"/>
    <mergeCell ref="T103:V103"/>
    <mergeCell ref="W103:Y103"/>
    <mergeCell ref="Z103:AB103"/>
    <mergeCell ref="AC103:AE103"/>
    <mergeCell ref="AF103:AH103"/>
    <mergeCell ref="AF95:AH95"/>
    <mergeCell ref="B101:G101"/>
    <mergeCell ref="H101:J101"/>
    <mergeCell ref="K101:M101"/>
    <mergeCell ref="N101:P101"/>
    <mergeCell ref="Q101:S101"/>
    <mergeCell ref="T101:V101"/>
    <mergeCell ref="W101:Y101"/>
    <mergeCell ref="Z101:AB101"/>
    <mergeCell ref="AC101:AE101"/>
    <mergeCell ref="AF101:AH101"/>
    <mergeCell ref="B98:J99"/>
    <mergeCell ref="B95:G95"/>
    <mergeCell ref="H95:J95"/>
    <mergeCell ref="K95:M95"/>
    <mergeCell ref="N95:P95"/>
    <mergeCell ref="Q95:S95"/>
    <mergeCell ref="T95:V95"/>
    <mergeCell ref="W95:Y95"/>
    <mergeCell ref="Z95:AB95"/>
    <mergeCell ref="AC95:AE95"/>
    <mergeCell ref="AF93:AH93"/>
    <mergeCell ref="B94:G94"/>
    <mergeCell ref="H94:J94"/>
    <mergeCell ref="K94:M94"/>
    <mergeCell ref="N94:P94"/>
    <mergeCell ref="Q94:S94"/>
    <mergeCell ref="T94:V94"/>
    <mergeCell ref="W94:Y94"/>
    <mergeCell ref="Z94:AB94"/>
    <mergeCell ref="AC94:AE94"/>
    <mergeCell ref="AF94:AH94"/>
    <mergeCell ref="B93:G93"/>
    <mergeCell ref="H93:J93"/>
    <mergeCell ref="K93:M93"/>
    <mergeCell ref="N93:P93"/>
    <mergeCell ref="Q93:S93"/>
    <mergeCell ref="T93:V93"/>
    <mergeCell ref="W93:Y93"/>
    <mergeCell ref="Z93:AB93"/>
    <mergeCell ref="AC93:AE93"/>
    <mergeCell ref="AF91:AH91"/>
    <mergeCell ref="B92:G92"/>
    <mergeCell ref="H92:J92"/>
    <mergeCell ref="K92:M92"/>
    <mergeCell ref="N92:P92"/>
    <mergeCell ref="Q92:S92"/>
    <mergeCell ref="T92:V92"/>
    <mergeCell ref="W92:Y92"/>
    <mergeCell ref="Z92:AB92"/>
    <mergeCell ref="AC92:AE92"/>
    <mergeCell ref="AF92:AH92"/>
    <mergeCell ref="B91:G91"/>
    <mergeCell ref="H91:J91"/>
    <mergeCell ref="K91:M91"/>
    <mergeCell ref="N91:P91"/>
    <mergeCell ref="Q91:S91"/>
    <mergeCell ref="T91:V91"/>
    <mergeCell ref="W91:Y91"/>
    <mergeCell ref="Z91:AB91"/>
    <mergeCell ref="AC91:AE91"/>
    <mergeCell ref="Z89:AB89"/>
    <mergeCell ref="AC89:AE89"/>
    <mergeCell ref="AF89:AH89"/>
    <mergeCell ref="K90:M90"/>
    <mergeCell ref="N90:P90"/>
    <mergeCell ref="Q90:S90"/>
    <mergeCell ref="T90:V90"/>
    <mergeCell ref="W90:Y90"/>
    <mergeCell ref="Z90:AB90"/>
    <mergeCell ref="AC90:AE90"/>
    <mergeCell ref="AF90:AH90"/>
    <mergeCell ref="M40:N40"/>
    <mergeCell ref="K27:P27"/>
    <mergeCell ref="B89:G89"/>
    <mergeCell ref="H89:J89"/>
    <mergeCell ref="K89:M89"/>
    <mergeCell ref="N89:P89"/>
    <mergeCell ref="Q89:S89"/>
    <mergeCell ref="T89:V89"/>
    <mergeCell ref="W89:Y89"/>
    <mergeCell ref="B60:J61"/>
    <mergeCell ref="B72:J73"/>
    <mergeCell ref="B86:J87"/>
    <mergeCell ref="H80:J80"/>
    <mergeCell ref="K40:L40"/>
    <mergeCell ref="O40:P40"/>
    <mergeCell ref="H68:J68"/>
    <mergeCell ref="H69:J69"/>
    <mergeCell ref="B63:G63"/>
    <mergeCell ref="B65:G65"/>
    <mergeCell ref="B66:G66"/>
    <mergeCell ref="B67:G67"/>
    <mergeCell ref="B68:G68"/>
    <mergeCell ref="B75:G75"/>
    <mergeCell ref="H75:J75"/>
    <mergeCell ref="B141:J141"/>
    <mergeCell ref="B143:J143"/>
    <mergeCell ref="B144:J144"/>
    <mergeCell ref="B145:J145"/>
    <mergeCell ref="B146:J146"/>
    <mergeCell ref="L147:N147"/>
    <mergeCell ref="P147:R147"/>
    <mergeCell ref="T147:V147"/>
    <mergeCell ref="X147:Z147"/>
    <mergeCell ref="L143:N143"/>
    <mergeCell ref="L144:N144"/>
    <mergeCell ref="L145:N145"/>
    <mergeCell ref="L146:N146"/>
    <mergeCell ref="P143:R143"/>
    <mergeCell ref="P144:R144"/>
    <mergeCell ref="P145:R145"/>
    <mergeCell ref="P146:R146"/>
    <mergeCell ref="T144:V144"/>
    <mergeCell ref="T145:V145"/>
    <mergeCell ref="S141:V141"/>
    <mergeCell ref="W141:Z141"/>
    <mergeCell ref="T143:V143"/>
    <mergeCell ref="K141:N141"/>
    <mergeCell ref="O141:R141"/>
    <mergeCell ref="T146:V146"/>
    <mergeCell ref="X143:Z143"/>
    <mergeCell ref="X144:Z144"/>
    <mergeCell ref="X145:Z145"/>
    <mergeCell ref="X146:Z146"/>
    <mergeCell ref="AC124:AE124"/>
    <mergeCell ref="AF124:AH124"/>
    <mergeCell ref="L8:AD8"/>
    <mergeCell ref="K28:L30"/>
    <mergeCell ref="O28:P30"/>
    <mergeCell ref="AC123:AE123"/>
    <mergeCell ref="AF123:AH123"/>
    <mergeCell ref="AF122:AH122"/>
    <mergeCell ref="AC121:AE121"/>
    <mergeCell ref="AF121:AH121"/>
    <mergeCell ref="Z122:AB122"/>
    <mergeCell ref="Z119:AB119"/>
    <mergeCell ref="AC119:AE119"/>
    <mergeCell ref="AF119:AH119"/>
    <mergeCell ref="Q118:S118"/>
    <mergeCell ref="AC120:AE120"/>
    <mergeCell ref="AF120:AH120"/>
    <mergeCell ref="T80:V80"/>
    <mergeCell ref="W80:Y80"/>
    <mergeCell ref="B124:G124"/>
    <mergeCell ref="H124:J124"/>
    <mergeCell ref="K124:M124"/>
    <mergeCell ref="N124:P124"/>
    <mergeCell ref="Q124:S124"/>
    <mergeCell ref="T124:V124"/>
    <mergeCell ref="W124:Y124"/>
    <mergeCell ref="Z124:AB124"/>
    <mergeCell ref="AC122:AE122"/>
    <mergeCell ref="B123:G123"/>
    <mergeCell ref="H123:J123"/>
    <mergeCell ref="K123:M123"/>
    <mergeCell ref="N123:P123"/>
    <mergeCell ref="Q123:S123"/>
    <mergeCell ref="T123:V123"/>
    <mergeCell ref="W123:Y123"/>
    <mergeCell ref="Z123:AB123"/>
    <mergeCell ref="B122:G122"/>
    <mergeCell ref="H122:J122"/>
    <mergeCell ref="K122:M122"/>
    <mergeCell ref="N122:P122"/>
    <mergeCell ref="Q122:S122"/>
    <mergeCell ref="T122:V122"/>
    <mergeCell ref="W122:Y122"/>
    <mergeCell ref="B121:G121"/>
    <mergeCell ref="H121:J121"/>
    <mergeCell ref="K121:M121"/>
    <mergeCell ref="N121:P121"/>
    <mergeCell ref="Q121:S121"/>
    <mergeCell ref="T121:V121"/>
    <mergeCell ref="W121:Y121"/>
    <mergeCell ref="Z121:AB121"/>
    <mergeCell ref="K120:M120"/>
    <mergeCell ref="N120:P120"/>
    <mergeCell ref="Q120:S120"/>
    <mergeCell ref="T120:V120"/>
    <mergeCell ref="W120:Y120"/>
    <mergeCell ref="Z120:AB120"/>
    <mergeCell ref="Z80:AB80"/>
    <mergeCell ref="AC80:AE80"/>
    <mergeCell ref="B81:G81"/>
    <mergeCell ref="H81:J81"/>
    <mergeCell ref="K81:M81"/>
    <mergeCell ref="N81:P81"/>
    <mergeCell ref="Q81:S81"/>
    <mergeCell ref="T81:V81"/>
    <mergeCell ref="W81:Y81"/>
    <mergeCell ref="Z81:AB81"/>
    <mergeCell ref="AC81:AE81"/>
    <mergeCell ref="K80:M80"/>
    <mergeCell ref="AC79:AE79"/>
    <mergeCell ref="B78:G78"/>
    <mergeCell ref="AC77:AE77"/>
    <mergeCell ref="AF78:AH78"/>
    <mergeCell ref="AF77:AH77"/>
    <mergeCell ref="K76:M76"/>
    <mergeCell ref="N76:P76"/>
    <mergeCell ref="Q76:S76"/>
    <mergeCell ref="T76:V76"/>
    <mergeCell ref="W76:Y76"/>
    <mergeCell ref="Z76:AB76"/>
    <mergeCell ref="G9:K9"/>
    <mergeCell ref="B9:F9"/>
    <mergeCell ref="G11:K11"/>
    <mergeCell ref="G12:K12"/>
    <mergeCell ref="G13:K13"/>
    <mergeCell ref="G14:K14"/>
    <mergeCell ref="G15:K15"/>
    <mergeCell ref="C38:J38"/>
    <mergeCell ref="C39:J39"/>
    <mergeCell ref="B11:F11"/>
    <mergeCell ref="B12:F12"/>
    <mergeCell ref="B13:F13"/>
    <mergeCell ref="B15:F15"/>
    <mergeCell ref="B14:F14"/>
    <mergeCell ref="B29:B30"/>
    <mergeCell ref="C32:J32"/>
    <mergeCell ref="C33:J33"/>
    <mergeCell ref="C34:J34"/>
    <mergeCell ref="C35:J35"/>
    <mergeCell ref="C36:J36"/>
    <mergeCell ref="C37:J37"/>
    <mergeCell ref="K75:M75"/>
    <mergeCell ref="B77:G77"/>
    <mergeCell ref="H77:J77"/>
    <mergeCell ref="K77:M77"/>
    <mergeCell ref="B80:G80"/>
    <mergeCell ref="H78:J78"/>
    <mergeCell ref="K78:M78"/>
    <mergeCell ref="N78:P78"/>
    <mergeCell ref="N77:P77"/>
    <mergeCell ref="N75:P75"/>
    <mergeCell ref="B79:G79"/>
    <mergeCell ref="H79:J79"/>
    <mergeCell ref="K79:M79"/>
    <mergeCell ref="N79:P79"/>
    <mergeCell ref="H63:J63"/>
    <mergeCell ref="O34:P34"/>
    <mergeCell ref="K36:L36"/>
    <mergeCell ref="O36:P36"/>
    <mergeCell ref="K37:L37"/>
    <mergeCell ref="X29:AH30"/>
    <mergeCell ref="X32:AH35"/>
    <mergeCell ref="X36:AH39"/>
    <mergeCell ref="X31:AH31"/>
    <mergeCell ref="C29:J30"/>
    <mergeCell ref="C31:J31"/>
    <mergeCell ref="Q31:W31"/>
    <mergeCell ref="M28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N63:P63"/>
    <mergeCell ref="K63:M63"/>
    <mergeCell ref="L11:N11"/>
    <mergeCell ref="O11:Q11"/>
    <mergeCell ref="R11:T11"/>
    <mergeCell ref="U11:V11"/>
    <mergeCell ref="W11:X11"/>
    <mergeCell ref="Y11:Z11"/>
    <mergeCell ref="AC13:AD13"/>
    <mergeCell ref="AA11:AB11"/>
    <mergeCell ref="AC11:AD11"/>
    <mergeCell ref="L12:N12"/>
    <mergeCell ref="O12:Q12"/>
    <mergeCell ref="R12:T12"/>
    <mergeCell ref="U12:V12"/>
    <mergeCell ref="W12:X12"/>
    <mergeCell ref="Y12:Z12"/>
    <mergeCell ref="AE14:AF14"/>
    <mergeCell ref="AC12:AD12"/>
    <mergeCell ref="Y15:Z15"/>
    <mergeCell ref="L14:N14"/>
    <mergeCell ref="O14:Q14"/>
    <mergeCell ref="R14:T14"/>
    <mergeCell ref="U14:V14"/>
    <mergeCell ref="W14:X14"/>
    <mergeCell ref="Y14:Z14"/>
    <mergeCell ref="AA14:AB14"/>
    <mergeCell ref="U15:V15"/>
    <mergeCell ref="W15:X15"/>
    <mergeCell ref="L15:N15"/>
    <mergeCell ref="O15:Q15"/>
    <mergeCell ref="R15:T15"/>
    <mergeCell ref="AC14:AD14"/>
    <mergeCell ref="L13:N13"/>
    <mergeCell ref="O13:Q13"/>
    <mergeCell ref="R13:T13"/>
    <mergeCell ref="U13:V13"/>
    <mergeCell ref="W13:X13"/>
    <mergeCell ref="Y13:Z13"/>
    <mergeCell ref="AA13:AB13"/>
    <mergeCell ref="AA12:AB12"/>
    <mergeCell ref="AA10:AB10"/>
    <mergeCell ref="L9:N9"/>
    <mergeCell ref="O9:Q9"/>
    <mergeCell ref="R9:T9"/>
    <mergeCell ref="U9:V9"/>
    <mergeCell ref="W9:X9"/>
    <mergeCell ref="Y9:Z9"/>
    <mergeCell ref="AA9:AB9"/>
    <mergeCell ref="AC9:AD9"/>
    <mergeCell ref="U10:V10"/>
    <mergeCell ref="W10:X10"/>
    <mergeCell ref="Y10:Z10"/>
    <mergeCell ref="L10:N10"/>
    <mergeCell ref="O10:Q10"/>
    <mergeCell ref="R10:T10"/>
    <mergeCell ref="AC10:AD10"/>
    <mergeCell ref="AE9:AF9"/>
    <mergeCell ref="AE11:AF11"/>
    <mergeCell ref="AE12:AF12"/>
    <mergeCell ref="AE13:AF13"/>
    <mergeCell ref="AA15:AB15"/>
    <mergeCell ref="AC15:AD15"/>
    <mergeCell ref="AE15:AF15"/>
    <mergeCell ref="AE10:AF10"/>
    <mergeCell ref="K35:L35"/>
    <mergeCell ref="K32:L32"/>
    <mergeCell ref="K33:L33"/>
    <mergeCell ref="K34:L34"/>
    <mergeCell ref="Q32:W39"/>
    <mergeCell ref="K39:L39"/>
    <mergeCell ref="O32:P32"/>
    <mergeCell ref="O33:P33"/>
    <mergeCell ref="O35:P35"/>
    <mergeCell ref="O37:P37"/>
    <mergeCell ref="O39:P39"/>
    <mergeCell ref="K38:L38"/>
    <mergeCell ref="O38:P38"/>
    <mergeCell ref="Q29:W30"/>
    <mergeCell ref="K31:L31"/>
    <mergeCell ref="O31:P31"/>
    <mergeCell ref="K67:M67"/>
    <mergeCell ref="N67:P67"/>
    <mergeCell ref="K66:M66"/>
    <mergeCell ref="N66:P66"/>
    <mergeCell ref="AF66:AH66"/>
    <mergeCell ref="AF67:AH67"/>
    <mergeCell ref="H65:J65"/>
    <mergeCell ref="H66:J66"/>
    <mergeCell ref="H67:J67"/>
    <mergeCell ref="AC65:AE65"/>
    <mergeCell ref="AF65:AH65"/>
    <mergeCell ref="K65:M65"/>
    <mergeCell ref="N65:P65"/>
    <mergeCell ref="Q65:S65"/>
    <mergeCell ref="T65:V65"/>
    <mergeCell ref="W65:Y65"/>
    <mergeCell ref="Z65:AB65"/>
    <mergeCell ref="Q66:S66"/>
    <mergeCell ref="T66:V66"/>
    <mergeCell ref="W66:Y66"/>
    <mergeCell ref="Z66:AB66"/>
    <mergeCell ref="AC66:AE66"/>
    <mergeCell ref="Q67:S67"/>
    <mergeCell ref="T67:V67"/>
    <mergeCell ref="K64:M64"/>
    <mergeCell ref="N64:P64"/>
    <mergeCell ref="Q64:S64"/>
    <mergeCell ref="AF63:AH63"/>
    <mergeCell ref="AC63:AE63"/>
    <mergeCell ref="Z63:AB63"/>
    <mergeCell ref="T64:V64"/>
    <mergeCell ref="W64:Y64"/>
    <mergeCell ref="Z64:AB64"/>
    <mergeCell ref="AC64:AE64"/>
    <mergeCell ref="AF64:AH64"/>
    <mergeCell ref="Q63:S63"/>
    <mergeCell ref="W63:Y63"/>
    <mergeCell ref="T63:V63"/>
    <mergeCell ref="K68:M68"/>
    <mergeCell ref="N68:P68"/>
    <mergeCell ref="Q68:S68"/>
    <mergeCell ref="T68:V68"/>
    <mergeCell ref="W68:Y68"/>
    <mergeCell ref="AC68:AE68"/>
    <mergeCell ref="AF68:AH68"/>
    <mergeCell ref="K69:M69"/>
    <mergeCell ref="N69:P69"/>
    <mergeCell ref="Q69:S69"/>
    <mergeCell ref="T69:V69"/>
    <mergeCell ref="W69:Y69"/>
    <mergeCell ref="Z69:AB69"/>
    <mergeCell ref="AC69:AE69"/>
    <mergeCell ref="Z68:AB68"/>
    <mergeCell ref="W67:Y67"/>
    <mergeCell ref="Z67:AB67"/>
    <mergeCell ref="AF80:AH80"/>
    <mergeCell ref="AF79:AH79"/>
    <mergeCell ref="N80:P80"/>
    <mergeCell ref="Q80:S80"/>
    <mergeCell ref="AC67:AE67"/>
    <mergeCell ref="AF69:AH69"/>
    <mergeCell ref="AF75:AH75"/>
    <mergeCell ref="Q77:S77"/>
    <mergeCell ref="T77:V77"/>
    <mergeCell ref="W77:Y77"/>
    <mergeCell ref="Z77:AB77"/>
    <mergeCell ref="AC76:AE76"/>
    <mergeCell ref="AF76:AH76"/>
    <mergeCell ref="Q75:S75"/>
    <mergeCell ref="T75:V75"/>
    <mergeCell ref="W75:Y75"/>
    <mergeCell ref="Z75:AB75"/>
    <mergeCell ref="AC75:AE75"/>
    <mergeCell ref="Q79:S79"/>
    <mergeCell ref="T79:V79"/>
    <mergeCell ref="W79:Y79"/>
    <mergeCell ref="Z79:AB79"/>
    <mergeCell ref="B69:G69"/>
    <mergeCell ref="Q78:S78"/>
    <mergeCell ref="T78:V78"/>
    <mergeCell ref="W78:Y78"/>
    <mergeCell ref="Z78:AB78"/>
    <mergeCell ref="AC78:AE78"/>
    <mergeCell ref="AF81:AH81"/>
    <mergeCell ref="B120:G120"/>
    <mergeCell ref="H120:J120"/>
    <mergeCell ref="N118:P118"/>
    <mergeCell ref="B115:J116"/>
    <mergeCell ref="AF118:AH118"/>
    <mergeCell ref="K119:M119"/>
    <mergeCell ref="N119:P119"/>
    <mergeCell ref="Q119:S119"/>
    <mergeCell ref="T119:V119"/>
    <mergeCell ref="W119:Y119"/>
    <mergeCell ref="B118:G118"/>
    <mergeCell ref="H118:J118"/>
    <mergeCell ref="K118:M118"/>
    <mergeCell ref="AC118:AE118"/>
    <mergeCell ref="T118:V118"/>
    <mergeCell ref="W118:Y118"/>
    <mergeCell ref="Z118:AB118"/>
    <mergeCell ref="B127:J128"/>
    <mergeCell ref="B130:G130"/>
    <mergeCell ref="H130:J130"/>
    <mergeCell ref="K130:M130"/>
    <mergeCell ref="N130:P130"/>
    <mergeCell ref="Q130:S130"/>
    <mergeCell ref="T130:V130"/>
    <mergeCell ref="W130:Y130"/>
    <mergeCell ref="Z130:AB130"/>
    <mergeCell ref="AC130:AE130"/>
    <mergeCell ref="AF130:AH130"/>
    <mergeCell ref="K131:M131"/>
    <mergeCell ref="N131:P131"/>
    <mergeCell ref="Q131:S131"/>
    <mergeCell ref="T131:V131"/>
    <mergeCell ref="W131:Y131"/>
    <mergeCell ref="Z131:AB131"/>
    <mergeCell ref="AC131:AE131"/>
    <mergeCell ref="AF131:AH131"/>
    <mergeCell ref="AF132:AH132"/>
    <mergeCell ref="B133:G133"/>
    <mergeCell ref="H133:J133"/>
    <mergeCell ref="K133:M133"/>
    <mergeCell ref="N133:P133"/>
    <mergeCell ref="Q133:S133"/>
    <mergeCell ref="T133:V133"/>
    <mergeCell ref="W133:Y133"/>
    <mergeCell ref="Z133:AB133"/>
    <mergeCell ref="AC133:AE133"/>
    <mergeCell ref="AF133:AH133"/>
    <mergeCell ref="B132:G132"/>
    <mergeCell ref="H132:J132"/>
    <mergeCell ref="K132:M132"/>
    <mergeCell ref="N132:P132"/>
    <mergeCell ref="Q132:S132"/>
    <mergeCell ref="T132:V132"/>
    <mergeCell ref="W132:Y132"/>
    <mergeCell ref="Z132:AB132"/>
    <mergeCell ref="AC132:AE132"/>
    <mergeCell ref="AF134:AH134"/>
    <mergeCell ref="B135:G135"/>
    <mergeCell ref="H135:J135"/>
    <mergeCell ref="K135:M135"/>
    <mergeCell ref="N135:P135"/>
    <mergeCell ref="Q135:S135"/>
    <mergeCell ref="T135:V135"/>
    <mergeCell ref="W135:Y135"/>
    <mergeCell ref="Z135:AB135"/>
    <mergeCell ref="AC135:AE135"/>
    <mergeCell ref="AF135:AH135"/>
    <mergeCell ref="B134:G134"/>
    <mergeCell ref="H134:J134"/>
    <mergeCell ref="K134:M134"/>
    <mergeCell ref="N134:P134"/>
    <mergeCell ref="Q134:S134"/>
    <mergeCell ref="T134:V134"/>
    <mergeCell ref="W134:Y134"/>
    <mergeCell ref="Z134:AB134"/>
    <mergeCell ref="AC134:AE134"/>
    <mergeCell ref="AF136:AH136"/>
    <mergeCell ref="B136:G136"/>
    <mergeCell ref="H136:J136"/>
    <mergeCell ref="K136:M136"/>
    <mergeCell ref="N136:P136"/>
    <mergeCell ref="Q136:S136"/>
    <mergeCell ref="T136:V136"/>
    <mergeCell ref="W136:Y136"/>
    <mergeCell ref="Z136:AB136"/>
    <mergeCell ref="AC136:AE136"/>
  </mergeCells>
  <pageMargins left="0.25" right="0.25" top="0.25" bottom="0.25" header="0.2" footer="0.15"/>
  <pageSetup scale="85" orientation="landscape" r:id="rId1"/>
  <rowBreaks count="2" manualBreakCount="2">
    <brk id="41" max="16383" man="1"/>
    <brk id="10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FD7E-13AC-4C20-B66D-5FBCAC37A77A}">
  <sheetPr>
    <tabColor theme="4"/>
  </sheetPr>
  <dimension ref="B1:AL100"/>
  <sheetViews>
    <sheetView showGridLines="0" topLeftCell="A67" zoomScale="80" zoomScaleNormal="80" workbookViewId="0">
      <selection activeCell="Y5" sqref="Y5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7" width="4.6640625" customWidth="1"/>
    <col min="38" max="38" width="18.83203125" customWidth="1"/>
    <col min="39" max="63" width="4.6640625" customWidth="1"/>
  </cols>
  <sheetData>
    <row r="1" spans="2:32" x14ac:dyDescent="0.2">
      <c r="B1" s="24" t="s">
        <v>87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4" spans="2:32" ht="14.5" customHeight="1" x14ac:dyDescent="0.25">
      <c r="H4" s="19"/>
      <c r="I4" s="19"/>
      <c r="J4" s="19"/>
      <c r="K4" s="19"/>
      <c r="L4" s="19"/>
      <c r="M4" s="19"/>
      <c r="N4" s="19"/>
    </row>
    <row r="5" spans="2:32" ht="18" customHeight="1" x14ac:dyDescent="0.25">
      <c r="B5" s="22" t="s">
        <v>404</v>
      </c>
      <c r="E5" s="6"/>
      <c r="H5" s="19"/>
      <c r="I5" s="19"/>
      <c r="J5" s="19"/>
      <c r="K5" s="19"/>
      <c r="L5" s="19"/>
      <c r="M5" s="19"/>
      <c r="N5" s="19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/>
      <c r="E8" s="6"/>
      <c r="G8" s="6"/>
      <c r="L8" s="119" t="s">
        <v>10</v>
      </c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</row>
    <row r="9" spans="2:32" s="5" customFormat="1" ht="25" customHeight="1" x14ac:dyDescent="0.2">
      <c r="B9" s="121" t="s">
        <v>49</v>
      </c>
      <c r="C9" s="121"/>
      <c r="D9" s="121"/>
      <c r="E9" s="121"/>
      <c r="F9" s="121"/>
      <c r="G9" s="122" t="s">
        <v>48</v>
      </c>
      <c r="H9" s="122"/>
      <c r="I9" s="122"/>
      <c r="J9" s="122"/>
      <c r="K9" s="123"/>
      <c r="L9" s="124" t="s">
        <v>18</v>
      </c>
      <c r="M9" s="124"/>
      <c r="N9" s="124"/>
      <c r="O9" s="124" t="s">
        <v>314</v>
      </c>
      <c r="P9" s="124"/>
      <c r="Q9" s="124"/>
      <c r="R9" s="124" t="s">
        <v>315</v>
      </c>
      <c r="S9" s="124"/>
      <c r="T9" s="124"/>
      <c r="U9" s="124" t="s">
        <v>17</v>
      </c>
      <c r="V9" s="124"/>
      <c r="W9" s="124" t="s">
        <v>16</v>
      </c>
      <c r="X9" s="124"/>
      <c r="Y9" s="124" t="s">
        <v>47</v>
      </c>
      <c r="Z9" s="124"/>
      <c r="AA9" s="124" t="s">
        <v>15</v>
      </c>
      <c r="AB9" s="124"/>
      <c r="AC9" s="124" t="s">
        <v>14</v>
      </c>
      <c r="AD9" s="124"/>
      <c r="AE9" s="126" t="s">
        <v>46</v>
      </c>
      <c r="AF9" s="126"/>
    </row>
    <row r="10" spans="2:32" ht="5" customHeight="1" x14ac:dyDescent="0.2">
      <c r="B10" s="4"/>
      <c r="C10" s="3"/>
      <c r="D10" s="3"/>
      <c r="E10" s="3"/>
      <c r="F10" s="3"/>
      <c r="G10" s="3"/>
      <c r="H10" s="3"/>
      <c r="I10" s="3"/>
      <c r="J10" s="3"/>
      <c r="K10" s="9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8"/>
      <c r="AF10" s="128"/>
    </row>
    <row r="11" spans="2:32" s="5" customFormat="1" ht="17" customHeight="1" x14ac:dyDescent="0.2">
      <c r="B11" s="129" t="s">
        <v>45</v>
      </c>
      <c r="C11" s="129"/>
      <c r="D11" s="129"/>
      <c r="E11" s="129"/>
      <c r="F11" s="130"/>
      <c r="G11" s="131" t="s">
        <v>44</v>
      </c>
      <c r="H11" s="131"/>
      <c r="I11" s="131"/>
      <c r="J11" s="131"/>
      <c r="K11" s="132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33"/>
      <c r="AF11" s="133"/>
    </row>
    <row r="12" spans="2:32" s="5" customFormat="1" ht="17" customHeight="1" x14ac:dyDescent="0.2">
      <c r="B12" s="129" t="s">
        <v>43</v>
      </c>
      <c r="C12" s="129"/>
      <c r="D12" s="129"/>
      <c r="E12" s="129"/>
      <c r="F12" s="130"/>
      <c r="G12" s="131" t="s">
        <v>42</v>
      </c>
      <c r="H12" s="131"/>
      <c r="I12" s="131"/>
      <c r="J12" s="131"/>
      <c r="K12" s="132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33"/>
      <c r="AF12" s="133"/>
    </row>
    <row r="13" spans="2:32" s="5" customFormat="1" ht="17" customHeight="1" x14ac:dyDescent="0.2">
      <c r="B13" s="129" t="s">
        <v>41</v>
      </c>
      <c r="C13" s="129"/>
      <c r="D13" s="129"/>
      <c r="E13" s="129"/>
      <c r="F13" s="130"/>
      <c r="G13" s="131" t="s">
        <v>40</v>
      </c>
      <c r="H13" s="131"/>
      <c r="I13" s="131"/>
      <c r="J13" s="131"/>
      <c r="K13" s="132"/>
      <c r="L13" s="125">
        <v>0.5</v>
      </c>
      <c r="M13" s="125"/>
      <c r="N13" s="125"/>
      <c r="O13" s="125">
        <v>0.1</v>
      </c>
      <c r="P13" s="125"/>
      <c r="Q13" s="125"/>
      <c r="R13" s="125">
        <v>0.1</v>
      </c>
      <c r="S13" s="125"/>
      <c r="T13" s="125"/>
      <c r="U13" s="125"/>
      <c r="V13" s="125"/>
      <c r="W13" s="125">
        <v>0.15</v>
      </c>
      <c r="X13" s="125"/>
      <c r="Y13" s="125"/>
      <c r="Z13" s="125"/>
      <c r="AA13" s="125"/>
      <c r="AB13" s="125"/>
      <c r="AC13" s="125">
        <v>0.15</v>
      </c>
      <c r="AD13" s="125"/>
      <c r="AE13" s="134">
        <f>SUM(L13:AD13)</f>
        <v>1</v>
      </c>
      <c r="AF13" s="135"/>
    </row>
    <row r="14" spans="2:32" s="5" customFormat="1" ht="17" customHeight="1" x14ac:dyDescent="0.2">
      <c r="B14" s="129" t="s">
        <v>39</v>
      </c>
      <c r="C14" s="129"/>
      <c r="D14" s="129"/>
      <c r="E14" s="129"/>
      <c r="F14" s="130"/>
      <c r="G14" s="131" t="s">
        <v>38</v>
      </c>
      <c r="H14" s="131"/>
      <c r="I14" s="131"/>
      <c r="J14" s="131"/>
      <c r="K14" s="132"/>
      <c r="L14" s="125">
        <v>0.5</v>
      </c>
      <c r="M14" s="125"/>
      <c r="N14" s="125"/>
      <c r="O14" s="125">
        <v>0.1</v>
      </c>
      <c r="P14" s="125"/>
      <c r="Q14" s="125"/>
      <c r="R14" s="125">
        <v>0.1</v>
      </c>
      <c r="S14" s="125"/>
      <c r="T14" s="125"/>
      <c r="U14" s="125"/>
      <c r="V14" s="125"/>
      <c r="W14" s="125">
        <v>0.15</v>
      </c>
      <c r="X14" s="125"/>
      <c r="Y14" s="125">
        <v>0.15</v>
      </c>
      <c r="Z14" s="125"/>
      <c r="AA14" s="125"/>
      <c r="AB14" s="125"/>
      <c r="AC14" s="125"/>
      <c r="AD14" s="125"/>
      <c r="AE14" s="134">
        <f>SUM(L14:AD14)</f>
        <v>1</v>
      </c>
      <c r="AF14" s="135"/>
    </row>
    <row r="15" spans="2:32" s="5" customFormat="1" ht="17" customHeight="1" x14ac:dyDescent="0.2">
      <c r="B15" s="129" t="s">
        <v>37</v>
      </c>
      <c r="C15" s="129"/>
      <c r="D15" s="129"/>
      <c r="E15" s="129"/>
      <c r="F15" s="130"/>
      <c r="G15" s="131" t="s">
        <v>36</v>
      </c>
      <c r="H15" s="131"/>
      <c r="I15" s="131"/>
      <c r="J15" s="131"/>
      <c r="K15" s="132"/>
      <c r="L15" s="125">
        <v>0.5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>
        <v>0.2</v>
      </c>
      <c r="X15" s="125"/>
      <c r="Y15" s="125">
        <v>0.2</v>
      </c>
      <c r="Z15" s="125"/>
      <c r="AA15" s="125">
        <v>0.1</v>
      </c>
      <c r="AB15" s="125"/>
      <c r="AC15" s="125"/>
      <c r="AD15" s="125"/>
      <c r="AE15" s="134">
        <f>SUM(L15:AD15)</f>
        <v>0.99999999999999989</v>
      </c>
      <c r="AF15" s="135"/>
    </row>
    <row r="17" spans="2:34" x14ac:dyDescent="0.2">
      <c r="B17" t="s">
        <v>35</v>
      </c>
    </row>
    <row r="18" spans="2:34" x14ac:dyDescent="0.2">
      <c r="C18" s="2" t="s">
        <v>34</v>
      </c>
      <c r="I18" s="2" t="s">
        <v>33</v>
      </c>
      <c r="P18" s="2" t="s">
        <v>32</v>
      </c>
    </row>
    <row r="19" spans="2:34" x14ac:dyDescent="0.2">
      <c r="C19" s="16" t="s">
        <v>73</v>
      </c>
      <c r="D19" t="s">
        <v>31</v>
      </c>
      <c r="I19" s="16" t="s">
        <v>73</v>
      </c>
      <c r="J19" t="s">
        <v>109</v>
      </c>
      <c r="P19" s="16" t="s">
        <v>73</v>
      </c>
      <c r="Q19" t="s">
        <v>30</v>
      </c>
      <c r="V19" s="16" t="s">
        <v>73</v>
      </c>
      <c r="W19" t="s">
        <v>29</v>
      </c>
      <c r="AB19" s="104" t="s">
        <v>73</v>
      </c>
      <c r="AC19" s="105" t="s">
        <v>403</v>
      </c>
    </row>
    <row r="20" spans="2:34" x14ac:dyDescent="0.2">
      <c r="C20" s="16" t="s">
        <v>73</v>
      </c>
      <c r="D20" t="s">
        <v>28</v>
      </c>
      <c r="I20" s="16" t="s">
        <v>73</v>
      </c>
      <c r="J20" t="s">
        <v>108</v>
      </c>
      <c r="P20" s="16" t="s">
        <v>73</v>
      </c>
      <c r="Q20" t="s">
        <v>27</v>
      </c>
      <c r="V20" s="16" t="s">
        <v>73</v>
      </c>
      <c r="W20" t="s">
        <v>26</v>
      </c>
      <c r="AB20" s="104" t="s">
        <v>73</v>
      </c>
      <c r="AC20" s="105" t="s">
        <v>402</v>
      </c>
    </row>
    <row r="21" spans="2:34" x14ac:dyDescent="0.2">
      <c r="I21" s="16" t="s">
        <v>73</v>
      </c>
      <c r="J21" t="s">
        <v>116</v>
      </c>
      <c r="P21" s="16" t="s">
        <v>73</v>
      </c>
      <c r="Q21" t="s">
        <v>25</v>
      </c>
      <c r="V21" s="16" t="s">
        <v>73</v>
      </c>
      <c r="W21" t="s">
        <v>120</v>
      </c>
      <c r="AB21" s="28" t="s">
        <v>73</v>
      </c>
      <c r="AC21" s="27" t="s">
        <v>107</v>
      </c>
    </row>
    <row r="22" spans="2:34" x14ac:dyDescent="0.2">
      <c r="I22" s="16" t="s">
        <v>73</v>
      </c>
      <c r="J22" t="s">
        <v>113</v>
      </c>
      <c r="P22" s="16" t="s">
        <v>73</v>
      </c>
      <c r="Q22" t="s">
        <v>114</v>
      </c>
      <c r="V22" s="16" t="s">
        <v>73</v>
      </c>
      <c r="W22" t="s">
        <v>119</v>
      </c>
      <c r="AB22" s="28" t="s">
        <v>73</v>
      </c>
      <c r="AC22" s="27" t="s">
        <v>115</v>
      </c>
    </row>
    <row r="23" spans="2:34" x14ac:dyDescent="0.2">
      <c r="I23" s="16" t="s">
        <v>73</v>
      </c>
      <c r="J23" t="s">
        <v>112</v>
      </c>
      <c r="V23" s="16" t="s">
        <v>73</v>
      </c>
      <c r="W23" t="s">
        <v>111</v>
      </c>
      <c r="AB23" s="28" t="s">
        <v>73</v>
      </c>
      <c r="AC23" s="27" t="s">
        <v>110</v>
      </c>
    </row>
    <row r="24" spans="2:34" x14ac:dyDescent="0.2">
      <c r="V24" s="16" t="s">
        <v>73</v>
      </c>
      <c r="W24" t="s">
        <v>24</v>
      </c>
      <c r="AB24" s="28" t="s">
        <v>73</v>
      </c>
      <c r="AC24" s="27" t="s">
        <v>117</v>
      </c>
    </row>
    <row r="25" spans="2:34" x14ac:dyDescent="0.2">
      <c r="AB25" s="28" t="s">
        <v>73</v>
      </c>
      <c r="AC25" s="27" t="s">
        <v>118</v>
      </c>
    </row>
    <row r="26" spans="2:34" ht="5" customHeight="1" x14ac:dyDescent="0.2">
      <c r="K26" s="91"/>
      <c r="L26" s="91"/>
      <c r="M26" s="93"/>
      <c r="N26" s="93"/>
      <c r="O26" s="92"/>
      <c r="P26" s="92"/>
    </row>
    <row r="27" spans="2:34" x14ac:dyDescent="0.2">
      <c r="B27" s="2" t="s">
        <v>405</v>
      </c>
      <c r="K27" s="172" t="s">
        <v>9</v>
      </c>
      <c r="L27" s="173"/>
      <c r="M27" s="173"/>
      <c r="N27" s="173"/>
      <c r="O27" s="173"/>
      <c r="P27" s="174"/>
    </row>
    <row r="28" spans="2:34" ht="5" customHeight="1" x14ac:dyDescent="0.2">
      <c r="K28" s="194" t="s">
        <v>317</v>
      </c>
      <c r="L28" s="195"/>
      <c r="M28" s="194" t="s">
        <v>361</v>
      </c>
      <c r="N28" s="195"/>
      <c r="O28" s="194" t="s">
        <v>59</v>
      </c>
      <c r="P28" s="195"/>
    </row>
    <row r="29" spans="2:34" ht="20" customHeight="1" x14ac:dyDescent="0.2">
      <c r="B29" s="185" t="s">
        <v>11</v>
      </c>
      <c r="C29" s="187" t="s">
        <v>10</v>
      </c>
      <c r="D29" s="188"/>
      <c r="E29" s="188"/>
      <c r="F29" s="188"/>
      <c r="G29" s="188"/>
      <c r="H29" s="188"/>
      <c r="I29" s="188"/>
      <c r="J29" s="189"/>
      <c r="K29" s="196"/>
      <c r="L29" s="197"/>
      <c r="M29" s="196"/>
      <c r="N29" s="197"/>
      <c r="O29" s="196"/>
      <c r="P29" s="197"/>
      <c r="Q29" s="185" t="s">
        <v>8</v>
      </c>
      <c r="R29" s="185"/>
      <c r="S29" s="185"/>
      <c r="T29" s="185"/>
      <c r="U29" s="185"/>
      <c r="V29" s="185"/>
      <c r="W29" s="185"/>
      <c r="X29" s="187" t="s">
        <v>7</v>
      </c>
      <c r="Y29" s="188"/>
      <c r="Z29" s="188"/>
      <c r="AA29" s="188"/>
      <c r="AB29" s="188"/>
      <c r="AC29" s="188"/>
      <c r="AD29" s="188"/>
      <c r="AE29" s="188"/>
      <c r="AF29" s="188"/>
      <c r="AG29" s="188"/>
      <c r="AH29" s="189"/>
    </row>
    <row r="30" spans="2:34" ht="20" customHeight="1" x14ac:dyDescent="0.2">
      <c r="B30" s="185"/>
      <c r="C30" s="190"/>
      <c r="D30" s="191"/>
      <c r="E30" s="191"/>
      <c r="F30" s="191"/>
      <c r="G30" s="191"/>
      <c r="H30" s="191"/>
      <c r="I30" s="191"/>
      <c r="J30" s="192"/>
      <c r="K30" s="198"/>
      <c r="L30" s="199"/>
      <c r="M30" s="198"/>
      <c r="N30" s="199"/>
      <c r="O30" s="198"/>
      <c r="P30" s="199"/>
      <c r="Q30" s="185"/>
      <c r="R30" s="185"/>
      <c r="S30" s="185"/>
      <c r="T30" s="185"/>
      <c r="U30" s="185"/>
      <c r="V30" s="185"/>
      <c r="W30" s="185"/>
      <c r="X30" s="190"/>
      <c r="Y30" s="191"/>
      <c r="Z30" s="191"/>
      <c r="AA30" s="191"/>
      <c r="AB30" s="191"/>
      <c r="AC30" s="191"/>
      <c r="AD30" s="191"/>
      <c r="AE30" s="191"/>
      <c r="AF30" s="191"/>
      <c r="AG30" s="191"/>
      <c r="AH30" s="192"/>
    </row>
    <row r="31" spans="2:34" ht="5" customHeight="1" x14ac:dyDescent="0.2">
      <c r="B31" s="1"/>
      <c r="C31" s="166"/>
      <c r="D31" s="167"/>
      <c r="E31" s="167"/>
      <c r="F31" s="167"/>
      <c r="G31" s="167"/>
      <c r="H31" s="167"/>
      <c r="I31" s="167"/>
      <c r="J31" s="168"/>
      <c r="K31" s="186"/>
      <c r="L31" s="186"/>
      <c r="M31" s="186"/>
      <c r="N31" s="186"/>
      <c r="O31" s="186"/>
      <c r="P31" s="186"/>
      <c r="Q31" s="193"/>
      <c r="R31" s="193"/>
      <c r="S31" s="193"/>
      <c r="T31" s="193"/>
      <c r="U31" s="193"/>
      <c r="V31" s="193"/>
      <c r="W31" s="193"/>
      <c r="X31" s="166"/>
      <c r="Y31" s="167"/>
      <c r="Z31" s="167"/>
      <c r="AA31" s="167"/>
      <c r="AB31" s="167"/>
      <c r="AC31" s="167"/>
      <c r="AD31" s="167"/>
      <c r="AE31" s="167"/>
      <c r="AF31" s="167"/>
      <c r="AG31" s="167"/>
      <c r="AH31" s="168"/>
    </row>
    <row r="32" spans="2:34" ht="14.5" customHeight="1" x14ac:dyDescent="0.2">
      <c r="B32" s="1">
        <v>1</v>
      </c>
      <c r="C32" s="200" t="s">
        <v>6</v>
      </c>
      <c r="D32" s="201"/>
      <c r="E32" s="201"/>
      <c r="F32" s="201"/>
      <c r="G32" s="201"/>
      <c r="H32" s="201"/>
      <c r="I32" s="201"/>
      <c r="J32" s="202"/>
      <c r="K32" s="175">
        <f>L13</f>
        <v>0.5</v>
      </c>
      <c r="L32" s="175"/>
      <c r="M32" s="175">
        <f>L14</f>
        <v>0.5</v>
      </c>
      <c r="N32" s="175"/>
      <c r="O32" s="175">
        <f>L15</f>
        <v>0.5</v>
      </c>
      <c r="P32" s="175"/>
      <c r="Q32" s="176" t="s">
        <v>12</v>
      </c>
      <c r="R32" s="177"/>
      <c r="S32" s="177"/>
      <c r="T32" s="177"/>
      <c r="U32" s="177"/>
      <c r="V32" s="177"/>
      <c r="W32" s="178"/>
      <c r="X32" s="177" t="s">
        <v>54</v>
      </c>
      <c r="Y32" s="177"/>
      <c r="Z32" s="177"/>
      <c r="AA32" s="177"/>
      <c r="AB32" s="177"/>
      <c r="AC32" s="177"/>
      <c r="AD32" s="177"/>
      <c r="AE32" s="177"/>
      <c r="AF32" s="177"/>
      <c r="AG32" s="177"/>
      <c r="AH32" s="178"/>
    </row>
    <row r="33" spans="2:34" x14ac:dyDescent="0.2">
      <c r="B33" s="1">
        <v>2</v>
      </c>
      <c r="C33" s="200" t="s">
        <v>102</v>
      </c>
      <c r="D33" s="201"/>
      <c r="E33" s="201"/>
      <c r="F33" s="201"/>
      <c r="G33" s="201"/>
      <c r="H33" s="201"/>
      <c r="I33" s="201"/>
      <c r="J33" s="202"/>
      <c r="K33" s="175">
        <f>O13</f>
        <v>0.1</v>
      </c>
      <c r="L33" s="175"/>
      <c r="M33" s="175">
        <f>O14</f>
        <v>0.1</v>
      </c>
      <c r="N33" s="175"/>
      <c r="O33" s="175"/>
      <c r="P33" s="175"/>
      <c r="Q33" s="179"/>
      <c r="R33" s="180"/>
      <c r="S33" s="180"/>
      <c r="T33" s="180"/>
      <c r="U33" s="180"/>
      <c r="V33" s="180"/>
      <c r="W33" s="181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1"/>
    </row>
    <row r="34" spans="2:34" x14ac:dyDescent="0.2">
      <c r="B34" s="1">
        <v>3</v>
      </c>
      <c r="C34" s="200" t="s">
        <v>327</v>
      </c>
      <c r="D34" s="201"/>
      <c r="E34" s="201"/>
      <c r="F34" s="201"/>
      <c r="G34" s="201"/>
      <c r="H34" s="201"/>
      <c r="I34" s="201"/>
      <c r="J34" s="202"/>
      <c r="K34" s="175">
        <f>R13</f>
        <v>0.1</v>
      </c>
      <c r="L34" s="175"/>
      <c r="M34" s="175">
        <f>R14</f>
        <v>0.1</v>
      </c>
      <c r="N34" s="175"/>
      <c r="O34" s="175"/>
      <c r="P34" s="175"/>
      <c r="Q34" s="179"/>
      <c r="R34" s="180"/>
      <c r="S34" s="180"/>
      <c r="T34" s="180"/>
      <c r="U34" s="180"/>
      <c r="V34" s="180"/>
      <c r="W34" s="181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1"/>
    </row>
    <row r="35" spans="2:34" x14ac:dyDescent="0.2">
      <c r="B35" s="1">
        <v>4</v>
      </c>
      <c r="C35" s="200" t="s">
        <v>53</v>
      </c>
      <c r="D35" s="201"/>
      <c r="E35" s="201"/>
      <c r="F35" s="201"/>
      <c r="G35" s="201"/>
      <c r="H35" s="201"/>
      <c r="I35" s="201"/>
      <c r="J35" s="202"/>
      <c r="K35" s="175"/>
      <c r="L35" s="175"/>
      <c r="M35" s="175"/>
      <c r="N35" s="175"/>
      <c r="O35" s="175"/>
      <c r="P35" s="175"/>
      <c r="Q35" s="179"/>
      <c r="R35" s="180"/>
      <c r="S35" s="180"/>
      <c r="T35" s="180"/>
      <c r="U35" s="180"/>
      <c r="V35" s="180"/>
      <c r="W35" s="181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4"/>
    </row>
    <row r="36" spans="2:34" x14ac:dyDescent="0.2">
      <c r="B36" s="1">
        <v>5</v>
      </c>
      <c r="C36" s="200" t="s">
        <v>4</v>
      </c>
      <c r="D36" s="201"/>
      <c r="E36" s="201"/>
      <c r="F36" s="201"/>
      <c r="G36" s="201"/>
      <c r="H36" s="201"/>
      <c r="I36" s="201"/>
      <c r="J36" s="202"/>
      <c r="K36" s="175">
        <f>W13</f>
        <v>0.15</v>
      </c>
      <c r="L36" s="175"/>
      <c r="M36" s="175">
        <f>W14</f>
        <v>0.15</v>
      </c>
      <c r="N36" s="175"/>
      <c r="O36" s="175">
        <f>W15</f>
        <v>0.2</v>
      </c>
      <c r="P36" s="175"/>
      <c r="Q36" s="179"/>
      <c r="R36" s="180"/>
      <c r="S36" s="180"/>
      <c r="T36" s="180"/>
      <c r="U36" s="180"/>
      <c r="V36" s="180"/>
      <c r="W36" s="181"/>
      <c r="X36" s="177" t="s">
        <v>2</v>
      </c>
      <c r="Y36" s="177"/>
      <c r="Z36" s="177"/>
      <c r="AA36" s="177"/>
      <c r="AB36" s="177"/>
      <c r="AC36" s="177"/>
      <c r="AD36" s="177"/>
      <c r="AE36" s="177"/>
      <c r="AF36" s="177"/>
      <c r="AG36" s="177"/>
      <c r="AH36" s="178"/>
    </row>
    <row r="37" spans="2:34" ht="14.5" customHeight="1" x14ac:dyDescent="0.2">
      <c r="B37" s="1">
        <v>6</v>
      </c>
      <c r="C37" s="200" t="s">
        <v>3</v>
      </c>
      <c r="D37" s="201"/>
      <c r="E37" s="201"/>
      <c r="F37" s="201"/>
      <c r="G37" s="201"/>
      <c r="H37" s="201"/>
      <c r="I37" s="201"/>
      <c r="J37" s="202"/>
      <c r="K37" s="175"/>
      <c r="L37" s="175"/>
      <c r="M37" s="175">
        <f>Y14</f>
        <v>0.15</v>
      </c>
      <c r="N37" s="175"/>
      <c r="O37" s="175">
        <f>Y15</f>
        <v>0.2</v>
      </c>
      <c r="P37" s="175"/>
      <c r="Q37" s="179"/>
      <c r="R37" s="180"/>
      <c r="S37" s="180"/>
      <c r="T37" s="180"/>
      <c r="U37" s="180"/>
      <c r="V37" s="180"/>
      <c r="W37" s="181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1"/>
    </row>
    <row r="38" spans="2:34" x14ac:dyDescent="0.2">
      <c r="B38" s="1">
        <v>7</v>
      </c>
      <c r="C38" s="200" t="s">
        <v>1</v>
      </c>
      <c r="D38" s="201"/>
      <c r="E38" s="201"/>
      <c r="F38" s="201"/>
      <c r="G38" s="201"/>
      <c r="H38" s="201"/>
      <c r="I38" s="201"/>
      <c r="J38" s="202"/>
      <c r="K38" s="175"/>
      <c r="L38" s="175"/>
      <c r="M38" s="175"/>
      <c r="N38" s="175"/>
      <c r="O38" s="175">
        <f>AA15</f>
        <v>0.1</v>
      </c>
      <c r="P38" s="175"/>
      <c r="Q38" s="179"/>
      <c r="R38" s="180"/>
      <c r="S38" s="180"/>
      <c r="T38" s="180"/>
      <c r="U38" s="180"/>
      <c r="V38" s="180"/>
      <c r="W38" s="181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1"/>
    </row>
    <row r="39" spans="2:34" x14ac:dyDescent="0.2">
      <c r="B39" s="1">
        <v>8</v>
      </c>
      <c r="C39" s="200" t="s">
        <v>0</v>
      </c>
      <c r="D39" s="201"/>
      <c r="E39" s="201"/>
      <c r="F39" s="201"/>
      <c r="G39" s="201"/>
      <c r="H39" s="201"/>
      <c r="I39" s="201"/>
      <c r="J39" s="202"/>
      <c r="K39" s="175">
        <f>AC13</f>
        <v>0.15</v>
      </c>
      <c r="L39" s="175"/>
      <c r="M39" s="175"/>
      <c r="N39" s="175"/>
      <c r="O39" s="175"/>
      <c r="P39" s="175"/>
      <c r="Q39" s="182"/>
      <c r="R39" s="183"/>
      <c r="S39" s="183"/>
      <c r="T39" s="183"/>
      <c r="U39" s="183"/>
      <c r="V39" s="183"/>
      <c r="W39" s="184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4"/>
    </row>
    <row r="40" spans="2:34" x14ac:dyDescent="0.2">
      <c r="K40" s="213">
        <f>SUM(K32:L39)</f>
        <v>1</v>
      </c>
      <c r="L40" s="213"/>
      <c r="M40" s="213">
        <f>SUM(M32:N39)</f>
        <v>1</v>
      </c>
      <c r="N40" s="213"/>
      <c r="O40" s="213">
        <f>SUM(O32:P39)</f>
        <v>0.99999999999999989</v>
      </c>
      <c r="P40" s="213"/>
    </row>
    <row r="43" spans="2:34" x14ac:dyDescent="0.2">
      <c r="B43" s="5" t="s">
        <v>77</v>
      </c>
    </row>
    <row r="44" spans="2:34" x14ac:dyDescent="0.2">
      <c r="B44" s="30" t="s">
        <v>142</v>
      </c>
    </row>
    <row r="45" spans="2:34" x14ac:dyDescent="0.2">
      <c r="B45" s="30" t="s">
        <v>100</v>
      </c>
      <c r="H45" s="6" t="s">
        <v>140</v>
      </c>
    </row>
    <row r="46" spans="2:34" x14ac:dyDescent="0.2">
      <c r="B46" s="30" t="s">
        <v>323</v>
      </c>
      <c r="H46" s="6" t="s">
        <v>141</v>
      </c>
    </row>
    <row r="47" spans="2:34" x14ac:dyDescent="0.2">
      <c r="B47" s="30" t="s">
        <v>324</v>
      </c>
      <c r="H47" s="6" t="s">
        <v>325</v>
      </c>
    </row>
    <row r="48" spans="2:34" x14ac:dyDescent="0.2">
      <c r="B48" s="30" t="s">
        <v>99</v>
      </c>
      <c r="H48" s="6" t="s">
        <v>143</v>
      </c>
    </row>
    <row r="49" spans="2:38" x14ac:dyDescent="0.2">
      <c r="B49" s="30" t="s">
        <v>101</v>
      </c>
      <c r="H49" s="6" t="s">
        <v>144</v>
      </c>
    </row>
    <row r="50" spans="2:38" x14ac:dyDescent="0.2">
      <c r="B50" s="30"/>
      <c r="H50" s="6" t="s">
        <v>139</v>
      </c>
    </row>
    <row r="51" spans="2:38" x14ac:dyDescent="0.2">
      <c r="B51" s="30" t="s">
        <v>92</v>
      </c>
      <c r="H51" s="6" t="s">
        <v>145</v>
      </c>
    </row>
    <row r="52" spans="2:38" x14ac:dyDescent="0.2">
      <c r="B52" s="30"/>
      <c r="H52" s="6" t="s">
        <v>146</v>
      </c>
    </row>
    <row r="53" spans="2:38" x14ac:dyDescent="0.2">
      <c r="B53" s="30" t="s">
        <v>93</v>
      </c>
      <c r="H53" s="6" t="s">
        <v>147</v>
      </c>
    </row>
    <row r="54" spans="2:38" x14ac:dyDescent="0.2">
      <c r="B54" s="30" t="s">
        <v>89</v>
      </c>
      <c r="H54" s="6" t="s">
        <v>148</v>
      </c>
    </row>
    <row r="55" spans="2:38" x14ac:dyDescent="0.2">
      <c r="B55" s="5"/>
    </row>
    <row r="56" spans="2:38" x14ac:dyDescent="0.2">
      <c r="B56" s="5"/>
    </row>
    <row r="57" spans="2:38" x14ac:dyDescent="0.2">
      <c r="B57" s="5"/>
    </row>
    <row r="58" spans="2:38" x14ac:dyDescent="0.2">
      <c r="B58" s="2" t="s">
        <v>395</v>
      </c>
    </row>
    <row r="59" spans="2:38" ht="5" customHeight="1" x14ac:dyDescent="0.2"/>
    <row r="60" spans="2:38" x14ac:dyDescent="0.2">
      <c r="B60" s="169" t="s">
        <v>318</v>
      </c>
      <c r="C60" s="169"/>
      <c r="D60" s="169"/>
      <c r="E60" s="169"/>
      <c r="F60" s="169"/>
      <c r="G60" s="169"/>
      <c r="H60" s="169"/>
      <c r="I60" s="169"/>
      <c r="J60" s="169"/>
      <c r="AL60" s="40"/>
    </row>
    <row r="61" spans="2:38" ht="5" customHeight="1" x14ac:dyDescent="0.2">
      <c r="B61" s="169"/>
      <c r="C61" s="169"/>
      <c r="D61" s="169"/>
      <c r="E61" s="169"/>
      <c r="F61" s="169"/>
      <c r="G61" s="169"/>
      <c r="H61" s="169"/>
      <c r="I61" s="169"/>
      <c r="J61" s="169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L61" s="40"/>
    </row>
    <row r="62" spans="2:38" ht="20" customHeight="1" x14ac:dyDescent="0.2">
      <c r="B62" s="14" t="s">
        <v>396</v>
      </c>
      <c r="H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10" t="s">
        <v>10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L62" s="40"/>
    </row>
    <row r="63" spans="2:38" s="5" customFormat="1" ht="25" customHeight="1" x14ac:dyDescent="0.2">
      <c r="B63" s="170" t="s">
        <v>20</v>
      </c>
      <c r="C63" s="170"/>
      <c r="D63" s="170"/>
      <c r="E63" s="170"/>
      <c r="F63" s="170"/>
      <c r="G63" s="171"/>
      <c r="H63" s="172" t="s">
        <v>19</v>
      </c>
      <c r="I63" s="173"/>
      <c r="J63" s="174"/>
      <c r="K63" s="163" t="s">
        <v>18</v>
      </c>
      <c r="L63" s="164"/>
      <c r="M63" s="165"/>
      <c r="N63" s="163" t="s">
        <v>326</v>
      </c>
      <c r="O63" s="164"/>
      <c r="P63" s="165"/>
      <c r="Q63" s="163" t="s">
        <v>315</v>
      </c>
      <c r="R63" s="164"/>
      <c r="S63" s="165"/>
      <c r="T63" s="163" t="s">
        <v>17</v>
      </c>
      <c r="U63" s="164"/>
      <c r="V63" s="165"/>
      <c r="W63" s="163" t="s">
        <v>16</v>
      </c>
      <c r="X63" s="164"/>
      <c r="Y63" s="165"/>
      <c r="Z63" s="163" t="s">
        <v>47</v>
      </c>
      <c r="AA63" s="164"/>
      <c r="AB63" s="165"/>
      <c r="AC63" s="163" t="s">
        <v>15</v>
      </c>
      <c r="AD63" s="164"/>
      <c r="AE63" s="165"/>
      <c r="AF63" s="163" t="s">
        <v>14</v>
      </c>
      <c r="AG63" s="164"/>
      <c r="AH63" s="164"/>
      <c r="AI63"/>
      <c r="AJ63"/>
      <c r="AK63"/>
      <c r="AL63" s="37"/>
    </row>
    <row r="64" spans="2:38" ht="5" customHeight="1" x14ac:dyDescent="0.2">
      <c r="B64" s="4"/>
      <c r="C64" s="3"/>
      <c r="D64" s="3"/>
      <c r="E64" s="3"/>
      <c r="F64" s="3"/>
      <c r="G64" s="3"/>
      <c r="H64" s="3"/>
      <c r="I64" s="3"/>
      <c r="J64" s="3"/>
      <c r="K64" s="166"/>
      <c r="L64" s="167"/>
      <c r="M64" s="168"/>
      <c r="N64" s="166"/>
      <c r="O64" s="167"/>
      <c r="P64" s="168"/>
      <c r="Q64" s="166"/>
      <c r="R64" s="167"/>
      <c r="S64" s="168"/>
      <c r="T64" s="166"/>
      <c r="U64" s="167"/>
      <c r="V64" s="168"/>
      <c r="W64" s="166"/>
      <c r="X64" s="167"/>
      <c r="Y64" s="168"/>
      <c r="Z64" s="166"/>
      <c r="AA64" s="167"/>
      <c r="AB64" s="168"/>
      <c r="AC64" s="166"/>
      <c r="AD64" s="167"/>
      <c r="AE64" s="168"/>
      <c r="AF64" s="166"/>
      <c r="AG64" s="167"/>
      <c r="AH64" s="168"/>
      <c r="AL64" s="40"/>
    </row>
    <row r="65" spans="2:38" s="5" customFormat="1" ht="20" customHeight="1" x14ac:dyDescent="0.2">
      <c r="B65" s="146" t="s">
        <v>55</v>
      </c>
      <c r="C65" s="147"/>
      <c r="D65" s="147"/>
      <c r="E65" s="147"/>
      <c r="F65" s="147"/>
      <c r="G65" s="148"/>
      <c r="H65" s="149">
        <v>165000</v>
      </c>
      <c r="I65" s="149"/>
      <c r="J65" s="149"/>
      <c r="K65" s="150">
        <f>$H65*$K$32</f>
        <v>82500</v>
      </c>
      <c r="L65" s="151"/>
      <c r="M65" s="152"/>
      <c r="N65" s="143">
        <f>$H65*$K$33</f>
        <v>16500</v>
      </c>
      <c r="O65" s="144"/>
      <c r="P65" s="145"/>
      <c r="Q65" s="143">
        <f>$H65*$K$34</f>
        <v>16500</v>
      </c>
      <c r="R65" s="144"/>
      <c r="S65" s="145"/>
      <c r="T65" s="143">
        <f>$H65*$K$35</f>
        <v>0</v>
      </c>
      <c r="U65" s="144"/>
      <c r="V65" s="145"/>
      <c r="W65" s="143">
        <f>$H65*$K$36</f>
        <v>24750</v>
      </c>
      <c r="X65" s="144"/>
      <c r="Y65" s="145"/>
      <c r="Z65" s="143">
        <f>$H65*$K$37</f>
        <v>0</v>
      </c>
      <c r="AA65" s="144"/>
      <c r="AB65" s="145"/>
      <c r="AC65" s="143">
        <f>$H65*$K$38</f>
        <v>0</v>
      </c>
      <c r="AD65" s="144"/>
      <c r="AE65" s="145"/>
      <c r="AF65" s="143">
        <f>$H65*$K$39</f>
        <v>24750</v>
      </c>
      <c r="AG65" s="144"/>
      <c r="AH65" s="145"/>
      <c r="AL65" s="41">
        <f>SUM(K65:AH65)</f>
        <v>165000</v>
      </c>
    </row>
    <row r="66" spans="2:38" s="5" customFormat="1" ht="20" customHeight="1" x14ac:dyDescent="0.2">
      <c r="B66" s="146" t="s">
        <v>56</v>
      </c>
      <c r="C66" s="147"/>
      <c r="D66" s="147"/>
      <c r="E66" s="147"/>
      <c r="F66" s="147"/>
      <c r="G66" s="148"/>
      <c r="H66" s="149">
        <v>330000</v>
      </c>
      <c r="I66" s="149"/>
      <c r="J66" s="149"/>
      <c r="K66" s="150">
        <f>$H66*$K$32</f>
        <v>165000</v>
      </c>
      <c r="L66" s="151"/>
      <c r="M66" s="152"/>
      <c r="N66" s="143">
        <f>$H66*$K$33</f>
        <v>33000</v>
      </c>
      <c r="O66" s="144"/>
      <c r="P66" s="145"/>
      <c r="Q66" s="143">
        <f>$H66*$K$34</f>
        <v>33000</v>
      </c>
      <c r="R66" s="144"/>
      <c r="S66" s="145"/>
      <c r="T66" s="143">
        <f>$H66*$K$35</f>
        <v>0</v>
      </c>
      <c r="U66" s="144"/>
      <c r="V66" s="145"/>
      <c r="W66" s="143">
        <f>$H66*$K$36</f>
        <v>49500</v>
      </c>
      <c r="X66" s="144"/>
      <c r="Y66" s="145"/>
      <c r="Z66" s="143">
        <f>$H66*$K$37</f>
        <v>0</v>
      </c>
      <c r="AA66" s="144"/>
      <c r="AB66" s="145"/>
      <c r="AC66" s="143">
        <f>$H66*$K$38</f>
        <v>0</v>
      </c>
      <c r="AD66" s="144"/>
      <c r="AE66" s="145"/>
      <c r="AF66" s="143">
        <f>$H66*$K$39</f>
        <v>49500</v>
      </c>
      <c r="AG66" s="144"/>
      <c r="AH66" s="145"/>
      <c r="AL66" s="41">
        <f>SUM(K66:AH66)</f>
        <v>330000</v>
      </c>
    </row>
    <row r="67" spans="2:38" s="5" customFormat="1" ht="20" customHeight="1" x14ac:dyDescent="0.2">
      <c r="B67" s="146" t="s">
        <v>57</v>
      </c>
      <c r="C67" s="147"/>
      <c r="D67" s="147"/>
      <c r="E67" s="147"/>
      <c r="F67" s="147"/>
      <c r="G67" s="148"/>
      <c r="H67" s="149">
        <v>495000</v>
      </c>
      <c r="I67" s="149"/>
      <c r="J67" s="149"/>
      <c r="K67" s="150">
        <f>$H67*$K$32</f>
        <v>247500</v>
      </c>
      <c r="L67" s="151"/>
      <c r="M67" s="152"/>
      <c r="N67" s="143">
        <f>$H67*$K$33</f>
        <v>49500</v>
      </c>
      <c r="O67" s="144"/>
      <c r="P67" s="145"/>
      <c r="Q67" s="143">
        <f>$H67*$K$34</f>
        <v>49500</v>
      </c>
      <c r="R67" s="144"/>
      <c r="S67" s="145"/>
      <c r="T67" s="143">
        <f>$H67*$K$35</f>
        <v>0</v>
      </c>
      <c r="U67" s="144"/>
      <c r="V67" s="145"/>
      <c r="W67" s="143">
        <f>$H67*$K$36</f>
        <v>74250</v>
      </c>
      <c r="X67" s="144"/>
      <c r="Y67" s="145"/>
      <c r="Z67" s="143">
        <f>$H67*$K$37</f>
        <v>0</v>
      </c>
      <c r="AA67" s="144"/>
      <c r="AB67" s="145"/>
      <c r="AC67" s="143">
        <f>$H67*$K$38</f>
        <v>0</v>
      </c>
      <c r="AD67" s="144"/>
      <c r="AE67" s="145"/>
      <c r="AF67" s="143">
        <f>$H67*$K$39</f>
        <v>74250</v>
      </c>
      <c r="AG67" s="144"/>
      <c r="AH67" s="145"/>
      <c r="AL67" s="41">
        <f>SUM(K67:AH67)</f>
        <v>495000</v>
      </c>
    </row>
    <row r="68" spans="2:38" s="5" customFormat="1" ht="20" customHeight="1" x14ac:dyDescent="0.2">
      <c r="B68" s="153" t="s">
        <v>58</v>
      </c>
      <c r="C68" s="154"/>
      <c r="D68" s="154"/>
      <c r="E68" s="154"/>
      <c r="F68" s="154"/>
      <c r="G68" s="155"/>
      <c r="H68" s="156">
        <v>660000</v>
      </c>
      <c r="I68" s="156"/>
      <c r="J68" s="156"/>
      <c r="K68" s="157">
        <f>$H68*$K$32</f>
        <v>330000</v>
      </c>
      <c r="L68" s="158"/>
      <c r="M68" s="159"/>
      <c r="N68" s="160">
        <f>$H68*$K$33</f>
        <v>66000</v>
      </c>
      <c r="O68" s="161"/>
      <c r="P68" s="162"/>
      <c r="Q68" s="160">
        <f>$H68*$K$34</f>
        <v>66000</v>
      </c>
      <c r="R68" s="161"/>
      <c r="S68" s="162"/>
      <c r="T68" s="160">
        <f>$H68*$K$35</f>
        <v>0</v>
      </c>
      <c r="U68" s="161"/>
      <c r="V68" s="162"/>
      <c r="W68" s="160">
        <f>$H68*$K$36</f>
        <v>99000</v>
      </c>
      <c r="X68" s="161"/>
      <c r="Y68" s="162"/>
      <c r="Z68" s="160">
        <f>$H68*$K$37</f>
        <v>0</v>
      </c>
      <c r="AA68" s="161"/>
      <c r="AB68" s="162"/>
      <c r="AC68" s="160">
        <f>$H68*$K$38</f>
        <v>0</v>
      </c>
      <c r="AD68" s="161"/>
      <c r="AE68" s="162"/>
      <c r="AF68" s="160">
        <f>$H68*$K$39</f>
        <v>99000</v>
      </c>
      <c r="AG68" s="161"/>
      <c r="AH68" s="162"/>
      <c r="AL68" s="41">
        <f>SUM(K68:AH68)</f>
        <v>660000</v>
      </c>
    </row>
    <row r="69" spans="2:38" s="5" customFormat="1" ht="20" customHeight="1" x14ac:dyDescent="0.2">
      <c r="B69" s="146" t="s">
        <v>13</v>
      </c>
      <c r="C69" s="147"/>
      <c r="D69" s="147"/>
      <c r="E69" s="147"/>
      <c r="F69" s="147"/>
      <c r="G69" s="148"/>
      <c r="H69" s="149">
        <v>825000</v>
      </c>
      <c r="I69" s="149"/>
      <c r="J69" s="149"/>
      <c r="K69" s="150">
        <f>$H69*$K$32</f>
        <v>412500</v>
      </c>
      <c r="L69" s="151"/>
      <c r="M69" s="152"/>
      <c r="N69" s="143">
        <f>$H69*$K$33</f>
        <v>82500</v>
      </c>
      <c r="O69" s="144"/>
      <c r="P69" s="145"/>
      <c r="Q69" s="143">
        <f>$H69*$K$34</f>
        <v>82500</v>
      </c>
      <c r="R69" s="144"/>
      <c r="S69" s="145"/>
      <c r="T69" s="143">
        <f>$H69*$K$35</f>
        <v>0</v>
      </c>
      <c r="U69" s="144"/>
      <c r="V69" s="145"/>
      <c r="W69" s="143">
        <f>$H69*$K$36</f>
        <v>123750</v>
      </c>
      <c r="X69" s="144"/>
      <c r="Y69" s="145"/>
      <c r="Z69" s="143">
        <f>$H69*$K$37</f>
        <v>0</v>
      </c>
      <c r="AA69" s="144"/>
      <c r="AB69" s="145"/>
      <c r="AC69" s="143">
        <f>$H69*$K$38</f>
        <v>0</v>
      </c>
      <c r="AD69" s="144"/>
      <c r="AE69" s="145"/>
      <c r="AF69" s="143">
        <f>$H69*$K$39</f>
        <v>123750</v>
      </c>
      <c r="AG69" s="144"/>
      <c r="AH69" s="145"/>
      <c r="AL69" s="41">
        <f>SUM(K69:AH69)</f>
        <v>825000</v>
      </c>
    </row>
    <row r="70" spans="2:38" x14ac:dyDescent="0.2">
      <c r="AL70" s="40"/>
    </row>
    <row r="71" spans="2:38" x14ac:dyDescent="0.2">
      <c r="AL71" s="40"/>
    </row>
    <row r="72" spans="2:38" ht="5" customHeight="1" x14ac:dyDescent="0.2"/>
    <row r="73" spans="2:38" x14ac:dyDescent="0.2">
      <c r="B73" s="169" t="s">
        <v>321</v>
      </c>
      <c r="C73" s="169"/>
      <c r="D73" s="169"/>
      <c r="E73" s="169"/>
      <c r="F73" s="169"/>
      <c r="G73" s="169"/>
      <c r="H73" s="169"/>
      <c r="I73" s="169"/>
      <c r="J73" s="169"/>
    </row>
    <row r="74" spans="2:38" ht="5" customHeight="1" x14ac:dyDescent="0.2">
      <c r="B74" s="169"/>
      <c r="C74" s="169"/>
      <c r="D74" s="169"/>
      <c r="E74" s="169"/>
      <c r="F74" s="169"/>
      <c r="G74" s="169"/>
      <c r="H74" s="169"/>
      <c r="I74" s="169"/>
      <c r="J74" s="169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</row>
    <row r="75" spans="2:38" ht="20" customHeight="1" x14ac:dyDescent="0.2">
      <c r="B75" s="14" t="s">
        <v>396</v>
      </c>
      <c r="H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10" t="s">
        <v>10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2:38" s="5" customFormat="1" ht="25" customHeight="1" x14ac:dyDescent="0.2">
      <c r="B76" s="170" t="s">
        <v>20</v>
      </c>
      <c r="C76" s="170"/>
      <c r="D76" s="170"/>
      <c r="E76" s="170"/>
      <c r="F76" s="170"/>
      <c r="G76" s="171"/>
      <c r="H76" s="172" t="s">
        <v>19</v>
      </c>
      <c r="I76" s="173"/>
      <c r="J76" s="174"/>
      <c r="K76" s="163" t="s">
        <v>18</v>
      </c>
      <c r="L76" s="164"/>
      <c r="M76" s="165"/>
      <c r="N76" s="163" t="s">
        <v>326</v>
      </c>
      <c r="O76" s="164"/>
      <c r="P76" s="165"/>
      <c r="Q76" s="163" t="s">
        <v>315</v>
      </c>
      <c r="R76" s="164"/>
      <c r="S76" s="165"/>
      <c r="T76" s="163" t="s">
        <v>17</v>
      </c>
      <c r="U76" s="164"/>
      <c r="V76" s="165"/>
      <c r="W76" s="163" t="s">
        <v>16</v>
      </c>
      <c r="X76" s="164"/>
      <c r="Y76" s="165"/>
      <c r="Z76" s="163" t="s">
        <v>47</v>
      </c>
      <c r="AA76" s="164"/>
      <c r="AB76" s="165"/>
      <c r="AC76" s="163" t="s">
        <v>15</v>
      </c>
      <c r="AD76" s="164"/>
      <c r="AE76" s="165"/>
      <c r="AF76" s="163" t="s">
        <v>14</v>
      </c>
      <c r="AG76" s="164"/>
      <c r="AH76" s="164"/>
      <c r="AI76"/>
      <c r="AJ76"/>
      <c r="AK76"/>
    </row>
    <row r="77" spans="2:38" ht="5" customHeight="1" x14ac:dyDescent="0.2">
      <c r="B77" s="4"/>
      <c r="C77" s="3"/>
      <c r="D77" s="3"/>
      <c r="E77" s="3"/>
      <c r="F77" s="3"/>
      <c r="G77" s="3"/>
      <c r="H77" s="3"/>
      <c r="I77" s="3"/>
      <c r="J77" s="3"/>
      <c r="K77" s="166"/>
      <c r="L77" s="167"/>
      <c r="M77" s="168"/>
      <c r="N77" s="166"/>
      <c r="O77" s="167"/>
      <c r="P77" s="168"/>
      <c r="Q77" s="166"/>
      <c r="R77" s="167"/>
      <c r="S77" s="168"/>
      <c r="T77" s="166"/>
      <c r="U77" s="167"/>
      <c r="V77" s="168"/>
      <c r="W77" s="166"/>
      <c r="X77" s="167"/>
      <c r="Y77" s="168"/>
      <c r="Z77" s="166"/>
      <c r="AA77" s="167"/>
      <c r="AB77" s="168"/>
      <c r="AC77" s="166"/>
      <c r="AD77" s="167"/>
      <c r="AE77" s="168"/>
      <c r="AF77" s="166"/>
      <c r="AG77" s="167"/>
      <c r="AH77" s="168"/>
    </row>
    <row r="78" spans="2:38" s="5" customFormat="1" ht="20" customHeight="1" x14ac:dyDescent="0.2">
      <c r="B78" s="146" t="s">
        <v>55</v>
      </c>
      <c r="C78" s="147"/>
      <c r="D78" s="147"/>
      <c r="E78" s="147"/>
      <c r="F78" s="147"/>
      <c r="G78" s="148"/>
      <c r="H78" s="149">
        <v>165000</v>
      </c>
      <c r="I78" s="149"/>
      <c r="J78" s="149"/>
      <c r="K78" s="143">
        <f>$H78*$M$32</f>
        <v>82500</v>
      </c>
      <c r="L78" s="144"/>
      <c r="M78" s="145"/>
      <c r="N78" s="143">
        <f>$H78*$M$33</f>
        <v>16500</v>
      </c>
      <c r="O78" s="144"/>
      <c r="P78" s="145"/>
      <c r="Q78" s="143">
        <f>$H78*$M$34</f>
        <v>16500</v>
      </c>
      <c r="R78" s="144"/>
      <c r="S78" s="145"/>
      <c r="T78" s="143">
        <f>$H78*$M$35</f>
        <v>0</v>
      </c>
      <c r="U78" s="144"/>
      <c r="V78" s="145"/>
      <c r="W78" s="143">
        <f>$H78*$M$36</f>
        <v>24750</v>
      </c>
      <c r="X78" s="144"/>
      <c r="Y78" s="145"/>
      <c r="Z78" s="143">
        <f>$H78*$M$37</f>
        <v>24750</v>
      </c>
      <c r="AA78" s="144"/>
      <c r="AB78" s="145"/>
      <c r="AC78" s="143">
        <f>$H78*$M$38</f>
        <v>0</v>
      </c>
      <c r="AD78" s="144"/>
      <c r="AE78" s="145"/>
      <c r="AF78" s="143">
        <f>$H78*$M$39</f>
        <v>0</v>
      </c>
      <c r="AG78" s="144"/>
      <c r="AH78" s="145"/>
      <c r="AL78" s="41">
        <f>SUM(K78:AH78)</f>
        <v>165000</v>
      </c>
    </row>
    <row r="79" spans="2:38" s="5" customFormat="1" ht="20" customHeight="1" x14ac:dyDescent="0.2">
      <c r="B79" s="146" t="s">
        <v>56</v>
      </c>
      <c r="C79" s="147"/>
      <c r="D79" s="147"/>
      <c r="E79" s="147"/>
      <c r="F79" s="147"/>
      <c r="G79" s="148"/>
      <c r="H79" s="149">
        <v>330000</v>
      </c>
      <c r="I79" s="149"/>
      <c r="J79" s="149"/>
      <c r="K79" s="143">
        <f>$H79*$M$32</f>
        <v>165000</v>
      </c>
      <c r="L79" s="144"/>
      <c r="M79" s="145"/>
      <c r="N79" s="143">
        <f>$H79*$M$33</f>
        <v>33000</v>
      </c>
      <c r="O79" s="144"/>
      <c r="P79" s="145"/>
      <c r="Q79" s="143">
        <f>$H79*$M$34</f>
        <v>33000</v>
      </c>
      <c r="R79" s="144"/>
      <c r="S79" s="145"/>
      <c r="T79" s="143">
        <f>$H79*$M$35</f>
        <v>0</v>
      </c>
      <c r="U79" s="144"/>
      <c r="V79" s="145"/>
      <c r="W79" s="143">
        <f>$H79*$M$36</f>
        <v>49500</v>
      </c>
      <c r="X79" s="144"/>
      <c r="Y79" s="145"/>
      <c r="Z79" s="143">
        <f>$H79*$M$37</f>
        <v>49500</v>
      </c>
      <c r="AA79" s="144"/>
      <c r="AB79" s="145"/>
      <c r="AC79" s="143">
        <f>$H79*$M$38</f>
        <v>0</v>
      </c>
      <c r="AD79" s="144"/>
      <c r="AE79" s="145"/>
      <c r="AF79" s="143">
        <f>$H79*$M$39</f>
        <v>0</v>
      </c>
      <c r="AG79" s="144"/>
      <c r="AH79" s="145"/>
      <c r="AL79" s="41">
        <f>SUM(K79:AH79)</f>
        <v>330000</v>
      </c>
    </row>
    <row r="80" spans="2:38" s="5" customFormat="1" ht="20" customHeight="1" x14ac:dyDescent="0.2">
      <c r="B80" s="146" t="s">
        <v>57</v>
      </c>
      <c r="C80" s="147"/>
      <c r="D80" s="147"/>
      <c r="E80" s="147"/>
      <c r="F80" s="147"/>
      <c r="G80" s="148"/>
      <c r="H80" s="149">
        <v>495000</v>
      </c>
      <c r="I80" s="149"/>
      <c r="J80" s="149"/>
      <c r="K80" s="143">
        <f>$H80*$M$32</f>
        <v>247500</v>
      </c>
      <c r="L80" s="144"/>
      <c r="M80" s="145"/>
      <c r="N80" s="143">
        <f>$H80*$M$33</f>
        <v>49500</v>
      </c>
      <c r="O80" s="144"/>
      <c r="P80" s="145"/>
      <c r="Q80" s="143">
        <f>$H80*$M$34</f>
        <v>49500</v>
      </c>
      <c r="R80" s="144"/>
      <c r="S80" s="145"/>
      <c r="T80" s="143">
        <f>$H80*$M$35</f>
        <v>0</v>
      </c>
      <c r="U80" s="144"/>
      <c r="V80" s="145"/>
      <c r="W80" s="143">
        <f>$H80*$M$36</f>
        <v>74250</v>
      </c>
      <c r="X80" s="144"/>
      <c r="Y80" s="145"/>
      <c r="Z80" s="143">
        <f>$H80*$M$37</f>
        <v>74250</v>
      </c>
      <c r="AA80" s="144"/>
      <c r="AB80" s="145"/>
      <c r="AC80" s="143">
        <f>$H80*$M$38</f>
        <v>0</v>
      </c>
      <c r="AD80" s="144"/>
      <c r="AE80" s="145"/>
      <c r="AF80" s="143">
        <f>$H80*$M$39</f>
        <v>0</v>
      </c>
      <c r="AG80" s="144"/>
      <c r="AH80" s="145"/>
      <c r="AL80" s="41">
        <f>SUM(K80:AH80)</f>
        <v>495000</v>
      </c>
    </row>
    <row r="81" spans="2:38" s="5" customFormat="1" ht="20" customHeight="1" x14ac:dyDescent="0.2">
      <c r="B81" s="153" t="s">
        <v>58</v>
      </c>
      <c r="C81" s="154"/>
      <c r="D81" s="154"/>
      <c r="E81" s="154"/>
      <c r="F81" s="154"/>
      <c r="G81" s="155"/>
      <c r="H81" s="156">
        <v>660000</v>
      </c>
      <c r="I81" s="156"/>
      <c r="J81" s="156"/>
      <c r="K81" s="160">
        <f>$H81*$M$32</f>
        <v>330000</v>
      </c>
      <c r="L81" s="161"/>
      <c r="M81" s="162"/>
      <c r="N81" s="160">
        <f>$H81*$M$33</f>
        <v>66000</v>
      </c>
      <c r="O81" s="161"/>
      <c r="P81" s="162"/>
      <c r="Q81" s="160">
        <f>$H81*$M$34</f>
        <v>66000</v>
      </c>
      <c r="R81" s="161"/>
      <c r="S81" s="162"/>
      <c r="T81" s="160">
        <f>$H81*$M$35</f>
        <v>0</v>
      </c>
      <c r="U81" s="161"/>
      <c r="V81" s="162"/>
      <c r="W81" s="160">
        <f>$H81*$M$36</f>
        <v>99000</v>
      </c>
      <c r="X81" s="161"/>
      <c r="Y81" s="162"/>
      <c r="Z81" s="160">
        <f>$H81*$M$37</f>
        <v>99000</v>
      </c>
      <c r="AA81" s="161"/>
      <c r="AB81" s="162"/>
      <c r="AC81" s="160">
        <f>$H81*$M$38</f>
        <v>0</v>
      </c>
      <c r="AD81" s="161"/>
      <c r="AE81" s="162"/>
      <c r="AF81" s="160">
        <f>$H81*$M$39</f>
        <v>0</v>
      </c>
      <c r="AG81" s="161"/>
      <c r="AH81" s="162"/>
      <c r="AL81" s="41">
        <f>SUM(K81:AH81)</f>
        <v>660000</v>
      </c>
    </row>
    <row r="82" spans="2:38" s="5" customFormat="1" ht="20" customHeight="1" x14ac:dyDescent="0.2">
      <c r="B82" s="146" t="s">
        <v>13</v>
      </c>
      <c r="C82" s="147"/>
      <c r="D82" s="147"/>
      <c r="E82" s="147"/>
      <c r="F82" s="147"/>
      <c r="G82" s="148"/>
      <c r="H82" s="149">
        <v>825000</v>
      </c>
      <c r="I82" s="149"/>
      <c r="J82" s="149"/>
      <c r="K82" s="143">
        <f>$H82*$M$32</f>
        <v>412500</v>
      </c>
      <c r="L82" s="144"/>
      <c r="M82" s="145"/>
      <c r="N82" s="143">
        <f>$H82*$M$33</f>
        <v>82500</v>
      </c>
      <c r="O82" s="144"/>
      <c r="P82" s="145"/>
      <c r="Q82" s="143">
        <f>$H82*$M$34</f>
        <v>82500</v>
      </c>
      <c r="R82" s="144"/>
      <c r="S82" s="145"/>
      <c r="T82" s="143">
        <f>$H82*$M$35</f>
        <v>0</v>
      </c>
      <c r="U82" s="144"/>
      <c r="V82" s="145"/>
      <c r="W82" s="143">
        <f>$H82*$M$36</f>
        <v>123750</v>
      </c>
      <c r="X82" s="144"/>
      <c r="Y82" s="145"/>
      <c r="Z82" s="143">
        <f>$H82*$M$37</f>
        <v>123750</v>
      </c>
      <c r="AA82" s="144"/>
      <c r="AB82" s="145"/>
      <c r="AC82" s="143">
        <f>$H82*$M$38</f>
        <v>0</v>
      </c>
      <c r="AD82" s="144"/>
      <c r="AE82" s="145"/>
      <c r="AF82" s="143">
        <f>$H82*$M$39</f>
        <v>0</v>
      </c>
      <c r="AG82" s="144"/>
      <c r="AH82" s="145"/>
      <c r="AL82" s="41">
        <f>SUM(K82:AH82)</f>
        <v>825000</v>
      </c>
    </row>
    <row r="83" spans="2:38" x14ac:dyDescent="0.2">
      <c r="AL83" s="40"/>
    </row>
    <row r="84" spans="2:38" x14ac:dyDescent="0.2">
      <c r="AL84" s="40"/>
    </row>
    <row r="85" spans="2:38" x14ac:dyDescent="0.2">
      <c r="AL85" s="40"/>
    </row>
    <row r="86" spans="2:38" x14ac:dyDescent="0.2">
      <c r="B86" s="169" t="s">
        <v>21</v>
      </c>
      <c r="C86" s="169"/>
      <c r="D86" s="169"/>
      <c r="E86" s="169"/>
      <c r="F86" s="169"/>
      <c r="G86" s="169"/>
      <c r="H86" s="169"/>
      <c r="I86" s="169"/>
      <c r="J86" s="169"/>
      <c r="AL86" s="40"/>
    </row>
    <row r="87" spans="2:38" ht="5" customHeight="1" x14ac:dyDescent="0.2">
      <c r="B87" s="169"/>
      <c r="C87" s="169"/>
      <c r="D87" s="169"/>
      <c r="E87" s="169"/>
      <c r="F87" s="169"/>
      <c r="G87" s="169"/>
      <c r="H87" s="169"/>
      <c r="I87" s="169"/>
      <c r="J87" s="169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L87" s="40"/>
    </row>
    <row r="88" spans="2:38" ht="20" customHeight="1" x14ac:dyDescent="0.2">
      <c r="B88" s="14" t="s">
        <v>396</v>
      </c>
      <c r="H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10" t="s">
        <v>10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L88" s="40"/>
    </row>
    <row r="89" spans="2:38" s="5" customFormat="1" ht="25" customHeight="1" x14ac:dyDescent="0.2">
      <c r="B89" s="170" t="s">
        <v>20</v>
      </c>
      <c r="C89" s="170"/>
      <c r="D89" s="170"/>
      <c r="E89" s="170"/>
      <c r="F89" s="170"/>
      <c r="G89" s="171"/>
      <c r="H89" s="172" t="s">
        <v>19</v>
      </c>
      <c r="I89" s="173"/>
      <c r="J89" s="174"/>
      <c r="K89" s="163" t="s">
        <v>18</v>
      </c>
      <c r="L89" s="164"/>
      <c r="M89" s="165"/>
      <c r="N89" s="163" t="s">
        <v>326</v>
      </c>
      <c r="O89" s="164"/>
      <c r="P89" s="165"/>
      <c r="Q89" s="163" t="s">
        <v>315</v>
      </c>
      <c r="R89" s="164"/>
      <c r="S89" s="165"/>
      <c r="T89" s="163" t="s">
        <v>17</v>
      </c>
      <c r="U89" s="164"/>
      <c r="V89" s="165"/>
      <c r="W89" s="163" t="s">
        <v>16</v>
      </c>
      <c r="X89" s="164"/>
      <c r="Y89" s="165"/>
      <c r="Z89" s="163" t="s">
        <v>47</v>
      </c>
      <c r="AA89" s="164"/>
      <c r="AB89" s="165"/>
      <c r="AC89" s="163" t="s">
        <v>15</v>
      </c>
      <c r="AD89" s="164"/>
      <c r="AE89" s="165"/>
      <c r="AF89" s="163" t="s">
        <v>14</v>
      </c>
      <c r="AG89" s="164"/>
      <c r="AH89" s="164"/>
      <c r="AI89"/>
      <c r="AJ89"/>
      <c r="AK89"/>
      <c r="AL89" s="37"/>
    </row>
    <row r="90" spans="2:38" ht="5" customHeight="1" x14ac:dyDescent="0.2">
      <c r="B90" s="4"/>
      <c r="C90" s="3"/>
      <c r="D90" s="3"/>
      <c r="E90" s="3"/>
      <c r="F90" s="3"/>
      <c r="G90" s="3"/>
      <c r="H90" s="3"/>
      <c r="I90" s="3"/>
      <c r="J90" s="3"/>
      <c r="K90" s="166"/>
      <c r="L90" s="167"/>
      <c r="M90" s="168"/>
      <c r="N90" s="166"/>
      <c r="O90" s="167"/>
      <c r="P90" s="168"/>
      <c r="Q90" s="166"/>
      <c r="R90" s="167"/>
      <c r="S90" s="168"/>
      <c r="T90" s="166"/>
      <c r="U90" s="167"/>
      <c r="V90" s="168"/>
      <c r="W90" s="166"/>
      <c r="X90" s="167"/>
      <c r="Y90" s="168"/>
      <c r="Z90" s="166"/>
      <c r="AA90" s="167"/>
      <c r="AB90" s="168"/>
      <c r="AC90" s="166"/>
      <c r="AD90" s="167"/>
      <c r="AE90" s="168"/>
      <c r="AF90" s="166"/>
      <c r="AG90" s="167"/>
      <c r="AH90" s="168"/>
      <c r="AL90" s="40"/>
    </row>
    <row r="91" spans="2:38" s="5" customFormat="1" ht="20" customHeight="1" x14ac:dyDescent="0.2">
      <c r="B91" s="146" t="s">
        <v>55</v>
      </c>
      <c r="C91" s="147"/>
      <c r="D91" s="147"/>
      <c r="E91" s="147"/>
      <c r="F91" s="147"/>
      <c r="G91" s="148"/>
      <c r="H91" s="149">
        <v>165000</v>
      </c>
      <c r="I91" s="149"/>
      <c r="J91" s="149"/>
      <c r="K91" s="150">
        <f>$H91*$O$32</f>
        <v>82500</v>
      </c>
      <c r="L91" s="151"/>
      <c r="M91" s="152"/>
      <c r="N91" s="143">
        <f>$H91*$O$33</f>
        <v>0</v>
      </c>
      <c r="O91" s="144"/>
      <c r="P91" s="145"/>
      <c r="Q91" s="143">
        <f>$H91*$O$34</f>
        <v>0</v>
      </c>
      <c r="R91" s="144"/>
      <c r="S91" s="145"/>
      <c r="T91" s="143">
        <f>$H91*$O$35</f>
        <v>0</v>
      </c>
      <c r="U91" s="144"/>
      <c r="V91" s="145"/>
      <c r="W91" s="143">
        <f>$H91*$O$36</f>
        <v>33000</v>
      </c>
      <c r="X91" s="144"/>
      <c r="Y91" s="145"/>
      <c r="Z91" s="143">
        <f>$H91*$O$37</f>
        <v>33000</v>
      </c>
      <c r="AA91" s="144"/>
      <c r="AB91" s="145"/>
      <c r="AC91" s="143">
        <f>$H91*$O$38</f>
        <v>16500</v>
      </c>
      <c r="AD91" s="144"/>
      <c r="AE91" s="145"/>
      <c r="AF91" s="143">
        <f>$H91*$O$39</f>
        <v>0</v>
      </c>
      <c r="AG91" s="144"/>
      <c r="AH91" s="145"/>
      <c r="AL91" s="37"/>
    </row>
    <row r="92" spans="2:38" s="5" customFormat="1" ht="20" customHeight="1" x14ac:dyDescent="0.2">
      <c r="B92" s="146" t="s">
        <v>56</v>
      </c>
      <c r="C92" s="147"/>
      <c r="D92" s="147"/>
      <c r="E92" s="147"/>
      <c r="F92" s="147"/>
      <c r="G92" s="148"/>
      <c r="H92" s="149">
        <v>330000</v>
      </c>
      <c r="I92" s="149"/>
      <c r="J92" s="149"/>
      <c r="K92" s="150">
        <f>$H92*$O$32</f>
        <v>165000</v>
      </c>
      <c r="L92" s="151"/>
      <c r="M92" s="152"/>
      <c r="N92" s="143">
        <f>$H92*$O$33</f>
        <v>0</v>
      </c>
      <c r="O92" s="144"/>
      <c r="P92" s="145"/>
      <c r="Q92" s="143">
        <f>$H92*$O$34</f>
        <v>0</v>
      </c>
      <c r="R92" s="144"/>
      <c r="S92" s="145"/>
      <c r="T92" s="143">
        <f>$H92*$O$35</f>
        <v>0</v>
      </c>
      <c r="U92" s="144"/>
      <c r="V92" s="145"/>
      <c r="W92" s="143">
        <f>$H92*$O$36</f>
        <v>66000</v>
      </c>
      <c r="X92" s="144"/>
      <c r="Y92" s="145"/>
      <c r="Z92" s="143">
        <f>$H92*$O$37</f>
        <v>66000</v>
      </c>
      <c r="AA92" s="144"/>
      <c r="AB92" s="145"/>
      <c r="AC92" s="143">
        <f>$H92*$O$38</f>
        <v>33000</v>
      </c>
      <c r="AD92" s="144"/>
      <c r="AE92" s="145"/>
      <c r="AF92" s="143">
        <f>$H92*$O$39</f>
        <v>0</v>
      </c>
      <c r="AG92" s="144"/>
      <c r="AH92" s="145"/>
      <c r="AL92" s="41">
        <f>SUM(K92:AH92)</f>
        <v>330000</v>
      </c>
    </row>
    <row r="93" spans="2:38" s="5" customFormat="1" ht="20" customHeight="1" x14ac:dyDescent="0.2">
      <c r="B93" s="146" t="s">
        <v>57</v>
      </c>
      <c r="C93" s="147"/>
      <c r="D93" s="147"/>
      <c r="E93" s="147"/>
      <c r="F93" s="147"/>
      <c r="G93" s="148"/>
      <c r="H93" s="149">
        <v>495000</v>
      </c>
      <c r="I93" s="149"/>
      <c r="J93" s="149"/>
      <c r="K93" s="150">
        <f>$H93*$O$32</f>
        <v>247500</v>
      </c>
      <c r="L93" s="151"/>
      <c r="M93" s="152"/>
      <c r="N93" s="143">
        <f>$H93*$O$33</f>
        <v>0</v>
      </c>
      <c r="O93" s="144"/>
      <c r="P93" s="145"/>
      <c r="Q93" s="143">
        <f>$H93*$O$34</f>
        <v>0</v>
      </c>
      <c r="R93" s="144"/>
      <c r="S93" s="145"/>
      <c r="T93" s="143">
        <f>$H93*$O$35</f>
        <v>0</v>
      </c>
      <c r="U93" s="144"/>
      <c r="V93" s="145"/>
      <c r="W93" s="143">
        <f>$H93*$O$36</f>
        <v>99000</v>
      </c>
      <c r="X93" s="144"/>
      <c r="Y93" s="145"/>
      <c r="Z93" s="143">
        <f>$H93*$O$37</f>
        <v>99000</v>
      </c>
      <c r="AA93" s="144"/>
      <c r="AB93" s="145"/>
      <c r="AC93" s="143">
        <f>$H93*$O$38</f>
        <v>49500</v>
      </c>
      <c r="AD93" s="144"/>
      <c r="AE93" s="145"/>
      <c r="AF93" s="143">
        <f>$H93*$O$39</f>
        <v>0</v>
      </c>
      <c r="AG93" s="144"/>
      <c r="AH93" s="145"/>
      <c r="AL93" s="41">
        <f>SUM(K93:AH93)</f>
        <v>495000</v>
      </c>
    </row>
    <row r="94" spans="2:38" s="5" customFormat="1" ht="20" customHeight="1" x14ac:dyDescent="0.2">
      <c r="B94" s="153" t="s">
        <v>58</v>
      </c>
      <c r="C94" s="154"/>
      <c r="D94" s="154"/>
      <c r="E94" s="154"/>
      <c r="F94" s="154"/>
      <c r="G94" s="155"/>
      <c r="H94" s="156">
        <v>660000</v>
      </c>
      <c r="I94" s="156"/>
      <c r="J94" s="156"/>
      <c r="K94" s="157">
        <f>$H94*$O$32</f>
        <v>330000</v>
      </c>
      <c r="L94" s="158"/>
      <c r="M94" s="159"/>
      <c r="N94" s="160">
        <f>$H94*$O$33</f>
        <v>0</v>
      </c>
      <c r="O94" s="161"/>
      <c r="P94" s="162"/>
      <c r="Q94" s="160">
        <f>$H94*$O$34</f>
        <v>0</v>
      </c>
      <c r="R94" s="161"/>
      <c r="S94" s="162"/>
      <c r="T94" s="160">
        <f>$H94*$O$35</f>
        <v>0</v>
      </c>
      <c r="U94" s="161"/>
      <c r="V94" s="162"/>
      <c r="W94" s="160">
        <f>$H94*$O$36</f>
        <v>132000</v>
      </c>
      <c r="X94" s="161"/>
      <c r="Y94" s="162"/>
      <c r="Z94" s="160">
        <f>$H94*$O$37</f>
        <v>132000</v>
      </c>
      <c r="AA94" s="161"/>
      <c r="AB94" s="162"/>
      <c r="AC94" s="160">
        <f>$H94*$O$38</f>
        <v>66000</v>
      </c>
      <c r="AD94" s="161"/>
      <c r="AE94" s="162"/>
      <c r="AF94" s="160">
        <f>$H94*$O$39</f>
        <v>0</v>
      </c>
      <c r="AG94" s="161"/>
      <c r="AH94" s="162"/>
      <c r="AL94" s="41">
        <f>SUM(K94:AH94)</f>
        <v>660000</v>
      </c>
    </row>
    <row r="95" spans="2:38" s="5" customFormat="1" ht="20" customHeight="1" x14ac:dyDescent="0.2">
      <c r="B95" s="146" t="s">
        <v>13</v>
      </c>
      <c r="C95" s="147"/>
      <c r="D95" s="147"/>
      <c r="E95" s="147"/>
      <c r="F95" s="147"/>
      <c r="G95" s="148"/>
      <c r="H95" s="149">
        <v>825000</v>
      </c>
      <c r="I95" s="149"/>
      <c r="J95" s="149"/>
      <c r="K95" s="150">
        <f>$H95*$O$32</f>
        <v>412500</v>
      </c>
      <c r="L95" s="151"/>
      <c r="M95" s="152"/>
      <c r="N95" s="143">
        <f>$H95*$O$33</f>
        <v>0</v>
      </c>
      <c r="O95" s="144"/>
      <c r="P95" s="145"/>
      <c r="Q95" s="143">
        <f>$H95*$O$34</f>
        <v>0</v>
      </c>
      <c r="R95" s="144"/>
      <c r="S95" s="145"/>
      <c r="T95" s="143">
        <f>$H95*$O$35</f>
        <v>0</v>
      </c>
      <c r="U95" s="144"/>
      <c r="V95" s="145"/>
      <c r="W95" s="143">
        <f>$H95*$O$36</f>
        <v>165000</v>
      </c>
      <c r="X95" s="144"/>
      <c r="Y95" s="145"/>
      <c r="Z95" s="143">
        <f>$H95*$O$37</f>
        <v>165000</v>
      </c>
      <c r="AA95" s="144"/>
      <c r="AB95" s="145"/>
      <c r="AC95" s="143">
        <f>$H95*$O$38</f>
        <v>82500</v>
      </c>
      <c r="AD95" s="144"/>
      <c r="AE95" s="145"/>
      <c r="AF95" s="143">
        <f>$H95*$O$39</f>
        <v>0</v>
      </c>
      <c r="AG95" s="144"/>
      <c r="AH95" s="145"/>
      <c r="AL95" s="41">
        <f>SUM(K95:AH95)</f>
        <v>825000</v>
      </c>
    </row>
    <row r="96" spans="2:38" x14ac:dyDescent="0.2">
      <c r="AL96" s="40"/>
    </row>
    <row r="97" spans="2:38" x14ac:dyDescent="0.2">
      <c r="AL97" s="40"/>
    </row>
    <row r="98" spans="2:38" x14ac:dyDescent="0.2">
      <c r="B98" t="s">
        <v>329</v>
      </c>
      <c r="AL98" s="35"/>
    </row>
    <row r="99" spans="2:38" x14ac:dyDescent="0.2">
      <c r="B99" s="30" t="s">
        <v>328</v>
      </c>
      <c r="AL99" s="35"/>
    </row>
    <row r="100" spans="2:38" x14ac:dyDescent="0.2">
      <c r="AL100" s="35"/>
    </row>
  </sheetData>
  <mergeCells count="335">
    <mergeCell ref="L8:AD8"/>
    <mergeCell ref="B9:F9"/>
    <mergeCell ref="G9:K9"/>
    <mergeCell ref="L9:N9"/>
    <mergeCell ref="O9:Q9"/>
    <mergeCell ref="R9:T9"/>
    <mergeCell ref="U9:V9"/>
    <mergeCell ref="W9:X9"/>
    <mergeCell ref="Y9:Z9"/>
    <mergeCell ref="AA9:AB9"/>
    <mergeCell ref="AC9:AD9"/>
    <mergeCell ref="AE9:AF9"/>
    <mergeCell ref="L10:N10"/>
    <mergeCell ref="O10:Q10"/>
    <mergeCell ref="R10:T10"/>
    <mergeCell ref="U10:V10"/>
    <mergeCell ref="W10:X10"/>
    <mergeCell ref="Y10:Z10"/>
    <mergeCell ref="AA10:AB10"/>
    <mergeCell ref="AC10:AD10"/>
    <mergeCell ref="AE10:AF10"/>
    <mergeCell ref="AC11:AD11"/>
    <mergeCell ref="AE11:AF11"/>
    <mergeCell ref="B12:F12"/>
    <mergeCell ref="G12:K12"/>
    <mergeCell ref="L12:N12"/>
    <mergeCell ref="O12:Q12"/>
    <mergeCell ref="R12:T12"/>
    <mergeCell ref="U12:V12"/>
    <mergeCell ref="W12:X12"/>
    <mergeCell ref="Y12:Z12"/>
    <mergeCell ref="AA12:AB12"/>
    <mergeCell ref="AC12:AD12"/>
    <mergeCell ref="AE12:AF12"/>
    <mergeCell ref="B11:F11"/>
    <mergeCell ref="G11:K11"/>
    <mergeCell ref="L11:N11"/>
    <mergeCell ref="O11:Q11"/>
    <mergeCell ref="R11:T11"/>
    <mergeCell ref="U11:V11"/>
    <mergeCell ref="W11:X11"/>
    <mergeCell ref="Y11:Z11"/>
    <mergeCell ref="AA11:AB11"/>
    <mergeCell ref="B13:F13"/>
    <mergeCell ref="G13:K13"/>
    <mergeCell ref="L13:N13"/>
    <mergeCell ref="O13:Q13"/>
    <mergeCell ref="R13:T13"/>
    <mergeCell ref="U13:V13"/>
    <mergeCell ref="W13:X13"/>
    <mergeCell ref="Y13:Z13"/>
    <mergeCell ref="AA13:AB13"/>
    <mergeCell ref="AC13:AD13"/>
    <mergeCell ref="AE13:AF13"/>
    <mergeCell ref="B14:F14"/>
    <mergeCell ref="G14:K14"/>
    <mergeCell ref="L14:N14"/>
    <mergeCell ref="O14:Q14"/>
    <mergeCell ref="R14:T14"/>
    <mergeCell ref="U14:V14"/>
    <mergeCell ref="B29:B30"/>
    <mergeCell ref="C29:J30"/>
    <mergeCell ref="U15:V15"/>
    <mergeCell ref="W15:X15"/>
    <mergeCell ref="Y15:Z15"/>
    <mergeCell ref="AA15:AB15"/>
    <mergeCell ref="AC15:AD15"/>
    <mergeCell ref="AE15:AF15"/>
    <mergeCell ref="W14:X14"/>
    <mergeCell ref="Y14:Z14"/>
    <mergeCell ref="AA14:AB14"/>
    <mergeCell ref="AC14:AD14"/>
    <mergeCell ref="AE14:AF14"/>
    <mergeCell ref="B15:F15"/>
    <mergeCell ref="G15:K15"/>
    <mergeCell ref="L15:N15"/>
    <mergeCell ref="O15:Q15"/>
    <mergeCell ref="R15:T15"/>
    <mergeCell ref="Q29:W30"/>
    <mergeCell ref="X29:AH30"/>
    <mergeCell ref="C31:J31"/>
    <mergeCell ref="K31:L31"/>
    <mergeCell ref="M31:N31"/>
    <mergeCell ref="O31:P31"/>
    <mergeCell ref="Q31:W31"/>
    <mergeCell ref="X31:AH31"/>
    <mergeCell ref="K27:P27"/>
    <mergeCell ref="K28:L30"/>
    <mergeCell ref="M28:N30"/>
    <mergeCell ref="O28:P30"/>
    <mergeCell ref="C32:J32"/>
    <mergeCell ref="K32:L32"/>
    <mergeCell ref="M32:N32"/>
    <mergeCell ref="O32:P32"/>
    <mergeCell ref="Q32:W39"/>
    <mergeCell ref="X32:AH35"/>
    <mergeCell ref="C33:J33"/>
    <mergeCell ref="K33:L33"/>
    <mergeCell ref="M33:N33"/>
    <mergeCell ref="O33:P33"/>
    <mergeCell ref="X36:AH39"/>
    <mergeCell ref="C37:J37"/>
    <mergeCell ref="K37:L37"/>
    <mergeCell ref="M37:N37"/>
    <mergeCell ref="O37:P37"/>
    <mergeCell ref="C38:J38"/>
    <mergeCell ref="C34:J34"/>
    <mergeCell ref="K34:L34"/>
    <mergeCell ref="M34:N34"/>
    <mergeCell ref="O34:P34"/>
    <mergeCell ref="C35:J35"/>
    <mergeCell ref="K35:L35"/>
    <mergeCell ref="M35:N35"/>
    <mergeCell ref="O35:P35"/>
    <mergeCell ref="K38:L38"/>
    <mergeCell ref="M38:N38"/>
    <mergeCell ref="O38:P38"/>
    <mergeCell ref="C39:J39"/>
    <mergeCell ref="K39:L39"/>
    <mergeCell ref="M39:N39"/>
    <mergeCell ref="O39:P39"/>
    <mergeCell ref="C36:J36"/>
    <mergeCell ref="K36:L36"/>
    <mergeCell ref="M36:N36"/>
    <mergeCell ref="O36:P36"/>
    <mergeCell ref="B60:J61"/>
    <mergeCell ref="B63:G63"/>
    <mergeCell ref="H63:J63"/>
    <mergeCell ref="K63:M63"/>
    <mergeCell ref="N63:P63"/>
    <mergeCell ref="Q63:S63"/>
    <mergeCell ref="T63:V63"/>
    <mergeCell ref="W63:Y63"/>
    <mergeCell ref="K40:L40"/>
    <mergeCell ref="M40:N40"/>
    <mergeCell ref="O40:P40"/>
    <mergeCell ref="Z63:AB63"/>
    <mergeCell ref="AC63:AE63"/>
    <mergeCell ref="AF63:AH63"/>
    <mergeCell ref="K64:M64"/>
    <mergeCell ref="N64:P64"/>
    <mergeCell ref="Q64:S64"/>
    <mergeCell ref="T64:V64"/>
    <mergeCell ref="W64:Y64"/>
    <mergeCell ref="Z64:AB64"/>
    <mergeCell ref="AC64:AE64"/>
    <mergeCell ref="AF64:AH64"/>
    <mergeCell ref="AF65:AH65"/>
    <mergeCell ref="B66:G66"/>
    <mergeCell ref="H66:J66"/>
    <mergeCell ref="K66:M66"/>
    <mergeCell ref="N66:P66"/>
    <mergeCell ref="Q66:S66"/>
    <mergeCell ref="T66:V66"/>
    <mergeCell ref="W66:Y66"/>
    <mergeCell ref="Z66:AB66"/>
    <mergeCell ref="AC66:AE66"/>
    <mergeCell ref="AF66:AH66"/>
    <mergeCell ref="B65:G65"/>
    <mergeCell ref="H65:J65"/>
    <mergeCell ref="K65:M65"/>
    <mergeCell ref="N65:P65"/>
    <mergeCell ref="Q65:S65"/>
    <mergeCell ref="T65:V65"/>
    <mergeCell ref="W65:Y65"/>
    <mergeCell ref="Z65:AB65"/>
    <mergeCell ref="AC65:AE65"/>
    <mergeCell ref="AF67:AH67"/>
    <mergeCell ref="B68:G68"/>
    <mergeCell ref="H68:J68"/>
    <mergeCell ref="K68:M68"/>
    <mergeCell ref="N68:P68"/>
    <mergeCell ref="Q68:S68"/>
    <mergeCell ref="T68:V68"/>
    <mergeCell ref="W68:Y68"/>
    <mergeCell ref="Z68:AB68"/>
    <mergeCell ref="AC68:AE68"/>
    <mergeCell ref="AF68:AH68"/>
    <mergeCell ref="B67:G67"/>
    <mergeCell ref="H67:J67"/>
    <mergeCell ref="K67:M67"/>
    <mergeCell ref="N67:P67"/>
    <mergeCell ref="Q67:S67"/>
    <mergeCell ref="T67:V67"/>
    <mergeCell ref="W67:Y67"/>
    <mergeCell ref="Z67:AB67"/>
    <mergeCell ref="AC67:AE67"/>
    <mergeCell ref="B69:G69"/>
    <mergeCell ref="H69:J69"/>
    <mergeCell ref="K69:M69"/>
    <mergeCell ref="N69:P69"/>
    <mergeCell ref="Q69:S69"/>
    <mergeCell ref="T69:V69"/>
    <mergeCell ref="W69:Y69"/>
    <mergeCell ref="Z69:AB69"/>
    <mergeCell ref="AC69:AE69"/>
    <mergeCell ref="B73:J74"/>
    <mergeCell ref="B76:G76"/>
    <mergeCell ref="H76:J76"/>
    <mergeCell ref="K76:M76"/>
    <mergeCell ref="N76:P76"/>
    <mergeCell ref="Q76:S76"/>
    <mergeCell ref="T76:V76"/>
    <mergeCell ref="W76:Y76"/>
    <mergeCell ref="Z76:AB76"/>
    <mergeCell ref="W77:Y77"/>
    <mergeCell ref="Z77:AB77"/>
    <mergeCell ref="AC77:AE77"/>
    <mergeCell ref="AF77:AH77"/>
    <mergeCell ref="W78:Y78"/>
    <mergeCell ref="Z78:AB78"/>
    <mergeCell ref="AC78:AE78"/>
    <mergeCell ref="AF78:AH78"/>
    <mergeCell ref="AF69:AH69"/>
    <mergeCell ref="AC76:AE76"/>
    <mergeCell ref="AF76:AH76"/>
    <mergeCell ref="B78:G78"/>
    <mergeCell ref="H78:J78"/>
    <mergeCell ref="K78:M78"/>
    <mergeCell ref="N78:P78"/>
    <mergeCell ref="Q78:S78"/>
    <mergeCell ref="T78:V78"/>
    <mergeCell ref="K77:M77"/>
    <mergeCell ref="N77:P77"/>
    <mergeCell ref="Q77:S77"/>
    <mergeCell ref="T77:V77"/>
    <mergeCell ref="W79:Y79"/>
    <mergeCell ref="Z79:AB79"/>
    <mergeCell ref="AC79:AE79"/>
    <mergeCell ref="AF79:AH79"/>
    <mergeCell ref="B80:G80"/>
    <mergeCell ref="H80:J80"/>
    <mergeCell ref="K80:M80"/>
    <mergeCell ref="N80:P80"/>
    <mergeCell ref="Q80:S80"/>
    <mergeCell ref="T80:V80"/>
    <mergeCell ref="W80:Y80"/>
    <mergeCell ref="Z80:AB80"/>
    <mergeCell ref="AC80:AE80"/>
    <mergeCell ref="AF80:AH80"/>
    <mergeCell ref="B79:G79"/>
    <mergeCell ref="H79:J79"/>
    <mergeCell ref="K79:M79"/>
    <mergeCell ref="N79:P79"/>
    <mergeCell ref="Q79:S79"/>
    <mergeCell ref="T79:V79"/>
    <mergeCell ref="B81:G81"/>
    <mergeCell ref="H81:J81"/>
    <mergeCell ref="K81:M81"/>
    <mergeCell ref="N81:P81"/>
    <mergeCell ref="Q81:S81"/>
    <mergeCell ref="T81:V81"/>
    <mergeCell ref="AC82:AE82"/>
    <mergeCell ref="AF82:AH82"/>
    <mergeCell ref="W81:Y81"/>
    <mergeCell ref="Z81:AB81"/>
    <mergeCell ref="AC81:AE81"/>
    <mergeCell ref="AF81:AH81"/>
    <mergeCell ref="B82:G82"/>
    <mergeCell ref="H82:J82"/>
    <mergeCell ref="K82:M82"/>
    <mergeCell ref="N82:P82"/>
    <mergeCell ref="Q82:S82"/>
    <mergeCell ref="T82:V82"/>
    <mergeCell ref="B86:J87"/>
    <mergeCell ref="B89:G89"/>
    <mergeCell ref="H89:J89"/>
    <mergeCell ref="K89:M89"/>
    <mergeCell ref="N89:P89"/>
    <mergeCell ref="Q89:S89"/>
    <mergeCell ref="T89:V89"/>
    <mergeCell ref="W82:Y82"/>
    <mergeCell ref="Z82:AB82"/>
    <mergeCell ref="W89:Y89"/>
    <mergeCell ref="Z89:AB89"/>
    <mergeCell ref="AC89:AE89"/>
    <mergeCell ref="AF89:AH89"/>
    <mergeCell ref="K90:M90"/>
    <mergeCell ref="N90:P90"/>
    <mergeCell ref="Q90:S90"/>
    <mergeCell ref="T90:V90"/>
    <mergeCell ref="W90:Y90"/>
    <mergeCell ref="Z90:AB90"/>
    <mergeCell ref="AC90:AE90"/>
    <mergeCell ref="AF90:AH90"/>
    <mergeCell ref="AF91:AH91"/>
    <mergeCell ref="B92:G92"/>
    <mergeCell ref="H92:J92"/>
    <mergeCell ref="K92:M92"/>
    <mergeCell ref="N92:P92"/>
    <mergeCell ref="Q92:S92"/>
    <mergeCell ref="T92:V92"/>
    <mergeCell ref="W92:Y92"/>
    <mergeCell ref="Z92:AB92"/>
    <mergeCell ref="AC92:AE92"/>
    <mergeCell ref="AF92:AH92"/>
    <mergeCell ref="B91:G91"/>
    <mergeCell ref="H91:J91"/>
    <mergeCell ref="K91:M91"/>
    <mergeCell ref="N91:P91"/>
    <mergeCell ref="Q91:S91"/>
    <mergeCell ref="T91:V91"/>
    <mergeCell ref="W91:Y91"/>
    <mergeCell ref="Z91:AB91"/>
    <mergeCell ref="AC91:AE91"/>
    <mergeCell ref="AF93:AH93"/>
    <mergeCell ref="B94:G94"/>
    <mergeCell ref="H94:J94"/>
    <mergeCell ref="K94:M94"/>
    <mergeCell ref="N94:P94"/>
    <mergeCell ref="Q94:S94"/>
    <mergeCell ref="T94:V94"/>
    <mergeCell ref="W94:Y94"/>
    <mergeCell ref="Z94:AB94"/>
    <mergeCell ref="B93:G93"/>
    <mergeCell ref="H93:J93"/>
    <mergeCell ref="K93:M93"/>
    <mergeCell ref="N93:P93"/>
    <mergeCell ref="Q93:S93"/>
    <mergeCell ref="T93:V93"/>
    <mergeCell ref="W93:Y93"/>
    <mergeCell ref="Z93:AB93"/>
    <mergeCell ref="AC93:AE93"/>
    <mergeCell ref="AC95:AE95"/>
    <mergeCell ref="AF95:AH95"/>
    <mergeCell ref="AC94:AE94"/>
    <mergeCell ref="AF94:AH94"/>
    <mergeCell ref="B95:G95"/>
    <mergeCell ref="H95:J95"/>
    <mergeCell ref="K95:M95"/>
    <mergeCell ref="N95:P95"/>
    <mergeCell ref="Q95:S95"/>
    <mergeCell ref="T95:V95"/>
    <mergeCell ref="W95:Y95"/>
    <mergeCell ref="Z95:AB95"/>
  </mergeCells>
  <pageMargins left="0.25" right="0.25" top="0.25" bottom="0.25" header="0.2" footer="0.15"/>
  <pageSetup scale="85" orientation="landscape" r:id="rId1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3026-353B-43C1-A432-6DA3570BE984}">
  <sheetPr>
    <tabColor theme="4"/>
  </sheetPr>
  <dimension ref="B1:AL100"/>
  <sheetViews>
    <sheetView showGridLines="0" zoomScale="80" zoomScaleNormal="80" workbookViewId="0">
      <selection activeCell="Y5" sqref="Y5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7" width="4.6640625" customWidth="1"/>
    <col min="38" max="38" width="18.83203125" customWidth="1"/>
    <col min="39" max="63" width="4.6640625" customWidth="1"/>
  </cols>
  <sheetData>
    <row r="1" spans="2:32" x14ac:dyDescent="0.2">
      <c r="B1" s="24" t="s">
        <v>88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4" spans="2:32" ht="14.5" customHeight="1" x14ac:dyDescent="0.25">
      <c r="H4" s="19"/>
      <c r="I4" s="19"/>
      <c r="J4" s="19"/>
      <c r="K4" s="19"/>
      <c r="L4" s="19"/>
      <c r="M4" s="19"/>
      <c r="N4" s="19"/>
    </row>
    <row r="5" spans="2:32" ht="18" customHeight="1" x14ac:dyDescent="0.25">
      <c r="B5" s="22" t="s">
        <v>406</v>
      </c>
      <c r="E5" s="6"/>
      <c r="H5" s="19"/>
      <c r="I5" s="19"/>
      <c r="J5" s="19"/>
      <c r="K5" s="19"/>
      <c r="L5" s="19"/>
      <c r="M5" s="19"/>
      <c r="N5" s="19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/>
      <c r="E8" s="6"/>
      <c r="G8" s="6"/>
      <c r="L8" s="119" t="s">
        <v>10</v>
      </c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</row>
    <row r="9" spans="2:32" s="5" customFormat="1" ht="25" customHeight="1" x14ac:dyDescent="0.2">
      <c r="B9" s="121" t="s">
        <v>49</v>
      </c>
      <c r="C9" s="121"/>
      <c r="D9" s="121"/>
      <c r="E9" s="121"/>
      <c r="F9" s="121"/>
      <c r="G9" s="122" t="s">
        <v>48</v>
      </c>
      <c r="H9" s="122"/>
      <c r="I9" s="122"/>
      <c r="J9" s="122"/>
      <c r="K9" s="123"/>
      <c r="L9" s="124" t="s">
        <v>18</v>
      </c>
      <c r="M9" s="124"/>
      <c r="N9" s="124"/>
      <c r="O9" s="124" t="s">
        <v>314</v>
      </c>
      <c r="P9" s="124"/>
      <c r="Q9" s="124"/>
      <c r="R9" s="124" t="s">
        <v>315</v>
      </c>
      <c r="S9" s="124"/>
      <c r="T9" s="124"/>
      <c r="U9" s="124" t="s">
        <v>17</v>
      </c>
      <c r="V9" s="124"/>
      <c r="W9" s="124" t="s">
        <v>16</v>
      </c>
      <c r="X9" s="124"/>
      <c r="Y9" s="124" t="s">
        <v>47</v>
      </c>
      <c r="Z9" s="124"/>
      <c r="AA9" s="124" t="s">
        <v>15</v>
      </c>
      <c r="AB9" s="124"/>
      <c r="AC9" s="124" t="s">
        <v>14</v>
      </c>
      <c r="AD9" s="124"/>
      <c r="AE9" s="126" t="s">
        <v>46</v>
      </c>
      <c r="AF9" s="126"/>
    </row>
    <row r="10" spans="2:32" ht="5" customHeight="1" x14ac:dyDescent="0.2">
      <c r="B10" s="4"/>
      <c r="C10" s="3"/>
      <c r="D10" s="3"/>
      <c r="E10" s="3"/>
      <c r="F10" s="3"/>
      <c r="G10" s="3"/>
      <c r="H10" s="3"/>
      <c r="I10" s="3"/>
      <c r="J10" s="3"/>
      <c r="K10" s="9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8"/>
      <c r="AF10" s="128"/>
    </row>
    <row r="11" spans="2:32" s="5" customFormat="1" ht="17" customHeight="1" x14ac:dyDescent="0.2">
      <c r="B11" s="129" t="s">
        <v>45</v>
      </c>
      <c r="C11" s="129"/>
      <c r="D11" s="129"/>
      <c r="E11" s="129"/>
      <c r="F11" s="130"/>
      <c r="G11" s="131" t="s">
        <v>44</v>
      </c>
      <c r="H11" s="131"/>
      <c r="I11" s="131"/>
      <c r="J11" s="131"/>
      <c r="K11" s="132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33"/>
      <c r="AF11" s="133"/>
    </row>
    <row r="12" spans="2:32" s="5" customFormat="1" ht="17" customHeight="1" x14ac:dyDescent="0.2">
      <c r="B12" s="129" t="s">
        <v>43</v>
      </c>
      <c r="C12" s="129"/>
      <c r="D12" s="129"/>
      <c r="E12" s="129"/>
      <c r="F12" s="130"/>
      <c r="G12" s="131" t="s">
        <v>42</v>
      </c>
      <c r="H12" s="131"/>
      <c r="I12" s="131"/>
      <c r="J12" s="131"/>
      <c r="K12" s="132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33"/>
      <c r="AF12" s="133"/>
    </row>
    <row r="13" spans="2:32" s="5" customFormat="1" ht="17" customHeight="1" x14ac:dyDescent="0.2">
      <c r="B13" s="129" t="s">
        <v>41</v>
      </c>
      <c r="C13" s="129"/>
      <c r="D13" s="129"/>
      <c r="E13" s="129"/>
      <c r="F13" s="130"/>
      <c r="G13" s="131" t="s">
        <v>40</v>
      </c>
      <c r="H13" s="131"/>
      <c r="I13" s="131"/>
      <c r="J13" s="131"/>
      <c r="K13" s="132"/>
      <c r="L13" s="125">
        <v>0.5</v>
      </c>
      <c r="M13" s="125"/>
      <c r="N13" s="125"/>
      <c r="O13" s="125">
        <v>0.1</v>
      </c>
      <c r="P13" s="125"/>
      <c r="Q13" s="125"/>
      <c r="R13" s="125">
        <v>0.1</v>
      </c>
      <c r="S13" s="125"/>
      <c r="T13" s="125"/>
      <c r="U13" s="125"/>
      <c r="V13" s="125"/>
      <c r="W13" s="125">
        <v>0.15</v>
      </c>
      <c r="X13" s="125"/>
      <c r="Y13" s="125"/>
      <c r="Z13" s="125"/>
      <c r="AA13" s="125"/>
      <c r="AB13" s="125"/>
      <c r="AC13" s="125">
        <v>0.15</v>
      </c>
      <c r="AD13" s="125"/>
      <c r="AE13" s="134">
        <f>SUM(L13:AD13)</f>
        <v>1</v>
      </c>
      <c r="AF13" s="135"/>
    </row>
    <row r="14" spans="2:32" s="5" customFormat="1" ht="17" customHeight="1" x14ac:dyDescent="0.2">
      <c r="B14" s="129" t="s">
        <v>39</v>
      </c>
      <c r="C14" s="129"/>
      <c r="D14" s="129"/>
      <c r="E14" s="129"/>
      <c r="F14" s="130"/>
      <c r="G14" s="131" t="s">
        <v>38</v>
      </c>
      <c r="H14" s="131"/>
      <c r="I14" s="131"/>
      <c r="J14" s="131"/>
      <c r="K14" s="132"/>
      <c r="L14" s="125">
        <v>0.5</v>
      </c>
      <c r="M14" s="125"/>
      <c r="N14" s="125"/>
      <c r="O14" s="125">
        <v>0.1</v>
      </c>
      <c r="P14" s="125"/>
      <c r="Q14" s="125"/>
      <c r="R14" s="125">
        <v>0.1</v>
      </c>
      <c r="S14" s="125"/>
      <c r="T14" s="125"/>
      <c r="U14" s="125"/>
      <c r="V14" s="125"/>
      <c r="W14" s="125">
        <v>0.15</v>
      </c>
      <c r="X14" s="125"/>
      <c r="Y14" s="125">
        <v>0.15</v>
      </c>
      <c r="Z14" s="125"/>
      <c r="AA14" s="125"/>
      <c r="AB14" s="125"/>
      <c r="AC14" s="125"/>
      <c r="AD14" s="125"/>
      <c r="AE14" s="134">
        <f>SUM(L14:AD14)</f>
        <v>1</v>
      </c>
      <c r="AF14" s="135"/>
    </row>
    <row r="15" spans="2:32" s="5" customFormat="1" ht="17" customHeight="1" x14ac:dyDescent="0.2">
      <c r="B15" s="129" t="s">
        <v>37</v>
      </c>
      <c r="C15" s="129"/>
      <c r="D15" s="129"/>
      <c r="E15" s="129"/>
      <c r="F15" s="130"/>
      <c r="G15" s="131" t="s">
        <v>36</v>
      </c>
      <c r="H15" s="131"/>
      <c r="I15" s="131"/>
      <c r="J15" s="131"/>
      <c r="K15" s="132"/>
      <c r="L15" s="125">
        <v>0.5</v>
      </c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>
        <v>0.2</v>
      </c>
      <c r="X15" s="125"/>
      <c r="Y15" s="125">
        <v>0.2</v>
      </c>
      <c r="Z15" s="125"/>
      <c r="AA15" s="125">
        <v>0.1</v>
      </c>
      <c r="AB15" s="125"/>
      <c r="AC15" s="125"/>
      <c r="AD15" s="125"/>
      <c r="AE15" s="134">
        <f>SUM(L15:AD15)</f>
        <v>0.99999999999999989</v>
      </c>
      <c r="AF15" s="135"/>
    </row>
    <row r="17" spans="2:34" x14ac:dyDescent="0.2">
      <c r="B17" t="s">
        <v>35</v>
      </c>
    </row>
    <row r="18" spans="2:34" x14ac:dyDescent="0.2">
      <c r="C18" s="2" t="s">
        <v>34</v>
      </c>
      <c r="I18" s="2" t="s">
        <v>33</v>
      </c>
      <c r="P18" s="2" t="s">
        <v>32</v>
      </c>
    </row>
    <row r="19" spans="2:34" x14ac:dyDescent="0.2">
      <c r="C19" s="16" t="s">
        <v>73</v>
      </c>
      <c r="D19" t="s">
        <v>31</v>
      </c>
      <c r="I19" s="16" t="s">
        <v>73</v>
      </c>
      <c r="J19" t="s">
        <v>109</v>
      </c>
      <c r="P19" s="16" t="s">
        <v>73</v>
      </c>
      <c r="Q19" t="s">
        <v>30</v>
      </c>
      <c r="V19" s="16" t="s">
        <v>73</v>
      </c>
      <c r="W19" t="s">
        <v>29</v>
      </c>
      <c r="AB19" s="104" t="s">
        <v>73</v>
      </c>
      <c r="AC19" s="105" t="s">
        <v>403</v>
      </c>
    </row>
    <row r="20" spans="2:34" x14ac:dyDescent="0.2">
      <c r="C20" s="16" t="s">
        <v>73</v>
      </c>
      <c r="D20" t="s">
        <v>28</v>
      </c>
      <c r="I20" s="16" t="s">
        <v>73</v>
      </c>
      <c r="J20" t="s">
        <v>108</v>
      </c>
      <c r="P20" s="16" t="s">
        <v>73</v>
      </c>
      <c r="Q20" t="s">
        <v>27</v>
      </c>
      <c r="V20" s="16" t="s">
        <v>73</v>
      </c>
      <c r="W20" t="s">
        <v>26</v>
      </c>
      <c r="AB20" s="104" t="s">
        <v>73</v>
      </c>
      <c r="AC20" s="105" t="s">
        <v>402</v>
      </c>
    </row>
    <row r="21" spans="2:34" x14ac:dyDescent="0.2">
      <c r="I21" s="16" t="s">
        <v>73</v>
      </c>
      <c r="J21" t="s">
        <v>116</v>
      </c>
      <c r="P21" s="16" t="s">
        <v>73</v>
      </c>
      <c r="Q21" t="s">
        <v>25</v>
      </c>
      <c r="V21" s="16" t="s">
        <v>73</v>
      </c>
      <c r="W21" t="s">
        <v>120</v>
      </c>
      <c r="AB21" s="28" t="s">
        <v>73</v>
      </c>
      <c r="AC21" s="27" t="s">
        <v>107</v>
      </c>
    </row>
    <row r="22" spans="2:34" x14ac:dyDescent="0.2">
      <c r="I22" s="16" t="s">
        <v>73</v>
      </c>
      <c r="J22" t="s">
        <v>113</v>
      </c>
      <c r="P22" s="16" t="s">
        <v>73</v>
      </c>
      <c r="Q22" t="s">
        <v>114</v>
      </c>
      <c r="V22" s="16" t="s">
        <v>73</v>
      </c>
      <c r="W22" t="s">
        <v>119</v>
      </c>
      <c r="AB22" s="28" t="s">
        <v>73</v>
      </c>
      <c r="AC22" s="27" t="s">
        <v>115</v>
      </c>
    </row>
    <row r="23" spans="2:34" x14ac:dyDescent="0.2">
      <c r="I23" s="16" t="s">
        <v>73</v>
      </c>
      <c r="J23" t="s">
        <v>112</v>
      </c>
      <c r="V23" s="16" t="s">
        <v>73</v>
      </c>
      <c r="W23" t="s">
        <v>111</v>
      </c>
      <c r="AB23" s="28" t="s">
        <v>73</v>
      </c>
      <c r="AC23" s="27" t="s">
        <v>110</v>
      </c>
    </row>
    <row r="24" spans="2:34" x14ac:dyDescent="0.2">
      <c r="V24" s="16" t="s">
        <v>73</v>
      </c>
      <c r="W24" t="s">
        <v>24</v>
      </c>
      <c r="AB24" s="28" t="s">
        <v>73</v>
      </c>
      <c r="AC24" s="27" t="s">
        <v>117</v>
      </c>
    </row>
    <row r="25" spans="2:34" x14ac:dyDescent="0.2">
      <c r="AB25" s="28" t="s">
        <v>73</v>
      </c>
      <c r="AC25" s="27" t="s">
        <v>118</v>
      </c>
    </row>
    <row r="26" spans="2:34" ht="5" customHeight="1" x14ac:dyDescent="0.2">
      <c r="K26" s="91"/>
      <c r="L26" s="91"/>
      <c r="M26" s="93"/>
      <c r="N26" s="93"/>
      <c r="O26" s="92"/>
      <c r="P26" s="92"/>
    </row>
    <row r="27" spans="2:34" x14ac:dyDescent="0.2">
      <c r="B27" s="2" t="s">
        <v>407</v>
      </c>
      <c r="K27" s="172" t="s">
        <v>9</v>
      </c>
      <c r="L27" s="173"/>
      <c r="M27" s="173"/>
      <c r="N27" s="173"/>
      <c r="O27" s="173"/>
      <c r="P27" s="174"/>
    </row>
    <row r="28" spans="2:34" ht="5" customHeight="1" x14ac:dyDescent="0.2">
      <c r="K28" s="194" t="s">
        <v>317</v>
      </c>
      <c r="L28" s="195"/>
      <c r="M28" s="194" t="s">
        <v>361</v>
      </c>
      <c r="N28" s="195"/>
      <c r="O28" s="194" t="s">
        <v>59</v>
      </c>
      <c r="P28" s="195"/>
    </row>
    <row r="29" spans="2:34" ht="20" customHeight="1" x14ac:dyDescent="0.2">
      <c r="B29" s="185" t="s">
        <v>11</v>
      </c>
      <c r="C29" s="187" t="s">
        <v>10</v>
      </c>
      <c r="D29" s="188"/>
      <c r="E29" s="188"/>
      <c r="F29" s="188"/>
      <c r="G29" s="188"/>
      <c r="H29" s="188"/>
      <c r="I29" s="188"/>
      <c r="J29" s="189"/>
      <c r="K29" s="196"/>
      <c r="L29" s="197"/>
      <c r="M29" s="196"/>
      <c r="N29" s="197"/>
      <c r="O29" s="196"/>
      <c r="P29" s="197"/>
      <c r="Q29" s="185" t="s">
        <v>8</v>
      </c>
      <c r="R29" s="185"/>
      <c r="S29" s="185"/>
      <c r="T29" s="185"/>
      <c r="U29" s="185"/>
      <c r="V29" s="185"/>
      <c r="W29" s="185"/>
      <c r="X29" s="187" t="s">
        <v>7</v>
      </c>
      <c r="Y29" s="188"/>
      <c r="Z29" s="188"/>
      <c r="AA29" s="188"/>
      <c r="AB29" s="188"/>
      <c r="AC29" s="188"/>
      <c r="AD29" s="188"/>
      <c r="AE29" s="188"/>
      <c r="AF29" s="188"/>
      <c r="AG29" s="188"/>
      <c r="AH29" s="189"/>
    </row>
    <row r="30" spans="2:34" ht="20" customHeight="1" x14ac:dyDescent="0.2">
      <c r="B30" s="185"/>
      <c r="C30" s="190"/>
      <c r="D30" s="191"/>
      <c r="E30" s="191"/>
      <c r="F30" s="191"/>
      <c r="G30" s="191"/>
      <c r="H30" s="191"/>
      <c r="I30" s="191"/>
      <c r="J30" s="192"/>
      <c r="K30" s="198"/>
      <c r="L30" s="199"/>
      <c r="M30" s="198"/>
      <c r="N30" s="199"/>
      <c r="O30" s="198"/>
      <c r="P30" s="199"/>
      <c r="Q30" s="185"/>
      <c r="R30" s="185"/>
      <c r="S30" s="185"/>
      <c r="T30" s="185"/>
      <c r="U30" s="185"/>
      <c r="V30" s="185"/>
      <c r="W30" s="185"/>
      <c r="X30" s="190"/>
      <c r="Y30" s="191"/>
      <c r="Z30" s="191"/>
      <c r="AA30" s="191"/>
      <c r="AB30" s="191"/>
      <c r="AC30" s="191"/>
      <c r="AD30" s="191"/>
      <c r="AE30" s="191"/>
      <c r="AF30" s="191"/>
      <c r="AG30" s="191"/>
      <c r="AH30" s="192"/>
    </row>
    <row r="31" spans="2:34" ht="5" customHeight="1" x14ac:dyDescent="0.2">
      <c r="B31" s="1"/>
      <c r="C31" s="166"/>
      <c r="D31" s="167"/>
      <c r="E31" s="167"/>
      <c r="F31" s="167"/>
      <c r="G31" s="167"/>
      <c r="H31" s="167"/>
      <c r="I31" s="167"/>
      <c r="J31" s="168"/>
      <c r="K31" s="186"/>
      <c r="L31" s="186"/>
      <c r="M31" s="186"/>
      <c r="N31" s="186"/>
      <c r="O31" s="186"/>
      <c r="P31" s="186"/>
      <c r="Q31" s="193"/>
      <c r="R31" s="193"/>
      <c r="S31" s="193"/>
      <c r="T31" s="193"/>
      <c r="U31" s="193"/>
      <c r="V31" s="193"/>
      <c r="W31" s="193"/>
      <c r="X31" s="166"/>
      <c r="Y31" s="167"/>
      <c r="Z31" s="167"/>
      <c r="AA31" s="167"/>
      <c r="AB31" s="167"/>
      <c r="AC31" s="167"/>
      <c r="AD31" s="167"/>
      <c r="AE31" s="167"/>
      <c r="AF31" s="167"/>
      <c r="AG31" s="167"/>
      <c r="AH31" s="168"/>
    </row>
    <row r="32" spans="2:34" ht="14.5" customHeight="1" x14ac:dyDescent="0.2">
      <c r="B32" s="1">
        <v>1</v>
      </c>
      <c r="C32" s="200" t="s">
        <v>6</v>
      </c>
      <c r="D32" s="201"/>
      <c r="E32" s="201"/>
      <c r="F32" s="201"/>
      <c r="G32" s="201"/>
      <c r="H32" s="201"/>
      <c r="I32" s="201"/>
      <c r="J32" s="202"/>
      <c r="K32" s="175">
        <f>L13</f>
        <v>0.5</v>
      </c>
      <c r="L32" s="175"/>
      <c r="M32" s="175">
        <f>L14</f>
        <v>0.5</v>
      </c>
      <c r="N32" s="175"/>
      <c r="O32" s="175">
        <f>L15</f>
        <v>0.5</v>
      </c>
      <c r="P32" s="175"/>
      <c r="Q32" s="176" t="s">
        <v>12</v>
      </c>
      <c r="R32" s="177"/>
      <c r="S32" s="177"/>
      <c r="T32" s="177"/>
      <c r="U32" s="177"/>
      <c r="V32" s="177"/>
      <c r="W32" s="178"/>
      <c r="X32" s="177" t="s">
        <v>54</v>
      </c>
      <c r="Y32" s="177"/>
      <c r="Z32" s="177"/>
      <c r="AA32" s="177"/>
      <c r="AB32" s="177"/>
      <c r="AC32" s="177"/>
      <c r="AD32" s="177"/>
      <c r="AE32" s="177"/>
      <c r="AF32" s="177"/>
      <c r="AG32" s="177"/>
      <c r="AH32" s="178"/>
    </row>
    <row r="33" spans="2:38" x14ac:dyDescent="0.2">
      <c r="B33" s="1">
        <v>2</v>
      </c>
      <c r="C33" s="200" t="s">
        <v>102</v>
      </c>
      <c r="D33" s="201"/>
      <c r="E33" s="201"/>
      <c r="F33" s="201"/>
      <c r="G33" s="201"/>
      <c r="H33" s="201"/>
      <c r="I33" s="201"/>
      <c r="J33" s="202"/>
      <c r="K33" s="175">
        <f>O13</f>
        <v>0.1</v>
      </c>
      <c r="L33" s="175"/>
      <c r="M33" s="175">
        <f>O14</f>
        <v>0.1</v>
      </c>
      <c r="N33" s="175"/>
      <c r="O33" s="175"/>
      <c r="P33" s="175"/>
      <c r="Q33" s="179"/>
      <c r="R33" s="180"/>
      <c r="S33" s="180"/>
      <c r="T33" s="180"/>
      <c r="U33" s="180"/>
      <c r="V33" s="180"/>
      <c r="W33" s="181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1"/>
    </row>
    <row r="34" spans="2:38" x14ac:dyDescent="0.2">
      <c r="B34" s="1">
        <v>3</v>
      </c>
      <c r="C34" s="200" t="s">
        <v>327</v>
      </c>
      <c r="D34" s="201"/>
      <c r="E34" s="201"/>
      <c r="F34" s="201"/>
      <c r="G34" s="201"/>
      <c r="H34" s="201"/>
      <c r="I34" s="201"/>
      <c r="J34" s="202"/>
      <c r="K34" s="175">
        <f>R13</f>
        <v>0.1</v>
      </c>
      <c r="L34" s="175"/>
      <c r="M34" s="175">
        <f>R14</f>
        <v>0.1</v>
      </c>
      <c r="N34" s="175"/>
      <c r="O34" s="175"/>
      <c r="P34" s="175"/>
      <c r="Q34" s="179"/>
      <c r="R34" s="180"/>
      <c r="S34" s="180"/>
      <c r="T34" s="180"/>
      <c r="U34" s="180"/>
      <c r="V34" s="180"/>
      <c r="W34" s="181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1"/>
    </row>
    <row r="35" spans="2:38" x14ac:dyDescent="0.2">
      <c r="B35" s="1">
        <v>4</v>
      </c>
      <c r="C35" s="200" t="s">
        <v>53</v>
      </c>
      <c r="D35" s="201"/>
      <c r="E35" s="201"/>
      <c r="F35" s="201"/>
      <c r="G35" s="201"/>
      <c r="H35" s="201"/>
      <c r="I35" s="201"/>
      <c r="J35" s="202"/>
      <c r="K35" s="175"/>
      <c r="L35" s="175"/>
      <c r="M35" s="175"/>
      <c r="N35" s="175"/>
      <c r="O35" s="175"/>
      <c r="P35" s="175"/>
      <c r="Q35" s="179"/>
      <c r="R35" s="180"/>
      <c r="S35" s="180"/>
      <c r="T35" s="180"/>
      <c r="U35" s="180"/>
      <c r="V35" s="180"/>
      <c r="W35" s="181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4"/>
    </row>
    <row r="36" spans="2:38" x14ac:dyDescent="0.2">
      <c r="B36" s="1">
        <v>5</v>
      </c>
      <c r="C36" s="200" t="s">
        <v>4</v>
      </c>
      <c r="D36" s="201"/>
      <c r="E36" s="201"/>
      <c r="F36" s="201"/>
      <c r="G36" s="201"/>
      <c r="H36" s="201"/>
      <c r="I36" s="201"/>
      <c r="J36" s="202"/>
      <c r="K36" s="175">
        <f>W13</f>
        <v>0.15</v>
      </c>
      <c r="L36" s="175"/>
      <c r="M36" s="175">
        <f>W14</f>
        <v>0.15</v>
      </c>
      <c r="N36" s="175"/>
      <c r="O36" s="175">
        <f>W15</f>
        <v>0.2</v>
      </c>
      <c r="P36" s="175"/>
      <c r="Q36" s="179"/>
      <c r="R36" s="180"/>
      <c r="S36" s="180"/>
      <c r="T36" s="180"/>
      <c r="U36" s="180"/>
      <c r="V36" s="180"/>
      <c r="W36" s="181"/>
      <c r="X36" s="177" t="s">
        <v>2</v>
      </c>
      <c r="Y36" s="177"/>
      <c r="Z36" s="177"/>
      <c r="AA36" s="177"/>
      <c r="AB36" s="177"/>
      <c r="AC36" s="177"/>
      <c r="AD36" s="177"/>
      <c r="AE36" s="177"/>
      <c r="AF36" s="177"/>
      <c r="AG36" s="177"/>
      <c r="AH36" s="178"/>
    </row>
    <row r="37" spans="2:38" ht="14.5" customHeight="1" x14ac:dyDescent="0.2">
      <c r="B37" s="1">
        <v>6</v>
      </c>
      <c r="C37" s="200" t="s">
        <v>3</v>
      </c>
      <c r="D37" s="201"/>
      <c r="E37" s="201"/>
      <c r="F37" s="201"/>
      <c r="G37" s="201"/>
      <c r="H37" s="201"/>
      <c r="I37" s="201"/>
      <c r="J37" s="202"/>
      <c r="K37" s="175"/>
      <c r="L37" s="175"/>
      <c r="M37" s="175">
        <f>Y14</f>
        <v>0.15</v>
      </c>
      <c r="N37" s="175"/>
      <c r="O37" s="175">
        <f>Y15</f>
        <v>0.2</v>
      </c>
      <c r="P37" s="175"/>
      <c r="Q37" s="179"/>
      <c r="R37" s="180"/>
      <c r="S37" s="180"/>
      <c r="T37" s="180"/>
      <c r="U37" s="180"/>
      <c r="V37" s="180"/>
      <c r="W37" s="181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1"/>
    </row>
    <row r="38" spans="2:38" x14ac:dyDescent="0.2">
      <c r="B38" s="1">
        <v>7</v>
      </c>
      <c r="C38" s="200" t="s">
        <v>1</v>
      </c>
      <c r="D38" s="201"/>
      <c r="E38" s="201"/>
      <c r="F38" s="201"/>
      <c r="G38" s="201"/>
      <c r="H38" s="201"/>
      <c r="I38" s="201"/>
      <c r="J38" s="202"/>
      <c r="K38" s="175"/>
      <c r="L38" s="175"/>
      <c r="M38" s="175"/>
      <c r="N38" s="175"/>
      <c r="O38" s="175">
        <f>AA15</f>
        <v>0.1</v>
      </c>
      <c r="P38" s="175"/>
      <c r="Q38" s="179"/>
      <c r="R38" s="180"/>
      <c r="S38" s="180"/>
      <c r="T38" s="180"/>
      <c r="U38" s="180"/>
      <c r="V38" s="180"/>
      <c r="W38" s="181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1"/>
    </row>
    <row r="39" spans="2:38" x14ac:dyDescent="0.2">
      <c r="B39" s="1">
        <v>8</v>
      </c>
      <c r="C39" s="200" t="s">
        <v>0</v>
      </c>
      <c r="D39" s="201"/>
      <c r="E39" s="201"/>
      <c r="F39" s="201"/>
      <c r="G39" s="201"/>
      <c r="H39" s="201"/>
      <c r="I39" s="201"/>
      <c r="J39" s="202"/>
      <c r="K39" s="175">
        <f>AC13</f>
        <v>0.15</v>
      </c>
      <c r="L39" s="175"/>
      <c r="M39" s="175"/>
      <c r="N39" s="175"/>
      <c r="O39" s="175"/>
      <c r="P39" s="175"/>
      <c r="Q39" s="182"/>
      <c r="R39" s="183"/>
      <c r="S39" s="183"/>
      <c r="T39" s="183"/>
      <c r="U39" s="183"/>
      <c r="V39" s="183"/>
      <c r="W39" s="184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4"/>
    </row>
    <row r="40" spans="2:38" x14ac:dyDescent="0.2">
      <c r="K40" s="213">
        <f>SUM(K32:L39)</f>
        <v>1</v>
      </c>
      <c r="L40" s="213"/>
      <c r="M40" s="213">
        <f>SUM(M32:N39)</f>
        <v>1</v>
      </c>
      <c r="N40" s="213"/>
      <c r="O40" s="213">
        <f>SUM(O32:P39)</f>
        <v>0.99999999999999989</v>
      </c>
      <c r="P40" s="213"/>
    </row>
    <row r="43" spans="2:38" x14ac:dyDescent="0.2">
      <c r="B43" s="5" t="s">
        <v>77</v>
      </c>
    </row>
    <row r="44" spans="2:38" x14ac:dyDescent="0.2">
      <c r="B44" s="30" t="s">
        <v>142</v>
      </c>
    </row>
    <row r="45" spans="2:38" x14ac:dyDescent="0.2">
      <c r="B45" s="30" t="s">
        <v>100</v>
      </c>
      <c r="H45" s="6" t="s">
        <v>140</v>
      </c>
      <c r="AL45" s="108"/>
    </row>
    <row r="46" spans="2:38" x14ac:dyDescent="0.2">
      <c r="B46" s="30" t="s">
        <v>323</v>
      </c>
      <c r="H46" s="6" t="s">
        <v>141</v>
      </c>
      <c r="AL46" s="108"/>
    </row>
    <row r="47" spans="2:38" x14ac:dyDescent="0.2">
      <c r="B47" s="30" t="s">
        <v>324</v>
      </c>
      <c r="H47" s="6" t="s">
        <v>325</v>
      </c>
      <c r="AL47" s="108"/>
    </row>
    <row r="48" spans="2:38" x14ac:dyDescent="0.2">
      <c r="B48" s="30" t="s">
        <v>99</v>
      </c>
      <c r="H48" s="6" t="s">
        <v>143</v>
      </c>
      <c r="AL48" s="108"/>
    </row>
    <row r="49" spans="2:38" x14ac:dyDescent="0.2">
      <c r="B49" s="30" t="s">
        <v>101</v>
      </c>
      <c r="H49" s="6" t="s">
        <v>144</v>
      </c>
      <c r="AL49" s="108"/>
    </row>
    <row r="50" spans="2:38" x14ac:dyDescent="0.2">
      <c r="B50" s="30"/>
      <c r="H50" s="6" t="s">
        <v>139</v>
      </c>
    </row>
    <row r="51" spans="2:38" x14ac:dyDescent="0.2">
      <c r="B51" s="30" t="s">
        <v>92</v>
      </c>
      <c r="H51" s="6" t="s">
        <v>145</v>
      </c>
    </row>
    <row r="52" spans="2:38" x14ac:dyDescent="0.2">
      <c r="B52" s="30"/>
      <c r="H52" s="6" t="s">
        <v>146</v>
      </c>
    </row>
    <row r="53" spans="2:38" x14ac:dyDescent="0.2">
      <c r="B53" s="30" t="s">
        <v>93</v>
      </c>
      <c r="H53" s="6" t="s">
        <v>147</v>
      </c>
    </row>
    <row r="54" spans="2:38" x14ac:dyDescent="0.2">
      <c r="B54" s="30" t="s">
        <v>89</v>
      </c>
      <c r="H54" s="6" t="s">
        <v>148</v>
      </c>
    </row>
    <row r="55" spans="2:38" x14ac:dyDescent="0.2">
      <c r="B55" s="5"/>
    </row>
    <row r="56" spans="2:38" x14ac:dyDescent="0.2">
      <c r="B56" s="5"/>
    </row>
    <row r="57" spans="2:38" x14ac:dyDescent="0.2">
      <c r="B57" s="5"/>
    </row>
    <row r="58" spans="2:38" x14ac:dyDescent="0.2">
      <c r="B58" s="2" t="s">
        <v>399</v>
      </c>
    </row>
    <row r="59" spans="2:38" ht="5" customHeight="1" x14ac:dyDescent="0.2"/>
    <row r="60" spans="2:38" x14ac:dyDescent="0.2">
      <c r="B60" s="169" t="s">
        <v>318</v>
      </c>
      <c r="C60" s="169"/>
      <c r="D60" s="169"/>
      <c r="E60" s="169"/>
      <c r="F60" s="169"/>
      <c r="G60" s="169"/>
      <c r="H60" s="169"/>
      <c r="I60" s="169"/>
      <c r="J60" s="169"/>
      <c r="AL60" s="40"/>
    </row>
    <row r="61" spans="2:38" ht="5" customHeight="1" x14ac:dyDescent="0.2">
      <c r="B61" s="169"/>
      <c r="C61" s="169"/>
      <c r="D61" s="169"/>
      <c r="E61" s="169"/>
      <c r="F61" s="169"/>
      <c r="G61" s="169"/>
      <c r="H61" s="169"/>
      <c r="I61" s="169"/>
      <c r="J61" s="169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L61" s="40"/>
    </row>
    <row r="62" spans="2:38" ht="20" customHeight="1" x14ac:dyDescent="0.2">
      <c r="B62" s="14" t="s">
        <v>398</v>
      </c>
      <c r="H62" s="6"/>
      <c r="J62" s="6"/>
      <c r="K62" s="8"/>
      <c r="L62" s="8"/>
      <c r="M62" s="8"/>
      <c r="N62" s="8"/>
      <c r="O62" s="8"/>
      <c r="P62" s="8"/>
      <c r="Q62" s="8"/>
      <c r="R62" s="8"/>
      <c r="S62" s="8"/>
      <c r="T62" s="8"/>
      <c r="U62" s="10" t="s">
        <v>10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L62" s="40"/>
    </row>
    <row r="63" spans="2:38" s="5" customFormat="1" ht="25" customHeight="1" x14ac:dyDescent="0.2">
      <c r="B63" s="170" t="s">
        <v>20</v>
      </c>
      <c r="C63" s="170"/>
      <c r="D63" s="170"/>
      <c r="E63" s="170"/>
      <c r="F63" s="170"/>
      <c r="G63" s="171"/>
      <c r="H63" s="172" t="s">
        <v>19</v>
      </c>
      <c r="I63" s="173"/>
      <c r="J63" s="174"/>
      <c r="K63" s="163" t="s">
        <v>18</v>
      </c>
      <c r="L63" s="164"/>
      <c r="M63" s="165"/>
      <c r="N63" s="163" t="s">
        <v>326</v>
      </c>
      <c r="O63" s="164"/>
      <c r="P63" s="165"/>
      <c r="Q63" s="163" t="s">
        <v>315</v>
      </c>
      <c r="R63" s="164"/>
      <c r="S63" s="165"/>
      <c r="T63" s="163" t="s">
        <v>17</v>
      </c>
      <c r="U63" s="164"/>
      <c r="V63" s="165"/>
      <c r="W63" s="163" t="s">
        <v>16</v>
      </c>
      <c r="X63" s="164"/>
      <c r="Y63" s="165"/>
      <c r="Z63" s="163" t="s">
        <v>47</v>
      </c>
      <c r="AA63" s="164"/>
      <c r="AB63" s="165"/>
      <c r="AC63" s="163" t="s">
        <v>15</v>
      </c>
      <c r="AD63" s="164"/>
      <c r="AE63" s="165"/>
      <c r="AF63" s="163" t="s">
        <v>14</v>
      </c>
      <c r="AG63" s="164"/>
      <c r="AH63" s="164"/>
      <c r="AI63"/>
      <c r="AJ63"/>
      <c r="AK63"/>
      <c r="AL63" s="37"/>
    </row>
    <row r="64" spans="2:38" ht="5" customHeight="1" x14ac:dyDescent="0.2">
      <c r="B64" s="4"/>
      <c r="C64" s="3"/>
      <c r="D64" s="3"/>
      <c r="E64" s="3"/>
      <c r="F64" s="3"/>
      <c r="G64" s="3"/>
      <c r="H64" s="3"/>
      <c r="I64" s="3"/>
      <c r="J64" s="3"/>
      <c r="K64" s="166"/>
      <c r="L64" s="167"/>
      <c r="M64" s="168"/>
      <c r="N64" s="166"/>
      <c r="O64" s="167"/>
      <c r="P64" s="168"/>
      <c r="Q64" s="166"/>
      <c r="R64" s="167"/>
      <c r="S64" s="168"/>
      <c r="T64" s="166"/>
      <c r="U64" s="167"/>
      <c r="V64" s="168"/>
      <c r="W64" s="166"/>
      <c r="X64" s="167"/>
      <c r="Y64" s="168"/>
      <c r="Z64" s="166"/>
      <c r="AA64" s="167"/>
      <c r="AB64" s="168"/>
      <c r="AC64" s="166"/>
      <c r="AD64" s="167"/>
      <c r="AE64" s="168"/>
      <c r="AF64" s="166"/>
      <c r="AG64" s="167"/>
      <c r="AH64" s="168"/>
      <c r="AL64" s="40"/>
    </row>
    <row r="65" spans="2:38" s="5" customFormat="1" ht="20" customHeight="1" x14ac:dyDescent="0.2">
      <c r="B65" s="146" t="s">
        <v>55</v>
      </c>
      <c r="C65" s="147"/>
      <c r="D65" s="147"/>
      <c r="E65" s="147"/>
      <c r="F65" s="147"/>
      <c r="G65" s="148"/>
      <c r="H65" s="149">
        <v>75000</v>
      </c>
      <c r="I65" s="149"/>
      <c r="J65" s="149"/>
      <c r="K65" s="150">
        <f>$H65*$K$32</f>
        <v>37500</v>
      </c>
      <c r="L65" s="151"/>
      <c r="M65" s="152"/>
      <c r="N65" s="143">
        <f>$H65*$K$33</f>
        <v>7500</v>
      </c>
      <c r="O65" s="144"/>
      <c r="P65" s="145"/>
      <c r="Q65" s="143">
        <f>$H65*$K$34</f>
        <v>7500</v>
      </c>
      <c r="R65" s="144"/>
      <c r="S65" s="145"/>
      <c r="T65" s="143">
        <f>$H65*$K$35</f>
        <v>0</v>
      </c>
      <c r="U65" s="144"/>
      <c r="V65" s="145"/>
      <c r="W65" s="143">
        <f>$H65*$K$36</f>
        <v>11250</v>
      </c>
      <c r="X65" s="144"/>
      <c r="Y65" s="145"/>
      <c r="Z65" s="143">
        <f>$H65*$K$37</f>
        <v>0</v>
      </c>
      <c r="AA65" s="144"/>
      <c r="AB65" s="145"/>
      <c r="AC65" s="143">
        <f>$H65*$K$38</f>
        <v>0</v>
      </c>
      <c r="AD65" s="144"/>
      <c r="AE65" s="145"/>
      <c r="AF65" s="143">
        <f>$H65*$K$39</f>
        <v>11250</v>
      </c>
      <c r="AG65" s="144"/>
      <c r="AH65" s="145"/>
      <c r="AL65" s="41">
        <f>SUM(K65:AH65)</f>
        <v>75000</v>
      </c>
    </row>
    <row r="66" spans="2:38" s="5" customFormat="1" ht="20" customHeight="1" x14ac:dyDescent="0.2">
      <c r="B66" s="146" t="s">
        <v>56</v>
      </c>
      <c r="C66" s="147"/>
      <c r="D66" s="147"/>
      <c r="E66" s="147"/>
      <c r="F66" s="147"/>
      <c r="G66" s="148"/>
      <c r="H66" s="149">
        <v>150000</v>
      </c>
      <c r="I66" s="149"/>
      <c r="J66" s="149"/>
      <c r="K66" s="150">
        <f>$H66*$K$32</f>
        <v>75000</v>
      </c>
      <c r="L66" s="151"/>
      <c r="M66" s="152"/>
      <c r="N66" s="143">
        <f>$H66*$K$33</f>
        <v>15000</v>
      </c>
      <c r="O66" s="144"/>
      <c r="P66" s="145"/>
      <c r="Q66" s="143">
        <f>$H66*$K$34</f>
        <v>15000</v>
      </c>
      <c r="R66" s="144"/>
      <c r="S66" s="145"/>
      <c r="T66" s="143">
        <f>$H66*$K$35</f>
        <v>0</v>
      </c>
      <c r="U66" s="144"/>
      <c r="V66" s="145"/>
      <c r="W66" s="143">
        <f>$H66*$K$36</f>
        <v>22500</v>
      </c>
      <c r="X66" s="144"/>
      <c r="Y66" s="145"/>
      <c r="Z66" s="143">
        <f>$H66*$K$37</f>
        <v>0</v>
      </c>
      <c r="AA66" s="144"/>
      <c r="AB66" s="145"/>
      <c r="AC66" s="143">
        <f>$H66*$K$38</f>
        <v>0</v>
      </c>
      <c r="AD66" s="144"/>
      <c r="AE66" s="145"/>
      <c r="AF66" s="143">
        <f>$H66*$K$39</f>
        <v>22500</v>
      </c>
      <c r="AG66" s="144"/>
      <c r="AH66" s="145"/>
      <c r="AL66" s="41">
        <f>SUM(K66:AH66)</f>
        <v>150000</v>
      </c>
    </row>
    <row r="67" spans="2:38" s="5" customFormat="1" ht="20" customHeight="1" x14ac:dyDescent="0.2">
      <c r="B67" s="146" t="s">
        <v>57</v>
      </c>
      <c r="C67" s="147"/>
      <c r="D67" s="147"/>
      <c r="E67" s="147"/>
      <c r="F67" s="147"/>
      <c r="G67" s="148"/>
      <c r="H67" s="149">
        <v>225000</v>
      </c>
      <c r="I67" s="149"/>
      <c r="J67" s="149"/>
      <c r="K67" s="150">
        <f>$H67*$K$32</f>
        <v>112500</v>
      </c>
      <c r="L67" s="151"/>
      <c r="M67" s="152"/>
      <c r="N67" s="143">
        <f>$H67*$K$33</f>
        <v>22500</v>
      </c>
      <c r="O67" s="144"/>
      <c r="P67" s="145"/>
      <c r="Q67" s="143">
        <f>$H67*$K$34</f>
        <v>22500</v>
      </c>
      <c r="R67" s="144"/>
      <c r="S67" s="145"/>
      <c r="T67" s="143">
        <f>$H67*$K$35</f>
        <v>0</v>
      </c>
      <c r="U67" s="144"/>
      <c r="V67" s="145"/>
      <c r="W67" s="143">
        <f>$H67*$K$36</f>
        <v>33750</v>
      </c>
      <c r="X67" s="144"/>
      <c r="Y67" s="145"/>
      <c r="Z67" s="143">
        <f>$H67*$K$37</f>
        <v>0</v>
      </c>
      <c r="AA67" s="144"/>
      <c r="AB67" s="145"/>
      <c r="AC67" s="143">
        <f>$H67*$K$38</f>
        <v>0</v>
      </c>
      <c r="AD67" s="144"/>
      <c r="AE67" s="145"/>
      <c r="AF67" s="143">
        <f>$H67*$K$39</f>
        <v>33750</v>
      </c>
      <c r="AG67" s="144"/>
      <c r="AH67" s="145"/>
      <c r="AL67" s="41">
        <f>SUM(K67:AH67)</f>
        <v>225000</v>
      </c>
    </row>
    <row r="68" spans="2:38" s="5" customFormat="1" ht="20" customHeight="1" x14ac:dyDescent="0.2">
      <c r="B68" s="153" t="s">
        <v>58</v>
      </c>
      <c r="C68" s="154"/>
      <c r="D68" s="154"/>
      <c r="E68" s="154"/>
      <c r="F68" s="154"/>
      <c r="G68" s="155"/>
      <c r="H68" s="156">
        <v>300000</v>
      </c>
      <c r="I68" s="156"/>
      <c r="J68" s="156"/>
      <c r="K68" s="157">
        <f>$H68*$K$32</f>
        <v>150000</v>
      </c>
      <c r="L68" s="158"/>
      <c r="M68" s="159"/>
      <c r="N68" s="160">
        <f>$H68*$K$33</f>
        <v>30000</v>
      </c>
      <c r="O68" s="161"/>
      <c r="P68" s="162"/>
      <c r="Q68" s="160">
        <f>$H68*$K$34</f>
        <v>30000</v>
      </c>
      <c r="R68" s="161"/>
      <c r="S68" s="162"/>
      <c r="T68" s="160">
        <f>$H68*$K$35</f>
        <v>0</v>
      </c>
      <c r="U68" s="161"/>
      <c r="V68" s="162"/>
      <c r="W68" s="160">
        <f>$H68*$K$36</f>
        <v>45000</v>
      </c>
      <c r="X68" s="161"/>
      <c r="Y68" s="162"/>
      <c r="Z68" s="160">
        <f>$H68*$K$37</f>
        <v>0</v>
      </c>
      <c r="AA68" s="161"/>
      <c r="AB68" s="162"/>
      <c r="AC68" s="160">
        <f>$H68*$K$38</f>
        <v>0</v>
      </c>
      <c r="AD68" s="161"/>
      <c r="AE68" s="162"/>
      <c r="AF68" s="160">
        <f>$H68*$K$39</f>
        <v>45000</v>
      </c>
      <c r="AG68" s="161"/>
      <c r="AH68" s="162"/>
      <c r="AL68" s="41">
        <f>SUM(K68:AH68)</f>
        <v>300000</v>
      </c>
    </row>
    <row r="69" spans="2:38" s="5" customFormat="1" ht="20" customHeight="1" x14ac:dyDescent="0.2">
      <c r="B69" s="146" t="s">
        <v>13</v>
      </c>
      <c r="C69" s="147"/>
      <c r="D69" s="147"/>
      <c r="E69" s="147"/>
      <c r="F69" s="147"/>
      <c r="G69" s="148"/>
      <c r="H69" s="149">
        <v>375000</v>
      </c>
      <c r="I69" s="149"/>
      <c r="J69" s="149"/>
      <c r="K69" s="150">
        <f>$H69*$K$32</f>
        <v>187500</v>
      </c>
      <c r="L69" s="151"/>
      <c r="M69" s="152"/>
      <c r="N69" s="143">
        <f>$H69*$K$33</f>
        <v>37500</v>
      </c>
      <c r="O69" s="144"/>
      <c r="P69" s="145"/>
      <c r="Q69" s="143">
        <f>$H69*$K$34</f>
        <v>37500</v>
      </c>
      <c r="R69" s="144"/>
      <c r="S69" s="145"/>
      <c r="T69" s="143">
        <f>$H69*$K$35</f>
        <v>0</v>
      </c>
      <c r="U69" s="144"/>
      <c r="V69" s="145"/>
      <c r="W69" s="143">
        <f>$H69*$K$36</f>
        <v>56250</v>
      </c>
      <c r="X69" s="144"/>
      <c r="Y69" s="145"/>
      <c r="Z69" s="143">
        <f>$H69*$K$37</f>
        <v>0</v>
      </c>
      <c r="AA69" s="144"/>
      <c r="AB69" s="145"/>
      <c r="AC69" s="143">
        <f>$H69*$K$38</f>
        <v>0</v>
      </c>
      <c r="AD69" s="144"/>
      <c r="AE69" s="145"/>
      <c r="AF69" s="143">
        <f>$H69*$K$39</f>
        <v>56250</v>
      </c>
      <c r="AG69" s="144"/>
      <c r="AH69" s="145"/>
      <c r="AL69" s="41">
        <f>SUM(K69:AH69)</f>
        <v>375000</v>
      </c>
    </row>
    <row r="70" spans="2:38" x14ac:dyDescent="0.2">
      <c r="AL70" s="40"/>
    </row>
    <row r="71" spans="2:38" x14ac:dyDescent="0.2">
      <c r="AL71" s="40"/>
    </row>
    <row r="72" spans="2:38" ht="5" customHeight="1" x14ac:dyDescent="0.2"/>
    <row r="73" spans="2:38" x14ac:dyDescent="0.2">
      <c r="B73" s="169" t="s">
        <v>321</v>
      </c>
      <c r="C73" s="169"/>
      <c r="D73" s="169"/>
      <c r="E73" s="169"/>
      <c r="F73" s="169"/>
      <c r="G73" s="169"/>
      <c r="H73" s="169"/>
      <c r="I73" s="169"/>
      <c r="J73" s="169"/>
    </row>
    <row r="74" spans="2:38" ht="5" customHeight="1" x14ac:dyDescent="0.2">
      <c r="B74" s="169"/>
      <c r="C74" s="169"/>
      <c r="D74" s="169"/>
      <c r="E74" s="169"/>
      <c r="F74" s="169"/>
      <c r="G74" s="169"/>
      <c r="H74" s="169"/>
      <c r="I74" s="169"/>
      <c r="J74" s="169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</row>
    <row r="75" spans="2:38" ht="20" customHeight="1" x14ac:dyDescent="0.2">
      <c r="B75" s="14" t="s">
        <v>398</v>
      </c>
      <c r="H75" s="6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10" t="s">
        <v>10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2:38" s="5" customFormat="1" ht="25" customHeight="1" x14ac:dyDescent="0.2">
      <c r="B76" s="170" t="s">
        <v>20</v>
      </c>
      <c r="C76" s="170"/>
      <c r="D76" s="170"/>
      <c r="E76" s="170"/>
      <c r="F76" s="170"/>
      <c r="G76" s="171"/>
      <c r="H76" s="172" t="s">
        <v>19</v>
      </c>
      <c r="I76" s="173"/>
      <c r="J76" s="174"/>
      <c r="K76" s="163" t="s">
        <v>18</v>
      </c>
      <c r="L76" s="164"/>
      <c r="M76" s="165"/>
      <c r="N76" s="163" t="s">
        <v>326</v>
      </c>
      <c r="O76" s="164"/>
      <c r="P76" s="165"/>
      <c r="Q76" s="163" t="s">
        <v>315</v>
      </c>
      <c r="R76" s="164"/>
      <c r="S76" s="165"/>
      <c r="T76" s="163" t="s">
        <v>17</v>
      </c>
      <c r="U76" s="164"/>
      <c r="V76" s="165"/>
      <c r="W76" s="163" t="s">
        <v>16</v>
      </c>
      <c r="X76" s="164"/>
      <c r="Y76" s="165"/>
      <c r="Z76" s="163" t="s">
        <v>47</v>
      </c>
      <c r="AA76" s="164"/>
      <c r="AB76" s="165"/>
      <c r="AC76" s="163" t="s">
        <v>15</v>
      </c>
      <c r="AD76" s="164"/>
      <c r="AE76" s="165"/>
      <c r="AF76" s="163" t="s">
        <v>14</v>
      </c>
      <c r="AG76" s="164"/>
      <c r="AH76" s="164"/>
      <c r="AI76"/>
      <c r="AJ76"/>
      <c r="AK76"/>
    </row>
    <row r="77" spans="2:38" ht="5" customHeight="1" x14ac:dyDescent="0.2">
      <c r="B77" s="4"/>
      <c r="C77" s="3"/>
      <c r="D77" s="3"/>
      <c r="E77" s="3"/>
      <c r="F77" s="3"/>
      <c r="G77" s="3"/>
      <c r="H77" s="3"/>
      <c r="I77" s="3"/>
      <c r="J77" s="3"/>
      <c r="K77" s="166"/>
      <c r="L77" s="167"/>
      <c r="M77" s="168"/>
      <c r="N77" s="166"/>
      <c r="O77" s="167"/>
      <c r="P77" s="168"/>
      <c r="Q77" s="166"/>
      <c r="R77" s="167"/>
      <c r="S77" s="168"/>
      <c r="T77" s="166"/>
      <c r="U77" s="167"/>
      <c r="V77" s="168"/>
      <c r="W77" s="166"/>
      <c r="X77" s="167"/>
      <c r="Y77" s="168"/>
      <c r="Z77" s="166"/>
      <c r="AA77" s="167"/>
      <c r="AB77" s="168"/>
      <c r="AC77" s="166"/>
      <c r="AD77" s="167"/>
      <c r="AE77" s="168"/>
      <c r="AF77" s="166"/>
      <c r="AG77" s="167"/>
      <c r="AH77" s="168"/>
    </row>
    <row r="78" spans="2:38" s="5" customFormat="1" ht="20" customHeight="1" x14ac:dyDescent="0.2">
      <c r="B78" s="146" t="s">
        <v>55</v>
      </c>
      <c r="C78" s="147"/>
      <c r="D78" s="147"/>
      <c r="E78" s="147"/>
      <c r="F78" s="147"/>
      <c r="G78" s="148"/>
      <c r="H78" s="149">
        <v>67500</v>
      </c>
      <c r="I78" s="149"/>
      <c r="J78" s="149"/>
      <c r="K78" s="143">
        <f>$H78*$M$32</f>
        <v>33750</v>
      </c>
      <c r="L78" s="144"/>
      <c r="M78" s="145"/>
      <c r="N78" s="143">
        <f>$H78*$M$33</f>
        <v>6750</v>
      </c>
      <c r="O78" s="144"/>
      <c r="P78" s="145"/>
      <c r="Q78" s="143">
        <f>$H78*$M$34</f>
        <v>6750</v>
      </c>
      <c r="R78" s="144"/>
      <c r="S78" s="145"/>
      <c r="T78" s="143">
        <f>$H78*$M$35</f>
        <v>0</v>
      </c>
      <c r="U78" s="144"/>
      <c r="V78" s="145"/>
      <c r="W78" s="143">
        <f>$H78*$M$36</f>
        <v>10125</v>
      </c>
      <c r="X78" s="144"/>
      <c r="Y78" s="145"/>
      <c r="Z78" s="143">
        <f>$H78*$M$37</f>
        <v>10125</v>
      </c>
      <c r="AA78" s="144"/>
      <c r="AB78" s="145"/>
      <c r="AC78" s="143">
        <f>$H78*$M$38</f>
        <v>0</v>
      </c>
      <c r="AD78" s="144"/>
      <c r="AE78" s="145"/>
      <c r="AF78" s="143">
        <f>$H78*$M$39</f>
        <v>0</v>
      </c>
      <c r="AG78" s="144"/>
      <c r="AH78" s="145"/>
      <c r="AL78" s="41">
        <f>SUM(K78:AH78)</f>
        <v>67500</v>
      </c>
    </row>
    <row r="79" spans="2:38" s="5" customFormat="1" ht="20" customHeight="1" x14ac:dyDescent="0.2">
      <c r="B79" s="146" t="s">
        <v>56</v>
      </c>
      <c r="C79" s="147"/>
      <c r="D79" s="147"/>
      <c r="E79" s="147"/>
      <c r="F79" s="147"/>
      <c r="G79" s="148"/>
      <c r="H79" s="149">
        <v>135000</v>
      </c>
      <c r="I79" s="149"/>
      <c r="J79" s="149"/>
      <c r="K79" s="143">
        <f>$H79*$M$32</f>
        <v>67500</v>
      </c>
      <c r="L79" s="144"/>
      <c r="M79" s="145"/>
      <c r="N79" s="143">
        <f>$H79*$M$33</f>
        <v>13500</v>
      </c>
      <c r="O79" s="144"/>
      <c r="P79" s="145"/>
      <c r="Q79" s="143">
        <f>$H79*$M$34</f>
        <v>13500</v>
      </c>
      <c r="R79" s="144"/>
      <c r="S79" s="145"/>
      <c r="T79" s="143">
        <f>$H79*$M$35</f>
        <v>0</v>
      </c>
      <c r="U79" s="144"/>
      <c r="V79" s="145"/>
      <c r="W79" s="143">
        <f>$H79*$M$36</f>
        <v>20250</v>
      </c>
      <c r="X79" s="144"/>
      <c r="Y79" s="145"/>
      <c r="Z79" s="143">
        <f>$H79*$M$37</f>
        <v>20250</v>
      </c>
      <c r="AA79" s="144"/>
      <c r="AB79" s="145"/>
      <c r="AC79" s="143">
        <f>$H79*$M$38</f>
        <v>0</v>
      </c>
      <c r="AD79" s="144"/>
      <c r="AE79" s="145"/>
      <c r="AF79" s="143">
        <f>$H79*$M$39</f>
        <v>0</v>
      </c>
      <c r="AG79" s="144"/>
      <c r="AH79" s="145"/>
      <c r="AL79" s="41">
        <f>SUM(K79:AH79)</f>
        <v>135000</v>
      </c>
    </row>
    <row r="80" spans="2:38" s="5" customFormat="1" ht="20" customHeight="1" x14ac:dyDescent="0.2">
      <c r="B80" s="146" t="s">
        <v>57</v>
      </c>
      <c r="C80" s="147"/>
      <c r="D80" s="147"/>
      <c r="E80" s="147"/>
      <c r="F80" s="147"/>
      <c r="G80" s="148"/>
      <c r="H80" s="149">
        <v>202500</v>
      </c>
      <c r="I80" s="149"/>
      <c r="J80" s="149"/>
      <c r="K80" s="143">
        <f>$H80*$M$32</f>
        <v>101250</v>
      </c>
      <c r="L80" s="144"/>
      <c r="M80" s="145"/>
      <c r="N80" s="143">
        <f>$H80*$M$33</f>
        <v>20250</v>
      </c>
      <c r="O80" s="144"/>
      <c r="P80" s="145"/>
      <c r="Q80" s="143">
        <f>$H80*$M$34</f>
        <v>20250</v>
      </c>
      <c r="R80" s="144"/>
      <c r="S80" s="145"/>
      <c r="T80" s="143">
        <f>$H80*$M$35</f>
        <v>0</v>
      </c>
      <c r="U80" s="144"/>
      <c r="V80" s="145"/>
      <c r="W80" s="143">
        <f>$H80*$M$36</f>
        <v>30375</v>
      </c>
      <c r="X80" s="144"/>
      <c r="Y80" s="145"/>
      <c r="Z80" s="143">
        <f>$H80*$M$37</f>
        <v>30375</v>
      </c>
      <c r="AA80" s="144"/>
      <c r="AB80" s="145"/>
      <c r="AC80" s="143">
        <f>$H80*$M$38</f>
        <v>0</v>
      </c>
      <c r="AD80" s="144"/>
      <c r="AE80" s="145"/>
      <c r="AF80" s="143">
        <f>$H80*$M$39</f>
        <v>0</v>
      </c>
      <c r="AG80" s="144"/>
      <c r="AH80" s="145"/>
      <c r="AL80" s="41">
        <f>SUM(K80:AH80)</f>
        <v>202500</v>
      </c>
    </row>
    <row r="81" spans="2:38" s="5" customFormat="1" ht="20" customHeight="1" x14ac:dyDescent="0.2">
      <c r="B81" s="153" t="s">
        <v>58</v>
      </c>
      <c r="C81" s="154"/>
      <c r="D81" s="154"/>
      <c r="E81" s="154"/>
      <c r="F81" s="154"/>
      <c r="G81" s="155"/>
      <c r="H81" s="156">
        <v>270000</v>
      </c>
      <c r="I81" s="156"/>
      <c r="J81" s="156"/>
      <c r="K81" s="160">
        <f>$H81*$M$32</f>
        <v>135000</v>
      </c>
      <c r="L81" s="161"/>
      <c r="M81" s="162"/>
      <c r="N81" s="160">
        <f>$H81*$M$33</f>
        <v>27000</v>
      </c>
      <c r="O81" s="161"/>
      <c r="P81" s="162"/>
      <c r="Q81" s="160">
        <f>$H81*$M$34</f>
        <v>27000</v>
      </c>
      <c r="R81" s="161"/>
      <c r="S81" s="162"/>
      <c r="T81" s="160">
        <f>$H81*$M$35</f>
        <v>0</v>
      </c>
      <c r="U81" s="161"/>
      <c r="V81" s="162"/>
      <c r="W81" s="160">
        <f>$H81*$M$36</f>
        <v>40500</v>
      </c>
      <c r="X81" s="161"/>
      <c r="Y81" s="162"/>
      <c r="Z81" s="160">
        <f>$H81*$M$37</f>
        <v>40500</v>
      </c>
      <c r="AA81" s="161"/>
      <c r="AB81" s="162"/>
      <c r="AC81" s="160">
        <f>$H81*$M$38</f>
        <v>0</v>
      </c>
      <c r="AD81" s="161"/>
      <c r="AE81" s="162"/>
      <c r="AF81" s="160">
        <f>$H81*$M$39</f>
        <v>0</v>
      </c>
      <c r="AG81" s="161"/>
      <c r="AH81" s="162"/>
      <c r="AL81" s="41">
        <f>SUM(K81:AH81)</f>
        <v>270000</v>
      </c>
    </row>
    <row r="82" spans="2:38" s="5" customFormat="1" ht="20" customHeight="1" x14ac:dyDescent="0.2">
      <c r="B82" s="146" t="s">
        <v>13</v>
      </c>
      <c r="C82" s="147"/>
      <c r="D82" s="147"/>
      <c r="E82" s="147"/>
      <c r="F82" s="147"/>
      <c r="G82" s="148"/>
      <c r="H82" s="149">
        <v>337500</v>
      </c>
      <c r="I82" s="149"/>
      <c r="J82" s="149"/>
      <c r="K82" s="143">
        <f>$H82*$M$32</f>
        <v>168750</v>
      </c>
      <c r="L82" s="144"/>
      <c r="M82" s="145"/>
      <c r="N82" s="143">
        <f>$H82*$M$33</f>
        <v>33750</v>
      </c>
      <c r="O82" s="144"/>
      <c r="P82" s="145"/>
      <c r="Q82" s="143">
        <f>$H82*$M$34</f>
        <v>33750</v>
      </c>
      <c r="R82" s="144"/>
      <c r="S82" s="145"/>
      <c r="T82" s="143">
        <f>$H82*$M$35</f>
        <v>0</v>
      </c>
      <c r="U82" s="144"/>
      <c r="V82" s="145"/>
      <c r="W82" s="143">
        <f>$H82*$M$36</f>
        <v>50625</v>
      </c>
      <c r="X82" s="144"/>
      <c r="Y82" s="145"/>
      <c r="Z82" s="143">
        <f>$H82*$M$37</f>
        <v>50625</v>
      </c>
      <c r="AA82" s="144"/>
      <c r="AB82" s="145"/>
      <c r="AC82" s="143">
        <f>$H82*$M$38</f>
        <v>0</v>
      </c>
      <c r="AD82" s="144"/>
      <c r="AE82" s="145"/>
      <c r="AF82" s="143">
        <f>$H82*$M$39</f>
        <v>0</v>
      </c>
      <c r="AG82" s="144"/>
      <c r="AH82" s="145"/>
      <c r="AL82" s="41">
        <f>SUM(K82:AH82)</f>
        <v>337500</v>
      </c>
    </row>
    <row r="83" spans="2:38" x14ac:dyDescent="0.2">
      <c r="AL83" s="40"/>
    </row>
    <row r="84" spans="2:38" x14ac:dyDescent="0.2">
      <c r="AL84" s="40"/>
    </row>
    <row r="85" spans="2:38" x14ac:dyDescent="0.2">
      <c r="AL85" s="40"/>
    </row>
    <row r="86" spans="2:38" x14ac:dyDescent="0.2">
      <c r="B86" s="169" t="s">
        <v>21</v>
      </c>
      <c r="C86" s="169"/>
      <c r="D86" s="169"/>
      <c r="E86" s="169"/>
      <c r="F86" s="169"/>
      <c r="G86" s="169"/>
      <c r="H86" s="169"/>
      <c r="I86" s="169"/>
      <c r="J86" s="169"/>
      <c r="AL86" s="40"/>
    </row>
    <row r="87" spans="2:38" ht="5" customHeight="1" x14ac:dyDescent="0.2">
      <c r="B87" s="169"/>
      <c r="C87" s="169"/>
      <c r="D87" s="169"/>
      <c r="E87" s="169"/>
      <c r="F87" s="169"/>
      <c r="G87" s="169"/>
      <c r="H87" s="169"/>
      <c r="I87" s="169"/>
      <c r="J87" s="169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L87" s="40"/>
    </row>
    <row r="88" spans="2:38" ht="20" customHeight="1" x14ac:dyDescent="0.2">
      <c r="B88" s="14" t="s">
        <v>398</v>
      </c>
      <c r="H88" s="6"/>
      <c r="J88" s="6"/>
      <c r="K88" s="8"/>
      <c r="L88" s="8"/>
      <c r="M88" s="8"/>
      <c r="N88" s="8"/>
      <c r="O88" s="8"/>
      <c r="P88" s="8"/>
      <c r="Q88" s="8"/>
      <c r="R88" s="8"/>
      <c r="S88" s="8"/>
      <c r="T88" s="8"/>
      <c r="U88" s="10" t="s">
        <v>10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L88" s="40"/>
    </row>
    <row r="89" spans="2:38" s="5" customFormat="1" ht="25" customHeight="1" x14ac:dyDescent="0.2">
      <c r="B89" s="170" t="s">
        <v>20</v>
      </c>
      <c r="C89" s="170"/>
      <c r="D89" s="170"/>
      <c r="E89" s="170"/>
      <c r="F89" s="170"/>
      <c r="G89" s="171"/>
      <c r="H89" s="172" t="s">
        <v>19</v>
      </c>
      <c r="I89" s="173"/>
      <c r="J89" s="174"/>
      <c r="K89" s="163" t="s">
        <v>18</v>
      </c>
      <c r="L89" s="164"/>
      <c r="M89" s="165"/>
      <c r="N89" s="163" t="s">
        <v>326</v>
      </c>
      <c r="O89" s="164"/>
      <c r="P89" s="165"/>
      <c r="Q89" s="163" t="s">
        <v>315</v>
      </c>
      <c r="R89" s="164"/>
      <c r="S89" s="165"/>
      <c r="T89" s="163" t="s">
        <v>17</v>
      </c>
      <c r="U89" s="164"/>
      <c r="V89" s="165"/>
      <c r="W89" s="163" t="s">
        <v>16</v>
      </c>
      <c r="X89" s="164"/>
      <c r="Y89" s="165"/>
      <c r="Z89" s="163" t="s">
        <v>47</v>
      </c>
      <c r="AA89" s="164"/>
      <c r="AB89" s="165"/>
      <c r="AC89" s="163" t="s">
        <v>15</v>
      </c>
      <c r="AD89" s="164"/>
      <c r="AE89" s="165"/>
      <c r="AF89" s="163" t="s">
        <v>14</v>
      </c>
      <c r="AG89" s="164"/>
      <c r="AH89" s="164"/>
      <c r="AI89"/>
      <c r="AJ89"/>
      <c r="AK89"/>
      <c r="AL89" s="37"/>
    </row>
    <row r="90" spans="2:38" ht="5" customHeight="1" x14ac:dyDescent="0.2">
      <c r="B90" s="4"/>
      <c r="C90" s="3"/>
      <c r="D90" s="3"/>
      <c r="E90" s="3"/>
      <c r="F90" s="3"/>
      <c r="G90" s="3"/>
      <c r="H90" s="3"/>
      <c r="I90" s="3"/>
      <c r="J90" s="3"/>
      <c r="K90" s="166"/>
      <c r="L90" s="167"/>
      <c r="M90" s="168"/>
      <c r="N90" s="166"/>
      <c r="O90" s="167"/>
      <c r="P90" s="168"/>
      <c r="Q90" s="166"/>
      <c r="R90" s="167"/>
      <c r="S90" s="168"/>
      <c r="T90" s="166"/>
      <c r="U90" s="167"/>
      <c r="V90" s="168"/>
      <c r="W90" s="166"/>
      <c r="X90" s="167"/>
      <c r="Y90" s="168"/>
      <c r="Z90" s="166"/>
      <c r="AA90" s="167"/>
      <c r="AB90" s="168"/>
      <c r="AC90" s="166"/>
      <c r="AD90" s="167"/>
      <c r="AE90" s="168"/>
      <c r="AF90" s="166"/>
      <c r="AG90" s="167"/>
      <c r="AH90" s="168"/>
      <c r="AL90" s="40"/>
    </row>
    <row r="91" spans="2:38" s="5" customFormat="1" ht="20" customHeight="1" x14ac:dyDescent="0.2">
      <c r="B91" s="146" t="s">
        <v>55</v>
      </c>
      <c r="C91" s="147"/>
      <c r="D91" s="147"/>
      <c r="E91" s="147"/>
      <c r="F91" s="147"/>
      <c r="G91" s="148"/>
      <c r="H91" s="149">
        <v>62500</v>
      </c>
      <c r="I91" s="149"/>
      <c r="J91" s="149"/>
      <c r="K91" s="150">
        <f>$H91*$O$32</f>
        <v>31250</v>
      </c>
      <c r="L91" s="151"/>
      <c r="M91" s="152"/>
      <c r="N91" s="143">
        <f>$H91*$O$33</f>
        <v>0</v>
      </c>
      <c r="O91" s="144"/>
      <c r="P91" s="145"/>
      <c r="Q91" s="143">
        <f>$H91*$O$34</f>
        <v>0</v>
      </c>
      <c r="R91" s="144"/>
      <c r="S91" s="145"/>
      <c r="T91" s="143">
        <f>$H91*$O$35</f>
        <v>0</v>
      </c>
      <c r="U91" s="144"/>
      <c r="V91" s="145"/>
      <c r="W91" s="143">
        <f>$H91*$O$36</f>
        <v>12500</v>
      </c>
      <c r="X91" s="144"/>
      <c r="Y91" s="145"/>
      <c r="Z91" s="143">
        <f>$H91*$O$37</f>
        <v>12500</v>
      </c>
      <c r="AA91" s="144"/>
      <c r="AB91" s="145"/>
      <c r="AC91" s="143">
        <f>$H91*$O$38</f>
        <v>6250</v>
      </c>
      <c r="AD91" s="144"/>
      <c r="AE91" s="145"/>
      <c r="AF91" s="143">
        <f>$H91*$O$39</f>
        <v>0</v>
      </c>
      <c r="AG91" s="144"/>
      <c r="AH91" s="145"/>
      <c r="AL91" s="37"/>
    </row>
    <row r="92" spans="2:38" s="5" customFormat="1" ht="20" customHeight="1" x14ac:dyDescent="0.2">
      <c r="B92" s="146" t="s">
        <v>56</v>
      </c>
      <c r="C92" s="147"/>
      <c r="D92" s="147"/>
      <c r="E92" s="147"/>
      <c r="F92" s="147"/>
      <c r="G92" s="148"/>
      <c r="H92" s="149">
        <v>125000</v>
      </c>
      <c r="I92" s="149"/>
      <c r="J92" s="149"/>
      <c r="K92" s="150">
        <f>$H92*$O$32</f>
        <v>62500</v>
      </c>
      <c r="L92" s="151"/>
      <c r="M92" s="152"/>
      <c r="N92" s="143">
        <f>$H92*$O$33</f>
        <v>0</v>
      </c>
      <c r="O92" s="144"/>
      <c r="P92" s="145"/>
      <c r="Q92" s="143">
        <f>$H92*$O$34</f>
        <v>0</v>
      </c>
      <c r="R92" s="144"/>
      <c r="S92" s="145"/>
      <c r="T92" s="143">
        <f>$H92*$O$35</f>
        <v>0</v>
      </c>
      <c r="U92" s="144"/>
      <c r="V92" s="145"/>
      <c r="W92" s="143">
        <f>$H92*$O$36</f>
        <v>25000</v>
      </c>
      <c r="X92" s="144"/>
      <c r="Y92" s="145"/>
      <c r="Z92" s="143">
        <f>$H92*$O$37</f>
        <v>25000</v>
      </c>
      <c r="AA92" s="144"/>
      <c r="AB92" s="145"/>
      <c r="AC92" s="143">
        <f>$H92*$O$38</f>
        <v>12500</v>
      </c>
      <c r="AD92" s="144"/>
      <c r="AE92" s="145"/>
      <c r="AF92" s="143">
        <f>$H92*$O$39</f>
        <v>0</v>
      </c>
      <c r="AG92" s="144"/>
      <c r="AH92" s="145"/>
      <c r="AL92" s="41">
        <f>SUM(K92:AH92)</f>
        <v>125000</v>
      </c>
    </row>
    <row r="93" spans="2:38" s="5" customFormat="1" ht="20" customHeight="1" x14ac:dyDescent="0.2">
      <c r="B93" s="146" t="s">
        <v>57</v>
      </c>
      <c r="C93" s="147"/>
      <c r="D93" s="147"/>
      <c r="E93" s="147"/>
      <c r="F93" s="147"/>
      <c r="G93" s="148"/>
      <c r="H93" s="149">
        <v>187500</v>
      </c>
      <c r="I93" s="149"/>
      <c r="J93" s="149"/>
      <c r="K93" s="150">
        <f>$H93*$O$32</f>
        <v>93750</v>
      </c>
      <c r="L93" s="151"/>
      <c r="M93" s="152"/>
      <c r="N93" s="143">
        <f>$H93*$O$33</f>
        <v>0</v>
      </c>
      <c r="O93" s="144"/>
      <c r="P93" s="145"/>
      <c r="Q93" s="143">
        <f>$H93*$O$34</f>
        <v>0</v>
      </c>
      <c r="R93" s="144"/>
      <c r="S93" s="145"/>
      <c r="T93" s="143">
        <f>$H93*$O$35</f>
        <v>0</v>
      </c>
      <c r="U93" s="144"/>
      <c r="V93" s="145"/>
      <c r="W93" s="143">
        <f>$H93*$O$36</f>
        <v>37500</v>
      </c>
      <c r="X93" s="144"/>
      <c r="Y93" s="145"/>
      <c r="Z93" s="143">
        <f>$H93*$O$37</f>
        <v>37500</v>
      </c>
      <c r="AA93" s="144"/>
      <c r="AB93" s="145"/>
      <c r="AC93" s="143">
        <f>$H93*$O$38</f>
        <v>18750</v>
      </c>
      <c r="AD93" s="144"/>
      <c r="AE93" s="145"/>
      <c r="AF93" s="143">
        <f>$H93*$O$39</f>
        <v>0</v>
      </c>
      <c r="AG93" s="144"/>
      <c r="AH93" s="145"/>
      <c r="AL93" s="41">
        <f>SUM(K93:AH93)</f>
        <v>187500</v>
      </c>
    </row>
    <row r="94" spans="2:38" s="5" customFormat="1" ht="20" customHeight="1" x14ac:dyDescent="0.2">
      <c r="B94" s="153" t="s">
        <v>58</v>
      </c>
      <c r="C94" s="154"/>
      <c r="D94" s="154"/>
      <c r="E94" s="154"/>
      <c r="F94" s="154"/>
      <c r="G94" s="155"/>
      <c r="H94" s="156">
        <v>250000</v>
      </c>
      <c r="I94" s="156"/>
      <c r="J94" s="156"/>
      <c r="K94" s="157">
        <f>$H94*$O$32</f>
        <v>125000</v>
      </c>
      <c r="L94" s="158"/>
      <c r="M94" s="159"/>
      <c r="N94" s="160">
        <f>$H94*$O$33</f>
        <v>0</v>
      </c>
      <c r="O94" s="161"/>
      <c r="P94" s="162"/>
      <c r="Q94" s="160">
        <f>$H94*$O$34</f>
        <v>0</v>
      </c>
      <c r="R94" s="161"/>
      <c r="S94" s="162"/>
      <c r="T94" s="160">
        <f>$H94*$O$35</f>
        <v>0</v>
      </c>
      <c r="U94" s="161"/>
      <c r="V94" s="162"/>
      <c r="W94" s="160">
        <f>$H94*$O$36</f>
        <v>50000</v>
      </c>
      <c r="X94" s="161"/>
      <c r="Y94" s="162"/>
      <c r="Z94" s="160">
        <f>$H94*$O$37</f>
        <v>50000</v>
      </c>
      <c r="AA94" s="161"/>
      <c r="AB94" s="162"/>
      <c r="AC94" s="160">
        <f>$H94*$O$38</f>
        <v>25000</v>
      </c>
      <c r="AD94" s="161"/>
      <c r="AE94" s="162"/>
      <c r="AF94" s="160">
        <f>$H94*$O$39</f>
        <v>0</v>
      </c>
      <c r="AG94" s="161"/>
      <c r="AH94" s="162"/>
      <c r="AL94" s="41">
        <f>SUM(K94:AH94)</f>
        <v>250000</v>
      </c>
    </row>
    <row r="95" spans="2:38" s="5" customFormat="1" ht="20" customHeight="1" x14ac:dyDescent="0.2">
      <c r="B95" s="146" t="s">
        <v>13</v>
      </c>
      <c r="C95" s="147"/>
      <c r="D95" s="147"/>
      <c r="E95" s="147"/>
      <c r="F95" s="147"/>
      <c r="G95" s="148"/>
      <c r="H95" s="149">
        <v>312500</v>
      </c>
      <c r="I95" s="149"/>
      <c r="J95" s="149"/>
      <c r="K95" s="150">
        <f>$H95*$O$32</f>
        <v>156250</v>
      </c>
      <c r="L95" s="151"/>
      <c r="M95" s="152"/>
      <c r="N95" s="143">
        <f>$H95*$O$33</f>
        <v>0</v>
      </c>
      <c r="O95" s="144"/>
      <c r="P95" s="145"/>
      <c r="Q95" s="143">
        <f>$H95*$O$34</f>
        <v>0</v>
      </c>
      <c r="R95" s="144"/>
      <c r="S95" s="145"/>
      <c r="T95" s="143">
        <f>$H95*$O$35</f>
        <v>0</v>
      </c>
      <c r="U95" s="144"/>
      <c r="V95" s="145"/>
      <c r="W95" s="143">
        <f>$H95*$O$36</f>
        <v>62500</v>
      </c>
      <c r="X95" s="144"/>
      <c r="Y95" s="145"/>
      <c r="Z95" s="143">
        <f>$H95*$O$37</f>
        <v>62500</v>
      </c>
      <c r="AA95" s="144"/>
      <c r="AB95" s="145"/>
      <c r="AC95" s="143">
        <f>$H95*$O$38</f>
        <v>31250</v>
      </c>
      <c r="AD95" s="144"/>
      <c r="AE95" s="145"/>
      <c r="AF95" s="143">
        <f>$H95*$O$39</f>
        <v>0</v>
      </c>
      <c r="AG95" s="144"/>
      <c r="AH95" s="145"/>
      <c r="AL95" s="41">
        <f>SUM(K95:AH95)</f>
        <v>312500</v>
      </c>
    </row>
    <row r="96" spans="2:38" x14ac:dyDescent="0.2">
      <c r="AL96" s="40"/>
    </row>
    <row r="97" spans="2:38" x14ac:dyDescent="0.2">
      <c r="AL97" s="40"/>
    </row>
    <row r="98" spans="2:38" x14ac:dyDescent="0.2">
      <c r="B98" t="s">
        <v>329</v>
      </c>
      <c r="AL98" s="35"/>
    </row>
    <row r="99" spans="2:38" x14ac:dyDescent="0.2">
      <c r="B99" s="30" t="s">
        <v>328</v>
      </c>
      <c r="AL99" s="35"/>
    </row>
    <row r="100" spans="2:38" x14ac:dyDescent="0.2">
      <c r="AL100" s="35"/>
    </row>
  </sheetData>
  <mergeCells count="335">
    <mergeCell ref="L8:AD8"/>
    <mergeCell ref="B9:F9"/>
    <mergeCell ref="G9:K9"/>
    <mergeCell ref="L9:N9"/>
    <mergeCell ref="O9:Q9"/>
    <mergeCell ref="R9:T9"/>
    <mergeCell ref="U9:V9"/>
    <mergeCell ref="W9:X9"/>
    <mergeCell ref="Y9:Z9"/>
    <mergeCell ref="AA9:AB9"/>
    <mergeCell ref="AC9:AD9"/>
    <mergeCell ref="AE9:AF9"/>
    <mergeCell ref="L10:N10"/>
    <mergeCell ref="O10:Q10"/>
    <mergeCell ref="R10:T10"/>
    <mergeCell ref="U10:V10"/>
    <mergeCell ref="W10:X10"/>
    <mergeCell ref="Y10:Z10"/>
    <mergeCell ref="AA10:AB10"/>
    <mergeCell ref="AC10:AD10"/>
    <mergeCell ref="AE10:AF10"/>
    <mergeCell ref="AC11:AD11"/>
    <mergeCell ref="AE11:AF11"/>
    <mergeCell ref="B12:F12"/>
    <mergeCell ref="G12:K12"/>
    <mergeCell ref="L12:N12"/>
    <mergeCell ref="O12:Q12"/>
    <mergeCell ref="R12:T12"/>
    <mergeCell ref="U12:V12"/>
    <mergeCell ref="W12:X12"/>
    <mergeCell ref="Y12:Z12"/>
    <mergeCell ref="AA12:AB12"/>
    <mergeCell ref="AC12:AD12"/>
    <mergeCell ref="AE12:AF12"/>
    <mergeCell ref="B11:F11"/>
    <mergeCell ref="G11:K11"/>
    <mergeCell ref="L11:N11"/>
    <mergeCell ref="O11:Q11"/>
    <mergeCell ref="R11:T11"/>
    <mergeCell ref="U11:V11"/>
    <mergeCell ref="W11:X11"/>
    <mergeCell ref="Y11:Z11"/>
    <mergeCell ref="AA11:AB11"/>
    <mergeCell ref="B13:F13"/>
    <mergeCell ref="G13:K13"/>
    <mergeCell ref="L13:N13"/>
    <mergeCell ref="O13:Q13"/>
    <mergeCell ref="R13:T13"/>
    <mergeCell ref="U13:V13"/>
    <mergeCell ref="W13:X13"/>
    <mergeCell ref="Y13:Z13"/>
    <mergeCell ref="AA13:AB13"/>
    <mergeCell ref="AC13:AD13"/>
    <mergeCell ref="AE13:AF13"/>
    <mergeCell ref="B14:F14"/>
    <mergeCell ref="G14:K14"/>
    <mergeCell ref="L14:N14"/>
    <mergeCell ref="O14:Q14"/>
    <mergeCell ref="R14:T14"/>
    <mergeCell ref="U14:V14"/>
    <mergeCell ref="B29:B30"/>
    <mergeCell ref="C29:J30"/>
    <mergeCell ref="U15:V15"/>
    <mergeCell ref="W15:X15"/>
    <mergeCell ref="Y15:Z15"/>
    <mergeCell ref="AA15:AB15"/>
    <mergeCell ref="AC15:AD15"/>
    <mergeCell ref="AE15:AF15"/>
    <mergeCell ref="W14:X14"/>
    <mergeCell ref="Y14:Z14"/>
    <mergeCell ref="AA14:AB14"/>
    <mergeCell ref="AC14:AD14"/>
    <mergeCell ref="AE14:AF14"/>
    <mergeCell ref="B15:F15"/>
    <mergeCell ref="G15:K15"/>
    <mergeCell ref="L15:N15"/>
    <mergeCell ref="C33:J33"/>
    <mergeCell ref="K33:L33"/>
    <mergeCell ref="M33:N33"/>
    <mergeCell ref="O33:P33"/>
    <mergeCell ref="O15:Q15"/>
    <mergeCell ref="R15:T15"/>
    <mergeCell ref="Q29:W30"/>
    <mergeCell ref="X29:AH30"/>
    <mergeCell ref="C31:J31"/>
    <mergeCell ref="K31:L31"/>
    <mergeCell ref="M31:N31"/>
    <mergeCell ref="O31:P31"/>
    <mergeCell ref="Q31:W31"/>
    <mergeCell ref="X31:AH31"/>
    <mergeCell ref="K27:P27"/>
    <mergeCell ref="K28:L30"/>
    <mergeCell ref="M28:N30"/>
    <mergeCell ref="O28:P30"/>
    <mergeCell ref="C36:J36"/>
    <mergeCell ref="K36:L36"/>
    <mergeCell ref="M36:N36"/>
    <mergeCell ref="O36:P36"/>
    <mergeCell ref="X36:AH39"/>
    <mergeCell ref="C37:J37"/>
    <mergeCell ref="K37:L37"/>
    <mergeCell ref="M37:N37"/>
    <mergeCell ref="O37:P37"/>
    <mergeCell ref="C38:J38"/>
    <mergeCell ref="Q32:W39"/>
    <mergeCell ref="X32:AH35"/>
    <mergeCell ref="C34:J34"/>
    <mergeCell ref="K34:L34"/>
    <mergeCell ref="M34:N34"/>
    <mergeCell ref="O34:P34"/>
    <mergeCell ref="C35:J35"/>
    <mergeCell ref="K35:L35"/>
    <mergeCell ref="M35:N35"/>
    <mergeCell ref="O35:P35"/>
    <mergeCell ref="C32:J32"/>
    <mergeCell ref="K32:L32"/>
    <mergeCell ref="M32:N32"/>
    <mergeCell ref="O32:P32"/>
    <mergeCell ref="B60:J61"/>
    <mergeCell ref="B63:G63"/>
    <mergeCell ref="H63:J63"/>
    <mergeCell ref="K63:M63"/>
    <mergeCell ref="N63:P63"/>
    <mergeCell ref="K38:L38"/>
    <mergeCell ref="M38:N38"/>
    <mergeCell ref="O38:P38"/>
    <mergeCell ref="C39:J39"/>
    <mergeCell ref="K39:L39"/>
    <mergeCell ref="M39:N39"/>
    <mergeCell ref="O39:P39"/>
    <mergeCell ref="Q63:S63"/>
    <mergeCell ref="T63:V63"/>
    <mergeCell ref="W63:Y63"/>
    <mergeCell ref="Z63:AB63"/>
    <mergeCell ref="AC63:AE63"/>
    <mergeCell ref="AF63:AH63"/>
    <mergeCell ref="K40:L40"/>
    <mergeCell ref="M40:N40"/>
    <mergeCell ref="O40:P40"/>
    <mergeCell ref="AC64:AE64"/>
    <mergeCell ref="AF64:AH64"/>
    <mergeCell ref="B65:G65"/>
    <mergeCell ref="H65:J65"/>
    <mergeCell ref="K65:M65"/>
    <mergeCell ref="N65:P65"/>
    <mergeCell ref="Q65:S65"/>
    <mergeCell ref="T65:V65"/>
    <mergeCell ref="W65:Y65"/>
    <mergeCell ref="Z65:AB65"/>
    <mergeCell ref="K64:M64"/>
    <mergeCell ref="N64:P64"/>
    <mergeCell ref="Q64:S64"/>
    <mergeCell ref="T64:V64"/>
    <mergeCell ref="W64:Y64"/>
    <mergeCell ref="Z64:AB64"/>
    <mergeCell ref="AC65:AE65"/>
    <mergeCell ref="AF65:AH65"/>
    <mergeCell ref="AF66:AH66"/>
    <mergeCell ref="B67:G67"/>
    <mergeCell ref="H67:J67"/>
    <mergeCell ref="K67:M67"/>
    <mergeCell ref="N67:P67"/>
    <mergeCell ref="Q67:S67"/>
    <mergeCell ref="T67:V67"/>
    <mergeCell ref="W67:Y67"/>
    <mergeCell ref="Z67:AB67"/>
    <mergeCell ref="AC67:AE67"/>
    <mergeCell ref="AF67:AH67"/>
    <mergeCell ref="B66:G66"/>
    <mergeCell ref="H66:J66"/>
    <mergeCell ref="K66:M66"/>
    <mergeCell ref="N66:P66"/>
    <mergeCell ref="Q66:S66"/>
    <mergeCell ref="T66:V66"/>
    <mergeCell ref="W66:Y66"/>
    <mergeCell ref="Z66:AB66"/>
    <mergeCell ref="AC66:AE66"/>
    <mergeCell ref="AF68:AH68"/>
    <mergeCell ref="B69:G69"/>
    <mergeCell ref="H69:J69"/>
    <mergeCell ref="K69:M69"/>
    <mergeCell ref="N69:P69"/>
    <mergeCell ref="Q69:S69"/>
    <mergeCell ref="T69:V69"/>
    <mergeCell ref="W69:Y69"/>
    <mergeCell ref="Z69:AB69"/>
    <mergeCell ref="AC69:AE69"/>
    <mergeCell ref="AF69:AH69"/>
    <mergeCell ref="B68:G68"/>
    <mergeCell ref="H68:J68"/>
    <mergeCell ref="K68:M68"/>
    <mergeCell ref="N68:P68"/>
    <mergeCell ref="Q68:S68"/>
    <mergeCell ref="T68:V68"/>
    <mergeCell ref="W68:Y68"/>
    <mergeCell ref="Z68:AB68"/>
    <mergeCell ref="AC68:AE68"/>
    <mergeCell ref="B73:J74"/>
    <mergeCell ref="B76:G76"/>
    <mergeCell ref="H76:J76"/>
    <mergeCell ref="K76:M76"/>
    <mergeCell ref="N76:P76"/>
    <mergeCell ref="Q76:S76"/>
    <mergeCell ref="T76:V76"/>
    <mergeCell ref="W76:Y76"/>
    <mergeCell ref="Z76:AB76"/>
    <mergeCell ref="AC76:AE76"/>
    <mergeCell ref="AF76:AH76"/>
    <mergeCell ref="K77:M77"/>
    <mergeCell ref="N77:P77"/>
    <mergeCell ref="Q77:S77"/>
    <mergeCell ref="T77:V77"/>
    <mergeCell ref="W77:Y77"/>
    <mergeCell ref="Z77:AB77"/>
    <mergeCell ref="AC77:AE77"/>
    <mergeCell ref="AF77:AH77"/>
    <mergeCell ref="AF78:AH78"/>
    <mergeCell ref="B79:G79"/>
    <mergeCell ref="H79:J79"/>
    <mergeCell ref="K79:M79"/>
    <mergeCell ref="N79:P79"/>
    <mergeCell ref="Q79:S79"/>
    <mergeCell ref="T79:V79"/>
    <mergeCell ref="W79:Y79"/>
    <mergeCell ref="Z79:AB79"/>
    <mergeCell ref="AC79:AE79"/>
    <mergeCell ref="AF79:AH79"/>
    <mergeCell ref="B78:G78"/>
    <mergeCell ref="H78:J78"/>
    <mergeCell ref="K78:M78"/>
    <mergeCell ref="N78:P78"/>
    <mergeCell ref="Q78:S78"/>
    <mergeCell ref="T78:V78"/>
    <mergeCell ref="W78:Y78"/>
    <mergeCell ref="Z78:AB78"/>
    <mergeCell ref="AC78:AE78"/>
    <mergeCell ref="AF80:AH80"/>
    <mergeCell ref="B81:G81"/>
    <mergeCell ref="H81:J81"/>
    <mergeCell ref="K81:M81"/>
    <mergeCell ref="N81:P81"/>
    <mergeCell ref="Q81:S81"/>
    <mergeCell ref="T81:V81"/>
    <mergeCell ref="W81:Y81"/>
    <mergeCell ref="Z81:AB81"/>
    <mergeCell ref="AC81:AE81"/>
    <mergeCell ref="AF81:AH81"/>
    <mergeCell ref="B80:G80"/>
    <mergeCell ref="H80:J80"/>
    <mergeCell ref="K80:M80"/>
    <mergeCell ref="N80:P80"/>
    <mergeCell ref="Q80:S80"/>
    <mergeCell ref="T80:V80"/>
    <mergeCell ref="W80:Y80"/>
    <mergeCell ref="Z80:AB80"/>
    <mergeCell ref="AC80:AE80"/>
    <mergeCell ref="B82:G82"/>
    <mergeCell ref="H82:J82"/>
    <mergeCell ref="K82:M82"/>
    <mergeCell ref="N82:P82"/>
    <mergeCell ref="Q82:S82"/>
    <mergeCell ref="T82:V82"/>
    <mergeCell ref="W82:Y82"/>
    <mergeCell ref="Z82:AB82"/>
    <mergeCell ref="AC82:AE82"/>
    <mergeCell ref="B86:J87"/>
    <mergeCell ref="B89:G89"/>
    <mergeCell ref="H89:J89"/>
    <mergeCell ref="K89:M89"/>
    <mergeCell ref="N89:P89"/>
    <mergeCell ref="Q89:S89"/>
    <mergeCell ref="T89:V89"/>
    <mergeCell ref="W89:Y89"/>
    <mergeCell ref="Z89:AB89"/>
    <mergeCell ref="W90:Y90"/>
    <mergeCell ref="Z90:AB90"/>
    <mergeCell ref="AC90:AE90"/>
    <mergeCell ref="AF90:AH90"/>
    <mergeCell ref="W91:Y91"/>
    <mergeCell ref="Z91:AB91"/>
    <mergeCell ref="AC91:AE91"/>
    <mergeCell ref="AF91:AH91"/>
    <mergeCell ref="AF82:AH82"/>
    <mergeCell ref="AC89:AE89"/>
    <mergeCell ref="AF89:AH89"/>
    <mergeCell ref="B91:G91"/>
    <mergeCell ref="H91:J91"/>
    <mergeCell ref="K91:M91"/>
    <mergeCell ref="N91:P91"/>
    <mergeCell ref="Q91:S91"/>
    <mergeCell ref="T91:V91"/>
    <mergeCell ref="K90:M90"/>
    <mergeCell ref="N90:P90"/>
    <mergeCell ref="Q90:S90"/>
    <mergeCell ref="T90:V90"/>
    <mergeCell ref="W92:Y92"/>
    <mergeCell ref="Z92:AB92"/>
    <mergeCell ref="AC92:AE92"/>
    <mergeCell ref="AF92:AH92"/>
    <mergeCell ref="B93:G93"/>
    <mergeCell ref="H93:J93"/>
    <mergeCell ref="K93:M93"/>
    <mergeCell ref="N93:P93"/>
    <mergeCell ref="Q93:S93"/>
    <mergeCell ref="T93:V93"/>
    <mergeCell ref="W93:Y93"/>
    <mergeCell ref="Z93:AB93"/>
    <mergeCell ref="AC93:AE93"/>
    <mergeCell ref="AF93:AH93"/>
    <mergeCell ref="B92:G92"/>
    <mergeCell ref="H92:J92"/>
    <mergeCell ref="K92:M92"/>
    <mergeCell ref="N92:P92"/>
    <mergeCell ref="Q92:S92"/>
    <mergeCell ref="T92:V92"/>
    <mergeCell ref="AF95:AH95"/>
    <mergeCell ref="W94:Y94"/>
    <mergeCell ref="Z94:AB94"/>
    <mergeCell ref="AC94:AE94"/>
    <mergeCell ref="AF94:AH94"/>
    <mergeCell ref="B95:G95"/>
    <mergeCell ref="H95:J95"/>
    <mergeCell ref="K95:M95"/>
    <mergeCell ref="N95:P95"/>
    <mergeCell ref="Q95:S95"/>
    <mergeCell ref="T95:V95"/>
    <mergeCell ref="B94:G94"/>
    <mergeCell ref="H94:J94"/>
    <mergeCell ref="K94:M94"/>
    <mergeCell ref="N94:P94"/>
    <mergeCell ref="Q94:S94"/>
    <mergeCell ref="T94:V94"/>
    <mergeCell ref="W95:Y95"/>
    <mergeCell ref="Z95:AB95"/>
    <mergeCell ref="AC95:AE95"/>
  </mergeCells>
  <pageMargins left="0.25" right="0.25" top="0.25" bottom="0.25" header="0.2" footer="0.15"/>
  <pageSetup scale="85" orientation="landscape" r:id="rId1"/>
  <rowBreaks count="1" manualBreakCount="1">
    <brk id="4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5E5D-7544-4C7A-82AB-39A9411071C2}">
  <sheetPr>
    <tabColor theme="4"/>
  </sheetPr>
  <dimension ref="B1:AN87"/>
  <sheetViews>
    <sheetView showGridLines="0" topLeftCell="N58" zoomScale="80" zoomScaleNormal="80" workbookViewId="0">
      <selection activeCell="Y5" sqref="Y5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8" width="4.6640625" customWidth="1"/>
    <col min="39" max="39" width="16.83203125" customWidth="1"/>
    <col min="40" max="40" width="7.5" customWidth="1"/>
    <col min="41" max="72" width="4.6640625" customWidth="1"/>
  </cols>
  <sheetData>
    <row r="1" spans="2:32" x14ac:dyDescent="0.2">
      <c r="B1" s="24" t="s">
        <v>154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5" spans="2:32" ht="18" customHeight="1" x14ac:dyDescent="0.25">
      <c r="B5" s="20" t="s">
        <v>84</v>
      </c>
      <c r="E5" s="6"/>
      <c r="H5" s="18"/>
      <c r="I5" s="18"/>
      <c r="J5" s="18"/>
      <c r="K5" s="18"/>
      <c r="L5" s="18"/>
      <c r="M5" s="18"/>
      <c r="N5" s="18"/>
    </row>
    <row r="6" spans="2:32" ht="14.5" customHeight="1" x14ac:dyDescent="0.25">
      <c r="B6" s="21" t="s">
        <v>50</v>
      </c>
      <c r="E6" s="6"/>
      <c r="H6" s="18"/>
      <c r="I6" s="18"/>
      <c r="J6" s="18"/>
      <c r="K6" s="18"/>
      <c r="L6" s="18"/>
      <c r="M6" s="18"/>
      <c r="N6" s="18"/>
    </row>
    <row r="7" spans="2:32" ht="5" customHeight="1" x14ac:dyDescent="0.2">
      <c r="B7" s="2"/>
      <c r="E7" s="6"/>
      <c r="G7" s="6"/>
    </row>
    <row r="8" spans="2:32" ht="5" customHeight="1" x14ac:dyDescent="0.2">
      <c r="B8" s="2"/>
      <c r="E8" s="6"/>
      <c r="G8" s="6"/>
    </row>
    <row r="9" spans="2:32" x14ac:dyDescent="0.2">
      <c r="B9" s="2"/>
      <c r="E9" s="6"/>
      <c r="G9" s="6"/>
      <c r="L9" s="119" t="s">
        <v>10</v>
      </c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</row>
    <row r="10" spans="2:32" s="5" customFormat="1" ht="25" customHeight="1" x14ac:dyDescent="0.2">
      <c r="B10" s="121" t="s">
        <v>49</v>
      </c>
      <c r="C10" s="121"/>
      <c r="D10" s="121"/>
      <c r="E10" s="121"/>
      <c r="F10" s="121"/>
      <c r="G10" s="122" t="s">
        <v>48</v>
      </c>
      <c r="H10" s="122"/>
      <c r="I10" s="122"/>
      <c r="J10" s="122"/>
      <c r="K10" s="123"/>
      <c r="L10" s="124" t="s">
        <v>18</v>
      </c>
      <c r="M10" s="124"/>
      <c r="N10" s="124"/>
      <c r="O10" s="124" t="s">
        <v>314</v>
      </c>
      <c r="P10" s="124"/>
      <c r="Q10" s="124"/>
      <c r="R10" s="124" t="s">
        <v>315</v>
      </c>
      <c r="S10" s="124"/>
      <c r="T10" s="124"/>
      <c r="U10" s="124" t="s">
        <v>17</v>
      </c>
      <c r="V10" s="124"/>
      <c r="W10" s="124" t="s">
        <v>16</v>
      </c>
      <c r="X10" s="124"/>
      <c r="Y10" s="124" t="s">
        <v>47</v>
      </c>
      <c r="Z10" s="124"/>
      <c r="AA10" s="124" t="s">
        <v>15</v>
      </c>
      <c r="AB10" s="124"/>
      <c r="AC10" s="124" t="s">
        <v>14</v>
      </c>
      <c r="AD10" s="124"/>
      <c r="AE10" s="126" t="s">
        <v>46</v>
      </c>
      <c r="AF10" s="126"/>
    </row>
    <row r="11" spans="2:32" ht="5" customHeight="1" x14ac:dyDescent="0.2">
      <c r="B11" s="4"/>
      <c r="C11" s="3"/>
      <c r="D11" s="3"/>
      <c r="E11" s="3"/>
      <c r="F11" s="3"/>
      <c r="G11" s="3"/>
      <c r="H11" s="3"/>
      <c r="I11" s="3"/>
      <c r="J11" s="3"/>
      <c r="K11" s="9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8"/>
      <c r="AF11" s="128"/>
    </row>
    <row r="12" spans="2:32" s="5" customFormat="1" ht="17" customHeight="1" x14ac:dyDescent="0.2">
      <c r="B12" s="129" t="s">
        <v>45</v>
      </c>
      <c r="C12" s="129"/>
      <c r="D12" s="129"/>
      <c r="E12" s="129"/>
      <c r="F12" s="130"/>
      <c r="G12" s="131" t="s">
        <v>44</v>
      </c>
      <c r="H12" s="131"/>
      <c r="I12" s="131"/>
      <c r="J12" s="131"/>
      <c r="K12" s="132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33"/>
      <c r="AF12" s="133"/>
    </row>
    <row r="13" spans="2:32" s="5" customFormat="1" ht="17" customHeight="1" x14ac:dyDescent="0.2">
      <c r="B13" s="129" t="s">
        <v>43</v>
      </c>
      <c r="C13" s="129"/>
      <c r="D13" s="129"/>
      <c r="E13" s="129"/>
      <c r="F13" s="130"/>
      <c r="G13" s="131" t="s">
        <v>42</v>
      </c>
      <c r="H13" s="131"/>
      <c r="I13" s="131"/>
      <c r="J13" s="131"/>
      <c r="K13" s="132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33"/>
      <c r="AF13" s="133"/>
    </row>
    <row r="14" spans="2:32" s="5" customFormat="1" ht="17" customHeight="1" x14ac:dyDescent="0.2">
      <c r="B14" s="129" t="s">
        <v>41</v>
      </c>
      <c r="C14" s="129"/>
      <c r="D14" s="129"/>
      <c r="E14" s="129"/>
      <c r="F14" s="130"/>
      <c r="G14" s="131" t="s">
        <v>40</v>
      </c>
      <c r="H14" s="131"/>
      <c r="I14" s="131"/>
      <c r="J14" s="131"/>
      <c r="K14" s="132"/>
      <c r="L14" s="136">
        <v>0.4</v>
      </c>
      <c r="M14" s="137"/>
      <c r="N14" s="138"/>
      <c r="O14" s="125">
        <v>0.1</v>
      </c>
      <c r="P14" s="125"/>
      <c r="Q14" s="125"/>
      <c r="R14" s="125">
        <v>0.1</v>
      </c>
      <c r="S14" s="125"/>
      <c r="T14" s="125"/>
      <c r="U14" s="125"/>
      <c r="V14" s="125"/>
      <c r="W14" s="125"/>
      <c r="X14" s="125"/>
      <c r="Y14" s="125"/>
      <c r="Z14" s="125"/>
      <c r="AA14" s="125">
        <v>0.2</v>
      </c>
      <c r="AB14" s="125"/>
      <c r="AC14" s="125">
        <v>0.2</v>
      </c>
      <c r="AD14" s="125"/>
      <c r="AE14" s="134">
        <f>SUM(L14:AD14)</f>
        <v>1</v>
      </c>
      <c r="AF14" s="135"/>
    </row>
    <row r="15" spans="2:32" s="5" customFormat="1" ht="17" customHeight="1" x14ac:dyDescent="0.2">
      <c r="B15" s="129" t="s">
        <v>39</v>
      </c>
      <c r="C15" s="129"/>
      <c r="D15" s="129"/>
      <c r="E15" s="129"/>
      <c r="F15" s="130"/>
      <c r="G15" s="131" t="s">
        <v>38</v>
      </c>
      <c r="H15" s="131"/>
      <c r="I15" s="131"/>
      <c r="J15" s="131"/>
      <c r="K15" s="132"/>
      <c r="L15" s="136">
        <v>0.4</v>
      </c>
      <c r="M15" s="137"/>
      <c r="N15" s="138"/>
      <c r="O15" s="125">
        <v>0.1</v>
      </c>
      <c r="P15" s="125"/>
      <c r="Q15" s="125"/>
      <c r="R15" s="125">
        <v>0.1</v>
      </c>
      <c r="S15" s="125"/>
      <c r="T15" s="125"/>
      <c r="U15" s="125"/>
      <c r="V15" s="125"/>
      <c r="W15" s="125"/>
      <c r="X15" s="125"/>
      <c r="Y15" s="125">
        <v>0.2</v>
      </c>
      <c r="Z15" s="125"/>
      <c r="AA15" s="125">
        <v>0.2</v>
      </c>
      <c r="AB15" s="125"/>
      <c r="AC15" s="125"/>
      <c r="AD15" s="125"/>
      <c r="AE15" s="134">
        <f>SUM(L15:AD15)</f>
        <v>1</v>
      </c>
      <c r="AF15" s="135"/>
    </row>
    <row r="16" spans="2:32" s="5" customFormat="1" ht="17" customHeight="1" x14ac:dyDescent="0.2">
      <c r="B16" s="129" t="s">
        <v>37</v>
      </c>
      <c r="C16" s="129"/>
      <c r="D16" s="129"/>
      <c r="E16" s="129"/>
      <c r="F16" s="130"/>
      <c r="G16" s="131" t="s">
        <v>36</v>
      </c>
      <c r="H16" s="131"/>
      <c r="I16" s="131"/>
      <c r="J16" s="131"/>
      <c r="K16" s="132"/>
      <c r="L16" s="136">
        <v>0.4</v>
      </c>
      <c r="M16" s="137"/>
      <c r="N16" s="138"/>
      <c r="O16" s="125"/>
      <c r="P16" s="125"/>
      <c r="Q16" s="125"/>
      <c r="R16" s="125"/>
      <c r="S16" s="125"/>
      <c r="T16" s="125"/>
      <c r="U16" s="125"/>
      <c r="V16" s="125"/>
      <c r="W16" s="125">
        <v>0.2</v>
      </c>
      <c r="X16" s="125"/>
      <c r="Y16" s="125">
        <v>0.2</v>
      </c>
      <c r="Z16" s="125"/>
      <c r="AA16" s="125">
        <v>0.2</v>
      </c>
      <c r="AB16" s="125"/>
      <c r="AC16" s="125"/>
      <c r="AD16" s="125"/>
      <c r="AE16" s="134">
        <f>SUM(L16:AD16)</f>
        <v>1</v>
      </c>
      <c r="AF16" s="135"/>
    </row>
    <row r="20" spans="2:34" ht="5" customHeight="1" x14ac:dyDescent="0.2">
      <c r="K20" s="91"/>
      <c r="L20" s="91"/>
      <c r="M20" s="93"/>
      <c r="N20" s="93"/>
      <c r="O20" s="92"/>
      <c r="P20" s="92"/>
    </row>
    <row r="21" spans="2:34" x14ac:dyDescent="0.2">
      <c r="B21" s="2" t="s">
        <v>60</v>
      </c>
      <c r="K21" s="227" t="s">
        <v>9</v>
      </c>
      <c r="L21" s="228"/>
      <c r="M21" s="228"/>
      <c r="N21" s="228"/>
      <c r="O21" s="228"/>
      <c r="P21" s="229"/>
    </row>
    <row r="22" spans="2:34" ht="5" customHeight="1" x14ac:dyDescent="0.2">
      <c r="K22" s="221" t="s">
        <v>330</v>
      </c>
      <c r="L22" s="222"/>
      <c r="M22" s="221" t="s">
        <v>316</v>
      </c>
      <c r="N22" s="222"/>
      <c r="O22" s="221" t="s">
        <v>59</v>
      </c>
      <c r="P22" s="222"/>
    </row>
    <row r="23" spans="2:34" ht="20" customHeight="1" x14ac:dyDescent="0.2">
      <c r="B23" s="214" t="s">
        <v>11</v>
      </c>
      <c r="C23" s="215" t="s">
        <v>10</v>
      </c>
      <c r="D23" s="216"/>
      <c r="E23" s="216"/>
      <c r="F23" s="216"/>
      <c r="G23" s="216"/>
      <c r="H23" s="216"/>
      <c r="I23" s="216"/>
      <c r="J23" s="217"/>
      <c r="K23" s="223"/>
      <c r="L23" s="224"/>
      <c r="M23" s="223"/>
      <c r="N23" s="224"/>
      <c r="O23" s="223"/>
      <c r="P23" s="224"/>
      <c r="Q23" s="214" t="s">
        <v>8</v>
      </c>
      <c r="R23" s="214"/>
      <c r="S23" s="214"/>
      <c r="T23" s="214"/>
      <c r="U23" s="214"/>
      <c r="V23" s="214"/>
      <c r="W23" s="214"/>
      <c r="X23" s="215" t="s">
        <v>7</v>
      </c>
      <c r="Y23" s="216"/>
      <c r="Z23" s="216"/>
      <c r="AA23" s="216"/>
      <c r="AB23" s="216"/>
      <c r="AC23" s="216"/>
      <c r="AD23" s="216"/>
      <c r="AE23" s="216"/>
      <c r="AF23" s="216"/>
      <c r="AG23" s="216"/>
      <c r="AH23" s="217"/>
    </row>
    <row r="24" spans="2:34" ht="20" customHeight="1" x14ac:dyDescent="0.2">
      <c r="B24" s="214"/>
      <c r="C24" s="218"/>
      <c r="D24" s="219"/>
      <c r="E24" s="219"/>
      <c r="F24" s="219"/>
      <c r="G24" s="219"/>
      <c r="H24" s="219"/>
      <c r="I24" s="219"/>
      <c r="J24" s="220"/>
      <c r="K24" s="225"/>
      <c r="L24" s="226"/>
      <c r="M24" s="225"/>
      <c r="N24" s="226"/>
      <c r="O24" s="225"/>
      <c r="P24" s="226"/>
      <c r="Q24" s="214"/>
      <c r="R24" s="214"/>
      <c r="S24" s="214"/>
      <c r="T24" s="214"/>
      <c r="U24" s="214"/>
      <c r="V24" s="214"/>
      <c r="W24" s="214"/>
      <c r="X24" s="218"/>
      <c r="Y24" s="219"/>
      <c r="Z24" s="219"/>
      <c r="AA24" s="219"/>
      <c r="AB24" s="219"/>
      <c r="AC24" s="219"/>
      <c r="AD24" s="219"/>
      <c r="AE24" s="219"/>
      <c r="AF24" s="219"/>
      <c r="AG24" s="219"/>
      <c r="AH24" s="220"/>
    </row>
    <row r="25" spans="2:34" ht="5" customHeight="1" x14ac:dyDescent="0.2">
      <c r="B25" s="1"/>
      <c r="C25" s="166"/>
      <c r="D25" s="167"/>
      <c r="E25" s="167"/>
      <c r="F25" s="167"/>
      <c r="G25" s="167"/>
      <c r="H25" s="167"/>
      <c r="I25" s="167"/>
      <c r="J25" s="168"/>
      <c r="K25" s="186"/>
      <c r="L25" s="186"/>
      <c r="M25" s="186"/>
      <c r="N25" s="186"/>
      <c r="O25" s="186"/>
      <c r="P25" s="186"/>
      <c r="Q25" s="193"/>
      <c r="R25" s="193"/>
      <c r="S25" s="193"/>
      <c r="T25" s="193"/>
      <c r="U25" s="193"/>
      <c r="V25" s="193"/>
      <c r="W25" s="193"/>
      <c r="X25" s="166"/>
      <c r="Y25" s="167"/>
      <c r="Z25" s="167"/>
      <c r="AA25" s="167"/>
      <c r="AB25" s="167"/>
      <c r="AC25" s="167"/>
      <c r="AD25" s="167"/>
      <c r="AE25" s="167"/>
      <c r="AF25" s="167"/>
      <c r="AG25" s="167"/>
      <c r="AH25" s="168"/>
    </row>
    <row r="26" spans="2:34" ht="14.5" customHeight="1" x14ac:dyDescent="0.2">
      <c r="B26" s="1">
        <v>1</v>
      </c>
      <c r="C26" s="200" t="s">
        <v>6</v>
      </c>
      <c r="D26" s="201"/>
      <c r="E26" s="201"/>
      <c r="F26" s="201"/>
      <c r="G26" s="201"/>
      <c r="H26" s="201"/>
      <c r="I26" s="201"/>
      <c r="J26" s="202"/>
      <c r="K26" s="175">
        <f>L14</f>
        <v>0.4</v>
      </c>
      <c r="L26" s="175"/>
      <c r="M26" s="175">
        <f>L15</f>
        <v>0.4</v>
      </c>
      <c r="N26" s="175"/>
      <c r="O26" s="175">
        <f>L16</f>
        <v>0.4</v>
      </c>
      <c r="P26" s="175"/>
      <c r="Q26" s="176" t="s">
        <v>12</v>
      </c>
      <c r="R26" s="177"/>
      <c r="S26" s="177"/>
      <c r="T26" s="177"/>
      <c r="U26" s="177"/>
      <c r="V26" s="177"/>
      <c r="W26" s="178"/>
      <c r="X26" s="177" t="s">
        <v>54</v>
      </c>
      <c r="Y26" s="177"/>
      <c r="Z26" s="177"/>
      <c r="AA26" s="177"/>
      <c r="AB26" s="177"/>
      <c r="AC26" s="177"/>
      <c r="AD26" s="177"/>
      <c r="AE26" s="177"/>
      <c r="AF26" s="177"/>
      <c r="AG26" s="177"/>
      <c r="AH26" s="178"/>
    </row>
    <row r="27" spans="2:34" x14ac:dyDescent="0.2">
      <c r="B27" s="1">
        <v>2</v>
      </c>
      <c r="C27" s="200" t="s">
        <v>102</v>
      </c>
      <c r="D27" s="201"/>
      <c r="E27" s="201"/>
      <c r="F27" s="201"/>
      <c r="G27" s="201"/>
      <c r="H27" s="201"/>
      <c r="I27" s="201"/>
      <c r="J27" s="202"/>
      <c r="K27" s="175">
        <f>O14</f>
        <v>0.1</v>
      </c>
      <c r="L27" s="175"/>
      <c r="M27" s="175">
        <f>O15</f>
        <v>0.1</v>
      </c>
      <c r="N27" s="175"/>
      <c r="O27" s="175"/>
      <c r="P27" s="175"/>
      <c r="Q27" s="179"/>
      <c r="R27" s="180"/>
      <c r="S27" s="180"/>
      <c r="T27" s="180"/>
      <c r="U27" s="180"/>
      <c r="V27" s="180"/>
      <c r="W27" s="181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1"/>
    </row>
    <row r="28" spans="2:34" x14ac:dyDescent="0.2">
      <c r="B28" s="1">
        <v>3</v>
      </c>
      <c r="C28" s="200" t="s">
        <v>327</v>
      </c>
      <c r="D28" s="201"/>
      <c r="E28" s="201"/>
      <c r="F28" s="201"/>
      <c r="G28" s="201"/>
      <c r="H28" s="201"/>
      <c r="I28" s="201"/>
      <c r="J28" s="202"/>
      <c r="K28" s="175">
        <f>R14</f>
        <v>0.1</v>
      </c>
      <c r="L28" s="175"/>
      <c r="M28" s="175">
        <f>R15</f>
        <v>0.1</v>
      </c>
      <c r="N28" s="175"/>
      <c r="O28" s="175"/>
      <c r="P28" s="175"/>
      <c r="Q28" s="179"/>
      <c r="R28" s="180"/>
      <c r="S28" s="180"/>
      <c r="T28" s="180"/>
      <c r="U28" s="180"/>
      <c r="V28" s="180"/>
      <c r="W28" s="181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1"/>
    </row>
    <row r="29" spans="2:34" x14ac:dyDescent="0.2">
      <c r="B29" s="1">
        <v>4</v>
      </c>
      <c r="C29" s="200" t="s">
        <v>53</v>
      </c>
      <c r="D29" s="201"/>
      <c r="E29" s="201"/>
      <c r="F29" s="201"/>
      <c r="G29" s="201"/>
      <c r="H29" s="201"/>
      <c r="I29" s="201"/>
      <c r="J29" s="202"/>
      <c r="K29" s="175"/>
      <c r="L29" s="175"/>
      <c r="M29" s="175"/>
      <c r="N29" s="175"/>
      <c r="O29" s="175"/>
      <c r="P29" s="175"/>
      <c r="Q29" s="179"/>
      <c r="R29" s="180"/>
      <c r="S29" s="180"/>
      <c r="T29" s="180"/>
      <c r="U29" s="180"/>
      <c r="V29" s="180"/>
      <c r="W29" s="181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4"/>
    </row>
    <row r="30" spans="2:34" x14ac:dyDescent="0.2">
      <c r="B30" s="1">
        <v>5</v>
      </c>
      <c r="C30" s="200" t="s">
        <v>4</v>
      </c>
      <c r="D30" s="201"/>
      <c r="E30" s="201"/>
      <c r="F30" s="201"/>
      <c r="G30" s="201"/>
      <c r="H30" s="201"/>
      <c r="I30" s="201"/>
      <c r="J30" s="202"/>
      <c r="K30" s="175"/>
      <c r="L30" s="175"/>
      <c r="M30" s="175"/>
      <c r="N30" s="175"/>
      <c r="O30" s="175">
        <f>W16</f>
        <v>0.2</v>
      </c>
      <c r="P30" s="175"/>
      <c r="Q30" s="179"/>
      <c r="R30" s="180"/>
      <c r="S30" s="180"/>
      <c r="T30" s="180"/>
      <c r="U30" s="180"/>
      <c r="V30" s="180"/>
      <c r="W30" s="181"/>
      <c r="X30" s="177" t="s">
        <v>2</v>
      </c>
      <c r="Y30" s="177"/>
      <c r="Z30" s="177"/>
      <c r="AA30" s="177"/>
      <c r="AB30" s="177"/>
      <c r="AC30" s="177"/>
      <c r="AD30" s="177"/>
      <c r="AE30" s="177"/>
      <c r="AF30" s="177"/>
      <c r="AG30" s="177"/>
      <c r="AH30" s="178"/>
    </row>
    <row r="31" spans="2:34" ht="14.5" customHeight="1" x14ac:dyDescent="0.2">
      <c r="B31" s="1">
        <v>6</v>
      </c>
      <c r="C31" s="200" t="s">
        <v>3</v>
      </c>
      <c r="D31" s="201"/>
      <c r="E31" s="201"/>
      <c r="F31" s="201"/>
      <c r="G31" s="201"/>
      <c r="H31" s="201"/>
      <c r="I31" s="201"/>
      <c r="J31" s="202"/>
      <c r="K31" s="175"/>
      <c r="L31" s="175"/>
      <c r="M31" s="175">
        <f>Y15</f>
        <v>0.2</v>
      </c>
      <c r="N31" s="175"/>
      <c r="O31" s="175">
        <f>Y16</f>
        <v>0.2</v>
      </c>
      <c r="P31" s="175"/>
      <c r="Q31" s="179"/>
      <c r="R31" s="180"/>
      <c r="S31" s="180"/>
      <c r="T31" s="180"/>
      <c r="U31" s="180"/>
      <c r="V31" s="180"/>
      <c r="W31" s="181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1"/>
    </row>
    <row r="32" spans="2:34" x14ac:dyDescent="0.2">
      <c r="B32" s="1">
        <v>7</v>
      </c>
      <c r="C32" s="200" t="s">
        <v>1</v>
      </c>
      <c r="D32" s="201"/>
      <c r="E32" s="201"/>
      <c r="F32" s="201"/>
      <c r="G32" s="201"/>
      <c r="H32" s="201"/>
      <c r="I32" s="201"/>
      <c r="J32" s="202"/>
      <c r="K32" s="175">
        <f>AA14</f>
        <v>0.2</v>
      </c>
      <c r="L32" s="175"/>
      <c r="M32" s="175">
        <f>AA15</f>
        <v>0.2</v>
      </c>
      <c r="N32" s="175"/>
      <c r="O32" s="175">
        <f>AA16</f>
        <v>0.2</v>
      </c>
      <c r="P32" s="175"/>
      <c r="Q32" s="179"/>
      <c r="R32" s="180"/>
      <c r="S32" s="180"/>
      <c r="T32" s="180"/>
      <c r="U32" s="180"/>
      <c r="V32" s="180"/>
      <c r="W32" s="181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1"/>
    </row>
    <row r="33" spans="2:34" x14ac:dyDescent="0.2">
      <c r="B33" s="1">
        <v>8</v>
      </c>
      <c r="C33" s="200" t="s">
        <v>0</v>
      </c>
      <c r="D33" s="201"/>
      <c r="E33" s="201"/>
      <c r="F33" s="201"/>
      <c r="G33" s="201"/>
      <c r="H33" s="201"/>
      <c r="I33" s="201"/>
      <c r="J33" s="202"/>
      <c r="K33" s="175">
        <f>AC14</f>
        <v>0.2</v>
      </c>
      <c r="L33" s="175"/>
      <c r="M33" s="175"/>
      <c r="N33" s="175"/>
      <c r="O33" s="175"/>
      <c r="P33" s="175"/>
      <c r="Q33" s="182"/>
      <c r="R33" s="183"/>
      <c r="S33" s="183"/>
      <c r="T33" s="183"/>
      <c r="U33" s="183"/>
      <c r="V33" s="183"/>
      <c r="W33" s="184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4"/>
    </row>
    <row r="34" spans="2:34" x14ac:dyDescent="0.2">
      <c r="K34" s="213">
        <f>SUM(K26:L33)</f>
        <v>1</v>
      </c>
      <c r="L34" s="213"/>
      <c r="M34" s="213">
        <f>SUM(M26:N33)</f>
        <v>1</v>
      </c>
      <c r="N34" s="213"/>
      <c r="O34" s="213">
        <f>SUM(O26:P33)</f>
        <v>1</v>
      </c>
      <c r="P34" s="213"/>
    </row>
    <row r="36" spans="2:34" x14ac:dyDescent="0.2">
      <c r="B36" t="s">
        <v>77</v>
      </c>
    </row>
    <row r="37" spans="2:34" x14ac:dyDescent="0.2">
      <c r="B37" s="30" t="s">
        <v>142</v>
      </c>
    </row>
    <row r="38" spans="2:34" x14ac:dyDescent="0.2">
      <c r="B38" s="30" t="s">
        <v>100</v>
      </c>
      <c r="H38" s="6" t="s">
        <v>140</v>
      </c>
    </row>
    <row r="39" spans="2:34" x14ac:dyDescent="0.2">
      <c r="B39" s="30" t="s">
        <v>323</v>
      </c>
      <c r="H39" s="6" t="s">
        <v>141</v>
      </c>
    </row>
    <row r="40" spans="2:34" x14ac:dyDescent="0.2">
      <c r="B40" s="30" t="s">
        <v>324</v>
      </c>
      <c r="H40" s="6" t="s">
        <v>325</v>
      </c>
    </row>
    <row r="41" spans="2:34" x14ac:dyDescent="0.2">
      <c r="B41" s="30" t="s">
        <v>99</v>
      </c>
      <c r="H41" s="6" t="s">
        <v>143</v>
      </c>
    </row>
    <row r="42" spans="2:34" x14ac:dyDescent="0.2">
      <c r="B42" s="30" t="s">
        <v>101</v>
      </c>
      <c r="H42" s="6" t="s">
        <v>144</v>
      </c>
    </row>
    <row r="43" spans="2:34" x14ac:dyDescent="0.2">
      <c r="B43" s="30"/>
      <c r="H43" s="6" t="s">
        <v>139</v>
      </c>
    </row>
    <row r="44" spans="2:34" x14ac:dyDescent="0.2">
      <c r="B44" s="30" t="s">
        <v>92</v>
      </c>
      <c r="H44" s="6" t="s">
        <v>145</v>
      </c>
    </row>
    <row r="45" spans="2:34" x14ac:dyDescent="0.2">
      <c r="B45" s="30"/>
      <c r="H45" s="6" t="s">
        <v>146</v>
      </c>
    </row>
    <row r="46" spans="2:34" x14ac:dyDescent="0.2">
      <c r="B46" s="30" t="s">
        <v>93</v>
      </c>
      <c r="H46" s="6" t="s">
        <v>147</v>
      </c>
    </row>
    <row r="47" spans="2:34" x14ac:dyDescent="0.2">
      <c r="B47" s="30" t="s">
        <v>89</v>
      </c>
      <c r="H47" s="6" t="s">
        <v>148</v>
      </c>
    </row>
    <row r="49" spans="2:40" x14ac:dyDescent="0.2">
      <c r="B49" s="2" t="s">
        <v>61</v>
      </c>
    </row>
    <row r="50" spans="2:40" x14ac:dyDescent="0.2">
      <c r="B50" t="s">
        <v>318</v>
      </c>
    </row>
    <row r="51" spans="2:40" ht="5" customHeight="1" x14ac:dyDescent="0.2"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</row>
    <row r="52" spans="2:40" x14ac:dyDescent="0.2">
      <c r="B52" s="2"/>
      <c r="H52" s="6"/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10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40" s="5" customFormat="1" ht="25" customHeight="1" x14ac:dyDescent="0.2">
      <c r="B53" s="233" t="s">
        <v>20</v>
      </c>
      <c r="C53" s="233"/>
      <c r="D53" s="233"/>
      <c r="E53" s="233"/>
      <c r="F53" s="233"/>
      <c r="G53" s="234"/>
      <c r="H53" s="235" t="s">
        <v>19</v>
      </c>
      <c r="I53" s="236"/>
      <c r="J53" s="237"/>
      <c r="K53" s="230" t="s">
        <v>18</v>
      </c>
      <c r="L53" s="231"/>
      <c r="M53" s="232"/>
      <c r="N53" s="230" t="s">
        <v>326</v>
      </c>
      <c r="O53" s="231"/>
      <c r="P53" s="232"/>
      <c r="Q53" s="230" t="s">
        <v>315</v>
      </c>
      <c r="R53" s="231"/>
      <c r="S53" s="232"/>
      <c r="T53" s="230" t="s">
        <v>17</v>
      </c>
      <c r="U53" s="231"/>
      <c r="V53" s="232"/>
      <c r="W53" s="230" t="s">
        <v>16</v>
      </c>
      <c r="X53" s="231"/>
      <c r="Y53" s="232"/>
      <c r="Z53" s="230" t="s">
        <v>47</v>
      </c>
      <c r="AA53" s="231"/>
      <c r="AB53" s="232"/>
      <c r="AC53" s="230" t="s">
        <v>15</v>
      </c>
      <c r="AD53" s="231"/>
      <c r="AE53" s="232"/>
      <c r="AF53" s="230" t="s">
        <v>14</v>
      </c>
      <c r="AG53" s="231"/>
      <c r="AH53" s="231"/>
      <c r="AI53"/>
      <c r="AJ53"/>
      <c r="AK53"/>
    </row>
    <row r="54" spans="2:40" ht="5" customHeight="1" x14ac:dyDescent="0.2">
      <c r="B54" s="4"/>
      <c r="C54" s="3"/>
      <c r="D54" s="3"/>
      <c r="E54" s="3"/>
      <c r="F54" s="3"/>
      <c r="G54" s="3"/>
      <c r="H54" s="3"/>
      <c r="I54" s="3"/>
      <c r="J54" s="3"/>
      <c r="K54" s="166"/>
      <c r="L54" s="167"/>
      <c r="M54" s="168"/>
      <c r="N54" s="166"/>
      <c r="O54" s="167"/>
      <c r="P54" s="168"/>
      <c r="Q54" s="166"/>
      <c r="R54" s="167"/>
      <c r="S54" s="168"/>
      <c r="T54" s="166"/>
      <c r="U54" s="167"/>
      <c r="V54" s="168"/>
      <c r="W54" s="166"/>
      <c r="X54" s="167"/>
      <c r="Y54" s="168"/>
      <c r="Z54" s="166"/>
      <c r="AA54" s="167"/>
      <c r="AB54" s="168"/>
      <c r="AC54" s="166"/>
      <c r="AD54" s="167"/>
      <c r="AE54" s="168"/>
      <c r="AF54" s="166"/>
      <c r="AG54" s="167"/>
      <c r="AH54" s="168"/>
    </row>
    <row r="55" spans="2:40" s="5" customFormat="1" ht="18" customHeight="1" x14ac:dyDescent="0.2">
      <c r="B55" s="238" t="s">
        <v>55</v>
      </c>
      <c r="C55" s="239"/>
      <c r="D55" s="239"/>
      <c r="E55" s="239"/>
      <c r="F55" s="239"/>
      <c r="G55" s="240"/>
      <c r="H55" s="149">
        <v>300000</v>
      </c>
      <c r="I55" s="149"/>
      <c r="J55" s="149"/>
      <c r="K55" s="150">
        <f>$H55*$K$26</f>
        <v>120000</v>
      </c>
      <c r="L55" s="151"/>
      <c r="M55" s="152"/>
      <c r="N55" s="150">
        <f>$H55*$K$27</f>
        <v>30000</v>
      </c>
      <c r="O55" s="151"/>
      <c r="P55" s="152"/>
      <c r="Q55" s="150">
        <f>$H55*$K$28</f>
        <v>30000</v>
      </c>
      <c r="R55" s="151"/>
      <c r="S55" s="152"/>
      <c r="T55" s="150">
        <f>$H55*$K$29</f>
        <v>0</v>
      </c>
      <c r="U55" s="151"/>
      <c r="V55" s="152"/>
      <c r="W55" s="150">
        <f>$H55*$K$30</f>
        <v>0</v>
      </c>
      <c r="X55" s="151"/>
      <c r="Y55" s="152"/>
      <c r="Z55" s="150">
        <f>$H55*$K$31</f>
        <v>0</v>
      </c>
      <c r="AA55" s="151"/>
      <c r="AB55" s="152"/>
      <c r="AC55" s="150">
        <f>$H55*$K$32</f>
        <v>60000</v>
      </c>
      <c r="AD55" s="151"/>
      <c r="AE55" s="152"/>
      <c r="AF55" s="150">
        <f>$H55*$K$33</f>
        <v>60000</v>
      </c>
      <c r="AG55" s="151"/>
      <c r="AH55" s="152"/>
      <c r="AM55" s="32">
        <f>H55/$H$58</f>
        <v>0.25</v>
      </c>
      <c r="AN55" s="33"/>
    </row>
    <row r="56" spans="2:40" s="5" customFormat="1" ht="18" customHeight="1" x14ac:dyDescent="0.2">
      <c r="B56" s="238" t="s">
        <v>56</v>
      </c>
      <c r="C56" s="239"/>
      <c r="D56" s="239"/>
      <c r="E56" s="239"/>
      <c r="F56" s="239"/>
      <c r="G56" s="240"/>
      <c r="H56" s="149">
        <v>540000</v>
      </c>
      <c r="I56" s="149"/>
      <c r="J56" s="149"/>
      <c r="K56" s="150">
        <f>$H56*$K$26</f>
        <v>216000</v>
      </c>
      <c r="L56" s="151"/>
      <c r="M56" s="152"/>
      <c r="N56" s="150">
        <f>$H56*$K$27</f>
        <v>54000</v>
      </c>
      <c r="O56" s="151"/>
      <c r="P56" s="152"/>
      <c r="Q56" s="150">
        <f>$H56*$K$28</f>
        <v>54000</v>
      </c>
      <c r="R56" s="151"/>
      <c r="S56" s="152"/>
      <c r="T56" s="150">
        <f>$H56*$K$29</f>
        <v>0</v>
      </c>
      <c r="U56" s="151"/>
      <c r="V56" s="152"/>
      <c r="W56" s="150">
        <f>$H56*$K$30</f>
        <v>0</v>
      </c>
      <c r="X56" s="151"/>
      <c r="Y56" s="152"/>
      <c r="Z56" s="150">
        <f>$H56*$K$31</f>
        <v>0</v>
      </c>
      <c r="AA56" s="151"/>
      <c r="AB56" s="152"/>
      <c r="AC56" s="150">
        <f>$H56*$K$32</f>
        <v>108000</v>
      </c>
      <c r="AD56" s="151"/>
      <c r="AE56" s="152"/>
      <c r="AF56" s="150">
        <f>$H56*$K$33</f>
        <v>108000</v>
      </c>
      <c r="AG56" s="151"/>
      <c r="AH56" s="152"/>
      <c r="AM56" s="32">
        <f>H56/$H$58</f>
        <v>0.45</v>
      </c>
      <c r="AN56" s="38">
        <f>AM56-AM55</f>
        <v>0.2</v>
      </c>
    </row>
    <row r="57" spans="2:40" s="5" customFormat="1" ht="18" customHeight="1" x14ac:dyDescent="0.2">
      <c r="B57" s="238" t="s">
        <v>57</v>
      </c>
      <c r="C57" s="239"/>
      <c r="D57" s="239"/>
      <c r="E57" s="239"/>
      <c r="F57" s="239"/>
      <c r="G57" s="240"/>
      <c r="H57" s="149">
        <v>840000</v>
      </c>
      <c r="I57" s="149"/>
      <c r="J57" s="149"/>
      <c r="K57" s="150">
        <f>$H57*$K$26</f>
        <v>336000</v>
      </c>
      <c r="L57" s="151"/>
      <c r="M57" s="152"/>
      <c r="N57" s="150">
        <f>$H57*$K$27</f>
        <v>84000</v>
      </c>
      <c r="O57" s="151"/>
      <c r="P57" s="152"/>
      <c r="Q57" s="150">
        <f>$H57*$K$28</f>
        <v>84000</v>
      </c>
      <c r="R57" s="151"/>
      <c r="S57" s="152"/>
      <c r="T57" s="150">
        <f>$H57*$K$29</f>
        <v>0</v>
      </c>
      <c r="U57" s="151"/>
      <c r="V57" s="152"/>
      <c r="W57" s="150">
        <f>$H57*$K$30</f>
        <v>0</v>
      </c>
      <c r="X57" s="151"/>
      <c r="Y57" s="152"/>
      <c r="Z57" s="150">
        <f>$H57*$K$31</f>
        <v>0</v>
      </c>
      <c r="AA57" s="151"/>
      <c r="AB57" s="152"/>
      <c r="AC57" s="150">
        <f>$H57*$K$32</f>
        <v>168000</v>
      </c>
      <c r="AD57" s="151"/>
      <c r="AE57" s="152"/>
      <c r="AF57" s="150">
        <f>$H57*$K$33</f>
        <v>168000</v>
      </c>
      <c r="AG57" s="151"/>
      <c r="AH57" s="152"/>
      <c r="AM57" s="32">
        <f>H57/$H$58</f>
        <v>0.7</v>
      </c>
      <c r="AN57" s="38">
        <f>AM57-AM56</f>
        <v>0.24999999999999994</v>
      </c>
    </row>
    <row r="58" spans="2:40" s="5" customFormat="1" ht="18" customHeight="1" x14ac:dyDescent="0.2">
      <c r="B58" s="241" t="s">
        <v>58</v>
      </c>
      <c r="C58" s="242"/>
      <c r="D58" s="242"/>
      <c r="E58" s="242"/>
      <c r="F58" s="242"/>
      <c r="G58" s="243"/>
      <c r="H58" s="156">
        <v>1200000</v>
      </c>
      <c r="I58" s="156"/>
      <c r="J58" s="156"/>
      <c r="K58" s="244">
        <f>$H58*$K$26</f>
        <v>480000</v>
      </c>
      <c r="L58" s="245"/>
      <c r="M58" s="246"/>
      <c r="N58" s="244">
        <f>$H58*$K$27</f>
        <v>120000</v>
      </c>
      <c r="O58" s="245"/>
      <c r="P58" s="246"/>
      <c r="Q58" s="244">
        <f>$H58*$K$28</f>
        <v>120000</v>
      </c>
      <c r="R58" s="245"/>
      <c r="S58" s="246"/>
      <c r="T58" s="244">
        <f>$H58*$K$29</f>
        <v>0</v>
      </c>
      <c r="U58" s="245"/>
      <c r="V58" s="246"/>
      <c r="W58" s="244">
        <f>$H58*$K$30</f>
        <v>0</v>
      </c>
      <c r="X58" s="245"/>
      <c r="Y58" s="246"/>
      <c r="Z58" s="244">
        <f>$H58*$K$31</f>
        <v>0</v>
      </c>
      <c r="AA58" s="245"/>
      <c r="AB58" s="246"/>
      <c r="AC58" s="244">
        <f>$H58*$K$32</f>
        <v>240000</v>
      </c>
      <c r="AD58" s="245"/>
      <c r="AE58" s="246"/>
      <c r="AF58" s="244">
        <f>$H58*$K$33</f>
        <v>240000</v>
      </c>
      <c r="AG58" s="245"/>
      <c r="AH58" s="246"/>
      <c r="AM58" s="32">
        <f>H58/$H$58</f>
        <v>1</v>
      </c>
      <c r="AN58" s="38">
        <f>AM58-AM57</f>
        <v>0.30000000000000004</v>
      </c>
    </row>
    <row r="59" spans="2:40" s="5" customFormat="1" ht="18" customHeight="1" x14ac:dyDescent="0.2">
      <c r="B59" s="238" t="s">
        <v>13</v>
      </c>
      <c r="C59" s="239"/>
      <c r="D59" s="239"/>
      <c r="E59" s="239"/>
      <c r="F59" s="239"/>
      <c r="G59" s="240"/>
      <c r="H59" s="149">
        <v>1680000</v>
      </c>
      <c r="I59" s="149"/>
      <c r="J59" s="149"/>
      <c r="K59" s="150">
        <f>$H59*$K$26</f>
        <v>672000</v>
      </c>
      <c r="L59" s="151"/>
      <c r="M59" s="152"/>
      <c r="N59" s="150">
        <f>$H59*$K$27</f>
        <v>168000</v>
      </c>
      <c r="O59" s="151"/>
      <c r="P59" s="152"/>
      <c r="Q59" s="150">
        <f>$H59*$K$28</f>
        <v>168000</v>
      </c>
      <c r="R59" s="151"/>
      <c r="S59" s="152"/>
      <c r="T59" s="150">
        <f>$H59*$K$29</f>
        <v>0</v>
      </c>
      <c r="U59" s="151"/>
      <c r="V59" s="152"/>
      <c r="W59" s="150">
        <f>$H59*$K$30</f>
        <v>0</v>
      </c>
      <c r="X59" s="151"/>
      <c r="Y59" s="152"/>
      <c r="Z59" s="150">
        <f>$H59*$K$31</f>
        <v>0</v>
      </c>
      <c r="AA59" s="151"/>
      <c r="AB59" s="152"/>
      <c r="AC59" s="150">
        <f>$H59*$K$32</f>
        <v>336000</v>
      </c>
      <c r="AD59" s="151"/>
      <c r="AE59" s="152"/>
      <c r="AF59" s="150">
        <f>$H59*$K$33</f>
        <v>336000</v>
      </c>
      <c r="AG59" s="151"/>
      <c r="AH59" s="152"/>
      <c r="AM59" s="32">
        <f>H59/$H$58</f>
        <v>1.4</v>
      </c>
      <c r="AN59" s="38">
        <f>AM59-AM58</f>
        <v>0.39999999999999991</v>
      </c>
    </row>
    <row r="60" spans="2:40" x14ac:dyDescent="0.2">
      <c r="AM60" s="34"/>
      <c r="AN60" s="35"/>
    </row>
    <row r="61" spans="2:40" x14ac:dyDescent="0.2">
      <c r="AM61" s="35"/>
      <c r="AN61" s="35"/>
    </row>
    <row r="62" spans="2:40" x14ac:dyDescent="0.2">
      <c r="AM62" s="35"/>
      <c r="AN62" s="35"/>
    </row>
    <row r="63" spans="2:40" x14ac:dyDescent="0.2">
      <c r="B63" s="2" t="s">
        <v>61</v>
      </c>
    </row>
    <row r="64" spans="2:40" x14ac:dyDescent="0.2">
      <c r="B64" t="s">
        <v>321</v>
      </c>
    </row>
    <row r="65" spans="2:40" ht="5" customHeight="1" x14ac:dyDescent="0.2"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</row>
    <row r="66" spans="2:40" x14ac:dyDescent="0.2">
      <c r="B66" s="2"/>
      <c r="H66" s="6"/>
      <c r="J66" s="6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10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spans="2:40" s="5" customFormat="1" ht="25" customHeight="1" x14ac:dyDescent="0.2">
      <c r="B67" s="233" t="s">
        <v>20</v>
      </c>
      <c r="C67" s="233"/>
      <c r="D67" s="233"/>
      <c r="E67" s="233"/>
      <c r="F67" s="233"/>
      <c r="G67" s="234"/>
      <c r="H67" s="235" t="s">
        <v>19</v>
      </c>
      <c r="I67" s="236"/>
      <c r="J67" s="237"/>
      <c r="K67" s="230" t="s">
        <v>18</v>
      </c>
      <c r="L67" s="231"/>
      <c r="M67" s="232"/>
      <c r="N67" s="230" t="s">
        <v>326</v>
      </c>
      <c r="O67" s="231"/>
      <c r="P67" s="232"/>
      <c r="Q67" s="230" t="s">
        <v>315</v>
      </c>
      <c r="R67" s="231"/>
      <c r="S67" s="232"/>
      <c r="T67" s="230" t="s">
        <v>17</v>
      </c>
      <c r="U67" s="231"/>
      <c r="V67" s="232"/>
      <c r="W67" s="230" t="s">
        <v>16</v>
      </c>
      <c r="X67" s="231"/>
      <c r="Y67" s="232"/>
      <c r="Z67" s="230" t="s">
        <v>47</v>
      </c>
      <c r="AA67" s="231"/>
      <c r="AB67" s="232"/>
      <c r="AC67" s="230" t="s">
        <v>15</v>
      </c>
      <c r="AD67" s="231"/>
      <c r="AE67" s="232"/>
      <c r="AF67" s="230" t="s">
        <v>14</v>
      </c>
      <c r="AG67" s="231"/>
      <c r="AH67" s="231"/>
      <c r="AI67"/>
      <c r="AJ67"/>
      <c r="AK67"/>
    </row>
    <row r="68" spans="2:40" ht="5" customHeight="1" x14ac:dyDescent="0.2">
      <c r="B68" s="4"/>
      <c r="C68" s="3"/>
      <c r="D68" s="3"/>
      <c r="E68" s="3"/>
      <c r="F68" s="3"/>
      <c r="G68" s="3"/>
      <c r="H68" s="3"/>
      <c r="I68" s="3"/>
      <c r="J68" s="3"/>
      <c r="K68" s="166"/>
      <c r="L68" s="167"/>
      <c r="M68" s="168"/>
      <c r="N68" s="166"/>
      <c r="O68" s="167"/>
      <c r="P68" s="168"/>
      <c r="Q68" s="166"/>
      <c r="R68" s="167"/>
      <c r="S68" s="168"/>
      <c r="T68" s="166"/>
      <c r="U68" s="167"/>
      <c r="V68" s="168"/>
      <c r="W68" s="166"/>
      <c r="X68" s="167"/>
      <c r="Y68" s="168"/>
      <c r="Z68" s="166"/>
      <c r="AA68" s="167"/>
      <c r="AB68" s="168"/>
      <c r="AC68" s="166"/>
      <c r="AD68" s="167"/>
      <c r="AE68" s="168"/>
      <c r="AF68" s="166"/>
      <c r="AG68" s="167"/>
      <c r="AH68" s="168"/>
    </row>
    <row r="69" spans="2:40" s="5" customFormat="1" ht="18" customHeight="1" x14ac:dyDescent="0.2">
      <c r="B69" s="238" t="s">
        <v>55</v>
      </c>
      <c r="C69" s="239"/>
      <c r="D69" s="239"/>
      <c r="E69" s="239"/>
      <c r="F69" s="239"/>
      <c r="G69" s="240"/>
      <c r="H69" s="149">
        <v>300000</v>
      </c>
      <c r="I69" s="149"/>
      <c r="J69" s="149"/>
      <c r="K69" s="150">
        <f>$H69*$M$26</f>
        <v>120000</v>
      </c>
      <c r="L69" s="151"/>
      <c r="M69" s="152"/>
      <c r="N69" s="150">
        <f>$H69*$M$27</f>
        <v>30000</v>
      </c>
      <c r="O69" s="151"/>
      <c r="P69" s="152"/>
      <c r="Q69" s="150">
        <f>$H69*$M$28</f>
        <v>30000</v>
      </c>
      <c r="R69" s="151"/>
      <c r="S69" s="152"/>
      <c r="T69" s="150">
        <f>$H69*$M$29</f>
        <v>0</v>
      </c>
      <c r="U69" s="151"/>
      <c r="V69" s="152"/>
      <c r="W69" s="150">
        <f>$H69*$M$30</f>
        <v>0</v>
      </c>
      <c r="X69" s="151"/>
      <c r="Y69" s="152"/>
      <c r="Z69" s="150">
        <f>$H69*$M$31</f>
        <v>60000</v>
      </c>
      <c r="AA69" s="151"/>
      <c r="AB69" s="152"/>
      <c r="AC69" s="150">
        <f>$H69*$M$32</f>
        <v>60000</v>
      </c>
      <c r="AD69" s="151"/>
      <c r="AE69" s="152"/>
      <c r="AF69" s="150">
        <f>$H69*$M$33</f>
        <v>0</v>
      </c>
      <c r="AG69" s="151"/>
      <c r="AH69" s="152"/>
      <c r="AM69" s="32">
        <f>H69/$H$58</f>
        <v>0.25</v>
      </c>
      <c r="AN69" s="33"/>
    </row>
    <row r="70" spans="2:40" s="5" customFormat="1" ht="18" customHeight="1" x14ac:dyDescent="0.2">
      <c r="B70" s="238" t="s">
        <v>56</v>
      </c>
      <c r="C70" s="239"/>
      <c r="D70" s="239"/>
      <c r="E70" s="239"/>
      <c r="F70" s="239"/>
      <c r="G70" s="240"/>
      <c r="H70" s="149">
        <v>540000</v>
      </c>
      <c r="I70" s="149"/>
      <c r="J70" s="149"/>
      <c r="K70" s="150">
        <f>$H70*$M$26</f>
        <v>216000</v>
      </c>
      <c r="L70" s="151"/>
      <c r="M70" s="152"/>
      <c r="N70" s="150">
        <f>$H70*$M$27</f>
        <v>54000</v>
      </c>
      <c r="O70" s="151"/>
      <c r="P70" s="152"/>
      <c r="Q70" s="150">
        <f>$H70*$M$28</f>
        <v>54000</v>
      </c>
      <c r="R70" s="151"/>
      <c r="S70" s="152"/>
      <c r="T70" s="150">
        <f>$H70*$M$29</f>
        <v>0</v>
      </c>
      <c r="U70" s="151"/>
      <c r="V70" s="152"/>
      <c r="W70" s="150">
        <f>$H70*$M$30</f>
        <v>0</v>
      </c>
      <c r="X70" s="151"/>
      <c r="Y70" s="152"/>
      <c r="Z70" s="150">
        <f>$H70*$M$31</f>
        <v>108000</v>
      </c>
      <c r="AA70" s="151"/>
      <c r="AB70" s="152"/>
      <c r="AC70" s="150">
        <f>$H70*$M$32</f>
        <v>108000</v>
      </c>
      <c r="AD70" s="151"/>
      <c r="AE70" s="152"/>
      <c r="AF70" s="150">
        <f>$H70*$M$33</f>
        <v>0</v>
      </c>
      <c r="AG70" s="151"/>
      <c r="AH70" s="152"/>
      <c r="AM70" s="32">
        <f>H70/$H$58</f>
        <v>0.45</v>
      </c>
      <c r="AN70" s="38">
        <f>AM70-AM69</f>
        <v>0.2</v>
      </c>
    </row>
    <row r="71" spans="2:40" s="5" customFormat="1" ht="18" customHeight="1" x14ac:dyDescent="0.2">
      <c r="B71" s="238" t="s">
        <v>57</v>
      </c>
      <c r="C71" s="239"/>
      <c r="D71" s="239"/>
      <c r="E71" s="239"/>
      <c r="F71" s="239"/>
      <c r="G71" s="240"/>
      <c r="H71" s="149">
        <v>840000</v>
      </c>
      <c r="I71" s="149"/>
      <c r="J71" s="149"/>
      <c r="K71" s="150">
        <f>$H71*$M$26</f>
        <v>336000</v>
      </c>
      <c r="L71" s="151"/>
      <c r="M71" s="152"/>
      <c r="N71" s="150">
        <f>$H71*$M$27</f>
        <v>84000</v>
      </c>
      <c r="O71" s="151"/>
      <c r="P71" s="152"/>
      <c r="Q71" s="150">
        <f>$H71*$M$28</f>
        <v>84000</v>
      </c>
      <c r="R71" s="151"/>
      <c r="S71" s="152"/>
      <c r="T71" s="150">
        <f>$H71*$M$29</f>
        <v>0</v>
      </c>
      <c r="U71" s="151"/>
      <c r="V71" s="152"/>
      <c r="W71" s="150">
        <f>$H71*$M$30</f>
        <v>0</v>
      </c>
      <c r="X71" s="151"/>
      <c r="Y71" s="152"/>
      <c r="Z71" s="150">
        <f>$H71*$M$31</f>
        <v>168000</v>
      </c>
      <c r="AA71" s="151"/>
      <c r="AB71" s="152"/>
      <c r="AC71" s="150">
        <f>$H71*$M$32</f>
        <v>168000</v>
      </c>
      <c r="AD71" s="151"/>
      <c r="AE71" s="152"/>
      <c r="AF71" s="150">
        <f>$H71*$M$33</f>
        <v>0</v>
      </c>
      <c r="AG71" s="151"/>
      <c r="AH71" s="152"/>
      <c r="AM71" s="32">
        <f>H71/$H$58</f>
        <v>0.7</v>
      </c>
      <c r="AN71" s="38">
        <f>AM71-AM70</f>
        <v>0.24999999999999994</v>
      </c>
    </row>
    <row r="72" spans="2:40" s="5" customFormat="1" ht="18" customHeight="1" x14ac:dyDescent="0.2">
      <c r="B72" s="241" t="s">
        <v>58</v>
      </c>
      <c r="C72" s="242"/>
      <c r="D72" s="242"/>
      <c r="E72" s="242"/>
      <c r="F72" s="242"/>
      <c r="G72" s="243"/>
      <c r="H72" s="156">
        <v>1200000</v>
      </c>
      <c r="I72" s="156"/>
      <c r="J72" s="156"/>
      <c r="K72" s="244">
        <f>$H72*$M$26</f>
        <v>480000</v>
      </c>
      <c r="L72" s="245"/>
      <c r="M72" s="246"/>
      <c r="N72" s="244">
        <f>$H72*$M$27</f>
        <v>120000</v>
      </c>
      <c r="O72" s="245"/>
      <c r="P72" s="246"/>
      <c r="Q72" s="244">
        <f>$H72*$M$28</f>
        <v>120000</v>
      </c>
      <c r="R72" s="245"/>
      <c r="S72" s="246"/>
      <c r="T72" s="244">
        <f>$H72*$M$29</f>
        <v>0</v>
      </c>
      <c r="U72" s="245"/>
      <c r="V72" s="246"/>
      <c r="W72" s="244">
        <f>$H72*$M$30</f>
        <v>0</v>
      </c>
      <c r="X72" s="245"/>
      <c r="Y72" s="246"/>
      <c r="Z72" s="244">
        <f>$H72*$M$31</f>
        <v>240000</v>
      </c>
      <c r="AA72" s="245"/>
      <c r="AB72" s="246"/>
      <c r="AC72" s="244">
        <f>$H72*$M$32</f>
        <v>240000</v>
      </c>
      <c r="AD72" s="245"/>
      <c r="AE72" s="246"/>
      <c r="AF72" s="244">
        <f>$H72*$M$33</f>
        <v>0</v>
      </c>
      <c r="AG72" s="245"/>
      <c r="AH72" s="246"/>
      <c r="AM72" s="32">
        <f>H72/$H$58</f>
        <v>1</v>
      </c>
      <c r="AN72" s="38">
        <f>AM72-AM71</f>
        <v>0.30000000000000004</v>
      </c>
    </row>
    <row r="73" spans="2:40" s="5" customFormat="1" ht="18" customHeight="1" x14ac:dyDescent="0.2">
      <c r="B73" s="238" t="s">
        <v>13</v>
      </c>
      <c r="C73" s="239"/>
      <c r="D73" s="239"/>
      <c r="E73" s="239"/>
      <c r="F73" s="239"/>
      <c r="G73" s="240"/>
      <c r="H73" s="149">
        <v>1680000</v>
      </c>
      <c r="I73" s="149"/>
      <c r="J73" s="149"/>
      <c r="K73" s="150">
        <f>$H73*$M$26</f>
        <v>672000</v>
      </c>
      <c r="L73" s="151"/>
      <c r="M73" s="152"/>
      <c r="N73" s="150">
        <f>$H73*$M$27</f>
        <v>168000</v>
      </c>
      <c r="O73" s="151"/>
      <c r="P73" s="152"/>
      <c r="Q73" s="150">
        <f>$H73*$M$28</f>
        <v>168000</v>
      </c>
      <c r="R73" s="151"/>
      <c r="S73" s="152"/>
      <c r="T73" s="150">
        <f>$H73*$M$29</f>
        <v>0</v>
      </c>
      <c r="U73" s="151"/>
      <c r="V73" s="152"/>
      <c r="W73" s="150">
        <f>$H73*$M$30</f>
        <v>0</v>
      </c>
      <c r="X73" s="151"/>
      <c r="Y73" s="152"/>
      <c r="Z73" s="150">
        <f>$H73*$M$31</f>
        <v>336000</v>
      </c>
      <c r="AA73" s="151"/>
      <c r="AB73" s="152"/>
      <c r="AC73" s="150">
        <f>$H73*$M$32</f>
        <v>336000</v>
      </c>
      <c r="AD73" s="151"/>
      <c r="AE73" s="152"/>
      <c r="AF73" s="150">
        <f>$H73*$M$33</f>
        <v>0</v>
      </c>
      <c r="AG73" s="151"/>
      <c r="AH73" s="152"/>
      <c r="AM73" s="32">
        <f>H73/$H$58</f>
        <v>1.4</v>
      </c>
      <c r="AN73" s="38">
        <f>AM73-AM72</f>
        <v>0.39999999999999991</v>
      </c>
    </row>
    <row r="74" spans="2:40" x14ac:dyDescent="0.2">
      <c r="AM74" s="34"/>
      <c r="AN74" s="35"/>
    </row>
    <row r="75" spans="2:40" x14ac:dyDescent="0.2">
      <c r="AM75" s="35"/>
      <c r="AN75" s="35"/>
    </row>
    <row r="76" spans="2:40" x14ac:dyDescent="0.2">
      <c r="AM76" s="35"/>
      <c r="AN76" s="35"/>
    </row>
    <row r="77" spans="2:40" x14ac:dyDescent="0.2">
      <c r="B77" s="2" t="s">
        <v>61</v>
      </c>
      <c r="AM77" s="35"/>
      <c r="AN77" s="35"/>
    </row>
    <row r="78" spans="2:40" x14ac:dyDescent="0.2">
      <c r="B78" t="s">
        <v>21</v>
      </c>
      <c r="AM78" s="35"/>
      <c r="AN78" s="35"/>
    </row>
    <row r="79" spans="2:40" ht="5" customHeight="1" x14ac:dyDescent="0.2"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M79" s="35"/>
      <c r="AN79" s="35"/>
    </row>
    <row r="80" spans="2:40" x14ac:dyDescent="0.2">
      <c r="B80" s="2"/>
      <c r="H80" s="6"/>
      <c r="J80" s="6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10</v>
      </c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M80" s="35"/>
      <c r="AN80" s="35"/>
    </row>
    <row r="81" spans="2:40" s="5" customFormat="1" ht="25" customHeight="1" x14ac:dyDescent="0.2">
      <c r="B81" s="233" t="s">
        <v>20</v>
      </c>
      <c r="C81" s="233"/>
      <c r="D81" s="233"/>
      <c r="E81" s="233"/>
      <c r="F81" s="233"/>
      <c r="G81" s="234"/>
      <c r="H81" s="235" t="s">
        <v>19</v>
      </c>
      <c r="I81" s="236"/>
      <c r="J81" s="237"/>
      <c r="K81" s="230" t="s">
        <v>18</v>
      </c>
      <c r="L81" s="231"/>
      <c r="M81" s="232"/>
      <c r="N81" s="230" t="s">
        <v>326</v>
      </c>
      <c r="O81" s="231"/>
      <c r="P81" s="232"/>
      <c r="Q81" s="230" t="s">
        <v>315</v>
      </c>
      <c r="R81" s="231"/>
      <c r="S81" s="232"/>
      <c r="T81" s="230" t="s">
        <v>17</v>
      </c>
      <c r="U81" s="231"/>
      <c r="V81" s="232"/>
      <c r="W81" s="230" t="s">
        <v>16</v>
      </c>
      <c r="X81" s="231"/>
      <c r="Y81" s="232"/>
      <c r="Z81" s="230" t="s">
        <v>47</v>
      </c>
      <c r="AA81" s="231"/>
      <c r="AB81" s="232"/>
      <c r="AC81" s="230" t="s">
        <v>15</v>
      </c>
      <c r="AD81" s="231"/>
      <c r="AE81" s="232"/>
      <c r="AF81" s="230" t="s">
        <v>14</v>
      </c>
      <c r="AG81" s="231"/>
      <c r="AH81" s="231"/>
      <c r="AI81"/>
      <c r="AJ81"/>
      <c r="AK81"/>
      <c r="AM81" s="33"/>
      <c r="AN81" s="33"/>
    </row>
    <row r="82" spans="2:40" ht="5" customHeight="1" x14ac:dyDescent="0.2">
      <c r="B82" s="4"/>
      <c r="C82" s="3"/>
      <c r="D82" s="3"/>
      <c r="E82" s="3"/>
      <c r="F82" s="3"/>
      <c r="G82" s="3"/>
      <c r="H82" s="3"/>
      <c r="I82" s="3"/>
      <c r="J82" s="3"/>
      <c r="K82" s="166"/>
      <c r="L82" s="167"/>
      <c r="M82" s="168"/>
      <c r="N82" s="166"/>
      <c r="O82" s="167"/>
      <c r="P82" s="168"/>
      <c r="Q82" s="166"/>
      <c r="R82" s="167"/>
      <c r="S82" s="168"/>
      <c r="T82" s="166"/>
      <c r="U82" s="167"/>
      <c r="V82" s="168"/>
      <c r="W82" s="166"/>
      <c r="X82" s="167"/>
      <c r="Y82" s="168"/>
      <c r="Z82" s="166"/>
      <c r="AA82" s="167"/>
      <c r="AB82" s="168"/>
      <c r="AC82" s="166"/>
      <c r="AD82" s="167"/>
      <c r="AE82" s="168"/>
      <c r="AF82" s="166"/>
      <c r="AG82" s="167"/>
      <c r="AH82" s="168"/>
      <c r="AM82" s="35"/>
      <c r="AN82" s="35"/>
    </row>
    <row r="83" spans="2:40" s="5" customFormat="1" ht="20" customHeight="1" x14ac:dyDescent="0.2">
      <c r="B83" s="238" t="s">
        <v>55</v>
      </c>
      <c r="C83" s="239"/>
      <c r="D83" s="239"/>
      <c r="E83" s="239"/>
      <c r="F83" s="239"/>
      <c r="G83" s="240"/>
      <c r="H83" s="149">
        <v>300000</v>
      </c>
      <c r="I83" s="149"/>
      <c r="J83" s="149"/>
      <c r="K83" s="150">
        <f>$H83*$O$26</f>
        <v>120000</v>
      </c>
      <c r="L83" s="151"/>
      <c r="M83" s="152"/>
      <c r="N83" s="143">
        <f>$H83*$O$27</f>
        <v>0</v>
      </c>
      <c r="O83" s="144"/>
      <c r="P83" s="145"/>
      <c r="Q83" s="143">
        <f>$H83*$O$28</f>
        <v>0</v>
      </c>
      <c r="R83" s="144"/>
      <c r="S83" s="145"/>
      <c r="T83" s="143">
        <f>$H83*$O$29</f>
        <v>0</v>
      </c>
      <c r="U83" s="144"/>
      <c r="V83" s="145"/>
      <c r="W83" s="143">
        <f>$H83*$O$30</f>
        <v>60000</v>
      </c>
      <c r="X83" s="144"/>
      <c r="Y83" s="145"/>
      <c r="Z83" s="143">
        <f>$H83*$O$31</f>
        <v>60000</v>
      </c>
      <c r="AA83" s="144"/>
      <c r="AB83" s="145"/>
      <c r="AC83" s="143">
        <f>$H83*$O$32</f>
        <v>60000</v>
      </c>
      <c r="AD83" s="144"/>
      <c r="AE83" s="145"/>
      <c r="AF83" s="143">
        <f>$H83*$O$33</f>
        <v>0</v>
      </c>
      <c r="AG83" s="144"/>
      <c r="AH83" s="145"/>
      <c r="AM83" s="32">
        <f>H83/$H$86</f>
        <v>0.25</v>
      </c>
      <c r="AN83" s="33"/>
    </row>
    <row r="84" spans="2:40" s="5" customFormat="1" ht="20" customHeight="1" x14ac:dyDescent="0.2">
      <c r="B84" s="238" t="s">
        <v>56</v>
      </c>
      <c r="C84" s="239"/>
      <c r="D84" s="239"/>
      <c r="E84" s="239"/>
      <c r="F84" s="239"/>
      <c r="G84" s="240"/>
      <c r="H84" s="149">
        <v>540000</v>
      </c>
      <c r="I84" s="149"/>
      <c r="J84" s="149"/>
      <c r="K84" s="150">
        <f>$H84*$O$26</f>
        <v>216000</v>
      </c>
      <c r="L84" s="151"/>
      <c r="M84" s="152"/>
      <c r="N84" s="143">
        <f>$H84*$O$27</f>
        <v>0</v>
      </c>
      <c r="O84" s="144"/>
      <c r="P84" s="145"/>
      <c r="Q84" s="143">
        <f>$H84*$O$28</f>
        <v>0</v>
      </c>
      <c r="R84" s="144"/>
      <c r="S84" s="145"/>
      <c r="T84" s="143">
        <f>$H84*$O$29</f>
        <v>0</v>
      </c>
      <c r="U84" s="144"/>
      <c r="V84" s="145"/>
      <c r="W84" s="143">
        <f>$H84*$O$30</f>
        <v>108000</v>
      </c>
      <c r="X84" s="144"/>
      <c r="Y84" s="145"/>
      <c r="Z84" s="143">
        <f>$H84*$O$31</f>
        <v>108000</v>
      </c>
      <c r="AA84" s="144"/>
      <c r="AB84" s="145"/>
      <c r="AC84" s="143">
        <f>$H84*$O$32</f>
        <v>108000</v>
      </c>
      <c r="AD84" s="144"/>
      <c r="AE84" s="145"/>
      <c r="AF84" s="143">
        <f>$H84*$O$33</f>
        <v>0</v>
      </c>
      <c r="AG84" s="144"/>
      <c r="AH84" s="145"/>
      <c r="AM84" s="32">
        <f>H84/$H$86</f>
        <v>0.45</v>
      </c>
      <c r="AN84" s="38">
        <f>AM84-AM83</f>
        <v>0.2</v>
      </c>
    </row>
    <row r="85" spans="2:40" s="5" customFormat="1" ht="20" customHeight="1" x14ac:dyDescent="0.2">
      <c r="B85" s="238" t="s">
        <v>57</v>
      </c>
      <c r="C85" s="239"/>
      <c r="D85" s="239"/>
      <c r="E85" s="239"/>
      <c r="F85" s="239"/>
      <c r="G85" s="240"/>
      <c r="H85" s="149">
        <v>840000</v>
      </c>
      <c r="I85" s="149"/>
      <c r="J85" s="149"/>
      <c r="K85" s="150">
        <f>$H85*$O$26</f>
        <v>336000</v>
      </c>
      <c r="L85" s="151"/>
      <c r="M85" s="152"/>
      <c r="N85" s="143">
        <f>$H85*$O$27</f>
        <v>0</v>
      </c>
      <c r="O85" s="144"/>
      <c r="P85" s="145"/>
      <c r="Q85" s="143">
        <f>$H85*$O$28</f>
        <v>0</v>
      </c>
      <c r="R85" s="144"/>
      <c r="S85" s="145"/>
      <c r="T85" s="143">
        <f>$H85*$O$29</f>
        <v>0</v>
      </c>
      <c r="U85" s="144"/>
      <c r="V85" s="145"/>
      <c r="W85" s="143">
        <f>$H85*$O$30</f>
        <v>168000</v>
      </c>
      <c r="X85" s="144"/>
      <c r="Y85" s="145"/>
      <c r="Z85" s="143">
        <f>$H85*$O$31</f>
        <v>168000</v>
      </c>
      <c r="AA85" s="144"/>
      <c r="AB85" s="145"/>
      <c r="AC85" s="143">
        <f>$H85*$O$32</f>
        <v>168000</v>
      </c>
      <c r="AD85" s="144"/>
      <c r="AE85" s="145"/>
      <c r="AF85" s="143">
        <f>$H85*$O$33</f>
        <v>0</v>
      </c>
      <c r="AG85" s="144"/>
      <c r="AH85" s="145"/>
      <c r="AM85" s="32">
        <f>H85/$H$86</f>
        <v>0.7</v>
      </c>
      <c r="AN85" s="38">
        <f>AM85-AM84</f>
        <v>0.24999999999999994</v>
      </c>
    </row>
    <row r="86" spans="2:40" s="5" customFormat="1" ht="20" customHeight="1" x14ac:dyDescent="0.2">
      <c r="B86" s="241" t="s">
        <v>58</v>
      </c>
      <c r="C86" s="242"/>
      <c r="D86" s="242"/>
      <c r="E86" s="242"/>
      <c r="F86" s="242"/>
      <c r="G86" s="243"/>
      <c r="H86" s="156">
        <v>1200000</v>
      </c>
      <c r="I86" s="156"/>
      <c r="J86" s="156"/>
      <c r="K86" s="244">
        <f>$H86*$O$26</f>
        <v>480000</v>
      </c>
      <c r="L86" s="245"/>
      <c r="M86" s="246"/>
      <c r="N86" s="247">
        <f>$H86*$O$27</f>
        <v>0</v>
      </c>
      <c r="O86" s="248"/>
      <c r="P86" s="249"/>
      <c r="Q86" s="247">
        <f>$H86*$O$28</f>
        <v>0</v>
      </c>
      <c r="R86" s="248"/>
      <c r="S86" s="249"/>
      <c r="T86" s="247">
        <f>$H86*$O$29</f>
        <v>0</v>
      </c>
      <c r="U86" s="248"/>
      <c r="V86" s="249"/>
      <c r="W86" s="247">
        <f>$H86*$O$30</f>
        <v>240000</v>
      </c>
      <c r="X86" s="248"/>
      <c r="Y86" s="249"/>
      <c r="Z86" s="247">
        <f>$H86*$O$31</f>
        <v>240000</v>
      </c>
      <c r="AA86" s="248"/>
      <c r="AB86" s="249"/>
      <c r="AC86" s="247">
        <f>$H86*$O$32</f>
        <v>240000</v>
      </c>
      <c r="AD86" s="248"/>
      <c r="AE86" s="249"/>
      <c r="AF86" s="247">
        <f>$H86*$O$33</f>
        <v>0</v>
      </c>
      <c r="AG86" s="248"/>
      <c r="AH86" s="249"/>
      <c r="AM86" s="32">
        <f>H86/$H$86</f>
        <v>1</v>
      </c>
      <c r="AN86" s="38">
        <f>AM86-AM85</f>
        <v>0.30000000000000004</v>
      </c>
    </row>
    <row r="87" spans="2:40" s="5" customFormat="1" ht="20" customHeight="1" x14ac:dyDescent="0.2">
      <c r="B87" s="238" t="s">
        <v>13</v>
      </c>
      <c r="C87" s="239"/>
      <c r="D87" s="239"/>
      <c r="E87" s="239"/>
      <c r="F87" s="239"/>
      <c r="G87" s="240"/>
      <c r="H87" s="149">
        <v>1680000</v>
      </c>
      <c r="I87" s="149"/>
      <c r="J87" s="149"/>
      <c r="K87" s="150">
        <f>$H87*$O$26</f>
        <v>672000</v>
      </c>
      <c r="L87" s="151"/>
      <c r="M87" s="152"/>
      <c r="N87" s="143">
        <f>$H87*$O$27</f>
        <v>0</v>
      </c>
      <c r="O87" s="144"/>
      <c r="P87" s="145"/>
      <c r="Q87" s="143">
        <f>$H87*$O$28</f>
        <v>0</v>
      </c>
      <c r="R87" s="144"/>
      <c r="S87" s="145"/>
      <c r="T87" s="143">
        <f>$H87*$O$29</f>
        <v>0</v>
      </c>
      <c r="U87" s="144"/>
      <c r="V87" s="145"/>
      <c r="W87" s="143">
        <f>$H87*$O$30</f>
        <v>336000</v>
      </c>
      <c r="X87" s="144"/>
      <c r="Y87" s="145"/>
      <c r="Z87" s="143">
        <f>$H87*$O$31</f>
        <v>336000</v>
      </c>
      <c r="AA87" s="144"/>
      <c r="AB87" s="145"/>
      <c r="AC87" s="143">
        <f>$H87*$O$32</f>
        <v>336000</v>
      </c>
      <c r="AD87" s="144"/>
      <c r="AE87" s="145"/>
      <c r="AF87" s="143">
        <f>$H87*$O$33</f>
        <v>0</v>
      </c>
      <c r="AG87" s="144"/>
      <c r="AH87" s="145"/>
      <c r="AM87" s="32">
        <f>H87/$H$86</f>
        <v>1.4</v>
      </c>
      <c r="AN87" s="38">
        <f>AM87-AM86</f>
        <v>0.39999999999999991</v>
      </c>
    </row>
  </sheetData>
  <mergeCells count="332">
    <mergeCell ref="AF73:AH73"/>
    <mergeCell ref="C29:J29"/>
    <mergeCell ref="B73:G73"/>
    <mergeCell ref="H73:J73"/>
    <mergeCell ref="K73:M73"/>
    <mergeCell ref="N73:P73"/>
    <mergeCell ref="Q73:S73"/>
    <mergeCell ref="T73:V73"/>
    <mergeCell ref="W73:Y73"/>
    <mergeCell ref="Z73:AB73"/>
    <mergeCell ref="AC73:AE73"/>
    <mergeCell ref="AF71:AH71"/>
    <mergeCell ref="B72:G72"/>
    <mergeCell ref="H72:J72"/>
    <mergeCell ref="K72:M72"/>
    <mergeCell ref="N72:P72"/>
    <mergeCell ref="Q72:S72"/>
    <mergeCell ref="T72:V72"/>
    <mergeCell ref="W72:Y72"/>
    <mergeCell ref="Z72:AB72"/>
    <mergeCell ref="AC72:AE72"/>
    <mergeCell ref="AF72:AH72"/>
    <mergeCell ref="B71:G71"/>
    <mergeCell ref="H71:J71"/>
    <mergeCell ref="AF70:AH70"/>
    <mergeCell ref="K71:M71"/>
    <mergeCell ref="N71:P71"/>
    <mergeCell ref="Q71:S71"/>
    <mergeCell ref="T71:V71"/>
    <mergeCell ref="W71:Y71"/>
    <mergeCell ref="Z71:AB71"/>
    <mergeCell ref="AC71:AE71"/>
    <mergeCell ref="T69:V69"/>
    <mergeCell ref="W69:Y69"/>
    <mergeCell ref="Z69:AB69"/>
    <mergeCell ref="AC69:AE69"/>
    <mergeCell ref="B70:G70"/>
    <mergeCell ref="H70:J70"/>
    <mergeCell ref="K70:M70"/>
    <mergeCell ref="N70:P70"/>
    <mergeCell ref="Q70:S70"/>
    <mergeCell ref="T70:V70"/>
    <mergeCell ref="W70:Y70"/>
    <mergeCell ref="Z70:AB70"/>
    <mergeCell ref="AC70:AE70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L9:AD9"/>
    <mergeCell ref="K22:L24"/>
    <mergeCell ref="O22:P24"/>
    <mergeCell ref="W87:Y87"/>
    <mergeCell ref="Z87:AB87"/>
    <mergeCell ref="AC87:AE87"/>
    <mergeCell ref="AF87:AH87"/>
    <mergeCell ref="W86:Y86"/>
    <mergeCell ref="Z86:AB86"/>
    <mergeCell ref="AC86:AE86"/>
    <mergeCell ref="AF86:AH86"/>
    <mergeCell ref="AF85:AH85"/>
    <mergeCell ref="W84:Y84"/>
    <mergeCell ref="Z84:AB84"/>
    <mergeCell ref="AC84:AE84"/>
    <mergeCell ref="AF84:AH84"/>
    <mergeCell ref="W83:Y83"/>
    <mergeCell ref="Z83:AB83"/>
    <mergeCell ref="AC83:AE83"/>
    <mergeCell ref="AF83:AH83"/>
    <mergeCell ref="AC81:AE81"/>
    <mergeCell ref="AF81:AH81"/>
    <mergeCell ref="K82:M82"/>
    <mergeCell ref="N82:P82"/>
    <mergeCell ref="B87:G87"/>
    <mergeCell ref="H87:J87"/>
    <mergeCell ref="K87:M87"/>
    <mergeCell ref="N87:P87"/>
    <mergeCell ref="Q87:S87"/>
    <mergeCell ref="T87:V87"/>
    <mergeCell ref="W85:Y85"/>
    <mergeCell ref="Z85:AB85"/>
    <mergeCell ref="AC85:AE85"/>
    <mergeCell ref="B86:G86"/>
    <mergeCell ref="H86:J86"/>
    <mergeCell ref="K86:M86"/>
    <mergeCell ref="N86:P86"/>
    <mergeCell ref="Q86:S86"/>
    <mergeCell ref="T86:V86"/>
    <mergeCell ref="B85:G85"/>
    <mergeCell ref="H85:J85"/>
    <mergeCell ref="K85:M85"/>
    <mergeCell ref="N85:P85"/>
    <mergeCell ref="Q85:S85"/>
    <mergeCell ref="T85:V85"/>
    <mergeCell ref="B84:G84"/>
    <mergeCell ref="H84:J84"/>
    <mergeCell ref="K84:M84"/>
    <mergeCell ref="N84:P84"/>
    <mergeCell ref="Q84:S84"/>
    <mergeCell ref="T84:V84"/>
    <mergeCell ref="B83:G83"/>
    <mergeCell ref="H83:J83"/>
    <mergeCell ref="K83:M83"/>
    <mergeCell ref="N83:P83"/>
    <mergeCell ref="Q83:S83"/>
    <mergeCell ref="T83:V83"/>
    <mergeCell ref="Q82:S82"/>
    <mergeCell ref="T82:V82"/>
    <mergeCell ref="W82:Y82"/>
    <mergeCell ref="Z82:AB82"/>
    <mergeCell ref="AC82:AE82"/>
    <mergeCell ref="AF82:AH82"/>
    <mergeCell ref="AC59:AE59"/>
    <mergeCell ref="AF59:AH59"/>
    <mergeCell ref="N67:P67"/>
    <mergeCell ref="Q67:S67"/>
    <mergeCell ref="T67:V67"/>
    <mergeCell ref="W67:Y67"/>
    <mergeCell ref="Z67:AB67"/>
    <mergeCell ref="AC67:AE67"/>
    <mergeCell ref="AF67:AH67"/>
    <mergeCell ref="N68:P68"/>
    <mergeCell ref="Q68:S68"/>
    <mergeCell ref="T68:V68"/>
    <mergeCell ref="W68:Y68"/>
    <mergeCell ref="Z68:AB68"/>
    <mergeCell ref="AC68:AE68"/>
    <mergeCell ref="AF68:AH68"/>
    <mergeCell ref="N69:P69"/>
    <mergeCell ref="AF69:AH69"/>
    <mergeCell ref="B59:G59"/>
    <mergeCell ref="H59:J59"/>
    <mergeCell ref="K59:M59"/>
    <mergeCell ref="N59:P59"/>
    <mergeCell ref="Q59:S59"/>
    <mergeCell ref="T59:V59"/>
    <mergeCell ref="W59:Y59"/>
    <mergeCell ref="Z59:AB59"/>
    <mergeCell ref="B81:G81"/>
    <mergeCell ref="H81:J81"/>
    <mergeCell ref="K81:M81"/>
    <mergeCell ref="N81:P81"/>
    <mergeCell ref="Q81:S81"/>
    <mergeCell ref="T81:V81"/>
    <mergeCell ref="W81:Y81"/>
    <mergeCell ref="Z81:AB81"/>
    <mergeCell ref="B67:G67"/>
    <mergeCell ref="H67:J67"/>
    <mergeCell ref="K67:M67"/>
    <mergeCell ref="K68:M68"/>
    <mergeCell ref="B69:G69"/>
    <mergeCell ref="H69:J69"/>
    <mergeCell ref="K69:M69"/>
    <mergeCell ref="Q69:S69"/>
    <mergeCell ref="B58:G58"/>
    <mergeCell ref="H58:J58"/>
    <mergeCell ref="K58:M58"/>
    <mergeCell ref="N58:P58"/>
    <mergeCell ref="Q58:S58"/>
    <mergeCell ref="T58:V58"/>
    <mergeCell ref="W58:Y58"/>
    <mergeCell ref="Z58:AB58"/>
    <mergeCell ref="AF58:AH58"/>
    <mergeCell ref="AC58:AE58"/>
    <mergeCell ref="AF56:AH56"/>
    <mergeCell ref="B57:G57"/>
    <mergeCell ref="H57:J57"/>
    <mergeCell ref="K57:M57"/>
    <mergeCell ref="N57:P57"/>
    <mergeCell ref="Q57:S57"/>
    <mergeCell ref="T57:V57"/>
    <mergeCell ref="W57:Y57"/>
    <mergeCell ref="Z57:AB57"/>
    <mergeCell ref="AC57:AE57"/>
    <mergeCell ref="AF57:AH57"/>
    <mergeCell ref="B56:G56"/>
    <mergeCell ref="H56:J56"/>
    <mergeCell ref="K56:M56"/>
    <mergeCell ref="N56:P56"/>
    <mergeCell ref="Q56:S56"/>
    <mergeCell ref="T56:V56"/>
    <mergeCell ref="W56:Y56"/>
    <mergeCell ref="Z56:AB56"/>
    <mergeCell ref="AC56:AE56"/>
    <mergeCell ref="AC54:AE54"/>
    <mergeCell ref="AF54:AH54"/>
    <mergeCell ref="B55:G55"/>
    <mergeCell ref="H55:J55"/>
    <mergeCell ref="K55:M55"/>
    <mergeCell ref="N55:P55"/>
    <mergeCell ref="Q55:S55"/>
    <mergeCell ref="T55:V55"/>
    <mergeCell ref="W55:Y55"/>
    <mergeCell ref="Z55:AB55"/>
    <mergeCell ref="K54:M54"/>
    <mergeCell ref="N54:P54"/>
    <mergeCell ref="Q54:S54"/>
    <mergeCell ref="T54:V54"/>
    <mergeCell ref="W54:Y54"/>
    <mergeCell ref="Z54:AB54"/>
    <mergeCell ref="AC55:AE55"/>
    <mergeCell ref="AF55:AH55"/>
    <mergeCell ref="W53:Y53"/>
    <mergeCell ref="Z53:AB53"/>
    <mergeCell ref="AC53:AE53"/>
    <mergeCell ref="AF53:AH53"/>
    <mergeCell ref="K34:L34"/>
    <mergeCell ref="O34:P34"/>
    <mergeCell ref="B53:G53"/>
    <mergeCell ref="H53:J53"/>
    <mergeCell ref="K53:M53"/>
    <mergeCell ref="N53:P53"/>
    <mergeCell ref="M34:N34"/>
    <mergeCell ref="O31:P31"/>
    <mergeCell ref="C32:J32"/>
    <mergeCell ref="K32:L32"/>
    <mergeCell ref="O32:P32"/>
    <mergeCell ref="C33:J33"/>
    <mergeCell ref="K33:L33"/>
    <mergeCell ref="O33:P33"/>
    <mergeCell ref="Q53:S53"/>
    <mergeCell ref="T53:V53"/>
    <mergeCell ref="K28:L28"/>
    <mergeCell ref="O28:P28"/>
    <mergeCell ref="K29:L29"/>
    <mergeCell ref="O29:P29"/>
    <mergeCell ref="C30:J30"/>
    <mergeCell ref="K30:L30"/>
    <mergeCell ref="O30:P30"/>
    <mergeCell ref="X25:AH25"/>
    <mergeCell ref="C26:J26"/>
    <mergeCell ref="K26:L26"/>
    <mergeCell ref="O26:P26"/>
    <mergeCell ref="Q26:W33"/>
    <mergeCell ref="X26:AH29"/>
    <mergeCell ref="C27:J27"/>
    <mergeCell ref="K27:L27"/>
    <mergeCell ref="O27:P27"/>
    <mergeCell ref="C28:J28"/>
    <mergeCell ref="C25:J25"/>
    <mergeCell ref="K25:L25"/>
    <mergeCell ref="O25:P25"/>
    <mergeCell ref="Q25:W25"/>
    <mergeCell ref="X30:AH33"/>
    <mergeCell ref="C31:J31"/>
    <mergeCell ref="K31:L31"/>
    <mergeCell ref="W16:X16"/>
    <mergeCell ref="Y16:Z16"/>
    <mergeCell ref="AA16:AB16"/>
    <mergeCell ref="AC16:AD16"/>
    <mergeCell ref="AE16:AF16"/>
    <mergeCell ref="B23:B24"/>
    <mergeCell ref="C23:J24"/>
    <mergeCell ref="Q23:W24"/>
    <mergeCell ref="X23:AH24"/>
    <mergeCell ref="B16:F16"/>
    <mergeCell ref="G16:K16"/>
    <mergeCell ref="L16:N16"/>
    <mergeCell ref="O16:Q16"/>
    <mergeCell ref="R16:T16"/>
    <mergeCell ref="U16:V16"/>
    <mergeCell ref="M22:N24"/>
    <mergeCell ref="K21:P21"/>
    <mergeCell ref="U15:V15"/>
    <mergeCell ref="W15:X15"/>
    <mergeCell ref="Y15:Z15"/>
    <mergeCell ref="AA15:AB15"/>
    <mergeCell ref="AC15:AD15"/>
    <mergeCell ref="AE15:AF15"/>
    <mergeCell ref="W14:X14"/>
    <mergeCell ref="Y14:Z14"/>
    <mergeCell ref="AA14:AB14"/>
    <mergeCell ref="AC14:AD14"/>
    <mergeCell ref="AE14:AF14"/>
    <mergeCell ref="U14:V14"/>
    <mergeCell ref="B15:F15"/>
    <mergeCell ref="G15:K15"/>
    <mergeCell ref="L15:N15"/>
    <mergeCell ref="O15:Q15"/>
    <mergeCell ref="R15:T15"/>
    <mergeCell ref="B14:F14"/>
    <mergeCell ref="G14:K14"/>
    <mergeCell ref="L14:N14"/>
    <mergeCell ref="O14:Q14"/>
    <mergeCell ref="R14:T14"/>
    <mergeCell ref="Y13:Z13"/>
    <mergeCell ref="AA13:AB13"/>
    <mergeCell ref="AC13:AD13"/>
    <mergeCell ref="AE13:AF13"/>
    <mergeCell ref="W12:X12"/>
    <mergeCell ref="Y12:Z12"/>
    <mergeCell ref="AA12:AB12"/>
    <mergeCell ref="AC12:AD12"/>
    <mergeCell ref="AE12:AF12"/>
    <mergeCell ref="AC10:AD10"/>
    <mergeCell ref="AE10:AF10"/>
    <mergeCell ref="L11:N11"/>
    <mergeCell ref="O11:Q11"/>
    <mergeCell ref="R11:T11"/>
    <mergeCell ref="U11:V11"/>
    <mergeCell ref="W11:X11"/>
    <mergeCell ref="B13:F13"/>
    <mergeCell ref="G13:K13"/>
    <mergeCell ref="L13:N13"/>
    <mergeCell ref="O13:Q13"/>
    <mergeCell ref="R13:T13"/>
    <mergeCell ref="Y11:Z11"/>
    <mergeCell ref="AA11:AB11"/>
    <mergeCell ref="AC11:AD11"/>
    <mergeCell ref="AE11:AF11"/>
    <mergeCell ref="B12:F12"/>
    <mergeCell ref="G12:K12"/>
    <mergeCell ref="L12:N12"/>
    <mergeCell ref="O12:Q12"/>
    <mergeCell ref="R12:T12"/>
    <mergeCell ref="U12:V12"/>
    <mergeCell ref="U13:V13"/>
    <mergeCell ref="W13:X13"/>
    <mergeCell ref="B10:F10"/>
    <mergeCell ref="G10:K10"/>
    <mergeCell ref="L10:N10"/>
    <mergeCell ref="O10:Q10"/>
    <mergeCell ref="R10:T10"/>
    <mergeCell ref="U10:V10"/>
    <mergeCell ref="W10:X10"/>
    <mergeCell ref="Y10:Z10"/>
    <mergeCell ref="AA10:AB10"/>
  </mergeCells>
  <pageMargins left="0.25" right="0.25" top="0.25" bottom="0.25" header="0.2" footer="0.15"/>
  <pageSetup scale="85" orientation="landscape" r:id="rId1"/>
  <rowBreaks count="1" manualBreakCount="1">
    <brk id="4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8F6C-D9C0-4321-A63C-EBFD2326BB73}">
  <sheetPr>
    <tabColor theme="4"/>
  </sheetPr>
  <dimension ref="B1:AO69"/>
  <sheetViews>
    <sheetView showGridLines="0" zoomScale="80" zoomScaleNormal="80" workbookViewId="0">
      <selection activeCell="Y5" sqref="Y5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9" width="4.6640625" customWidth="1"/>
    <col min="40" max="40" width="11.6640625" customWidth="1"/>
    <col min="41" max="41" width="7.1640625" customWidth="1"/>
    <col min="42" max="72" width="4.6640625" customWidth="1"/>
  </cols>
  <sheetData>
    <row r="1" spans="2:32" x14ac:dyDescent="0.2">
      <c r="B1" s="24" t="s">
        <v>160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5" spans="2:32" ht="16" x14ac:dyDescent="0.2">
      <c r="B5" s="23" t="s">
        <v>85</v>
      </c>
      <c r="E5" s="6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/>
      <c r="E8" s="6"/>
      <c r="G8" s="6"/>
      <c r="L8" s="139" t="s">
        <v>10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</row>
    <row r="9" spans="2:32" s="5" customFormat="1" ht="25" customHeight="1" x14ac:dyDescent="0.2">
      <c r="B9" s="121" t="s">
        <v>371</v>
      </c>
      <c r="C9" s="121"/>
      <c r="D9" s="121"/>
      <c r="E9" s="121"/>
      <c r="F9" s="121"/>
      <c r="G9" s="122" t="s">
        <v>372</v>
      </c>
      <c r="H9" s="122"/>
      <c r="I9" s="122"/>
      <c r="J9" s="122"/>
      <c r="K9" s="123"/>
      <c r="L9" s="141" t="s">
        <v>18</v>
      </c>
      <c r="M9" s="141"/>
      <c r="N9" s="141"/>
      <c r="O9" s="141" t="s">
        <v>105</v>
      </c>
      <c r="P9" s="141"/>
      <c r="Q9" s="141"/>
      <c r="R9" s="141" t="s">
        <v>104</v>
      </c>
      <c r="S9" s="141"/>
      <c r="T9" s="141"/>
      <c r="U9" s="141" t="s">
        <v>96</v>
      </c>
      <c r="V9" s="141"/>
      <c r="W9" s="141" t="s">
        <v>16</v>
      </c>
      <c r="X9" s="141"/>
      <c r="Y9" s="141" t="s">
        <v>94</v>
      </c>
      <c r="Z9" s="141"/>
      <c r="AA9" s="141" t="s">
        <v>15</v>
      </c>
      <c r="AB9" s="141"/>
      <c r="AC9" s="141" t="s">
        <v>14</v>
      </c>
      <c r="AD9" s="141"/>
      <c r="AE9" s="142" t="s">
        <v>46</v>
      </c>
      <c r="AF9" s="142"/>
    </row>
    <row r="10" spans="2:32" ht="5" customHeight="1" x14ac:dyDescent="0.2">
      <c r="B10" s="4"/>
      <c r="C10" s="3"/>
      <c r="D10" s="3"/>
      <c r="E10" s="3"/>
      <c r="F10" s="3"/>
      <c r="G10" s="3"/>
      <c r="H10" s="3"/>
      <c r="I10" s="3"/>
      <c r="J10" s="3"/>
      <c r="K10" s="9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8"/>
      <c r="AF10" s="128"/>
    </row>
    <row r="11" spans="2:32" s="5" customFormat="1" ht="25" customHeight="1" x14ac:dyDescent="0.2">
      <c r="B11" s="129" t="s">
        <v>64</v>
      </c>
      <c r="C11" s="129"/>
      <c r="D11" s="129"/>
      <c r="E11" s="129"/>
      <c r="F11" s="130"/>
      <c r="G11" s="131" t="s">
        <v>69</v>
      </c>
      <c r="H11" s="131"/>
      <c r="I11" s="131"/>
      <c r="J11" s="131"/>
      <c r="K11" s="132"/>
      <c r="L11" s="125">
        <v>0.7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>
        <v>0.3</v>
      </c>
      <c r="AB11" s="125"/>
      <c r="AC11" s="125"/>
      <c r="AD11" s="125"/>
      <c r="AE11" s="134">
        <f>SUM(L11:AD11)</f>
        <v>1</v>
      </c>
      <c r="AF11" s="135"/>
    </row>
    <row r="12" spans="2:32" s="5" customFormat="1" ht="25" customHeight="1" x14ac:dyDescent="0.2">
      <c r="B12" s="129" t="s">
        <v>68</v>
      </c>
      <c r="C12" s="129"/>
      <c r="D12" s="129"/>
      <c r="E12" s="129"/>
      <c r="F12" s="130"/>
      <c r="G12" s="131" t="s">
        <v>70</v>
      </c>
      <c r="H12" s="131"/>
      <c r="I12" s="131"/>
      <c r="J12" s="131"/>
      <c r="K12" s="132"/>
      <c r="L12" s="125">
        <v>0.75</v>
      </c>
      <c r="M12" s="125"/>
      <c r="N12" s="125"/>
      <c r="O12" s="125"/>
      <c r="P12" s="125"/>
      <c r="Q12" s="125"/>
      <c r="R12" s="125">
        <v>0.15</v>
      </c>
      <c r="S12" s="125"/>
      <c r="T12" s="125"/>
      <c r="U12" s="125"/>
      <c r="V12" s="125"/>
      <c r="W12" s="125"/>
      <c r="X12" s="125"/>
      <c r="Y12" s="125"/>
      <c r="Z12" s="125"/>
      <c r="AA12" s="125">
        <v>0.1</v>
      </c>
      <c r="AB12" s="125"/>
      <c r="AC12" s="125"/>
      <c r="AD12" s="125"/>
      <c r="AE12" s="134">
        <f>SUM(L12:AD12)</f>
        <v>1</v>
      </c>
      <c r="AF12" s="135"/>
    </row>
    <row r="15" spans="2:32" x14ac:dyDescent="0.2">
      <c r="B15" s="2" t="s">
        <v>62</v>
      </c>
    </row>
    <row r="16" spans="2:32" ht="5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72" t="s">
        <v>9</v>
      </c>
      <c r="L16" s="273"/>
      <c r="M16" s="273"/>
      <c r="N16" s="27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ht="15" customHeight="1" x14ac:dyDescent="0.2">
      <c r="B17" s="250" t="s">
        <v>11</v>
      </c>
      <c r="C17" s="251" t="s">
        <v>10</v>
      </c>
      <c r="D17" s="252"/>
      <c r="E17" s="252"/>
      <c r="F17" s="252"/>
      <c r="G17" s="252"/>
      <c r="H17" s="252"/>
      <c r="I17" s="252"/>
      <c r="J17" s="253"/>
      <c r="K17" s="275"/>
      <c r="L17" s="276"/>
      <c r="M17" s="276"/>
      <c r="N17" s="277"/>
      <c r="O17" s="250" t="s">
        <v>8</v>
      </c>
      <c r="P17" s="250"/>
      <c r="Q17" s="250"/>
      <c r="R17" s="250"/>
      <c r="S17" s="250"/>
      <c r="T17" s="250"/>
      <c r="U17" s="250"/>
      <c r="V17" s="251" t="s">
        <v>7</v>
      </c>
      <c r="W17" s="252"/>
      <c r="X17" s="252"/>
      <c r="Y17" s="252"/>
      <c r="Z17" s="252"/>
      <c r="AA17" s="252"/>
      <c r="AB17" s="252"/>
      <c r="AC17" s="252"/>
      <c r="AD17" s="252"/>
      <c r="AE17" s="252"/>
      <c r="AF17" s="253"/>
    </row>
    <row r="18" spans="2:32" ht="20" customHeight="1" x14ac:dyDescent="0.2">
      <c r="B18" s="250"/>
      <c r="C18" s="254"/>
      <c r="D18" s="255"/>
      <c r="E18" s="255"/>
      <c r="F18" s="255"/>
      <c r="G18" s="255"/>
      <c r="H18" s="255"/>
      <c r="I18" s="255"/>
      <c r="J18" s="256"/>
      <c r="K18" s="257" t="s">
        <v>65</v>
      </c>
      <c r="L18" s="257"/>
      <c r="M18" s="257" t="s">
        <v>66</v>
      </c>
      <c r="N18" s="257"/>
      <c r="O18" s="250"/>
      <c r="P18" s="250"/>
      <c r="Q18" s="250"/>
      <c r="R18" s="250"/>
      <c r="S18" s="250"/>
      <c r="T18" s="250"/>
      <c r="U18" s="250"/>
      <c r="V18" s="254"/>
      <c r="W18" s="255"/>
      <c r="X18" s="255"/>
      <c r="Y18" s="255"/>
      <c r="Z18" s="255"/>
      <c r="AA18" s="255"/>
      <c r="AB18" s="255"/>
      <c r="AC18" s="255"/>
      <c r="AD18" s="255"/>
      <c r="AE18" s="255"/>
      <c r="AF18" s="256"/>
    </row>
    <row r="19" spans="2:32" ht="5" customHeight="1" x14ac:dyDescent="0.2">
      <c r="B19" s="1"/>
      <c r="C19" s="166"/>
      <c r="D19" s="167"/>
      <c r="E19" s="167"/>
      <c r="F19" s="167"/>
      <c r="G19" s="167"/>
      <c r="H19" s="167"/>
      <c r="I19" s="167"/>
      <c r="J19" s="168"/>
      <c r="K19" s="186"/>
      <c r="L19" s="186"/>
      <c r="M19" s="186"/>
      <c r="N19" s="186"/>
      <c r="O19" s="193"/>
      <c r="P19" s="193"/>
      <c r="Q19" s="193"/>
      <c r="R19" s="193"/>
      <c r="S19" s="193"/>
      <c r="T19" s="193"/>
      <c r="U19" s="193"/>
      <c r="V19" s="166"/>
      <c r="W19" s="167"/>
      <c r="X19" s="167"/>
      <c r="Y19" s="167"/>
      <c r="Z19" s="167"/>
      <c r="AA19" s="167"/>
      <c r="AB19" s="167"/>
      <c r="AC19" s="167"/>
      <c r="AD19" s="167"/>
      <c r="AE19" s="167"/>
      <c r="AF19" s="168"/>
    </row>
    <row r="20" spans="2:32" ht="14.5" customHeight="1" x14ac:dyDescent="0.2">
      <c r="B20" s="1">
        <v>1</v>
      </c>
      <c r="C20" s="200" t="s">
        <v>6</v>
      </c>
      <c r="D20" s="201"/>
      <c r="E20" s="201"/>
      <c r="F20" s="201"/>
      <c r="G20" s="201"/>
      <c r="H20" s="201"/>
      <c r="I20" s="201"/>
      <c r="J20" s="202"/>
      <c r="K20" s="175">
        <f>L11</f>
        <v>0.7</v>
      </c>
      <c r="L20" s="175"/>
      <c r="M20" s="175">
        <f>L12</f>
        <v>0.75</v>
      </c>
      <c r="N20" s="175"/>
      <c r="O20" s="176" t="s">
        <v>5</v>
      </c>
      <c r="P20" s="177"/>
      <c r="Q20" s="177"/>
      <c r="R20" s="177"/>
      <c r="S20" s="177"/>
      <c r="T20" s="177"/>
      <c r="U20" s="178"/>
      <c r="V20" s="177" t="s">
        <v>54</v>
      </c>
      <c r="W20" s="177"/>
      <c r="X20" s="177"/>
      <c r="Y20" s="177"/>
      <c r="Z20" s="177"/>
      <c r="AA20" s="177"/>
      <c r="AB20" s="177"/>
      <c r="AC20" s="177"/>
      <c r="AD20" s="177"/>
      <c r="AE20" s="177"/>
      <c r="AF20" s="178"/>
    </row>
    <row r="21" spans="2:32" x14ac:dyDescent="0.2">
      <c r="B21" s="1">
        <v>2</v>
      </c>
      <c r="C21" s="200" t="s">
        <v>103</v>
      </c>
      <c r="D21" s="201"/>
      <c r="E21" s="201"/>
      <c r="F21" s="201"/>
      <c r="G21" s="201"/>
      <c r="H21" s="201"/>
      <c r="I21" s="201"/>
      <c r="J21" s="202"/>
      <c r="K21" s="175"/>
      <c r="L21" s="175"/>
      <c r="M21" s="175"/>
      <c r="N21" s="175"/>
      <c r="O21" s="179"/>
      <c r="P21" s="180"/>
      <c r="Q21" s="180"/>
      <c r="R21" s="180"/>
      <c r="S21" s="180"/>
      <c r="T21" s="180"/>
      <c r="U21" s="181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1"/>
    </row>
    <row r="22" spans="2:32" x14ac:dyDescent="0.2">
      <c r="B22" s="1">
        <v>3</v>
      </c>
      <c r="C22" s="200" t="s">
        <v>102</v>
      </c>
      <c r="D22" s="201"/>
      <c r="E22" s="201"/>
      <c r="F22" s="201"/>
      <c r="G22" s="201"/>
      <c r="H22" s="201"/>
      <c r="I22" s="201"/>
      <c r="J22" s="202"/>
      <c r="K22" s="175"/>
      <c r="L22" s="175"/>
      <c r="M22" s="175">
        <f>R12</f>
        <v>0.15</v>
      </c>
      <c r="N22" s="175"/>
      <c r="O22" s="179"/>
      <c r="P22" s="180"/>
      <c r="Q22" s="180"/>
      <c r="R22" s="180"/>
      <c r="S22" s="180"/>
      <c r="T22" s="180"/>
      <c r="U22" s="181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1"/>
    </row>
    <row r="23" spans="2:32" x14ac:dyDescent="0.2">
      <c r="B23" s="1">
        <v>4</v>
      </c>
      <c r="C23" s="200" t="s">
        <v>97</v>
      </c>
      <c r="D23" s="201"/>
      <c r="E23" s="201"/>
      <c r="F23" s="201"/>
      <c r="G23" s="201"/>
      <c r="H23" s="201"/>
      <c r="I23" s="201"/>
      <c r="J23" s="202"/>
      <c r="K23" s="175"/>
      <c r="L23" s="175"/>
      <c r="M23" s="175"/>
      <c r="N23" s="175"/>
      <c r="O23" s="179"/>
      <c r="P23" s="180"/>
      <c r="Q23" s="180"/>
      <c r="R23" s="180"/>
      <c r="S23" s="180"/>
      <c r="T23" s="180"/>
      <c r="U23" s="181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4"/>
    </row>
    <row r="24" spans="2:32" x14ac:dyDescent="0.2">
      <c r="B24" s="1">
        <v>5</v>
      </c>
      <c r="C24" s="200" t="s">
        <v>4</v>
      </c>
      <c r="D24" s="201"/>
      <c r="E24" s="201"/>
      <c r="F24" s="201"/>
      <c r="G24" s="201"/>
      <c r="H24" s="201"/>
      <c r="I24" s="201"/>
      <c r="J24" s="202"/>
      <c r="K24" s="175"/>
      <c r="L24" s="175"/>
      <c r="M24" s="175"/>
      <c r="N24" s="175"/>
      <c r="O24" s="179"/>
      <c r="P24" s="180"/>
      <c r="Q24" s="180"/>
      <c r="R24" s="180"/>
      <c r="S24" s="180"/>
      <c r="T24" s="180"/>
      <c r="U24" s="181"/>
      <c r="V24" s="177" t="s">
        <v>2</v>
      </c>
      <c r="W24" s="177"/>
      <c r="X24" s="177"/>
      <c r="Y24" s="177"/>
      <c r="Z24" s="177"/>
      <c r="AA24" s="177"/>
      <c r="AB24" s="177"/>
      <c r="AC24" s="177"/>
      <c r="AD24" s="177"/>
      <c r="AE24" s="177"/>
      <c r="AF24" s="178"/>
    </row>
    <row r="25" spans="2:32" ht="14.5" customHeight="1" x14ac:dyDescent="0.2">
      <c r="B25" s="1">
        <v>6</v>
      </c>
      <c r="C25" s="200" t="s">
        <v>362</v>
      </c>
      <c r="D25" s="201"/>
      <c r="E25" s="201"/>
      <c r="F25" s="201"/>
      <c r="G25" s="201"/>
      <c r="H25" s="201"/>
      <c r="I25" s="201"/>
      <c r="J25" s="202"/>
      <c r="K25" s="175"/>
      <c r="L25" s="175"/>
      <c r="M25" s="175"/>
      <c r="N25" s="175"/>
      <c r="O25" s="179"/>
      <c r="P25" s="180"/>
      <c r="Q25" s="180"/>
      <c r="R25" s="180"/>
      <c r="S25" s="180"/>
      <c r="T25" s="180"/>
      <c r="U25" s="181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1"/>
    </row>
    <row r="26" spans="2:32" x14ac:dyDescent="0.2">
      <c r="B26" s="1">
        <v>7</v>
      </c>
      <c r="C26" s="200" t="s">
        <v>1</v>
      </c>
      <c r="D26" s="201"/>
      <c r="E26" s="201"/>
      <c r="F26" s="201"/>
      <c r="G26" s="201"/>
      <c r="H26" s="201"/>
      <c r="I26" s="201"/>
      <c r="J26" s="202"/>
      <c r="K26" s="175">
        <f>AA11</f>
        <v>0.3</v>
      </c>
      <c r="L26" s="175"/>
      <c r="M26" s="175">
        <f>AA12</f>
        <v>0.1</v>
      </c>
      <c r="N26" s="175"/>
      <c r="O26" s="179"/>
      <c r="P26" s="180"/>
      <c r="Q26" s="180"/>
      <c r="R26" s="180"/>
      <c r="S26" s="180"/>
      <c r="T26" s="180"/>
      <c r="U26" s="181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1"/>
    </row>
    <row r="27" spans="2:32" x14ac:dyDescent="0.2">
      <c r="B27" s="1">
        <v>8</v>
      </c>
      <c r="C27" s="200" t="s">
        <v>0</v>
      </c>
      <c r="D27" s="201"/>
      <c r="E27" s="201"/>
      <c r="F27" s="201"/>
      <c r="G27" s="201"/>
      <c r="H27" s="201"/>
      <c r="I27" s="201"/>
      <c r="J27" s="202"/>
      <c r="K27" s="175"/>
      <c r="L27" s="175"/>
      <c r="M27" s="175"/>
      <c r="N27" s="175"/>
      <c r="O27" s="182"/>
      <c r="P27" s="183"/>
      <c r="Q27" s="183"/>
      <c r="R27" s="183"/>
      <c r="S27" s="183"/>
      <c r="T27" s="183"/>
      <c r="U27" s="184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4"/>
    </row>
    <row r="28" spans="2:32" x14ac:dyDescent="0.2">
      <c r="K28" s="213">
        <f>SUM(K20:L27)</f>
        <v>1</v>
      </c>
      <c r="L28" s="213"/>
      <c r="M28" s="213">
        <f>SUM(M20:N27)</f>
        <v>1</v>
      </c>
      <c r="N28" s="213"/>
    </row>
    <row r="30" spans="2:32" x14ac:dyDescent="0.2">
      <c r="B30" t="s">
        <v>77</v>
      </c>
    </row>
    <row r="31" spans="2:32" x14ac:dyDescent="0.2">
      <c r="B31" s="29" t="s">
        <v>18</v>
      </c>
      <c r="C31" s="26"/>
      <c r="F31" s="6" t="s">
        <v>126</v>
      </c>
    </row>
    <row r="32" spans="2:32" x14ac:dyDescent="0.2">
      <c r="B32" s="29" t="s">
        <v>121</v>
      </c>
      <c r="C32" s="26"/>
      <c r="F32" s="6" t="s">
        <v>125</v>
      </c>
    </row>
    <row r="33" spans="2:37" x14ac:dyDescent="0.2">
      <c r="B33" s="29" t="s">
        <v>122</v>
      </c>
      <c r="C33" s="26"/>
      <c r="F33" s="6" t="s">
        <v>127</v>
      </c>
    </row>
    <row r="34" spans="2:37" x14ac:dyDescent="0.2">
      <c r="B34" s="29" t="s">
        <v>123</v>
      </c>
      <c r="C34" s="26"/>
      <c r="F34" s="6" t="s">
        <v>128</v>
      </c>
    </row>
    <row r="35" spans="2:37" x14ac:dyDescent="0.2">
      <c r="B35" s="29"/>
      <c r="C35" s="26"/>
      <c r="F35" s="6" t="s">
        <v>138</v>
      </c>
    </row>
    <row r="36" spans="2:37" x14ac:dyDescent="0.2">
      <c r="B36" s="29" t="s">
        <v>124</v>
      </c>
      <c r="C36" s="26"/>
      <c r="F36" s="6" t="s">
        <v>130</v>
      </c>
    </row>
    <row r="37" spans="2:37" x14ac:dyDescent="0.2">
      <c r="B37" s="29" t="s">
        <v>129</v>
      </c>
      <c r="C37" s="26"/>
      <c r="F37" s="6" t="s">
        <v>131</v>
      </c>
    </row>
    <row r="38" spans="2:37" x14ac:dyDescent="0.2">
      <c r="B38" s="29" t="s">
        <v>363</v>
      </c>
      <c r="C38" s="26"/>
      <c r="F38" s="6" t="s">
        <v>364</v>
      </c>
    </row>
    <row r="39" spans="2:37" x14ac:dyDescent="0.2">
      <c r="B39" s="29" t="s">
        <v>133</v>
      </c>
      <c r="C39" s="26"/>
      <c r="F39" s="6" t="s">
        <v>135</v>
      </c>
    </row>
    <row r="40" spans="2:37" x14ac:dyDescent="0.2">
      <c r="B40" s="29" t="s">
        <v>134</v>
      </c>
      <c r="C40" s="26"/>
      <c r="F40" s="6" t="s">
        <v>137</v>
      </c>
    </row>
    <row r="44" spans="2:37" x14ac:dyDescent="0.2">
      <c r="B44" s="2" t="s">
        <v>63</v>
      </c>
    </row>
    <row r="45" spans="2:37" x14ac:dyDescent="0.2">
      <c r="B45" t="s">
        <v>71</v>
      </c>
    </row>
    <row r="46" spans="2:37" ht="5" customHeight="1" x14ac:dyDescent="0.2"/>
    <row r="47" spans="2:37" x14ac:dyDescent="0.2">
      <c r="B47" s="2"/>
      <c r="C47" s="2"/>
      <c r="D47" s="2"/>
      <c r="E47" s="2"/>
      <c r="F47" s="2"/>
      <c r="G47" s="2"/>
      <c r="H47" s="12"/>
      <c r="I47" s="2"/>
      <c r="J47" s="1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 t="s">
        <v>10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spans="2:37" s="5" customFormat="1" ht="25" customHeight="1" x14ac:dyDescent="0.2">
      <c r="B48" s="260" t="s">
        <v>20</v>
      </c>
      <c r="C48" s="260"/>
      <c r="D48" s="260"/>
      <c r="E48" s="260"/>
      <c r="F48" s="260"/>
      <c r="G48" s="261"/>
      <c r="H48" s="262" t="s">
        <v>19</v>
      </c>
      <c r="I48" s="263"/>
      <c r="J48" s="264"/>
      <c r="K48" s="258" t="s">
        <v>18</v>
      </c>
      <c r="L48" s="259"/>
      <c r="M48" s="265"/>
      <c r="N48" s="258" t="s">
        <v>105</v>
      </c>
      <c r="O48" s="259"/>
      <c r="P48" s="265"/>
      <c r="Q48" s="258" t="s">
        <v>104</v>
      </c>
      <c r="R48" s="259"/>
      <c r="S48" s="265"/>
      <c r="T48" s="258" t="s">
        <v>96</v>
      </c>
      <c r="U48" s="259"/>
      <c r="V48" s="265"/>
      <c r="W48" s="258" t="s">
        <v>16</v>
      </c>
      <c r="X48" s="259"/>
      <c r="Y48" s="265"/>
      <c r="Z48" s="258" t="s">
        <v>94</v>
      </c>
      <c r="AA48" s="259"/>
      <c r="AB48" s="265"/>
      <c r="AC48" s="258" t="s">
        <v>15</v>
      </c>
      <c r="AD48" s="259"/>
      <c r="AE48" s="265"/>
      <c r="AF48" s="258" t="s">
        <v>14</v>
      </c>
      <c r="AG48" s="259"/>
      <c r="AH48" s="259"/>
      <c r="AI48"/>
      <c r="AJ48"/>
      <c r="AK48"/>
    </row>
    <row r="49" spans="2:41" ht="5" customHeight="1" x14ac:dyDescent="0.2">
      <c r="B49" s="4"/>
      <c r="C49" s="3"/>
      <c r="D49" s="3"/>
      <c r="E49" s="3"/>
      <c r="F49" s="3"/>
      <c r="G49" s="3"/>
      <c r="H49" s="3"/>
      <c r="I49" s="3"/>
      <c r="J49" s="3"/>
      <c r="K49" s="166"/>
      <c r="L49" s="167"/>
      <c r="M49" s="168"/>
      <c r="N49" s="166"/>
      <c r="O49" s="167"/>
      <c r="P49" s="168"/>
      <c r="Q49" s="166"/>
      <c r="R49" s="167"/>
      <c r="S49" s="168"/>
      <c r="T49" s="166"/>
      <c r="U49" s="167"/>
      <c r="V49" s="168"/>
      <c r="W49" s="166"/>
      <c r="X49" s="167"/>
      <c r="Y49" s="168"/>
      <c r="Z49" s="166"/>
      <c r="AA49" s="167"/>
      <c r="AB49" s="168"/>
      <c r="AC49" s="166"/>
      <c r="AD49" s="167"/>
      <c r="AE49" s="168"/>
      <c r="AF49" s="166"/>
      <c r="AG49" s="167"/>
      <c r="AH49" s="168"/>
    </row>
    <row r="50" spans="2:41" s="5" customFormat="1" ht="20" customHeight="1" x14ac:dyDescent="0.2">
      <c r="B50" s="146" t="s">
        <v>55</v>
      </c>
      <c r="C50" s="147"/>
      <c r="D50" s="147"/>
      <c r="E50" s="147"/>
      <c r="F50" s="147"/>
      <c r="G50" s="148"/>
      <c r="H50" s="149">
        <v>375000</v>
      </c>
      <c r="I50" s="149"/>
      <c r="J50" s="149"/>
      <c r="K50" s="150">
        <f>$H50*$K$20</f>
        <v>262500</v>
      </c>
      <c r="L50" s="151"/>
      <c r="M50" s="152"/>
      <c r="N50" s="143">
        <f>$H50*$K$21</f>
        <v>0</v>
      </c>
      <c r="O50" s="144"/>
      <c r="P50" s="145"/>
      <c r="Q50" s="143">
        <f>$H50*$K$22</f>
        <v>0</v>
      </c>
      <c r="R50" s="144"/>
      <c r="S50" s="145"/>
      <c r="T50" s="143">
        <f>$H50*$K$23</f>
        <v>0</v>
      </c>
      <c r="U50" s="144"/>
      <c r="V50" s="145"/>
      <c r="W50" s="143">
        <f>$H50*$K$24</f>
        <v>0</v>
      </c>
      <c r="X50" s="144"/>
      <c r="Y50" s="145"/>
      <c r="Z50" s="143">
        <f>$H50*$K$25</f>
        <v>0</v>
      </c>
      <c r="AA50" s="144"/>
      <c r="AB50" s="145"/>
      <c r="AC50" s="143">
        <f>$H50*$K$26</f>
        <v>112500</v>
      </c>
      <c r="AD50" s="144"/>
      <c r="AE50" s="145"/>
      <c r="AF50" s="143">
        <f>$H50*$K$27</f>
        <v>0</v>
      </c>
      <c r="AG50" s="144"/>
      <c r="AH50" s="145"/>
      <c r="AN50" s="36">
        <f>H50/$H$53</f>
        <v>0.25</v>
      </c>
      <c r="AO50" s="37"/>
    </row>
    <row r="51" spans="2:41" s="5" customFormat="1" ht="20" customHeight="1" x14ac:dyDescent="0.2">
      <c r="B51" s="146" t="s">
        <v>56</v>
      </c>
      <c r="C51" s="147"/>
      <c r="D51" s="147"/>
      <c r="E51" s="147"/>
      <c r="F51" s="147"/>
      <c r="G51" s="148"/>
      <c r="H51" s="149">
        <v>675000</v>
      </c>
      <c r="I51" s="149"/>
      <c r="J51" s="149"/>
      <c r="K51" s="150">
        <f>$H51*$K$20</f>
        <v>472499.99999999994</v>
      </c>
      <c r="L51" s="151"/>
      <c r="M51" s="152"/>
      <c r="N51" s="143">
        <f>$H51*$K$21</f>
        <v>0</v>
      </c>
      <c r="O51" s="144"/>
      <c r="P51" s="145"/>
      <c r="Q51" s="143">
        <f>$H51*$K$22</f>
        <v>0</v>
      </c>
      <c r="R51" s="144"/>
      <c r="S51" s="145"/>
      <c r="T51" s="143">
        <f>$H51*$K$23</f>
        <v>0</v>
      </c>
      <c r="U51" s="144"/>
      <c r="V51" s="145"/>
      <c r="W51" s="143">
        <f>$H51*$K$24</f>
        <v>0</v>
      </c>
      <c r="X51" s="144"/>
      <c r="Y51" s="145"/>
      <c r="Z51" s="143">
        <f>$H51*$K$25</f>
        <v>0</v>
      </c>
      <c r="AA51" s="144"/>
      <c r="AB51" s="145"/>
      <c r="AC51" s="143">
        <f>$H51*$K$26</f>
        <v>202500</v>
      </c>
      <c r="AD51" s="144"/>
      <c r="AE51" s="145"/>
      <c r="AF51" s="143">
        <f>$H51*$K$27</f>
        <v>0</v>
      </c>
      <c r="AG51" s="144"/>
      <c r="AH51" s="145"/>
      <c r="AN51" s="36">
        <f>H51/$H$53</f>
        <v>0.45</v>
      </c>
      <c r="AO51" s="38">
        <f>AN51-AN50</f>
        <v>0.2</v>
      </c>
    </row>
    <row r="52" spans="2:41" s="5" customFormat="1" ht="20" customHeight="1" x14ac:dyDescent="0.2">
      <c r="B52" s="146" t="s">
        <v>57</v>
      </c>
      <c r="C52" s="147"/>
      <c r="D52" s="147"/>
      <c r="E52" s="147"/>
      <c r="F52" s="147"/>
      <c r="G52" s="148"/>
      <c r="H52" s="149">
        <v>1050000</v>
      </c>
      <c r="I52" s="149"/>
      <c r="J52" s="149"/>
      <c r="K52" s="150">
        <f>$H52*$K$20</f>
        <v>735000</v>
      </c>
      <c r="L52" s="151"/>
      <c r="M52" s="152"/>
      <c r="N52" s="143">
        <f>$H52*$K$21</f>
        <v>0</v>
      </c>
      <c r="O52" s="144"/>
      <c r="P52" s="145"/>
      <c r="Q52" s="143">
        <f>$H52*$K$22</f>
        <v>0</v>
      </c>
      <c r="R52" s="144"/>
      <c r="S52" s="145"/>
      <c r="T52" s="143">
        <f>$H52*$K$23</f>
        <v>0</v>
      </c>
      <c r="U52" s="144"/>
      <c r="V52" s="145"/>
      <c r="W52" s="143">
        <f>$H52*$K$24</f>
        <v>0</v>
      </c>
      <c r="X52" s="144"/>
      <c r="Y52" s="145"/>
      <c r="Z52" s="143">
        <f>$H52*$K$25</f>
        <v>0</v>
      </c>
      <c r="AA52" s="144"/>
      <c r="AB52" s="145"/>
      <c r="AC52" s="143">
        <f>$H52*$K$26</f>
        <v>315000</v>
      </c>
      <c r="AD52" s="144"/>
      <c r="AE52" s="145"/>
      <c r="AF52" s="143">
        <f>$H52*$K$27</f>
        <v>0</v>
      </c>
      <c r="AG52" s="144"/>
      <c r="AH52" s="145"/>
      <c r="AN52" s="36">
        <f>H52/$H$53</f>
        <v>0.7</v>
      </c>
      <c r="AO52" s="38">
        <f>AN52-AN51</f>
        <v>0.24999999999999994</v>
      </c>
    </row>
    <row r="53" spans="2:41" s="5" customFormat="1" ht="20" customHeight="1" x14ac:dyDescent="0.2">
      <c r="B53" s="153" t="s">
        <v>58</v>
      </c>
      <c r="C53" s="154"/>
      <c r="D53" s="154"/>
      <c r="E53" s="154"/>
      <c r="F53" s="154"/>
      <c r="G53" s="155"/>
      <c r="H53" s="156">
        <v>1500000</v>
      </c>
      <c r="I53" s="156"/>
      <c r="J53" s="156"/>
      <c r="K53" s="266">
        <f>$H53*$K$20</f>
        <v>1050000</v>
      </c>
      <c r="L53" s="267"/>
      <c r="M53" s="268"/>
      <c r="N53" s="269">
        <f>$H53*$K$21</f>
        <v>0</v>
      </c>
      <c r="O53" s="270"/>
      <c r="P53" s="271"/>
      <c r="Q53" s="269">
        <f>$H53*$K$22</f>
        <v>0</v>
      </c>
      <c r="R53" s="270"/>
      <c r="S53" s="271"/>
      <c r="T53" s="269">
        <f>$H53*$K$23</f>
        <v>0</v>
      </c>
      <c r="U53" s="270"/>
      <c r="V53" s="271"/>
      <c r="W53" s="269">
        <f>$H53*$K$24</f>
        <v>0</v>
      </c>
      <c r="X53" s="270"/>
      <c r="Y53" s="271"/>
      <c r="Z53" s="269">
        <f>$H53*$K$25</f>
        <v>0</v>
      </c>
      <c r="AA53" s="270"/>
      <c r="AB53" s="271"/>
      <c r="AC53" s="269">
        <f>$H53*$K$26</f>
        <v>450000</v>
      </c>
      <c r="AD53" s="270"/>
      <c r="AE53" s="271"/>
      <c r="AF53" s="269">
        <f>$H53*$K$27</f>
        <v>0</v>
      </c>
      <c r="AG53" s="270"/>
      <c r="AH53" s="271"/>
      <c r="AN53" s="36">
        <f>H53/$H$53</f>
        <v>1</v>
      </c>
      <c r="AO53" s="38">
        <f>AN53-AN52</f>
        <v>0.30000000000000004</v>
      </c>
    </row>
    <row r="54" spans="2:41" s="5" customFormat="1" ht="20" customHeight="1" x14ac:dyDescent="0.2">
      <c r="B54" s="146" t="s">
        <v>13</v>
      </c>
      <c r="C54" s="147"/>
      <c r="D54" s="147"/>
      <c r="E54" s="147"/>
      <c r="F54" s="147"/>
      <c r="G54" s="148"/>
      <c r="H54" s="149">
        <v>2000000</v>
      </c>
      <c r="I54" s="149"/>
      <c r="J54" s="149"/>
      <c r="K54" s="150">
        <f>$H54*$K$20</f>
        <v>1400000</v>
      </c>
      <c r="L54" s="151"/>
      <c r="M54" s="152"/>
      <c r="N54" s="143">
        <f>$H54*$K$21</f>
        <v>0</v>
      </c>
      <c r="O54" s="144"/>
      <c r="P54" s="145"/>
      <c r="Q54" s="143">
        <f>$H54*$K$22</f>
        <v>0</v>
      </c>
      <c r="R54" s="144"/>
      <c r="S54" s="145"/>
      <c r="T54" s="143">
        <f>$H54*$K$23</f>
        <v>0</v>
      </c>
      <c r="U54" s="144"/>
      <c r="V54" s="145"/>
      <c r="W54" s="143">
        <f>$H54*$K$24</f>
        <v>0</v>
      </c>
      <c r="X54" s="144"/>
      <c r="Y54" s="145"/>
      <c r="Z54" s="143">
        <f>$H54*$K$25</f>
        <v>0</v>
      </c>
      <c r="AA54" s="144"/>
      <c r="AB54" s="145"/>
      <c r="AC54" s="143">
        <f>$H54*$K$26</f>
        <v>600000</v>
      </c>
      <c r="AD54" s="144"/>
      <c r="AE54" s="145"/>
      <c r="AF54" s="143">
        <f>$H54*$K$27</f>
        <v>0</v>
      </c>
      <c r="AG54" s="144"/>
      <c r="AH54" s="145"/>
      <c r="AN54" s="36">
        <f>H54/$H$53</f>
        <v>1.3333333333333333</v>
      </c>
      <c r="AO54" s="38">
        <f>AN54-AN53</f>
        <v>0.33333333333333326</v>
      </c>
    </row>
    <row r="55" spans="2:41" x14ac:dyDescent="0.2">
      <c r="AN55" s="39"/>
      <c r="AO55" s="40"/>
    </row>
    <row r="56" spans="2:41" x14ac:dyDescent="0.2">
      <c r="AN56" s="39"/>
      <c r="AO56" s="40"/>
    </row>
    <row r="57" spans="2:41" x14ac:dyDescent="0.2">
      <c r="AN57" s="39"/>
      <c r="AO57" s="40"/>
    </row>
    <row r="58" spans="2:41" x14ac:dyDescent="0.2">
      <c r="B58" s="2" t="s">
        <v>63</v>
      </c>
      <c r="AN58" s="40"/>
      <c r="AO58" s="40"/>
    </row>
    <row r="59" spans="2:41" x14ac:dyDescent="0.2">
      <c r="B59" t="s">
        <v>72</v>
      </c>
      <c r="AN59" s="40"/>
      <c r="AO59" s="40"/>
    </row>
    <row r="60" spans="2:41" ht="5" customHeight="1" x14ac:dyDescent="0.2">
      <c r="AN60" s="40"/>
      <c r="AO60" s="40"/>
    </row>
    <row r="61" spans="2:41" x14ac:dyDescent="0.2">
      <c r="B61" s="2"/>
      <c r="C61" s="2"/>
      <c r="D61" s="2"/>
      <c r="E61" s="2"/>
      <c r="F61" s="2"/>
      <c r="G61" s="2"/>
      <c r="H61" s="12"/>
      <c r="I61" s="2"/>
      <c r="J61" s="1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 t="s">
        <v>10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N61" s="40"/>
      <c r="AO61" s="40"/>
    </row>
    <row r="62" spans="2:41" s="5" customFormat="1" ht="25" customHeight="1" x14ac:dyDescent="0.2">
      <c r="B62" s="260" t="s">
        <v>20</v>
      </c>
      <c r="C62" s="260"/>
      <c r="D62" s="260"/>
      <c r="E62" s="260"/>
      <c r="F62" s="260"/>
      <c r="G62" s="261"/>
      <c r="H62" s="262" t="s">
        <v>19</v>
      </c>
      <c r="I62" s="263"/>
      <c r="J62" s="264"/>
      <c r="K62" s="258" t="s">
        <v>18</v>
      </c>
      <c r="L62" s="259"/>
      <c r="M62" s="265"/>
      <c r="N62" s="258" t="s">
        <v>105</v>
      </c>
      <c r="O62" s="259"/>
      <c r="P62" s="265"/>
      <c r="Q62" s="258" t="s">
        <v>104</v>
      </c>
      <c r="R62" s="259"/>
      <c r="S62" s="265"/>
      <c r="T62" s="258" t="s">
        <v>96</v>
      </c>
      <c r="U62" s="259"/>
      <c r="V62" s="265"/>
      <c r="W62" s="258" t="s">
        <v>16</v>
      </c>
      <c r="X62" s="259"/>
      <c r="Y62" s="265"/>
      <c r="Z62" s="258" t="s">
        <v>94</v>
      </c>
      <c r="AA62" s="259"/>
      <c r="AB62" s="265"/>
      <c r="AC62" s="258" t="s">
        <v>15</v>
      </c>
      <c r="AD62" s="259"/>
      <c r="AE62" s="265"/>
      <c r="AF62" s="258" t="s">
        <v>14</v>
      </c>
      <c r="AG62" s="259"/>
      <c r="AH62" s="259"/>
      <c r="AI62"/>
      <c r="AJ62"/>
      <c r="AK62"/>
      <c r="AN62" s="37"/>
      <c r="AO62" s="37"/>
    </row>
    <row r="63" spans="2:41" ht="5" customHeight="1" x14ac:dyDescent="0.2">
      <c r="B63" s="4"/>
      <c r="C63" s="3"/>
      <c r="D63" s="3"/>
      <c r="E63" s="3"/>
      <c r="F63" s="3"/>
      <c r="G63" s="3"/>
      <c r="H63" s="3"/>
      <c r="I63" s="3"/>
      <c r="J63" s="3"/>
      <c r="K63" s="166"/>
      <c r="L63" s="167"/>
      <c r="M63" s="168"/>
      <c r="N63" s="166"/>
      <c r="O63" s="167"/>
      <c r="P63" s="168"/>
      <c r="Q63" s="166"/>
      <c r="R63" s="167"/>
      <c r="S63" s="168"/>
      <c r="T63" s="166"/>
      <c r="U63" s="167"/>
      <c r="V63" s="168"/>
      <c r="W63" s="166"/>
      <c r="X63" s="167"/>
      <c r="Y63" s="168"/>
      <c r="Z63" s="166"/>
      <c r="AA63" s="167"/>
      <c r="AB63" s="168"/>
      <c r="AC63" s="166"/>
      <c r="AD63" s="167"/>
      <c r="AE63" s="168"/>
      <c r="AF63" s="166"/>
      <c r="AG63" s="167"/>
      <c r="AH63" s="168"/>
      <c r="AN63" s="40"/>
      <c r="AO63" s="40"/>
    </row>
    <row r="64" spans="2:41" s="5" customFormat="1" ht="20" customHeight="1" x14ac:dyDescent="0.2">
      <c r="B64" s="146" t="s">
        <v>55</v>
      </c>
      <c r="C64" s="147"/>
      <c r="D64" s="147"/>
      <c r="E64" s="147"/>
      <c r="F64" s="147"/>
      <c r="G64" s="148"/>
      <c r="H64" s="149">
        <v>375000</v>
      </c>
      <c r="I64" s="149"/>
      <c r="J64" s="149"/>
      <c r="K64" s="150">
        <f>$H64*$M$20</f>
        <v>281250</v>
      </c>
      <c r="L64" s="151"/>
      <c r="M64" s="152"/>
      <c r="N64" s="143">
        <f>$H64*$M$21</f>
        <v>0</v>
      </c>
      <c r="O64" s="144"/>
      <c r="P64" s="145"/>
      <c r="Q64" s="143">
        <f>$H64*$M$22</f>
        <v>56250</v>
      </c>
      <c r="R64" s="144"/>
      <c r="S64" s="145"/>
      <c r="T64" s="143">
        <f>$H64*$M$23</f>
        <v>0</v>
      </c>
      <c r="U64" s="144"/>
      <c r="V64" s="145"/>
      <c r="W64" s="143">
        <f>$H64*$M$24</f>
        <v>0</v>
      </c>
      <c r="X64" s="144"/>
      <c r="Y64" s="145"/>
      <c r="Z64" s="143">
        <f>$H64*$M$25</f>
        <v>0</v>
      </c>
      <c r="AA64" s="144"/>
      <c r="AB64" s="145"/>
      <c r="AC64" s="143">
        <f>$H64*$M$26</f>
        <v>37500</v>
      </c>
      <c r="AD64" s="144"/>
      <c r="AE64" s="145"/>
      <c r="AF64" s="143">
        <f>$H64*$M$27</f>
        <v>0</v>
      </c>
      <c r="AG64" s="144"/>
      <c r="AH64" s="145"/>
      <c r="AN64" s="36">
        <f>H64/$H$67</f>
        <v>0.25</v>
      </c>
      <c r="AO64" s="37"/>
    </row>
    <row r="65" spans="2:41" s="5" customFormat="1" ht="20" customHeight="1" x14ac:dyDescent="0.2">
      <c r="B65" s="146" t="s">
        <v>56</v>
      </c>
      <c r="C65" s="147"/>
      <c r="D65" s="147"/>
      <c r="E65" s="147"/>
      <c r="F65" s="147"/>
      <c r="G65" s="148"/>
      <c r="H65" s="149">
        <v>675000</v>
      </c>
      <c r="I65" s="149"/>
      <c r="J65" s="149"/>
      <c r="K65" s="150">
        <f>$H65*$M$20</f>
        <v>506250</v>
      </c>
      <c r="L65" s="151"/>
      <c r="M65" s="152"/>
      <c r="N65" s="143">
        <f>$H65*$M$21</f>
        <v>0</v>
      </c>
      <c r="O65" s="144"/>
      <c r="P65" s="145"/>
      <c r="Q65" s="143">
        <f>$H65*$M$22</f>
        <v>101250</v>
      </c>
      <c r="R65" s="144"/>
      <c r="S65" s="145"/>
      <c r="T65" s="143">
        <f>$H65*$M$23</f>
        <v>0</v>
      </c>
      <c r="U65" s="144"/>
      <c r="V65" s="145"/>
      <c r="W65" s="143">
        <f>$H65*$M$24</f>
        <v>0</v>
      </c>
      <c r="X65" s="144"/>
      <c r="Y65" s="145"/>
      <c r="Z65" s="143">
        <f>$H65*$M$25</f>
        <v>0</v>
      </c>
      <c r="AA65" s="144"/>
      <c r="AB65" s="145"/>
      <c r="AC65" s="143">
        <f>$H65*$M$26</f>
        <v>67500</v>
      </c>
      <c r="AD65" s="144"/>
      <c r="AE65" s="145"/>
      <c r="AF65" s="143">
        <f>$H65*$M$27</f>
        <v>0</v>
      </c>
      <c r="AG65" s="144"/>
      <c r="AH65" s="145"/>
      <c r="AN65" s="36">
        <f>H65/$H$67</f>
        <v>0.45</v>
      </c>
      <c r="AO65" s="38">
        <f>AN65-AN64</f>
        <v>0.2</v>
      </c>
    </row>
    <row r="66" spans="2:41" s="5" customFormat="1" ht="20" customHeight="1" x14ac:dyDescent="0.2">
      <c r="B66" s="146" t="s">
        <v>57</v>
      </c>
      <c r="C66" s="147"/>
      <c r="D66" s="147"/>
      <c r="E66" s="147"/>
      <c r="F66" s="147"/>
      <c r="G66" s="148"/>
      <c r="H66" s="149">
        <v>1050000</v>
      </c>
      <c r="I66" s="149"/>
      <c r="J66" s="149"/>
      <c r="K66" s="150">
        <f>$H66*$M$20</f>
        <v>787500</v>
      </c>
      <c r="L66" s="151"/>
      <c r="M66" s="152"/>
      <c r="N66" s="143">
        <f>$H66*$M$21</f>
        <v>0</v>
      </c>
      <c r="O66" s="144"/>
      <c r="P66" s="145"/>
      <c r="Q66" s="143">
        <f>$H66*$M$22</f>
        <v>157500</v>
      </c>
      <c r="R66" s="144"/>
      <c r="S66" s="145"/>
      <c r="T66" s="143">
        <f>$H66*$M$23</f>
        <v>0</v>
      </c>
      <c r="U66" s="144"/>
      <c r="V66" s="145"/>
      <c r="W66" s="143">
        <f>$H66*$M$24</f>
        <v>0</v>
      </c>
      <c r="X66" s="144"/>
      <c r="Y66" s="145"/>
      <c r="Z66" s="143">
        <f>$H66*$M$25</f>
        <v>0</v>
      </c>
      <c r="AA66" s="144"/>
      <c r="AB66" s="145"/>
      <c r="AC66" s="143">
        <f>$H66*$M$26</f>
        <v>105000</v>
      </c>
      <c r="AD66" s="144"/>
      <c r="AE66" s="145"/>
      <c r="AF66" s="143">
        <f>$H66*$M$27</f>
        <v>0</v>
      </c>
      <c r="AG66" s="144"/>
      <c r="AH66" s="145"/>
      <c r="AN66" s="36">
        <f>H66/$H$67</f>
        <v>0.7</v>
      </c>
      <c r="AO66" s="38">
        <f>AN66-AN65</f>
        <v>0.24999999999999994</v>
      </c>
    </row>
    <row r="67" spans="2:41" s="5" customFormat="1" ht="20" customHeight="1" x14ac:dyDescent="0.2">
      <c r="B67" s="153" t="s">
        <v>58</v>
      </c>
      <c r="C67" s="154"/>
      <c r="D67" s="154"/>
      <c r="E67" s="154"/>
      <c r="F67" s="154"/>
      <c r="G67" s="155"/>
      <c r="H67" s="156">
        <v>1500000</v>
      </c>
      <c r="I67" s="156"/>
      <c r="J67" s="156"/>
      <c r="K67" s="266">
        <f>$H67*$M$20</f>
        <v>1125000</v>
      </c>
      <c r="L67" s="267"/>
      <c r="M67" s="268"/>
      <c r="N67" s="269">
        <f>$H67*$M$21</f>
        <v>0</v>
      </c>
      <c r="O67" s="270"/>
      <c r="P67" s="271"/>
      <c r="Q67" s="269">
        <f>$H67*$M$22</f>
        <v>225000</v>
      </c>
      <c r="R67" s="270"/>
      <c r="S67" s="271"/>
      <c r="T67" s="269">
        <f>$H67*$M$23</f>
        <v>0</v>
      </c>
      <c r="U67" s="270"/>
      <c r="V67" s="271"/>
      <c r="W67" s="269">
        <f>$H67*$M$24</f>
        <v>0</v>
      </c>
      <c r="X67" s="270"/>
      <c r="Y67" s="271"/>
      <c r="Z67" s="269">
        <f>$H67*$M$25</f>
        <v>0</v>
      </c>
      <c r="AA67" s="270"/>
      <c r="AB67" s="271"/>
      <c r="AC67" s="269">
        <f>$H67*$M$26</f>
        <v>150000</v>
      </c>
      <c r="AD67" s="270"/>
      <c r="AE67" s="271"/>
      <c r="AF67" s="269">
        <f>$H67*$M$27</f>
        <v>0</v>
      </c>
      <c r="AG67" s="270"/>
      <c r="AH67" s="271"/>
      <c r="AN67" s="36">
        <f>H67/$H$67</f>
        <v>1</v>
      </c>
      <c r="AO67" s="38">
        <f>AN67-AN66</f>
        <v>0.30000000000000004</v>
      </c>
    </row>
    <row r="68" spans="2:41" s="5" customFormat="1" ht="20" customHeight="1" x14ac:dyDescent="0.2">
      <c r="B68" s="146" t="s">
        <v>13</v>
      </c>
      <c r="C68" s="147"/>
      <c r="D68" s="147"/>
      <c r="E68" s="147"/>
      <c r="F68" s="147"/>
      <c r="G68" s="148"/>
      <c r="H68" s="149">
        <v>2000000</v>
      </c>
      <c r="I68" s="149"/>
      <c r="J68" s="149"/>
      <c r="K68" s="150">
        <f>$H68*$M$20</f>
        <v>1500000</v>
      </c>
      <c r="L68" s="151"/>
      <c r="M68" s="152"/>
      <c r="N68" s="143">
        <f>$H68*$M$21</f>
        <v>0</v>
      </c>
      <c r="O68" s="144"/>
      <c r="P68" s="145"/>
      <c r="Q68" s="143">
        <f>$H68*$M$22</f>
        <v>300000</v>
      </c>
      <c r="R68" s="144"/>
      <c r="S68" s="145"/>
      <c r="T68" s="143">
        <f>$H68*$M$23</f>
        <v>0</v>
      </c>
      <c r="U68" s="144"/>
      <c r="V68" s="145"/>
      <c r="W68" s="143">
        <f>$H68*$M$24</f>
        <v>0</v>
      </c>
      <c r="X68" s="144"/>
      <c r="Y68" s="145"/>
      <c r="Z68" s="143">
        <f>$H68*$M$25</f>
        <v>0</v>
      </c>
      <c r="AA68" s="144"/>
      <c r="AB68" s="145"/>
      <c r="AC68" s="143">
        <f>$H68*$M$26</f>
        <v>200000</v>
      </c>
      <c r="AD68" s="144"/>
      <c r="AE68" s="145"/>
      <c r="AF68" s="143">
        <f>$H68*$M$27</f>
        <v>0</v>
      </c>
      <c r="AG68" s="144"/>
      <c r="AH68" s="145"/>
      <c r="AN68" s="36">
        <f>H68/$H$67</f>
        <v>1.3333333333333333</v>
      </c>
      <c r="AO68" s="38">
        <f>AN68-AN67</f>
        <v>0.33333333333333326</v>
      </c>
    </row>
    <row r="69" spans="2:41" x14ac:dyDescent="0.2">
      <c r="AN69" s="26"/>
      <c r="AO69" s="26"/>
    </row>
  </sheetData>
  <mergeCells count="220">
    <mergeCell ref="L8:AD8"/>
    <mergeCell ref="K16:N17"/>
    <mergeCell ref="W68:Y68"/>
    <mergeCell ref="Z68:AB68"/>
    <mergeCell ref="AC68:AE68"/>
    <mergeCell ref="W66:Y66"/>
    <mergeCell ref="Z66:AB66"/>
    <mergeCell ref="AC66:AE66"/>
    <mergeCell ref="W64:Y64"/>
    <mergeCell ref="Z64:AB64"/>
    <mergeCell ref="AC64:AE64"/>
    <mergeCell ref="AC62:AE62"/>
    <mergeCell ref="AC54:AE54"/>
    <mergeCell ref="AC53:AE53"/>
    <mergeCell ref="AC52:AE52"/>
    <mergeCell ref="W63:Y63"/>
    <mergeCell ref="Z63:AB63"/>
    <mergeCell ref="AC63:AE63"/>
    <mergeCell ref="K27:L27"/>
    <mergeCell ref="M27:N27"/>
    <mergeCell ref="W48:Y48"/>
    <mergeCell ref="Z48:AB48"/>
    <mergeCell ref="AC48:AE48"/>
    <mergeCell ref="V19:AF19"/>
    <mergeCell ref="AF68:AH68"/>
    <mergeCell ref="W67:Y67"/>
    <mergeCell ref="Z67:AB67"/>
    <mergeCell ref="AC67:AE67"/>
    <mergeCell ref="AF67:AH67"/>
    <mergeCell ref="B68:G68"/>
    <mergeCell ref="H68:J68"/>
    <mergeCell ref="K68:M68"/>
    <mergeCell ref="N68:P68"/>
    <mergeCell ref="Q68:S68"/>
    <mergeCell ref="T68:V68"/>
    <mergeCell ref="AF66:AH66"/>
    <mergeCell ref="B67:G67"/>
    <mergeCell ref="H67:J67"/>
    <mergeCell ref="K67:M67"/>
    <mergeCell ref="N67:P67"/>
    <mergeCell ref="Q67:S67"/>
    <mergeCell ref="T67:V67"/>
    <mergeCell ref="W65:Y65"/>
    <mergeCell ref="Z65:AB65"/>
    <mergeCell ref="AC65:AE65"/>
    <mergeCell ref="AF65:AH65"/>
    <mergeCell ref="B66:G66"/>
    <mergeCell ref="H66:J66"/>
    <mergeCell ref="K66:M66"/>
    <mergeCell ref="N66:P66"/>
    <mergeCell ref="Q66:S66"/>
    <mergeCell ref="T66:V66"/>
    <mergeCell ref="B65:G65"/>
    <mergeCell ref="H65:J65"/>
    <mergeCell ref="K65:M65"/>
    <mergeCell ref="N65:P65"/>
    <mergeCell ref="Q65:S65"/>
    <mergeCell ref="T65:V65"/>
    <mergeCell ref="AF63:AH63"/>
    <mergeCell ref="AF64:AH64"/>
    <mergeCell ref="B62:G62"/>
    <mergeCell ref="H62:J62"/>
    <mergeCell ref="K62:M62"/>
    <mergeCell ref="N62:P62"/>
    <mergeCell ref="Q62:S62"/>
    <mergeCell ref="T62:V62"/>
    <mergeCell ref="W62:Y62"/>
    <mergeCell ref="Z62:AB62"/>
    <mergeCell ref="AF62:AH62"/>
    <mergeCell ref="B64:G64"/>
    <mergeCell ref="H64:J64"/>
    <mergeCell ref="K64:M64"/>
    <mergeCell ref="N64:P64"/>
    <mergeCell ref="Q64:S64"/>
    <mergeCell ref="T64:V64"/>
    <mergeCell ref="K63:M63"/>
    <mergeCell ref="N63:P63"/>
    <mergeCell ref="Q63:S63"/>
    <mergeCell ref="T63:V63"/>
    <mergeCell ref="B54:G54"/>
    <mergeCell ref="H54:J54"/>
    <mergeCell ref="K54:M54"/>
    <mergeCell ref="N54:P54"/>
    <mergeCell ref="Q54:S54"/>
    <mergeCell ref="T54:V54"/>
    <mergeCell ref="W54:Y54"/>
    <mergeCell ref="Z54:AB54"/>
    <mergeCell ref="AF54:AH54"/>
    <mergeCell ref="B53:G53"/>
    <mergeCell ref="H53:J53"/>
    <mergeCell ref="K53:M53"/>
    <mergeCell ref="N53:P53"/>
    <mergeCell ref="Q53:S53"/>
    <mergeCell ref="T53:V53"/>
    <mergeCell ref="W53:Y53"/>
    <mergeCell ref="Z53:AB53"/>
    <mergeCell ref="AF53:AH53"/>
    <mergeCell ref="AF51:AH51"/>
    <mergeCell ref="B52:G52"/>
    <mergeCell ref="H52:J52"/>
    <mergeCell ref="K52:M52"/>
    <mergeCell ref="N52:P52"/>
    <mergeCell ref="Q52:S52"/>
    <mergeCell ref="T52:V52"/>
    <mergeCell ref="W52:Y52"/>
    <mergeCell ref="Z52:AB52"/>
    <mergeCell ref="AF52:AH52"/>
    <mergeCell ref="B51:G51"/>
    <mergeCell ref="H51:J51"/>
    <mergeCell ref="K51:M51"/>
    <mergeCell ref="N51:P51"/>
    <mergeCell ref="Q51:S51"/>
    <mergeCell ref="T51:V51"/>
    <mergeCell ref="W51:Y51"/>
    <mergeCell ref="Z51:AB51"/>
    <mergeCell ref="AC51:AE51"/>
    <mergeCell ref="AC49:AE49"/>
    <mergeCell ref="AF49:AH49"/>
    <mergeCell ref="B50:G50"/>
    <mergeCell ref="H50:J50"/>
    <mergeCell ref="K50:M50"/>
    <mergeCell ref="N50:P50"/>
    <mergeCell ref="Q50:S50"/>
    <mergeCell ref="T50:V50"/>
    <mergeCell ref="W50:Y50"/>
    <mergeCell ref="Z50:AB50"/>
    <mergeCell ref="K49:M49"/>
    <mergeCell ref="N49:P49"/>
    <mergeCell ref="Q49:S49"/>
    <mergeCell ref="T49:V49"/>
    <mergeCell ref="W49:Y49"/>
    <mergeCell ref="Z49:AB49"/>
    <mergeCell ref="AC50:AE50"/>
    <mergeCell ref="AF50:AH50"/>
    <mergeCell ref="M26:N26"/>
    <mergeCell ref="C27:J27"/>
    <mergeCell ref="AF48:AH48"/>
    <mergeCell ref="K28:L28"/>
    <mergeCell ref="M28:N28"/>
    <mergeCell ref="C23:J23"/>
    <mergeCell ref="K23:L23"/>
    <mergeCell ref="M23:N23"/>
    <mergeCell ref="C24:J24"/>
    <mergeCell ref="K24:L24"/>
    <mergeCell ref="M24:N24"/>
    <mergeCell ref="B48:G48"/>
    <mergeCell ref="H48:J48"/>
    <mergeCell ref="K48:M48"/>
    <mergeCell ref="N48:P48"/>
    <mergeCell ref="Q48:S48"/>
    <mergeCell ref="T48:V48"/>
    <mergeCell ref="C19:J19"/>
    <mergeCell ref="K19:L19"/>
    <mergeCell ref="M19:N19"/>
    <mergeCell ref="O19:U19"/>
    <mergeCell ref="W12:X12"/>
    <mergeCell ref="Y12:Z12"/>
    <mergeCell ref="AA12:AB12"/>
    <mergeCell ref="K22:L22"/>
    <mergeCell ref="M22:N22"/>
    <mergeCell ref="C20:J20"/>
    <mergeCell ref="K20:L20"/>
    <mergeCell ref="M20:N20"/>
    <mergeCell ref="O20:U27"/>
    <mergeCell ref="V20:AF23"/>
    <mergeCell ref="C21:J21"/>
    <mergeCell ref="K21:L21"/>
    <mergeCell ref="M21:N21"/>
    <mergeCell ref="C22:J22"/>
    <mergeCell ref="V24:AF27"/>
    <mergeCell ref="C25:J25"/>
    <mergeCell ref="K25:L25"/>
    <mergeCell ref="M25:N25"/>
    <mergeCell ref="C26:J26"/>
    <mergeCell ref="K26:L26"/>
    <mergeCell ref="AC12:AD12"/>
    <mergeCell ref="AE12:AF12"/>
    <mergeCell ref="B17:B18"/>
    <mergeCell ref="C17:J18"/>
    <mergeCell ref="O17:U18"/>
    <mergeCell ref="V17:AF18"/>
    <mergeCell ref="B12:F12"/>
    <mergeCell ref="G12:K12"/>
    <mergeCell ref="L12:N12"/>
    <mergeCell ref="O12:Q12"/>
    <mergeCell ref="R12:T12"/>
    <mergeCell ref="U12:V12"/>
    <mergeCell ref="K18:L18"/>
    <mergeCell ref="M18:N18"/>
    <mergeCell ref="U11:V11"/>
    <mergeCell ref="W11:X11"/>
    <mergeCell ref="Y11:Z11"/>
    <mergeCell ref="AA11:AB11"/>
    <mergeCell ref="AC11:AD11"/>
    <mergeCell ref="AE11:AF11"/>
    <mergeCell ref="B11:F11"/>
    <mergeCell ref="G11:K11"/>
    <mergeCell ref="L11:N11"/>
    <mergeCell ref="O11:Q11"/>
    <mergeCell ref="R11:T11"/>
    <mergeCell ref="Y10:Z10"/>
    <mergeCell ref="AA10:AB10"/>
    <mergeCell ref="AC10:AD10"/>
    <mergeCell ref="AE10:AF10"/>
    <mergeCell ref="W9:X9"/>
    <mergeCell ref="Y9:Z9"/>
    <mergeCell ref="AA9:AB9"/>
    <mergeCell ref="AC9:AD9"/>
    <mergeCell ref="AE9:AF9"/>
    <mergeCell ref="L10:N10"/>
    <mergeCell ref="O10:Q10"/>
    <mergeCell ref="R10:T10"/>
    <mergeCell ref="U10:V10"/>
    <mergeCell ref="W10:X10"/>
    <mergeCell ref="B9:F9"/>
    <mergeCell ref="G9:K9"/>
    <mergeCell ref="L9:N9"/>
    <mergeCell ref="O9:Q9"/>
    <mergeCell ref="R9:T9"/>
    <mergeCell ref="U9:V9"/>
  </mergeCells>
  <pageMargins left="0.25" right="0.25" top="0.25" bottom="0.25" header="0.2" footer="0.15"/>
  <pageSetup scale="85" orientation="landscape" r:id="rId1"/>
  <rowBreaks count="1" manualBreakCount="1">
    <brk id="4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79F5-6A1D-410A-B9C1-469423AEB32C}">
  <sheetPr>
    <tabColor rgb="FF00B050"/>
  </sheetPr>
  <dimension ref="B1:AO76"/>
  <sheetViews>
    <sheetView showGridLines="0" zoomScale="80" zoomScaleNormal="80" workbookViewId="0">
      <selection activeCell="Y5" sqref="Y5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9" width="4.6640625" customWidth="1"/>
    <col min="40" max="40" width="11.6640625" customWidth="1"/>
    <col min="41" max="41" width="7.1640625" customWidth="1"/>
    <col min="42" max="72" width="4.6640625" customWidth="1"/>
  </cols>
  <sheetData>
    <row r="1" spans="2:32" x14ac:dyDescent="0.2">
      <c r="B1" s="24" t="s">
        <v>178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5" spans="2:32" ht="16" x14ac:dyDescent="0.2">
      <c r="B5" s="106" t="s">
        <v>379</v>
      </c>
      <c r="E5" s="6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/>
      <c r="E8" s="6"/>
      <c r="G8" s="6"/>
      <c r="L8" s="139" t="s">
        <v>10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</row>
    <row r="9" spans="2:32" s="5" customFormat="1" ht="25" customHeight="1" x14ac:dyDescent="0.2">
      <c r="B9" s="121" t="s">
        <v>374</v>
      </c>
      <c r="C9" s="121"/>
      <c r="D9" s="121"/>
      <c r="E9" s="121"/>
      <c r="F9" s="121"/>
      <c r="G9" s="122" t="s">
        <v>373</v>
      </c>
      <c r="H9" s="122"/>
      <c r="I9" s="122"/>
      <c r="J9" s="122"/>
      <c r="K9" s="123"/>
      <c r="L9" s="141" t="s">
        <v>18</v>
      </c>
      <c r="M9" s="141"/>
      <c r="N9" s="141"/>
      <c r="O9" s="141" t="s">
        <v>105</v>
      </c>
      <c r="P9" s="141"/>
      <c r="Q9" s="141"/>
      <c r="R9" s="141" t="s">
        <v>104</v>
      </c>
      <c r="S9" s="141"/>
      <c r="T9" s="141"/>
      <c r="U9" s="141" t="s">
        <v>96</v>
      </c>
      <c r="V9" s="141"/>
      <c r="W9" s="141" t="s">
        <v>16</v>
      </c>
      <c r="X9" s="141"/>
      <c r="Y9" s="141" t="s">
        <v>94</v>
      </c>
      <c r="Z9" s="141"/>
      <c r="AA9" s="141" t="s">
        <v>15</v>
      </c>
      <c r="AB9" s="141"/>
      <c r="AC9" s="141" t="s">
        <v>14</v>
      </c>
      <c r="AD9" s="141"/>
      <c r="AE9" s="142" t="s">
        <v>46</v>
      </c>
      <c r="AF9" s="142"/>
    </row>
    <row r="10" spans="2:32" ht="5" customHeight="1" x14ac:dyDescent="0.2">
      <c r="B10" s="4"/>
      <c r="C10" s="3"/>
      <c r="D10" s="3"/>
      <c r="E10" s="3"/>
      <c r="F10" s="3"/>
      <c r="G10" s="3"/>
      <c r="H10" s="3"/>
      <c r="I10" s="3"/>
      <c r="J10" s="3"/>
      <c r="K10" s="9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8"/>
      <c r="AF10" s="128"/>
    </row>
    <row r="11" spans="2:32" s="5" customFormat="1" ht="25" customHeight="1" x14ac:dyDescent="0.2">
      <c r="B11" s="129" t="s">
        <v>375</v>
      </c>
      <c r="C11" s="129"/>
      <c r="D11" s="129"/>
      <c r="E11" s="129"/>
      <c r="F11" s="130"/>
      <c r="G11" s="131" t="s">
        <v>377</v>
      </c>
      <c r="H11" s="131"/>
      <c r="I11" s="131"/>
      <c r="J11" s="131"/>
      <c r="K11" s="132"/>
      <c r="L11" s="125">
        <v>0.7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>
        <v>0.3</v>
      </c>
      <c r="AB11" s="125"/>
      <c r="AC11" s="125"/>
      <c r="AD11" s="125"/>
      <c r="AE11" s="134">
        <f>SUM(L11:AD11)</f>
        <v>1</v>
      </c>
      <c r="AF11" s="135"/>
    </row>
    <row r="12" spans="2:32" s="5" customFormat="1" ht="25" customHeight="1" x14ac:dyDescent="0.2">
      <c r="B12" s="129" t="s">
        <v>376</v>
      </c>
      <c r="C12" s="129"/>
      <c r="D12" s="129"/>
      <c r="E12" s="129"/>
      <c r="F12" s="130"/>
      <c r="G12" s="131" t="s">
        <v>378</v>
      </c>
      <c r="H12" s="131"/>
      <c r="I12" s="131"/>
      <c r="J12" s="131"/>
      <c r="K12" s="132"/>
      <c r="L12" s="125">
        <v>0.75</v>
      </c>
      <c r="M12" s="125"/>
      <c r="N12" s="125"/>
      <c r="O12" s="125"/>
      <c r="P12" s="125"/>
      <c r="Q12" s="125"/>
      <c r="R12" s="125">
        <v>0.15</v>
      </c>
      <c r="S12" s="125"/>
      <c r="T12" s="125"/>
      <c r="U12" s="125"/>
      <c r="V12" s="125"/>
      <c r="W12" s="125"/>
      <c r="X12" s="125"/>
      <c r="Y12" s="125"/>
      <c r="Z12" s="125"/>
      <c r="AA12" s="125">
        <v>0.1</v>
      </c>
      <c r="AB12" s="125"/>
      <c r="AC12" s="125"/>
      <c r="AD12" s="125"/>
      <c r="AE12" s="134">
        <f>SUM(L12:AD12)</f>
        <v>1</v>
      </c>
      <c r="AF12" s="135"/>
    </row>
    <row r="15" spans="2:32" x14ac:dyDescent="0.2">
      <c r="B15" s="2" t="s">
        <v>381</v>
      </c>
    </row>
    <row r="16" spans="2:32" ht="5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78" t="s">
        <v>9</v>
      </c>
      <c r="L16" s="279"/>
      <c r="M16" s="279"/>
      <c r="N16" s="28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ht="15" customHeight="1" x14ac:dyDescent="0.2">
      <c r="B17" s="284" t="s">
        <v>11</v>
      </c>
      <c r="C17" s="285" t="s">
        <v>10</v>
      </c>
      <c r="D17" s="286"/>
      <c r="E17" s="286"/>
      <c r="F17" s="286"/>
      <c r="G17" s="286"/>
      <c r="H17" s="286"/>
      <c r="I17" s="286"/>
      <c r="J17" s="287"/>
      <c r="K17" s="281"/>
      <c r="L17" s="282"/>
      <c r="M17" s="282"/>
      <c r="N17" s="283"/>
      <c r="O17" s="284" t="s">
        <v>8</v>
      </c>
      <c r="P17" s="284"/>
      <c r="Q17" s="284"/>
      <c r="R17" s="284"/>
      <c r="S17" s="284"/>
      <c r="T17" s="284"/>
      <c r="U17" s="284"/>
      <c r="V17" s="285" t="s">
        <v>7</v>
      </c>
      <c r="W17" s="286"/>
      <c r="X17" s="286"/>
      <c r="Y17" s="286"/>
      <c r="Z17" s="286"/>
      <c r="AA17" s="286"/>
      <c r="AB17" s="286"/>
      <c r="AC17" s="286"/>
      <c r="AD17" s="286"/>
      <c r="AE17" s="286"/>
      <c r="AF17" s="287"/>
    </row>
    <row r="18" spans="2:32" ht="20" customHeight="1" x14ac:dyDescent="0.2">
      <c r="B18" s="284"/>
      <c r="C18" s="288"/>
      <c r="D18" s="289"/>
      <c r="E18" s="289"/>
      <c r="F18" s="289"/>
      <c r="G18" s="289"/>
      <c r="H18" s="289"/>
      <c r="I18" s="289"/>
      <c r="J18" s="290"/>
      <c r="K18" s="291" t="s">
        <v>65</v>
      </c>
      <c r="L18" s="291"/>
      <c r="M18" s="291" t="s">
        <v>66</v>
      </c>
      <c r="N18" s="291"/>
      <c r="O18" s="284"/>
      <c r="P18" s="284"/>
      <c r="Q18" s="284"/>
      <c r="R18" s="284"/>
      <c r="S18" s="284"/>
      <c r="T18" s="284"/>
      <c r="U18" s="284"/>
      <c r="V18" s="288"/>
      <c r="W18" s="289"/>
      <c r="X18" s="289"/>
      <c r="Y18" s="289"/>
      <c r="Z18" s="289"/>
      <c r="AA18" s="289"/>
      <c r="AB18" s="289"/>
      <c r="AC18" s="289"/>
      <c r="AD18" s="289"/>
      <c r="AE18" s="289"/>
      <c r="AF18" s="290"/>
    </row>
    <row r="19" spans="2:32" ht="5" customHeight="1" x14ac:dyDescent="0.2">
      <c r="B19" s="1"/>
      <c r="C19" s="166"/>
      <c r="D19" s="167"/>
      <c r="E19" s="167"/>
      <c r="F19" s="167"/>
      <c r="G19" s="167"/>
      <c r="H19" s="167"/>
      <c r="I19" s="167"/>
      <c r="J19" s="168"/>
      <c r="K19" s="186"/>
      <c r="L19" s="186"/>
      <c r="M19" s="186"/>
      <c r="N19" s="186"/>
      <c r="O19" s="193"/>
      <c r="P19" s="193"/>
      <c r="Q19" s="193"/>
      <c r="R19" s="193"/>
      <c r="S19" s="193"/>
      <c r="T19" s="193"/>
      <c r="U19" s="193"/>
      <c r="V19" s="166"/>
      <c r="W19" s="167"/>
      <c r="X19" s="167"/>
      <c r="Y19" s="167"/>
      <c r="Z19" s="167"/>
      <c r="AA19" s="167"/>
      <c r="AB19" s="167"/>
      <c r="AC19" s="167"/>
      <c r="AD19" s="167"/>
      <c r="AE19" s="167"/>
      <c r="AF19" s="168"/>
    </row>
    <row r="20" spans="2:32" ht="14.5" customHeight="1" x14ac:dyDescent="0.2">
      <c r="B20" s="1">
        <v>1</v>
      </c>
      <c r="C20" s="200" t="s">
        <v>6</v>
      </c>
      <c r="D20" s="201"/>
      <c r="E20" s="201"/>
      <c r="F20" s="201"/>
      <c r="G20" s="201"/>
      <c r="H20" s="201"/>
      <c r="I20" s="201"/>
      <c r="J20" s="202"/>
      <c r="K20" s="175">
        <f>L11</f>
        <v>0.7</v>
      </c>
      <c r="L20" s="175"/>
      <c r="M20" s="175">
        <f>L12</f>
        <v>0.75</v>
      </c>
      <c r="N20" s="175"/>
      <c r="O20" s="176" t="s">
        <v>5</v>
      </c>
      <c r="P20" s="177"/>
      <c r="Q20" s="177"/>
      <c r="R20" s="177"/>
      <c r="S20" s="177"/>
      <c r="T20" s="177"/>
      <c r="U20" s="178"/>
      <c r="V20" s="177" t="s">
        <v>54</v>
      </c>
      <c r="W20" s="177"/>
      <c r="X20" s="177"/>
      <c r="Y20" s="177"/>
      <c r="Z20" s="177"/>
      <c r="AA20" s="177"/>
      <c r="AB20" s="177"/>
      <c r="AC20" s="177"/>
      <c r="AD20" s="177"/>
      <c r="AE20" s="177"/>
      <c r="AF20" s="178"/>
    </row>
    <row r="21" spans="2:32" x14ac:dyDescent="0.2">
      <c r="B21" s="1">
        <v>2</v>
      </c>
      <c r="C21" s="200" t="s">
        <v>103</v>
      </c>
      <c r="D21" s="201"/>
      <c r="E21" s="201"/>
      <c r="F21" s="201"/>
      <c r="G21" s="201"/>
      <c r="H21" s="201"/>
      <c r="I21" s="201"/>
      <c r="J21" s="202"/>
      <c r="K21" s="175"/>
      <c r="L21" s="175"/>
      <c r="M21" s="175"/>
      <c r="N21" s="175"/>
      <c r="O21" s="179"/>
      <c r="P21" s="180"/>
      <c r="Q21" s="180"/>
      <c r="R21" s="180"/>
      <c r="S21" s="180"/>
      <c r="T21" s="180"/>
      <c r="U21" s="181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1"/>
    </row>
    <row r="22" spans="2:32" x14ac:dyDescent="0.2">
      <c r="B22" s="1">
        <v>3</v>
      </c>
      <c r="C22" s="200" t="s">
        <v>102</v>
      </c>
      <c r="D22" s="201"/>
      <c r="E22" s="201"/>
      <c r="F22" s="201"/>
      <c r="G22" s="201"/>
      <c r="H22" s="201"/>
      <c r="I22" s="201"/>
      <c r="J22" s="202"/>
      <c r="K22" s="175"/>
      <c r="L22" s="175"/>
      <c r="M22" s="175">
        <f>R12</f>
        <v>0.15</v>
      </c>
      <c r="N22" s="175"/>
      <c r="O22" s="179"/>
      <c r="P22" s="180"/>
      <c r="Q22" s="180"/>
      <c r="R22" s="180"/>
      <c r="S22" s="180"/>
      <c r="T22" s="180"/>
      <c r="U22" s="181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1"/>
    </row>
    <row r="23" spans="2:32" x14ac:dyDescent="0.2">
      <c r="B23" s="1">
        <v>4</v>
      </c>
      <c r="C23" s="200" t="s">
        <v>97</v>
      </c>
      <c r="D23" s="201"/>
      <c r="E23" s="201"/>
      <c r="F23" s="201"/>
      <c r="G23" s="201"/>
      <c r="H23" s="201"/>
      <c r="I23" s="201"/>
      <c r="J23" s="202"/>
      <c r="K23" s="175"/>
      <c r="L23" s="175"/>
      <c r="M23" s="175"/>
      <c r="N23" s="175"/>
      <c r="O23" s="179"/>
      <c r="P23" s="180"/>
      <c r="Q23" s="180"/>
      <c r="R23" s="180"/>
      <c r="S23" s="180"/>
      <c r="T23" s="180"/>
      <c r="U23" s="181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4"/>
    </row>
    <row r="24" spans="2:32" x14ac:dyDescent="0.2">
      <c r="B24" s="1">
        <v>5</v>
      </c>
      <c r="C24" s="200" t="s">
        <v>4</v>
      </c>
      <c r="D24" s="201"/>
      <c r="E24" s="201"/>
      <c r="F24" s="201"/>
      <c r="G24" s="201"/>
      <c r="H24" s="201"/>
      <c r="I24" s="201"/>
      <c r="J24" s="202"/>
      <c r="K24" s="175"/>
      <c r="L24" s="175"/>
      <c r="M24" s="175"/>
      <c r="N24" s="175"/>
      <c r="O24" s="179"/>
      <c r="P24" s="180"/>
      <c r="Q24" s="180"/>
      <c r="R24" s="180"/>
      <c r="S24" s="180"/>
      <c r="T24" s="180"/>
      <c r="U24" s="181"/>
      <c r="V24" s="177" t="s">
        <v>2</v>
      </c>
      <c r="W24" s="177"/>
      <c r="X24" s="177"/>
      <c r="Y24" s="177"/>
      <c r="Z24" s="177"/>
      <c r="AA24" s="177"/>
      <c r="AB24" s="177"/>
      <c r="AC24" s="177"/>
      <c r="AD24" s="177"/>
      <c r="AE24" s="177"/>
      <c r="AF24" s="178"/>
    </row>
    <row r="25" spans="2:32" ht="14.5" customHeight="1" x14ac:dyDescent="0.2">
      <c r="B25" s="1">
        <v>6</v>
      </c>
      <c r="C25" s="200" t="s">
        <v>362</v>
      </c>
      <c r="D25" s="201"/>
      <c r="E25" s="201"/>
      <c r="F25" s="201"/>
      <c r="G25" s="201"/>
      <c r="H25" s="201"/>
      <c r="I25" s="201"/>
      <c r="J25" s="202"/>
      <c r="K25" s="175"/>
      <c r="L25" s="175"/>
      <c r="M25" s="175"/>
      <c r="N25" s="175"/>
      <c r="O25" s="179"/>
      <c r="P25" s="180"/>
      <c r="Q25" s="180"/>
      <c r="R25" s="180"/>
      <c r="S25" s="180"/>
      <c r="T25" s="180"/>
      <c r="U25" s="181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1"/>
    </row>
    <row r="26" spans="2:32" x14ac:dyDescent="0.2">
      <c r="B26" s="1">
        <v>7</v>
      </c>
      <c r="C26" s="200" t="s">
        <v>1</v>
      </c>
      <c r="D26" s="201"/>
      <c r="E26" s="201"/>
      <c r="F26" s="201"/>
      <c r="G26" s="201"/>
      <c r="H26" s="201"/>
      <c r="I26" s="201"/>
      <c r="J26" s="202"/>
      <c r="K26" s="175">
        <f>AA11</f>
        <v>0.3</v>
      </c>
      <c r="L26" s="175"/>
      <c r="M26" s="175">
        <f>AA12</f>
        <v>0.1</v>
      </c>
      <c r="N26" s="175"/>
      <c r="O26" s="179"/>
      <c r="P26" s="180"/>
      <c r="Q26" s="180"/>
      <c r="R26" s="180"/>
      <c r="S26" s="180"/>
      <c r="T26" s="180"/>
      <c r="U26" s="181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1"/>
    </row>
    <row r="27" spans="2:32" x14ac:dyDescent="0.2">
      <c r="B27" s="1">
        <v>8</v>
      </c>
      <c r="C27" s="200" t="s">
        <v>0</v>
      </c>
      <c r="D27" s="201"/>
      <c r="E27" s="201"/>
      <c r="F27" s="201"/>
      <c r="G27" s="201"/>
      <c r="H27" s="201"/>
      <c r="I27" s="201"/>
      <c r="J27" s="202"/>
      <c r="K27" s="175"/>
      <c r="L27" s="175"/>
      <c r="M27" s="175"/>
      <c r="N27" s="175"/>
      <c r="O27" s="182"/>
      <c r="P27" s="183"/>
      <c r="Q27" s="183"/>
      <c r="R27" s="183"/>
      <c r="S27" s="183"/>
      <c r="T27" s="183"/>
      <c r="U27" s="184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4"/>
    </row>
    <row r="28" spans="2:32" x14ac:dyDescent="0.2">
      <c r="K28" s="213">
        <f>SUM(K20:L27)</f>
        <v>1</v>
      </c>
      <c r="L28" s="213"/>
      <c r="M28" s="213">
        <f>SUM(M20:N27)</f>
        <v>1</v>
      </c>
      <c r="N28" s="213"/>
    </row>
    <row r="30" spans="2:32" x14ac:dyDescent="0.2">
      <c r="B30" t="s">
        <v>77</v>
      </c>
    </row>
    <row r="31" spans="2:32" x14ac:dyDescent="0.2">
      <c r="B31" s="29" t="s">
        <v>18</v>
      </c>
      <c r="C31" s="26"/>
      <c r="F31" s="6" t="s">
        <v>126</v>
      </c>
    </row>
    <row r="32" spans="2:32" x14ac:dyDescent="0.2">
      <c r="B32" s="29" t="s">
        <v>121</v>
      </c>
      <c r="C32" s="26"/>
      <c r="F32" s="6" t="s">
        <v>125</v>
      </c>
    </row>
    <row r="33" spans="2:37" x14ac:dyDescent="0.2">
      <c r="B33" s="29" t="s">
        <v>122</v>
      </c>
      <c r="C33" s="26"/>
      <c r="F33" s="6" t="s">
        <v>127</v>
      </c>
    </row>
    <row r="34" spans="2:37" x14ac:dyDescent="0.2">
      <c r="B34" s="29" t="s">
        <v>123</v>
      </c>
      <c r="C34" s="26"/>
      <c r="F34" s="6" t="s">
        <v>128</v>
      </c>
    </row>
    <row r="35" spans="2:37" x14ac:dyDescent="0.2">
      <c r="B35" s="29"/>
      <c r="C35" s="26"/>
      <c r="F35" s="6" t="s">
        <v>138</v>
      </c>
    </row>
    <row r="36" spans="2:37" x14ac:dyDescent="0.2">
      <c r="B36" s="29" t="s">
        <v>124</v>
      </c>
      <c r="C36" s="26"/>
      <c r="F36" s="6" t="s">
        <v>130</v>
      </c>
    </row>
    <row r="37" spans="2:37" x14ac:dyDescent="0.2">
      <c r="B37" s="29" t="s">
        <v>129</v>
      </c>
      <c r="C37" s="26"/>
      <c r="F37" s="6" t="s">
        <v>131</v>
      </c>
    </row>
    <row r="38" spans="2:37" x14ac:dyDescent="0.2">
      <c r="B38" s="29" t="s">
        <v>363</v>
      </c>
      <c r="C38" s="26"/>
      <c r="F38" s="6" t="s">
        <v>364</v>
      </c>
    </row>
    <row r="39" spans="2:37" x14ac:dyDescent="0.2">
      <c r="B39" s="29" t="s">
        <v>133</v>
      </c>
      <c r="C39" s="26"/>
      <c r="F39" s="6" t="s">
        <v>135</v>
      </c>
    </row>
    <row r="40" spans="2:37" x14ac:dyDescent="0.2">
      <c r="B40" s="29" t="s">
        <v>134</v>
      </c>
      <c r="C40" s="26"/>
      <c r="F40" s="6" t="s">
        <v>137</v>
      </c>
    </row>
    <row r="44" spans="2:37" x14ac:dyDescent="0.2">
      <c r="B44" s="2" t="s">
        <v>382</v>
      </c>
    </row>
    <row r="45" spans="2:37" x14ac:dyDescent="0.2">
      <c r="B45" t="s">
        <v>384</v>
      </c>
    </row>
    <row r="46" spans="2:37" ht="5" customHeight="1" x14ac:dyDescent="0.2"/>
    <row r="47" spans="2:37" x14ac:dyDescent="0.2">
      <c r="B47" s="2"/>
      <c r="C47" s="2"/>
      <c r="D47" s="2"/>
      <c r="E47" s="2"/>
      <c r="F47" s="2"/>
      <c r="G47" s="2"/>
      <c r="H47" s="12"/>
      <c r="I47" s="2"/>
      <c r="J47" s="12"/>
      <c r="K47" s="111"/>
      <c r="L47" s="112"/>
      <c r="M47" s="112"/>
      <c r="N47" s="112"/>
      <c r="O47" s="112"/>
      <c r="P47" s="112"/>
      <c r="Q47" s="112"/>
      <c r="R47" s="112"/>
      <c r="S47" s="112"/>
      <c r="T47" s="112"/>
      <c r="U47" s="112" t="s">
        <v>10</v>
      </c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3"/>
    </row>
    <row r="48" spans="2:37" s="5" customFormat="1" ht="25" customHeight="1" x14ac:dyDescent="0.2">
      <c r="B48" s="292" t="s">
        <v>20</v>
      </c>
      <c r="C48" s="292"/>
      <c r="D48" s="292"/>
      <c r="E48" s="292"/>
      <c r="F48" s="292"/>
      <c r="G48" s="292"/>
      <c r="H48" s="291" t="s">
        <v>19</v>
      </c>
      <c r="I48" s="291"/>
      <c r="J48" s="291"/>
      <c r="K48" s="284" t="s">
        <v>18</v>
      </c>
      <c r="L48" s="284"/>
      <c r="M48" s="284"/>
      <c r="N48" s="284" t="s">
        <v>105</v>
      </c>
      <c r="O48" s="284"/>
      <c r="P48" s="284"/>
      <c r="Q48" s="284" t="s">
        <v>104</v>
      </c>
      <c r="R48" s="284"/>
      <c r="S48" s="284"/>
      <c r="T48" s="284" t="s">
        <v>96</v>
      </c>
      <c r="U48" s="284"/>
      <c r="V48" s="284"/>
      <c r="W48" s="284" t="s">
        <v>16</v>
      </c>
      <c r="X48" s="284"/>
      <c r="Y48" s="284"/>
      <c r="Z48" s="284" t="s">
        <v>94</v>
      </c>
      <c r="AA48" s="284"/>
      <c r="AB48" s="284"/>
      <c r="AC48" s="284" t="s">
        <v>15</v>
      </c>
      <c r="AD48" s="284"/>
      <c r="AE48" s="284"/>
      <c r="AF48" s="284" t="s">
        <v>14</v>
      </c>
      <c r="AG48" s="284"/>
      <c r="AH48" s="284"/>
      <c r="AI48"/>
      <c r="AJ48"/>
      <c r="AK48"/>
    </row>
    <row r="49" spans="2:41" ht="5" customHeight="1" x14ac:dyDescent="0.2">
      <c r="B49" s="4"/>
      <c r="C49" s="3"/>
      <c r="D49" s="3"/>
      <c r="E49" s="3"/>
      <c r="F49" s="3"/>
      <c r="G49" s="3"/>
      <c r="H49" s="3"/>
      <c r="I49" s="3"/>
      <c r="J49" s="3"/>
      <c r="K49" s="166"/>
      <c r="L49" s="167"/>
      <c r="M49" s="168"/>
      <c r="N49" s="166"/>
      <c r="O49" s="167"/>
      <c r="P49" s="168"/>
      <c r="Q49" s="166"/>
      <c r="R49" s="167"/>
      <c r="S49" s="168"/>
      <c r="T49" s="166"/>
      <c r="U49" s="167"/>
      <c r="V49" s="168"/>
      <c r="W49" s="166"/>
      <c r="X49" s="167"/>
      <c r="Y49" s="168"/>
      <c r="Z49" s="166"/>
      <c r="AA49" s="167"/>
      <c r="AB49" s="168"/>
      <c r="AC49" s="166"/>
      <c r="AD49" s="167"/>
      <c r="AE49" s="168"/>
      <c r="AF49" s="166"/>
      <c r="AG49" s="167"/>
      <c r="AH49" s="168"/>
    </row>
    <row r="50" spans="2:41" s="5" customFormat="1" ht="20" customHeight="1" x14ac:dyDescent="0.2">
      <c r="B50" s="146" t="s">
        <v>55</v>
      </c>
      <c r="C50" s="147"/>
      <c r="D50" s="147"/>
      <c r="E50" s="147"/>
      <c r="F50" s="147"/>
      <c r="G50" s="148"/>
      <c r="H50" s="149">
        <v>375000</v>
      </c>
      <c r="I50" s="149"/>
      <c r="J50" s="149"/>
      <c r="K50" s="150">
        <f>$H50*$K$20</f>
        <v>262500</v>
      </c>
      <c r="L50" s="151"/>
      <c r="M50" s="152"/>
      <c r="N50" s="143">
        <f>$H50*$K$21</f>
        <v>0</v>
      </c>
      <c r="O50" s="144"/>
      <c r="P50" s="145"/>
      <c r="Q50" s="143">
        <f>$H50*$K$22</f>
        <v>0</v>
      </c>
      <c r="R50" s="144"/>
      <c r="S50" s="145"/>
      <c r="T50" s="143">
        <f>$H50*$K$23</f>
        <v>0</v>
      </c>
      <c r="U50" s="144"/>
      <c r="V50" s="145"/>
      <c r="W50" s="143">
        <f>$H50*$K$24</f>
        <v>0</v>
      </c>
      <c r="X50" s="144"/>
      <c r="Y50" s="145"/>
      <c r="Z50" s="143">
        <f>$H50*$K$25</f>
        <v>0</v>
      </c>
      <c r="AA50" s="144"/>
      <c r="AB50" s="145"/>
      <c r="AC50" s="143">
        <f>$H50*$K$26</f>
        <v>112500</v>
      </c>
      <c r="AD50" s="144"/>
      <c r="AE50" s="145"/>
      <c r="AF50" s="143">
        <f>$H50*$K$27</f>
        <v>0</v>
      </c>
      <c r="AG50" s="144"/>
      <c r="AH50" s="145"/>
      <c r="AN50" s="36">
        <f>H50/$H$53</f>
        <v>0.25</v>
      </c>
      <c r="AO50" s="37"/>
    </row>
    <row r="51" spans="2:41" s="5" customFormat="1" ht="20" customHeight="1" x14ac:dyDescent="0.2">
      <c r="B51" s="146" t="s">
        <v>56</v>
      </c>
      <c r="C51" s="147"/>
      <c r="D51" s="147"/>
      <c r="E51" s="147"/>
      <c r="F51" s="147"/>
      <c r="G51" s="148"/>
      <c r="H51" s="149">
        <v>675000</v>
      </c>
      <c r="I51" s="149"/>
      <c r="J51" s="149"/>
      <c r="K51" s="150">
        <f>$H51*$K$20</f>
        <v>472499.99999999994</v>
      </c>
      <c r="L51" s="151"/>
      <c r="M51" s="152"/>
      <c r="N51" s="143">
        <f>$H51*$K$21</f>
        <v>0</v>
      </c>
      <c r="O51" s="144"/>
      <c r="P51" s="145"/>
      <c r="Q51" s="143">
        <f>$H51*$K$22</f>
        <v>0</v>
      </c>
      <c r="R51" s="144"/>
      <c r="S51" s="145"/>
      <c r="T51" s="143">
        <f>$H51*$K$23</f>
        <v>0</v>
      </c>
      <c r="U51" s="144"/>
      <c r="V51" s="145"/>
      <c r="W51" s="143">
        <f>$H51*$K$24</f>
        <v>0</v>
      </c>
      <c r="X51" s="144"/>
      <c r="Y51" s="145"/>
      <c r="Z51" s="143">
        <f>$H51*$K$25</f>
        <v>0</v>
      </c>
      <c r="AA51" s="144"/>
      <c r="AB51" s="145"/>
      <c r="AC51" s="143">
        <f>$H51*$K$26</f>
        <v>202500</v>
      </c>
      <c r="AD51" s="144"/>
      <c r="AE51" s="145"/>
      <c r="AF51" s="143">
        <f>$H51*$K$27</f>
        <v>0</v>
      </c>
      <c r="AG51" s="144"/>
      <c r="AH51" s="145"/>
      <c r="AN51" s="36">
        <f>H51/$H$53</f>
        <v>0.45</v>
      </c>
      <c r="AO51" s="38">
        <f>AN51-AN50</f>
        <v>0.2</v>
      </c>
    </row>
    <row r="52" spans="2:41" s="5" customFormat="1" ht="20" customHeight="1" x14ac:dyDescent="0.2">
      <c r="B52" s="146" t="s">
        <v>57</v>
      </c>
      <c r="C52" s="147"/>
      <c r="D52" s="147"/>
      <c r="E52" s="147"/>
      <c r="F52" s="147"/>
      <c r="G52" s="148"/>
      <c r="H52" s="149">
        <v>1050000</v>
      </c>
      <c r="I52" s="149"/>
      <c r="J52" s="149"/>
      <c r="K52" s="150">
        <f>$H52*$K$20</f>
        <v>735000</v>
      </c>
      <c r="L52" s="151"/>
      <c r="M52" s="152"/>
      <c r="N52" s="143">
        <f>$H52*$K$21</f>
        <v>0</v>
      </c>
      <c r="O52" s="144"/>
      <c r="P52" s="145"/>
      <c r="Q52" s="143">
        <f>$H52*$K$22</f>
        <v>0</v>
      </c>
      <c r="R52" s="144"/>
      <c r="S52" s="145"/>
      <c r="T52" s="143">
        <f>$H52*$K$23</f>
        <v>0</v>
      </c>
      <c r="U52" s="144"/>
      <c r="V52" s="145"/>
      <c r="W52" s="143">
        <f>$H52*$K$24</f>
        <v>0</v>
      </c>
      <c r="X52" s="144"/>
      <c r="Y52" s="145"/>
      <c r="Z52" s="143">
        <f>$H52*$K$25</f>
        <v>0</v>
      </c>
      <c r="AA52" s="144"/>
      <c r="AB52" s="145"/>
      <c r="AC52" s="143">
        <f>$H52*$K$26</f>
        <v>315000</v>
      </c>
      <c r="AD52" s="144"/>
      <c r="AE52" s="145"/>
      <c r="AF52" s="143">
        <f>$H52*$K$27</f>
        <v>0</v>
      </c>
      <c r="AG52" s="144"/>
      <c r="AH52" s="145"/>
      <c r="AN52" s="36">
        <f>H52/$H$53</f>
        <v>0.7</v>
      </c>
      <c r="AO52" s="38">
        <f>AN52-AN51</f>
        <v>0.24999999999999994</v>
      </c>
    </row>
    <row r="53" spans="2:41" s="5" customFormat="1" ht="20" customHeight="1" x14ac:dyDescent="0.2">
      <c r="B53" s="153" t="s">
        <v>58</v>
      </c>
      <c r="C53" s="154"/>
      <c r="D53" s="154"/>
      <c r="E53" s="154"/>
      <c r="F53" s="154"/>
      <c r="G53" s="155"/>
      <c r="H53" s="156">
        <v>1500000</v>
      </c>
      <c r="I53" s="156"/>
      <c r="J53" s="156"/>
      <c r="K53" s="296">
        <f>$H53*$K$20</f>
        <v>1050000</v>
      </c>
      <c r="L53" s="297"/>
      <c r="M53" s="298"/>
      <c r="N53" s="293">
        <f>$H53*$K$21</f>
        <v>0</v>
      </c>
      <c r="O53" s="294"/>
      <c r="P53" s="295"/>
      <c r="Q53" s="293">
        <f>$H53*$K$22</f>
        <v>0</v>
      </c>
      <c r="R53" s="294"/>
      <c r="S53" s="295"/>
      <c r="T53" s="293">
        <f>$H53*$K$23</f>
        <v>0</v>
      </c>
      <c r="U53" s="294"/>
      <c r="V53" s="295"/>
      <c r="W53" s="293">
        <f>$H53*$K$24</f>
        <v>0</v>
      </c>
      <c r="X53" s="294"/>
      <c r="Y53" s="295"/>
      <c r="Z53" s="293">
        <f>$H53*$K$25</f>
        <v>0</v>
      </c>
      <c r="AA53" s="294"/>
      <c r="AB53" s="295"/>
      <c r="AC53" s="293">
        <f>$H53*$K$26</f>
        <v>450000</v>
      </c>
      <c r="AD53" s="294"/>
      <c r="AE53" s="295"/>
      <c r="AF53" s="293">
        <f>$H53*$K$27</f>
        <v>0</v>
      </c>
      <c r="AG53" s="294"/>
      <c r="AH53" s="295"/>
      <c r="AN53" s="36">
        <f>H53/$H$53</f>
        <v>1</v>
      </c>
      <c r="AO53" s="38">
        <f>AN53-AN52</f>
        <v>0.30000000000000004</v>
      </c>
    </row>
    <row r="54" spans="2:41" s="5" customFormat="1" ht="20" customHeight="1" x14ac:dyDescent="0.2">
      <c r="B54" s="146" t="s">
        <v>13</v>
      </c>
      <c r="C54" s="147"/>
      <c r="D54" s="147"/>
      <c r="E54" s="147"/>
      <c r="F54" s="147"/>
      <c r="G54" s="148"/>
      <c r="H54" s="149">
        <v>2000000</v>
      </c>
      <c r="I54" s="149"/>
      <c r="J54" s="149"/>
      <c r="K54" s="150">
        <f>$H54*$K$20</f>
        <v>1400000</v>
      </c>
      <c r="L54" s="151"/>
      <c r="M54" s="152"/>
      <c r="N54" s="143">
        <f>$H54*$K$21</f>
        <v>0</v>
      </c>
      <c r="O54" s="144"/>
      <c r="P54" s="145"/>
      <c r="Q54" s="143">
        <f>$H54*$K$22</f>
        <v>0</v>
      </c>
      <c r="R54" s="144"/>
      <c r="S54" s="145"/>
      <c r="T54" s="143">
        <f>$H54*$K$23</f>
        <v>0</v>
      </c>
      <c r="U54" s="144"/>
      <c r="V54" s="145"/>
      <c r="W54" s="143">
        <f>$H54*$K$24</f>
        <v>0</v>
      </c>
      <c r="X54" s="144"/>
      <c r="Y54" s="145"/>
      <c r="Z54" s="143">
        <f>$H54*$K$25</f>
        <v>0</v>
      </c>
      <c r="AA54" s="144"/>
      <c r="AB54" s="145"/>
      <c r="AC54" s="143">
        <f>$H54*$K$26</f>
        <v>600000</v>
      </c>
      <c r="AD54" s="144"/>
      <c r="AE54" s="145"/>
      <c r="AF54" s="143">
        <f>$H54*$K$27</f>
        <v>0</v>
      </c>
      <c r="AG54" s="144"/>
      <c r="AH54" s="145"/>
      <c r="AN54" s="36">
        <f>H54/$H$53</f>
        <v>1.3333333333333333</v>
      </c>
      <c r="AO54" s="38">
        <f>AN54-AN53</f>
        <v>0.33333333333333326</v>
      </c>
    </row>
    <row r="55" spans="2:41" x14ac:dyDescent="0.2">
      <c r="I55" s="110" t="s">
        <v>387</v>
      </c>
      <c r="AN55" s="39"/>
      <c r="AO55" s="40"/>
    </row>
    <row r="56" spans="2:41" x14ac:dyDescent="0.2">
      <c r="AN56" s="39"/>
      <c r="AO56" s="40"/>
    </row>
    <row r="57" spans="2:41" x14ac:dyDescent="0.2">
      <c r="AN57" s="39"/>
      <c r="AO57" s="40"/>
    </row>
    <row r="58" spans="2:41" x14ac:dyDescent="0.2">
      <c r="B58" s="2" t="s">
        <v>382</v>
      </c>
      <c r="AN58" s="40"/>
      <c r="AO58" s="40"/>
    </row>
    <row r="59" spans="2:41" x14ac:dyDescent="0.2">
      <c r="B59" t="s">
        <v>385</v>
      </c>
      <c r="AN59" s="40"/>
      <c r="AO59" s="40"/>
    </row>
    <row r="60" spans="2:41" ht="5" customHeight="1" x14ac:dyDescent="0.2">
      <c r="AN60" s="40"/>
      <c r="AO60" s="40"/>
    </row>
    <row r="61" spans="2:41" x14ac:dyDescent="0.2">
      <c r="B61" s="2"/>
      <c r="C61" s="2"/>
      <c r="D61" s="2"/>
      <c r="E61" s="2"/>
      <c r="F61" s="2"/>
      <c r="G61" s="2"/>
      <c r="H61" s="12"/>
      <c r="I61" s="2"/>
      <c r="J61" s="12"/>
      <c r="K61" s="111"/>
      <c r="L61" s="112"/>
      <c r="M61" s="112"/>
      <c r="N61" s="112"/>
      <c r="O61" s="112"/>
      <c r="P61" s="112"/>
      <c r="Q61" s="112"/>
      <c r="R61" s="112"/>
      <c r="S61" s="112"/>
      <c r="T61" s="112"/>
      <c r="U61" s="112" t="s">
        <v>10</v>
      </c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3"/>
      <c r="AN61" s="40"/>
      <c r="AO61" s="40"/>
    </row>
    <row r="62" spans="2:41" s="5" customFormat="1" ht="25" customHeight="1" x14ac:dyDescent="0.2">
      <c r="B62" s="292" t="s">
        <v>20</v>
      </c>
      <c r="C62" s="292"/>
      <c r="D62" s="292"/>
      <c r="E62" s="292"/>
      <c r="F62" s="292"/>
      <c r="G62" s="292"/>
      <c r="H62" s="291" t="s">
        <v>19</v>
      </c>
      <c r="I62" s="291"/>
      <c r="J62" s="291"/>
      <c r="K62" s="284" t="s">
        <v>18</v>
      </c>
      <c r="L62" s="284"/>
      <c r="M62" s="284"/>
      <c r="N62" s="284" t="s">
        <v>105</v>
      </c>
      <c r="O62" s="284"/>
      <c r="P62" s="284"/>
      <c r="Q62" s="284" t="s">
        <v>104</v>
      </c>
      <c r="R62" s="284"/>
      <c r="S62" s="284"/>
      <c r="T62" s="284" t="s">
        <v>96</v>
      </c>
      <c r="U62" s="284"/>
      <c r="V62" s="284"/>
      <c r="W62" s="284" t="s">
        <v>16</v>
      </c>
      <c r="X62" s="284"/>
      <c r="Y62" s="284"/>
      <c r="Z62" s="284" t="s">
        <v>94</v>
      </c>
      <c r="AA62" s="284"/>
      <c r="AB62" s="284"/>
      <c r="AC62" s="284" t="s">
        <v>15</v>
      </c>
      <c r="AD62" s="284"/>
      <c r="AE62" s="284"/>
      <c r="AF62" s="284" t="s">
        <v>14</v>
      </c>
      <c r="AG62" s="284"/>
      <c r="AH62" s="284"/>
      <c r="AI62"/>
      <c r="AJ62"/>
      <c r="AK62"/>
      <c r="AN62" s="37"/>
      <c r="AO62" s="37"/>
    </row>
    <row r="63" spans="2:41" ht="5" customHeight="1" x14ac:dyDescent="0.2">
      <c r="B63" s="4"/>
      <c r="C63" s="3"/>
      <c r="D63" s="3"/>
      <c r="E63" s="3"/>
      <c r="F63" s="3"/>
      <c r="G63" s="3"/>
      <c r="H63" s="3"/>
      <c r="I63" s="3"/>
      <c r="J63" s="3"/>
      <c r="K63" s="166"/>
      <c r="L63" s="167"/>
      <c r="M63" s="168"/>
      <c r="N63" s="166"/>
      <c r="O63" s="167"/>
      <c r="P63" s="168"/>
      <c r="Q63" s="166"/>
      <c r="R63" s="167"/>
      <c r="S63" s="168"/>
      <c r="T63" s="166"/>
      <c r="U63" s="167"/>
      <c r="V63" s="168"/>
      <c r="W63" s="166"/>
      <c r="X63" s="167"/>
      <c r="Y63" s="168"/>
      <c r="Z63" s="166"/>
      <c r="AA63" s="167"/>
      <c r="AB63" s="168"/>
      <c r="AC63" s="166"/>
      <c r="AD63" s="167"/>
      <c r="AE63" s="168"/>
      <c r="AF63" s="166"/>
      <c r="AG63" s="167"/>
      <c r="AH63" s="168"/>
      <c r="AN63" s="40"/>
      <c r="AO63" s="40"/>
    </row>
    <row r="64" spans="2:41" s="5" customFormat="1" ht="20" customHeight="1" x14ac:dyDescent="0.2">
      <c r="B64" s="146" t="s">
        <v>55</v>
      </c>
      <c r="C64" s="147"/>
      <c r="D64" s="147"/>
      <c r="E64" s="147"/>
      <c r="F64" s="147"/>
      <c r="G64" s="148"/>
      <c r="H64" s="149">
        <v>1050000</v>
      </c>
      <c r="I64" s="149"/>
      <c r="J64" s="149"/>
      <c r="K64" s="150">
        <f>$H64*$M$20</f>
        <v>787500</v>
      </c>
      <c r="L64" s="151"/>
      <c r="M64" s="152"/>
      <c r="N64" s="143">
        <f>$H64*$M$21</f>
        <v>0</v>
      </c>
      <c r="O64" s="144"/>
      <c r="P64" s="145"/>
      <c r="Q64" s="143">
        <f>$H64*$M$22</f>
        <v>157500</v>
      </c>
      <c r="R64" s="144"/>
      <c r="S64" s="145"/>
      <c r="T64" s="143">
        <f>$H64*$M$23</f>
        <v>0</v>
      </c>
      <c r="U64" s="144"/>
      <c r="V64" s="145"/>
      <c r="W64" s="143">
        <f>$H64*$M$24</f>
        <v>0</v>
      </c>
      <c r="X64" s="144"/>
      <c r="Y64" s="145"/>
      <c r="Z64" s="143">
        <f>$H64*$M$25</f>
        <v>0</v>
      </c>
      <c r="AA64" s="144"/>
      <c r="AB64" s="145"/>
      <c r="AC64" s="143">
        <f>$H64*$M$26</f>
        <v>105000</v>
      </c>
      <c r="AD64" s="144"/>
      <c r="AE64" s="145"/>
      <c r="AF64" s="143">
        <f>$H64*$M$27</f>
        <v>0</v>
      </c>
      <c r="AG64" s="144"/>
      <c r="AH64" s="145"/>
      <c r="AN64" s="36">
        <f>H64/$H$67</f>
        <v>0.25</v>
      </c>
      <c r="AO64" s="37"/>
    </row>
    <row r="65" spans="2:41" s="5" customFormat="1" ht="20" customHeight="1" x14ac:dyDescent="0.2">
      <c r="B65" s="146" t="s">
        <v>56</v>
      </c>
      <c r="C65" s="147"/>
      <c r="D65" s="147"/>
      <c r="E65" s="147"/>
      <c r="F65" s="147"/>
      <c r="G65" s="148"/>
      <c r="H65" s="149">
        <v>1890000</v>
      </c>
      <c r="I65" s="149"/>
      <c r="J65" s="149"/>
      <c r="K65" s="150">
        <f>$H65*$M$20</f>
        <v>1417500</v>
      </c>
      <c r="L65" s="151"/>
      <c r="M65" s="152"/>
      <c r="N65" s="143">
        <f>$H65*$M$21</f>
        <v>0</v>
      </c>
      <c r="O65" s="144"/>
      <c r="P65" s="145"/>
      <c r="Q65" s="143">
        <f>$H65*$M$22</f>
        <v>283500</v>
      </c>
      <c r="R65" s="144"/>
      <c r="S65" s="145"/>
      <c r="T65" s="143">
        <f>$H65*$M$23</f>
        <v>0</v>
      </c>
      <c r="U65" s="144"/>
      <c r="V65" s="145"/>
      <c r="W65" s="143">
        <f>$H65*$M$24</f>
        <v>0</v>
      </c>
      <c r="X65" s="144"/>
      <c r="Y65" s="145"/>
      <c r="Z65" s="143">
        <f>$H65*$M$25</f>
        <v>0</v>
      </c>
      <c r="AA65" s="144"/>
      <c r="AB65" s="145"/>
      <c r="AC65" s="143">
        <f>$H65*$M$26</f>
        <v>189000</v>
      </c>
      <c r="AD65" s="144"/>
      <c r="AE65" s="145"/>
      <c r="AF65" s="143">
        <f>$H65*$M$27</f>
        <v>0</v>
      </c>
      <c r="AG65" s="144"/>
      <c r="AH65" s="145"/>
      <c r="AN65" s="36">
        <f>H65/$H$67</f>
        <v>0.45</v>
      </c>
      <c r="AO65" s="38">
        <f>AN65-AN64</f>
        <v>0.2</v>
      </c>
    </row>
    <row r="66" spans="2:41" s="5" customFormat="1" ht="20" customHeight="1" x14ac:dyDescent="0.2">
      <c r="B66" s="146" t="s">
        <v>57</v>
      </c>
      <c r="C66" s="147"/>
      <c r="D66" s="147"/>
      <c r="E66" s="147"/>
      <c r="F66" s="147"/>
      <c r="G66" s="148"/>
      <c r="H66" s="149">
        <v>2940000</v>
      </c>
      <c r="I66" s="149"/>
      <c r="J66" s="149"/>
      <c r="K66" s="150">
        <f>$H66*$M$20</f>
        <v>2205000</v>
      </c>
      <c r="L66" s="151"/>
      <c r="M66" s="152"/>
      <c r="N66" s="143">
        <f>$H66*$M$21</f>
        <v>0</v>
      </c>
      <c r="O66" s="144"/>
      <c r="P66" s="145"/>
      <c r="Q66" s="143">
        <f>$H66*$M$22</f>
        <v>441000</v>
      </c>
      <c r="R66" s="144"/>
      <c r="S66" s="145"/>
      <c r="T66" s="143">
        <f>$H66*$M$23</f>
        <v>0</v>
      </c>
      <c r="U66" s="144"/>
      <c r="V66" s="145"/>
      <c r="W66" s="143">
        <f>$H66*$M$24</f>
        <v>0</v>
      </c>
      <c r="X66" s="144"/>
      <c r="Y66" s="145"/>
      <c r="Z66" s="143">
        <f>$H66*$M$25</f>
        <v>0</v>
      </c>
      <c r="AA66" s="144"/>
      <c r="AB66" s="145"/>
      <c r="AC66" s="143">
        <f>$H66*$M$26</f>
        <v>294000</v>
      </c>
      <c r="AD66" s="144"/>
      <c r="AE66" s="145"/>
      <c r="AF66" s="143">
        <f>$H66*$M$27</f>
        <v>0</v>
      </c>
      <c r="AG66" s="144"/>
      <c r="AH66" s="145"/>
      <c r="AN66" s="36">
        <f>H66/$H$67</f>
        <v>0.7</v>
      </c>
      <c r="AO66" s="38">
        <f>AN66-AN65</f>
        <v>0.24999999999999994</v>
      </c>
    </row>
    <row r="67" spans="2:41" s="5" customFormat="1" ht="20" customHeight="1" x14ac:dyDescent="0.2">
      <c r="B67" s="153" t="s">
        <v>58</v>
      </c>
      <c r="C67" s="154"/>
      <c r="D67" s="154"/>
      <c r="E67" s="154"/>
      <c r="F67" s="154"/>
      <c r="G67" s="155"/>
      <c r="H67" s="156">
        <v>4200000</v>
      </c>
      <c r="I67" s="156"/>
      <c r="J67" s="156"/>
      <c r="K67" s="296">
        <f>$H67*$M$20</f>
        <v>3150000</v>
      </c>
      <c r="L67" s="297"/>
      <c r="M67" s="298"/>
      <c r="N67" s="293">
        <f>$H67*$M$21</f>
        <v>0</v>
      </c>
      <c r="O67" s="294"/>
      <c r="P67" s="295"/>
      <c r="Q67" s="293">
        <f>$H67*$M$22</f>
        <v>630000</v>
      </c>
      <c r="R67" s="294"/>
      <c r="S67" s="295"/>
      <c r="T67" s="293">
        <f>$H67*$M$23</f>
        <v>0</v>
      </c>
      <c r="U67" s="294"/>
      <c r="V67" s="295"/>
      <c r="W67" s="293">
        <f>$H67*$M$24</f>
        <v>0</v>
      </c>
      <c r="X67" s="294"/>
      <c r="Y67" s="295"/>
      <c r="Z67" s="293">
        <f>$H67*$M$25</f>
        <v>0</v>
      </c>
      <c r="AA67" s="294"/>
      <c r="AB67" s="295"/>
      <c r="AC67" s="293">
        <f>$H67*$M$26</f>
        <v>420000</v>
      </c>
      <c r="AD67" s="294"/>
      <c r="AE67" s="295"/>
      <c r="AF67" s="293">
        <f>$H67*$M$27</f>
        <v>0</v>
      </c>
      <c r="AG67" s="294"/>
      <c r="AH67" s="295"/>
      <c r="AN67" s="36">
        <f>H67/$H$67</f>
        <v>1</v>
      </c>
      <c r="AO67" s="38">
        <f>AN67-AN66</f>
        <v>0.30000000000000004</v>
      </c>
    </row>
    <row r="68" spans="2:41" s="5" customFormat="1" ht="20" customHeight="1" x14ac:dyDescent="0.2">
      <c r="B68" s="146" t="s">
        <v>13</v>
      </c>
      <c r="C68" s="147"/>
      <c r="D68" s="147"/>
      <c r="E68" s="147"/>
      <c r="F68" s="147"/>
      <c r="G68" s="148"/>
      <c r="H68" s="149">
        <v>5600000</v>
      </c>
      <c r="I68" s="149"/>
      <c r="J68" s="149"/>
      <c r="K68" s="150">
        <f>$H68*$M$20</f>
        <v>4200000</v>
      </c>
      <c r="L68" s="151"/>
      <c r="M68" s="152"/>
      <c r="N68" s="143">
        <f>$H68*$M$21</f>
        <v>0</v>
      </c>
      <c r="O68" s="144"/>
      <c r="P68" s="145"/>
      <c r="Q68" s="143">
        <f>$H68*$M$22</f>
        <v>840000</v>
      </c>
      <c r="R68" s="144"/>
      <c r="S68" s="145"/>
      <c r="T68" s="143">
        <f>$H68*$M$23</f>
        <v>0</v>
      </c>
      <c r="U68" s="144"/>
      <c r="V68" s="145"/>
      <c r="W68" s="143">
        <f>$H68*$M$24</f>
        <v>0</v>
      </c>
      <c r="X68" s="144"/>
      <c r="Y68" s="145"/>
      <c r="Z68" s="143">
        <f>$H68*$M$25</f>
        <v>0</v>
      </c>
      <c r="AA68" s="144"/>
      <c r="AB68" s="145"/>
      <c r="AC68" s="143">
        <f>$H68*$M$26</f>
        <v>560000</v>
      </c>
      <c r="AD68" s="144"/>
      <c r="AE68" s="145"/>
      <c r="AF68" s="143">
        <f>$H68*$M$27</f>
        <v>0</v>
      </c>
      <c r="AG68" s="144"/>
      <c r="AH68" s="145"/>
      <c r="AN68" s="36">
        <f>H68/$H$67</f>
        <v>1.3333333333333333</v>
      </c>
      <c r="AO68" s="38">
        <f>AN68-AN67</f>
        <v>0.33333333333333326</v>
      </c>
    </row>
    <row r="69" spans="2:41" x14ac:dyDescent="0.2">
      <c r="I69" s="110" t="s">
        <v>388</v>
      </c>
      <c r="AN69" s="26"/>
      <c r="AO69" s="26"/>
    </row>
    <row r="70" spans="2:41" x14ac:dyDescent="0.2">
      <c r="AN70" s="109"/>
    </row>
    <row r="71" spans="2:41" x14ac:dyDescent="0.2">
      <c r="AN71" s="109"/>
    </row>
    <row r="72" spans="2:41" x14ac:dyDescent="0.2">
      <c r="AN72" s="109"/>
    </row>
    <row r="73" spans="2:41" x14ac:dyDescent="0.2">
      <c r="AN73" s="109"/>
    </row>
    <row r="74" spans="2:41" x14ac:dyDescent="0.2">
      <c r="AN74" s="109"/>
    </row>
    <row r="75" spans="2:41" x14ac:dyDescent="0.2">
      <c r="AN75" s="108"/>
    </row>
    <row r="76" spans="2:41" x14ac:dyDescent="0.2">
      <c r="AN76" s="109"/>
    </row>
  </sheetData>
  <mergeCells count="220">
    <mergeCell ref="AF66:AH66"/>
    <mergeCell ref="B67:G67"/>
    <mergeCell ref="H67:J67"/>
    <mergeCell ref="K67:M67"/>
    <mergeCell ref="N67:P67"/>
    <mergeCell ref="Q67:S67"/>
    <mergeCell ref="T67:V67"/>
    <mergeCell ref="W68:Y68"/>
    <mergeCell ref="Z68:AB68"/>
    <mergeCell ref="AC68:AE68"/>
    <mergeCell ref="AF68:AH68"/>
    <mergeCell ref="W67:Y67"/>
    <mergeCell ref="Z67:AB67"/>
    <mergeCell ref="AC67:AE67"/>
    <mergeCell ref="AF67:AH67"/>
    <mergeCell ref="B68:G68"/>
    <mergeCell ref="H68:J68"/>
    <mergeCell ref="K68:M68"/>
    <mergeCell ref="N68:P68"/>
    <mergeCell ref="Q68:S68"/>
    <mergeCell ref="T68:V68"/>
    <mergeCell ref="B66:G66"/>
    <mergeCell ref="H66:J66"/>
    <mergeCell ref="K66:M66"/>
    <mergeCell ref="N66:P66"/>
    <mergeCell ref="Q66:S66"/>
    <mergeCell ref="T66:V66"/>
    <mergeCell ref="W66:Y66"/>
    <mergeCell ref="Z66:AB66"/>
    <mergeCell ref="AC66:AE66"/>
    <mergeCell ref="W64:Y64"/>
    <mergeCell ref="Z64:AB64"/>
    <mergeCell ref="AC64:AE64"/>
    <mergeCell ref="AF64:AH64"/>
    <mergeCell ref="B65:G65"/>
    <mergeCell ref="H65:J65"/>
    <mergeCell ref="K65:M65"/>
    <mergeCell ref="N65:P65"/>
    <mergeCell ref="Q65:S65"/>
    <mergeCell ref="T65:V65"/>
    <mergeCell ref="B64:G64"/>
    <mergeCell ref="H64:J64"/>
    <mergeCell ref="K64:M64"/>
    <mergeCell ref="N64:P64"/>
    <mergeCell ref="Q64:S64"/>
    <mergeCell ref="T64:V64"/>
    <mergeCell ref="W65:Y65"/>
    <mergeCell ref="Z65:AB65"/>
    <mergeCell ref="AC65:AE65"/>
    <mergeCell ref="AF65:AH65"/>
    <mergeCell ref="AF62:AH62"/>
    <mergeCell ref="K63:M63"/>
    <mergeCell ref="N63:P63"/>
    <mergeCell ref="Q63:S63"/>
    <mergeCell ref="T63:V63"/>
    <mergeCell ref="W63:Y63"/>
    <mergeCell ref="Z63:AB63"/>
    <mergeCell ref="AC63:AE63"/>
    <mergeCell ref="AF63:AH63"/>
    <mergeCell ref="B62:G62"/>
    <mergeCell ref="H62:J62"/>
    <mergeCell ref="K62:M62"/>
    <mergeCell ref="N62:P62"/>
    <mergeCell ref="Q62:S62"/>
    <mergeCell ref="T62:V62"/>
    <mergeCell ref="W62:Y62"/>
    <mergeCell ref="Z62:AB62"/>
    <mergeCell ref="AC62:AE62"/>
    <mergeCell ref="AF53:AH53"/>
    <mergeCell ref="B54:G54"/>
    <mergeCell ref="H54:J54"/>
    <mergeCell ref="K54:M54"/>
    <mergeCell ref="N54:P54"/>
    <mergeCell ref="Q54:S54"/>
    <mergeCell ref="T54:V54"/>
    <mergeCell ref="W54:Y54"/>
    <mergeCell ref="Z54:AB54"/>
    <mergeCell ref="AC54:AE54"/>
    <mergeCell ref="AF54:AH54"/>
    <mergeCell ref="B53:G53"/>
    <mergeCell ref="H53:J53"/>
    <mergeCell ref="K53:M53"/>
    <mergeCell ref="N53:P53"/>
    <mergeCell ref="Q53:S53"/>
    <mergeCell ref="T53:V53"/>
    <mergeCell ref="W53:Y53"/>
    <mergeCell ref="Z53:AB53"/>
    <mergeCell ref="AC53:AE53"/>
    <mergeCell ref="AF51:AH51"/>
    <mergeCell ref="B52:G52"/>
    <mergeCell ref="H52:J52"/>
    <mergeCell ref="K52:M52"/>
    <mergeCell ref="N52:P52"/>
    <mergeCell ref="Q52:S52"/>
    <mergeCell ref="T52:V52"/>
    <mergeCell ref="W52:Y52"/>
    <mergeCell ref="Z52:AB52"/>
    <mergeCell ref="AC52:AE52"/>
    <mergeCell ref="AF52:AH52"/>
    <mergeCell ref="B51:G51"/>
    <mergeCell ref="H51:J51"/>
    <mergeCell ref="K51:M51"/>
    <mergeCell ref="N51:P51"/>
    <mergeCell ref="Q51:S51"/>
    <mergeCell ref="T51:V51"/>
    <mergeCell ref="W51:Y51"/>
    <mergeCell ref="Z51:AB51"/>
    <mergeCell ref="AC51:AE51"/>
    <mergeCell ref="AC49:AE49"/>
    <mergeCell ref="AF49:AH49"/>
    <mergeCell ref="B50:G50"/>
    <mergeCell ref="H50:J50"/>
    <mergeCell ref="K50:M50"/>
    <mergeCell ref="N50:P50"/>
    <mergeCell ref="Q50:S50"/>
    <mergeCell ref="T50:V50"/>
    <mergeCell ref="W50:Y50"/>
    <mergeCell ref="Z50:AB50"/>
    <mergeCell ref="K49:M49"/>
    <mergeCell ref="N49:P49"/>
    <mergeCell ref="Q49:S49"/>
    <mergeCell ref="T49:V49"/>
    <mergeCell ref="W49:Y49"/>
    <mergeCell ref="Z49:AB49"/>
    <mergeCell ref="AC50:AE50"/>
    <mergeCell ref="AF50:AH50"/>
    <mergeCell ref="C27:J27"/>
    <mergeCell ref="K27:L27"/>
    <mergeCell ref="M27:N27"/>
    <mergeCell ref="Q48:S48"/>
    <mergeCell ref="T48:V48"/>
    <mergeCell ref="W48:Y48"/>
    <mergeCell ref="Z48:AB48"/>
    <mergeCell ref="AC48:AE48"/>
    <mergeCell ref="AF48:AH48"/>
    <mergeCell ref="K28:L28"/>
    <mergeCell ref="M28:N28"/>
    <mergeCell ref="B48:G48"/>
    <mergeCell ref="H48:J48"/>
    <mergeCell ref="K48:M48"/>
    <mergeCell ref="N48:P48"/>
    <mergeCell ref="C20:J20"/>
    <mergeCell ref="K20:L20"/>
    <mergeCell ref="M20:N20"/>
    <mergeCell ref="O20:U27"/>
    <mergeCell ref="V20:AF23"/>
    <mergeCell ref="C23:J23"/>
    <mergeCell ref="K23:L23"/>
    <mergeCell ref="M23:N23"/>
    <mergeCell ref="C24:J24"/>
    <mergeCell ref="K24:L24"/>
    <mergeCell ref="M24:N24"/>
    <mergeCell ref="C21:J21"/>
    <mergeCell ref="K21:L21"/>
    <mergeCell ref="M21:N21"/>
    <mergeCell ref="C22:J22"/>
    <mergeCell ref="K22:L22"/>
    <mergeCell ref="M22:N22"/>
    <mergeCell ref="V24:AF27"/>
    <mergeCell ref="C25:J25"/>
    <mergeCell ref="K25:L25"/>
    <mergeCell ref="M25:N25"/>
    <mergeCell ref="C26:J26"/>
    <mergeCell ref="K26:L26"/>
    <mergeCell ref="M26:N26"/>
    <mergeCell ref="K16:N17"/>
    <mergeCell ref="B17:B18"/>
    <mergeCell ref="C17:J18"/>
    <mergeCell ref="O17:U18"/>
    <mergeCell ref="V17:AF18"/>
    <mergeCell ref="K18:L18"/>
    <mergeCell ref="M18:N18"/>
    <mergeCell ref="C19:J19"/>
    <mergeCell ref="K19:L19"/>
    <mergeCell ref="M19:N19"/>
    <mergeCell ref="O19:U19"/>
    <mergeCell ref="V19:AF19"/>
    <mergeCell ref="AC11:AD11"/>
    <mergeCell ref="AE11:AF11"/>
    <mergeCell ref="B12:F12"/>
    <mergeCell ref="G12:K12"/>
    <mergeCell ref="L12:N12"/>
    <mergeCell ref="O12:Q12"/>
    <mergeCell ref="R12:T12"/>
    <mergeCell ref="U12:V12"/>
    <mergeCell ref="W12:X12"/>
    <mergeCell ref="Y12:Z12"/>
    <mergeCell ref="AA12:AB12"/>
    <mergeCell ref="AC12:AD12"/>
    <mergeCell ref="AE12:AF12"/>
    <mergeCell ref="B11:F11"/>
    <mergeCell ref="G11:K11"/>
    <mergeCell ref="L11:N11"/>
    <mergeCell ref="O11:Q11"/>
    <mergeCell ref="R11:T11"/>
    <mergeCell ref="U11:V11"/>
    <mergeCell ref="W11:X11"/>
    <mergeCell ref="Y11:Z11"/>
    <mergeCell ref="AA11:AB11"/>
    <mergeCell ref="AE9:AF9"/>
    <mergeCell ref="L10:N10"/>
    <mergeCell ref="O10:Q10"/>
    <mergeCell ref="R10:T10"/>
    <mergeCell ref="U10:V10"/>
    <mergeCell ref="W10:X10"/>
    <mergeCell ref="Y10:Z10"/>
    <mergeCell ref="AA10:AB10"/>
    <mergeCell ref="AC10:AD10"/>
    <mergeCell ref="AE10:AF10"/>
    <mergeCell ref="L8:AD8"/>
    <mergeCell ref="B9:F9"/>
    <mergeCell ref="G9:K9"/>
    <mergeCell ref="L9:N9"/>
    <mergeCell ref="O9:Q9"/>
    <mergeCell ref="R9:T9"/>
    <mergeCell ref="U9:V9"/>
    <mergeCell ref="W9:X9"/>
    <mergeCell ref="Y9:Z9"/>
    <mergeCell ref="AA9:AB9"/>
    <mergeCell ref="AC9:AD9"/>
  </mergeCells>
  <pageMargins left="0.25" right="0.25" top="0.25" bottom="0.25" header="0.2" footer="0.15"/>
  <pageSetup scale="85" orientation="landscape" r:id="rId1"/>
  <rowBreaks count="1" manualBreakCount="1">
    <brk id="4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B926-B885-47BB-82D2-E271ABF63095}">
  <sheetPr>
    <tabColor rgb="FF00B050"/>
  </sheetPr>
  <dimension ref="B1:AO91"/>
  <sheetViews>
    <sheetView showGridLines="0" zoomScale="80" zoomScaleNormal="80" workbookViewId="0">
      <selection activeCell="Y5" sqref="Y5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9" width="4.6640625" customWidth="1"/>
    <col min="40" max="40" width="11.6640625" customWidth="1"/>
    <col min="41" max="41" width="7.1640625" customWidth="1"/>
    <col min="42" max="72" width="4.6640625" customWidth="1"/>
  </cols>
  <sheetData>
    <row r="1" spans="2:32" x14ac:dyDescent="0.2">
      <c r="B1" s="24" t="s">
        <v>184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5" spans="2:32" ht="16" x14ac:dyDescent="0.2">
      <c r="B5" s="107" t="s">
        <v>380</v>
      </c>
      <c r="E5" s="6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/>
      <c r="E8" s="6"/>
      <c r="G8" s="6"/>
      <c r="L8" s="139" t="s">
        <v>10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</row>
    <row r="9" spans="2:32" s="5" customFormat="1" ht="25" customHeight="1" x14ac:dyDescent="0.2">
      <c r="B9" s="121" t="s">
        <v>374</v>
      </c>
      <c r="C9" s="121"/>
      <c r="D9" s="121"/>
      <c r="E9" s="121"/>
      <c r="F9" s="121"/>
      <c r="G9" s="122" t="s">
        <v>373</v>
      </c>
      <c r="H9" s="122"/>
      <c r="I9" s="122"/>
      <c r="J9" s="122"/>
      <c r="K9" s="123"/>
      <c r="L9" s="141" t="s">
        <v>18</v>
      </c>
      <c r="M9" s="141"/>
      <c r="N9" s="141"/>
      <c r="O9" s="141" t="s">
        <v>105</v>
      </c>
      <c r="P9" s="141"/>
      <c r="Q9" s="141"/>
      <c r="R9" s="141" t="s">
        <v>104</v>
      </c>
      <c r="S9" s="141"/>
      <c r="T9" s="141"/>
      <c r="U9" s="141" t="s">
        <v>96</v>
      </c>
      <c r="V9" s="141"/>
      <c r="W9" s="141" t="s">
        <v>16</v>
      </c>
      <c r="X9" s="141"/>
      <c r="Y9" s="141" t="s">
        <v>94</v>
      </c>
      <c r="Z9" s="141"/>
      <c r="AA9" s="141" t="s">
        <v>15</v>
      </c>
      <c r="AB9" s="141"/>
      <c r="AC9" s="141" t="s">
        <v>14</v>
      </c>
      <c r="AD9" s="141"/>
      <c r="AE9" s="142" t="s">
        <v>46</v>
      </c>
      <c r="AF9" s="142"/>
    </row>
    <row r="10" spans="2:32" ht="5" customHeight="1" x14ac:dyDescent="0.2">
      <c r="B10" s="4"/>
      <c r="C10" s="3"/>
      <c r="D10" s="3"/>
      <c r="E10" s="3"/>
      <c r="F10" s="3"/>
      <c r="G10" s="3"/>
      <c r="H10" s="3"/>
      <c r="I10" s="3"/>
      <c r="J10" s="3"/>
      <c r="K10" s="9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8"/>
      <c r="AF10" s="128"/>
    </row>
    <row r="11" spans="2:32" s="5" customFormat="1" ht="25" customHeight="1" x14ac:dyDescent="0.2">
      <c r="B11" s="129" t="s">
        <v>375</v>
      </c>
      <c r="C11" s="129"/>
      <c r="D11" s="129"/>
      <c r="E11" s="129"/>
      <c r="F11" s="130"/>
      <c r="G11" s="131" t="s">
        <v>377</v>
      </c>
      <c r="H11" s="131"/>
      <c r="I11" s="131"/>
      <c r="J11" s="131"/>
      <c r="K11" s="132"/>
      <c r="L11" s="125">
        <v>0.7</v>
      </c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>
        <v>0.3</v>
      </c>
      <c r="AB11" s="125"/>
      <c r="AC11" s="125"/>
      <c r="AD11" s="125"/>
      <c r="AE11" s="134">
        <f>SUM(L11:AD11)</f>
        <v>1</v>
      </c>
      <c r="AF11" s="135"/>
    </row>
    <row r="12" spans="2:32" s="5" customFormat="1" ht="25" customHeight="1" x14ac:dyDescent="0.2">
      <c r="B12" s="129" t="s">
        <v>376</v>
      </c>
      <c r="C12" s="129"/>
      <c r="D12" s="129"/>
      <c r="E12" s="129"/>
      <c r="F12" s="130"/>
      <c r="G12" s="131" t="s">
        <v>378</v>
      </c>
      <c r="H12" s="131"/>
      <c r="I12" s="131"/>
      <c r="J12" s="131"/>
      <c r="K12" s="132"/>
      <c r="L12" s="125">
        <v>0.75</v>
      </c>
      <c r="M12" s="125"/>
      <c r="N12" s="125"/>
      <c r="O12" s="125"/>
      <c r="P12" s="125"/>
      <c r="Q12" s="125"/>
      <c r="R12" s="125">
        <v>0.15</v>
      </c>
      <c r="S12" s="125"/>
      <c r="T12" s="125"/>
      <c r="U12" s="125"/>
      <c r="V12" s="125"/>
      <c r="W12" s="125"/>
      <c r="X12" s="125"/>
      <c r="Y12" s="125"/>
      <c r="Z12" s="125"/>
      <c r="AA12" s="125">
        <v>0.1</v>
      </c>
      <c r="AB12" s="125"/>
      <c r="AC12" s="125"/>
      <c r="AD12" s="125"/>
      <c r="AE12" s="134">
        <f>SUM(L12:AD12)</f>
        <v>1</v>
      </c>
      <c r="AF12" s="135"/>
    </row>
    <row r="15" spans="2:32" x14ac:dyDescent="0.2">
      <c r="B15" s="2" t="s">
        <v>383</v>
      </c>
    </row>
    <row r="16" spans="2:32" ht="5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314" t="s">
        <v>9</v>
      </c>
      <c r="L16" s="315"/>
      <c r="M16" s="315"/>
      <c r="N16" s="31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ht="15" customHeight="1" x14ac:dyDescent="0.2">
      <c r="B17" s="320" t="s">
        <v>11</v>
      </c>
      <c r="C17" s="321" t="s">
        <v>10</v>
      </c>
      <c r="D17" s="322"/>
      <c r="E17" s="322"/>
      <c r="F17" s="322"/>
      <c r="G17" s="322"/>
      <c r="H17" s="322"/>
      <c r="I17" s="322"/>
      <c r="J17" s="323"/>
      <c r="K17" s="317"/>
      <c r="L17" s="318"/>
      <c r="M17" s="318"/>
      <c r="N17" s="319"/>
      <c r="O17" s="320" t="s">
        <v>8</v>
      </c>
      <c r="P17" s="320"/>
      <c r="Q17" s="320"/>
      <c r="R17" s="320"/>
      <c r="S17" s="320"/>
      <c r="T17" s="320"/>
      <c r="U17" s="320"/>
      <c r="V17" s="321" t="s">
        <v>7</v>
      </c>
      <c r="W17" s="322"/>
      <c r="X17" s="322"/>
      <c r="Y17" s="322"/>
      <c r="Z17" s="322"/>
      <c r="AA17" s="322"/>
      <c r="AB17" s="322"/>
      <c r="AC17" s="322"/>
      <c r="AD17" s="322"/>
      <c r="AE17" s="322"/>
      <c r="AF17" s="323"/>
    </row>
    <row r="18" spans="2:32" ht="20" customHeight="1" x14ac:dyDescent="0.2">
      <c r="B18" s="320"/>
      <c r="C18" s="324"/>
      <c r="D18" s="325"/>
      <c r="E18" s="325"/>
      <c r="F18" s="325"/>
      <c r="G18" s="325"/>
      <c r="H18" s="325"/>
      <c r="I18" s="325"/>
      <c r="J18" s="326"/>
      <c r="K18" s="327" t="s">
        <v>65</v>
      </c>
      <c r="L18" s="327"/>
      <c r="M18" s="327" t="s">
        <v>66</v>
      </c>
      <c r="N18" s="327"/>
      <c r="O18" s="320"/>
      <c r="P18" s="320"/>
      <c r="Q18" s="320"/>
      <c r="R18" s="320"/>
      <c r="S18" s="320"/>
      <c r="T18" s="320"/>
      <c r="U18" s="320"/>
      <c r="V18" s="324"/>
      <c r="W18" s="325"/>
      <c r="X18" s="325"/>
      <c r="Y18" s="325"/>
      <c r="Z18" s="325"/>
      <c r="AA18" s="325"/>
      <c r="AB18" s="325"/>
      <c r="AC18" s="325"/>
      <c r="AD18" s="325"/>
      <c r="AE18" s="325"/>
      <c r="AF18" s="326"/>
    </row>
    <row r="19" spans="2:32" ht="5" customHeight="1" x14ac:dyDescent="0.2">
      <c r="B19" s="1"/>
      <c r="C19" s="166"/>
      <c r="D19" s="167"/>
      <c r="E19" s="167"/>
      <c r="F19" s="167"/>
      <c r="G19" s="167"/>
      <c r="H19" s="167"/>
      <c r="I19" s="167"/>
      <c r="J19" s="168"/>
      <c r="K19" s="186"/>
      <c r="L19" s="186"/>
      <c r="M19" s="186"/>
      <c r="N19" s="186"/>
      <c r="O19" s="193"/>
      <c r="P19" s="193"/>
      <c r="Q19" s="193"/>
      <c r="R19" s="193"/>
      <c r="S19" s="193"/>
      <c r="T19" s="193"/>
      <c r="U19" s="193"/>
      <c r="V19" s="166"/>
      <c r="W19" s="167"/>
      <c r="X19" s="167"/>
      <c r="Y19" s="167"/>
      <c r="Z19" s="167"/>
      <c r="AA19" s="167"/>
      <c r="AB19" s="167"/>
      <c r="AC19" s="167"/>
      <c r="AD19" s="167"/>
      <c r="AE19" s="167"/>
      <c r="AF19" s="168"/>
    </row>
    <row r="20" spans="2:32" ht="14.5" customHeight="1" x14ac:dyDescent="0.2">
      <c r="B20" s="1">
        <v>1</v>
      </c>
      <c r="C20" s="200" t="s">
        <v>6</v>
      </c>
      <c r="D20" s="201"/>
      <c r="E20" s="201"/>
      <c r="F20" s="201"/>
      <c r="G20" s="201"/>
      <c r="H20" s="201"/>
      <c r="I20" s="201"/>
      <c r="J20" s="202"/>
      <c r="K20" s="175">
        <f>L11</f>
        <v>0.7</v>
      </c>
      <c r="L20" s="175"/>
      <c r="M20" s="175">
        <f>L12</f>
        <v>0.75</v>
      </c>
      <c r="N20" s="175"/>
      <c r="O20" s="176" t="s">
        <v>5</v>
      </c>
      <c r="P20" s="177"/>
      <c r="Q20" s="177"/>
      <c r="R20" s="177"/>
      <c r="S20" s="177"/>
      <c r="T20" s="177"/>
      <c r="U20" s="178"/>
      <c r="V20" s="177" t="s">
        <v>54</v>
      </c>
      <c r="W20" s="177"/>
      <c r="X20" s="177"/>
      <c r="Y20" s="177"/>
      <c r="Z20" s="177"/>
      <c r="AA20" s="177"/>
      <c r="AB20" s="177"/>
      <c r="AC20" s="177"/>
      <c r="AD20" s="177"/>
      <c r="AE20" s="177"/>
      <c r="AF20" s="178"/>
    </row>
    <row r="21" spans="2:32" x14ac:dyDescent="0.2">
      <c r="B21" s="1">
        <v>2</v>
      </c>
      <c r="C21" s="200" t="s">
        <v>103</v>
      </c>
      <c r="D21" s="201"/>
      <c r="E21" s="201"/>
      <c r="F21" s="201"/>
      <c r="G21" s="201"/>
      <c r="H21" s="201"/>
      <c r="I21" s="201"/>
      <c r="J21" s="202"/>
      <c r="K21" s="175"/>
      <c r="L21" s="175"/>
      <c r="M21" s="175"/>
      <c r="N21" s="175"/>
      <c r="O21" s="179"/>
      <c r="P21" s="180"/>
      <c r="Q21" s="180"/>
      <c r="R21" s="180"/>
      <c r="S21" s="180"/>
      <c r="T21" s="180"/>
      <c r="U21" s="181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1"/>
    </row>
    <row r="22" spans="2:32" x14ac:dyDescent="0.2">
      <c r="B22" s="1">
        <v>3</v>
      </c>
      <c r="C22" s="200" t="s">
        <v>102</v>
      </c>
      <c r="D22" s="201"/>
      <c r="E22" s="201"/>
      <c r="F22" s="201"/>
      <c r="G22" s="201"/>
      <c r="H22" s="201"/>
      <c r="I22" s="201"/>
      <c r="J22" s="202"/>
      <c r="K22" s="175"/>
      <c r="L22" s="175"/>
      <c r="M22" s="175">
        <f>R12</f>
        <v>0.15</v>
      </c>
      <c r="N22" s="175"/>
      <c r="O22" s="179"/>
      <c r="P22" s="180"/>
      <c r="Q22" s="180"/>
      <c r="R22" s="180"/>
      <c r="S22" s="180"/>
      <c r="T22" s="180"/>
      <c r="U22" s="181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1"/>
    </row>
    <row r="23" spans="2:32" x14ac:dyDescent="0.2">
      <c r="B23" s="1">
        <v>4</v>
      </c>
      <c r="C23" s="200" t="s">
        <v>97</v>
      </c>
      <c r="D23" s="201"/>
      <c r="E23" s="201"/>
      <c r="F23" s="201"/>
      <c r="G23" s="201"/>
      <c r="H23" s="201"/>
      <c r="I23" s="201"/>
      <c r="J23" s="202"/>
      <c r="K23" s="175"/>
      <c r="L23" s="175"/>
      <c r="M23" s="175"/>
      <c r="N23" s="175"/>
      <c r="O23" s="179"/>
      <c r="P23" s="180"/>
      <c r="Q23" s="180"/>
      <c r="R23" s="180"/>
      <c r="S23" s="180"/>
      <c r="T23" s="180"/>
      <c r="U23" s="181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4"/>
    </row>
    <row r="24" spans="2:32" x14ac:dyDescent="0.2">
      <c r="B24" s="1">
        <v>5</v>
      </c>
      <c r="C24" s="200" t="s">
        <v>4</v>
      </c>
      <c r="D24" s="201"/>
      <c r="E24" s="201"/>
      <c r="F24" s="201"/>
      <c r="G24" s="201"/>
      <c r="H24" s="201"/>
      <c r="I24" s="201"/>
      <c r="J24" s="202"/>
      <c r="K24" s="175"/>
      <c r="L24" s="175"/>
      <c r="M24" s="175"/>
      <c r="N24" s="175"/>
      <c r="O24" s="179"/>
      <c r="P24" s="180"/>
      <c r="Q24" s="180"/>
      <c r="R24" s="180"/>
      <c r="S24" s="180"/>
      <c r="T24" s="180"/>
      <c r="U24" s="181"/>
      <c r="V24" s="177" t="s">
        <v>2</v>
      </c>
      <c r="W24" s="177"/>
      <c r="X24" s="177"/>
      <c r="Y24" s="177"/>
      <c r="Z24" s="177"/>
      <c r="AA24" s="177"/>
      <c r="AB24" s="177"/>
      <c r="AC24" s="177"/>
      <c r="AD24" s="177"/>
      <c r="AE24" s="177"/>
      <c r="AF24" s="178"/>
    </row>
    <row r="25" spans="2:32" ht="14.5" customHeight="1" x14ac:dyDescent="0.2">
      <c r="B25" s="1">
        <v>6</v>
      </c>
      <c r="C25" s="200" t="s">
        <v>362</v>
      </c>
      <c r="D25" s="201"/>
      <c r="E25" s="201"/>
      <c r="F25" s="201"/>
      <c r="G25" s="201"/>
      <c r="H25" s="201"/>
      <c r="I25" s="201"/>
      <c r="J25" s="202"/>
      <c r="K25" s="175"/>
      <c r="L25" s="175"/>
      <c r="M25" s="175"/>
      <c r="N25" s="175"/>
      <c r="O25" s="179"/>
      <c r="P25" s="180"/>
      <c r="Q25" s="180"/>
      <c r="R25" s="180"/>
      <c r="S25" s="180"/>
      <c r="T25" s="180"/>
      <c r="U25" s="181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1"/>
    </row>
    <row r="26" spans="2:32" x14ac:dyDescent="0.2">
      <c r="B26" s="1">
        <v>7</v>
      </c>
      <c r="C26" s="200" t="s">
        <v>1</v>
      </c>
      <c r="D26" s="201"/>
      <c r="E26" s="201"/>
      <c r="F26" s="201"/>
      <c r="G26" s="201"/>
      <c r="H26" s="201"/>
      <c r="I26" s="201"/>
      <c r="J26" s="202"/>
      <c r="K26" s="175">
        <f>AA11</f>
        <v>0.3</v>
      </c>
      <c r="L26" s="175"/>
      <c r="M26" s="175">
        <f>AA12</f>
        <v>0.1</v>
      </c>
      <c r="N26" s="175"/>
      <c r="O26" s="179"/>
      <c r="P26" s="180"/>
      <c r="Q26" s="180"/>
      <c r="R26" s="180"/>
      <c r="S26" s="180"/>
      <c r="T26" s="180"/>
      <c r="U26" s="181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1"/>
    </row>
    <row r="27" spans="2:32" x14ac:dyDescent="0.2">
      <c r="B27" s="1">
        <v>8</v>
      </c>
      <c r="C27" s="200" t="s">
        <v>0</v>
      </c>
      <c r="D27" s="201"/>
      <c r="E27" s="201"/>
      <c r="F27" s="201"/>
      <c r="G27" s="201"/>
      <c r="H27" s="201"/>
      <c r="I27" s="201"/>
      <c r="J27" s="202"/>
      <c r="K27" s="175"/>
      <c r="L27" s="175"/>
      <c r="M27" s="175"/>
      <c r="N27" s="175"/>
      <c r="O27" s="182"/>
      <c r="P27" s="183"/>
      <c r="Q27" s="183"/>
      <c r="R27" s="183"/>
      <c r="S27" s="183"/>
      <c r="T27" s="183"/>
      <c r="U27" s="184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4"/>
    </row>
    <row r="28" spans="2:32" x14ac:dyDescent="0.2">
      <c r="K28" s="213">
        <f>SUM(K20:L27)</f>
        <v>1</v>
      </c>
      <c r="L28" s="213"/>
      <c r="M28" s="213">
        <f>SUM(M20:N27)</f>
        <v>1</v>
      </c>
      <c r="N28" s="213"/>
    </row>
    <row r="30" spans="2:32" x14ac:dyDescent="0.2">
      <c r="B30" t="s">
        <v>77</v>
      </c>
    </row>
    <row r="31" spans="2:32" x14ac:dyDescent="0.2">
      <c r="B31" s="29" t="s">
        <v>18</v>
      </c>
      <c r="C31" s="26"/>
      <c r="F31" s="6" t="s">
        <v>126</v>
      </c>
    </row>
    <row r="32" spans="2:32" x14ac:dyDescent="0.2">
      <c r="B32" s="29" t="s">
        <v>121</v>
      </c>
      <c r="C32" s="26"/>
      <c r="F32" s="6" t="s">
        <v>125</v>
      </c>
    </row>
    <row r="33" spans="2:37" x14ac:dyDescent="0.2">
      <c r="B33" s="29" t="s">
        <v>122</v>
      </c>
      <c r="C33" s="26"/>
      <c r="F33" s="6" t="s">
        <v>127</v>
      </c>
    </row>
    <row r="34" spans="2:37" x14ac:dyDescent="0.2">
      <c r="B34" s="29" t="s">
        <v>123</v>
      </c>
      <c r="C34" s="26"/>
      <c r="F34" s="6" t="s">
        <v>128</v>
      </c>
    </row>
    <row r="35" spans="2:37" x14ac:dyDescent="0.2">
      <c r="B35" s="29"/>
      <c r="C35" s="26"/>
      <c r="F35" s="6" t="s">
        <v>138</v>
      </c>
    </row>
    <row r="36" spans="2:37" x14ac:dyDescent="0.2">
      <c r="B36" s="29" t="s">
        <v>124</v>
      </c>
      <c r="C36" s="26"/>
      <c r="F36" s="6" t="s">
        <v>130</v>
      </c>
    </row>
    <row r="37" spans="2:37" x14ac:dyDescent="0.2">
      <c r="B37" s="29" t="s">
        <v>129</v>
      </c>
      <c r="C37" s="26"/>
      <c r="F37" s="6" t="s">
        <v>131</v>
      </c>
    </row>
    <row r="38" spans="2:37" x14ac:dyDescent="0.2">
      <c r="B38" s="29" t="s">
        <v>363</v>
      </c>
      <c r="C38" s="26"/>
      <c r="F38" s="6" t="s">
        <v>364</v>
      </c>
    </row>
    <row r="39" spans="2:37" x14ac:dyDescent="0.2">
      <c r="B39" s="29" t="s">
        <v>133</v>
      </c>
      <c r="C39" s="26"/>
      <c r="F39" s="6" t="s">
        <v>135</v>
      </c>
    </row>
    <row r="40" spans="2:37" x14ac:dyDescent="0.2">
      <c r="B40" s="29" t="s">
        <v>134</v>
      </c>
      <c r="C40" s="26"/>
      <c r="F40" s="6" t="s">
        <v>137</v>
      </c>
    </row>
    <row r="44" spans="2:37" x14ac:dyDescent="0.2">
      <c r="B44" s="2" t="s">
        <v>383</v>
      </c>
    </row>
    <row r="45" spans="2:37" x14ac:dyDescent="0.2">
      <c r="B45" t="s">
        <v>384</v>
      </c>
    </row>
    <row r="46" spans="2:37" ht="5" customHeight="1" x14ac:dyDescent="0.2"/>
    <row r="47" spans="2:37" x14ac:dyDescent="0.2">
      <c r="B47" s="2"/>
      <c r="C47" s="2"/>
      <c r="D47" s="2"/>
      <c r="E47" s="2"/>
      <c r="F47" s="2"/>
      <c r="G47" s="2"/>
      <c r="H47" s="12"/>
      <c r="I47" s="2"/>
      <c r="J47" s="12"/>
      <c r="K47" s="114"/>
      <c r="L47" s="115"/>
      <c r="M47" s="115"/>
      <c r="N47" s="115"/>
      <c r="O47" s="115"/>
      <c r="P47" s="115"/>
      <c r="Q47" s="115"/>
      <c r="R47" s="115"/>
      <c r="S47" s="115"/>
      <c r="T47" s="115"/>
      <c r="U47" s="115" t="s">
        <v>10</v>
      </c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6"/>
    </row>
    <row r="48" spans="2:37" s="5" customFormat="1" ht="25" customHeight="1" x14ac:dyDescent="0.2">
      <c r="B48" s="308" t="s">
        <v>20</v>
      </c>
      <c r="C48" s="309"/>
      <c r="D48" s="309"/>
      <c r="E48" s="309"/>
      <c r="F48" s="309"/>
      <c r="G48" s="310"/>
      <c r="H48" s="311" t="s">
        <v>19</v>
      </c>
      <c r="I48" s="312"/>
      <c r="J48" s="313"/>
      <c r="K48" s="305" t="s">
        <v>18</v>
      </c>
      <c r="L48" s="306"/>
      <c r="M48" s="307"/>
      <c r="N48" s="305" t="s">
        <v>105</v>
      </c>
      <c r="O48" s="306"/>
      <c r="P48" s="307"/>
      <c r="Q48" s="305" t="s">
        <v>104</v>
      </c>
      <c r="R48" s="306"/>
      <c r="S48" s="307"/>
      <c r="T48" s="305" t="s">
        <v>96</v>
      </c>
      <c r="U48" s="306"/>
      <c r="V48" s="307"/>
      <c r="W48" s="305" t="s">
        <v>16</v>
      </c>
      <c r="X48" s="306"/>
      <c r="Y48" s="307"/>
      <c r="Z48" s="305" t="s">
        <v>94</v>
      </c>
      <c r="AA48" s="306"/>
      <c r="AB48" s="307"/>
      <c r="AC48" s="305" t="s">
        <v>15</v>
      </c>
      <c r="AD48" s="306"/>
      <c r="AE48" s="307"/>
      <c r="AF48" s="305" t="s">
        <v>14</v>
      </c>
      <c r="AG48" s="306"/>
      <c r="AH48" s="307"/>
      <c r="AI48"/>
      <c r="AJ48"/>
      <c r="AK48"/>
    </row>
    <row r="49" spans="2:41" ht="5" customHeight="1" x14ac:dyDescent="0.2">
      <c r="B49" s="4"/>
      <c r="C49" s="3"/>
      <c r="D49" s="3"/>
      <c r="E49" s="3"/>
      <c r="F49" s="3"/>
      <c r="G49" s="3"/>
      <c r="H49" s="3"/>
      <c r="I49" s="3"/>
      <c r="J49" s="3"/>
      <c r="K49" s="166"/>
      <c r="L49" s="167"/>
      <c r="M49" s="168"/>
      <c r="N49" s="166"/>
      <c r="O49" s="167"/>
      <c r="P49" s="168"/>
      <c r="Q49" s="166"/>
      <c r="R49" s="167"/>
      <c r="S49" s="168"/>
      <c r="T49" s="166"/>
      <c r="U49" s="167"/>
      <c r="V49" s="168"/>
      <c r="W49" s="166"/>
      <c r="X49" s="167"/>
      <c r="Y49" s="168"/>
      <c r="Z49" s="166"/>
      <c r="AA49" s="167"/>
      <c r="AB49" s="168"/>
      <c r="AC49" s="166"/>
      <c r="AD49" s="167"/>
      <c r="AE49" s="168"/>
      <c r="AF49" s="166"/>
      <c r="AG49" s="167"/>
      <c r="AH49" s="168"/>
    </row>
    <row r="50" spans="2:41" s="5" customFormat="1" ht="20" customHeight="1" x14ac:dyDescent="0.2">
      <c r="B50" s="146" t="s">
        <v>55</v>
      </c>
      <c r="C50" s="147"/>
      <c r="D50" s="147"/>
      <c r="E50" s="147"/>
      <c r="F50" s="147"/>
      <c r="G50" s="148"/>
      <c r="H50" s="149">
        <v>1000000</v>
      </c>
      <c r="I50" s="149"/>
      <c r="J50" s="149"/>
      <c r="K50" s="150">
        <f>$H50*$K$20</f>
        <v>700000</v>
      </c>
      <c r="L50" s="151"/>
      <c r="M50" s="152"/>
      <c r="N50" s="143">
        <f>$H50*$K$21</f>
        <v>0</v>
      </c>
      <c r="O50" s="144"/>
      <c r="P50" s="145"/>
      <c r="Q50" s="143">
        <f>$H50*$K$22</f>
        <v>0</v>
      </c>
      <c r="R50" s="144"/>
      <c r="S50" s="145"/>
      <c r="T50" s="143">
        <f>$H50*$K$23</f>
        <v>0</v>
      </c>
      <c r="U50" s="144"/>
      <c r="V50" s="145"/>
      <c r="W50" s="143">
        <f>$H50*$K$24</f>
        <v>0</v>
      </c>
      <c r="X50" s="144"/>
      <c r="Y50" s="145"/>
      <c r="Z50" s="143">
        <f>$H50*$K$25</f>
        <v>0</v>
      </c>
      <c r="AA50" s="144"/>
      <c r="AB50" s="145"/>
      <c r="AC50" s="143">
        <f>$H50*$K$26</f>
        <v>300000</v>
      </c>
      <c r="AD50" s="144"/>
      <c r="AE50" s="145"/>
      <c r="AF50" s="143">
        <f>$H50*$K$27</f>
        <v>0</v>
      </c>
      <c r="AG50" s="144"/>
      <c r="AH50" s="145"/>
      <c r="AN50" s="36">
        <f>H50/$H$53</f>
        <v>0.25</v>
      </c>
      <c r="AO50" s="37"/>
    </row>
    <row r="51" spans="2:41" s="5" customFormat="1" ht="20" customHeight="1" x14ac:dyDescent="0.2">
      <c r="B51" s="146" t="s">
        <v>56</v>
      </c>
      <c r="C51" s="147"/>
      <c r="D51" s="147"/>
      <c r="E51" s="147"/>
      <c r="F51" s="147"/>
      <c r="G51" s="148"/>
      <c r="H51" s="149">
        <v>1800000</v>
      </c>
      <c r="I51" s="149"/>
      <c r="J51" s="149"/>
      <c r="K51" s="150">
        <f>$H51*$K$20</f>
        <v>1260000</v>
      </c>
      <c r="L51" s="151"/>
      <c r="M51" s="152"/>
      <c r="N51" s="143">
        <f>$H51*$K$21</f>
        <v>0</v>
      </c>
      <c r="O51" s="144"/>
      <c r="P51" s="145"/>
      <c r="Q51" s="143">
        <f>$H51*$K$22</f>
        <v>0</v>
      </c>
      <c r="R51" s="144"/>
      <c r="S51" s="145"/>
      <c r="T51" s="143">
        <f>$H51*$K$23</f>
        <v>0</v>
      </c>
      <c r="U51" s="144"/>
      <c r="V51" s="145"/>
      <c r="W51" s="143">
        <f>$H51*$K$24</f>
        <v>0</v>
      </c>
      <c r="X51" s="144"/>
      <c r="Y51" s="145"/>
      <c r="Z51" s="143">
        <f>$H51*$K$25</f>
        <v>0</v>
      </c>
      <c r="AA51" s="144"/>
      <c r="AB51" s="145"/>
      <c r="AC51" s="143">
        <f>$H51*$K$26</f>
        <v>540000</v>
      </c>
      <c r="AD51" s="144"/>
      <c r="AE51" s="145"/>
      <c r="AF51" s="143">
        <f>$H51*$K$27</f>
        <v>0</v>
      </c>
      <c r="AG51" s="144"/>
      <c r="AH51" s="145"/>
      <c r="AN51" s="36">
        <f>H51/$H$53</f>
        <v>0.45</v>
      </c>
      <c r="AO51" s="38">
        <f>AN51-AN50</f>
        <v>0.2</v>
      </c>
    </row>
    <row r="52" spans="2:41" s="5" customFormat="1" ht="20" customHeight="1" x14ac:dyDescent="0.2">
      <c r="B52" s="146" t="s">
        <v>57</v>
      </c>
      <c r="C52" s="147"/>
      <c r="D52" s="147"/>
      <c r="E52" s="147"/>
      <c r="F52" s="147"/>
      <c r="G52" s="148"/>
      <c r="H52" s="149">
        <v>2800000</v>
      </c>
      <c r="I52" s="149"/>
      <c r="J52" s="149"/>
      <c r="K52" s="150">
        <f>$H52*$K$20</f>
        <v>1959999.9999999998</v>
      </c>
      <c r="L52" s="151"/>
      <c r="M52" s="152"/>
      <c r="N52" s="143">
        <f>$H52*$K$21</f>
        <v>0</v>
      </c>
      <c r="O52" s="144"/>
      <c r="P52" s="145"/>
      <c r="Q52" s="143">
        <f>$H52*$K$22</f>
        <v>0</v>
      </c>
      <c r="R52" s="144"/>
      <c r="S52" s="145"/>
      <c r="T52" s="143">
        <f>$H52*$K$23</f>
        <v>0</v>
      </c>
      <c r="U52" s="144"/>
      <c r="V52" s="145"/>
      <c r="W52" s="143">
        <f>$H52*$K$24</f>
        <v>0</v>
      </c>
      <c r="X52" s="144"/>
      <c r="Y52" s="145"/>
      <c r="Z52" s="143">
        <f>$H52*$K$25</f>
        <v>0</v>
      </c>
      <c r="AA52" s="144"/>
      <c r="AB52" s="145"/>
      <c r="AC52" s="143">
        <f>$H52*$K$26</f>
        <v>840000</v>
      </c>
      <c r="AD52" s="144"/>
      <c r="AE52" s="145"/>
      <c r="AF52" s="143">
        <f>$H52*$K$27</f>
        <v>0</v>
      </c>
      <c r="AG52" s="144"/>
      <c r="AH52" s="145"/>
      <c r="AN52" s="36">
        <f>H52/$H$53</f>
        <v>0.7</v>
      </c>
      <c r="AO52" s="38">
        <f>AN52-AN51</f>
        <v>0.24999999999999994</v>
      </c>
    </row>
    <row r="53" spans="2:41" s="5" customFormat="1" ht="20" customHeight="1" x14ac:dyDescent="0.2">
      <c r="B53" s="153" t="s">
        <v>58</v>
      </c>
      <c r="C53" s="154"/>
      <c r="D53" s="154"/>
      <c r="E53" s="154"/>
      <c r="F53" s="154"/>
      <c r="G53" s="155"/>
      <c r="H53" s="156">
        <v>4000000</v>
      </c>
      <c r="I53" s="156"/>
      <c r="J53" s="156"/>
      <c r="K53" s="299">
        <f>$H53*$K$20</f>
        <v>2800000</v>
      </c>
      <c r="L53" s="300"/>
      <c r="M53" s="301"/>
      <c r="N53" s="302">
        <f>$H53*$K$21</f>
        <v>0</v>
      </c>
      <c r="O53" s="303"/>
      <c r="P53" s="304"/>
      <c r="Q53" s="302">
        <f>$H53*$K$22</f>
        <v>0</v>
      </c>
      <c r="R53" s="303"/>
      <c r="S53" s="304"/>
      <c r="T53" s="302">
        <f>$H53*$K$23</f>
        <v>0</v>
      </c>
      <c r="U53" s="303"/>
      <c r="V53" s="304"/>
      <c r="W53" s="302">
        <f>$H53*$K$24</f>
        <v>0</v>
      </c>
      <c r="X53" s="303"/>
      <c r="Y53" s="304"/>
      <c r="Z53" s="302">
        <f>$H53*$K$25</f>
        <v>0</v>
      </c>
      <c r="AA53" s="303"/>
      <c r="AB53" s="304"/>
      <c r="AC53" s="302">
        <f>$H53*$K$26</f>
        <v>1200000</v>
      </c>
      <c r="AD53" s="303"/>
      <c r="AE53" s="304"/>
      <c r="AF53" s="302">
        <f>$H53*$K$27</f>
        <v>0</v>
      </c>
      <c r="AG53" s="303"/>
      <c r="AH53" s="304"/>
      <c r="AN53" s="36">
        <f>H53/$H$53</f>
        <v>1</v>
      </c>
      <c r="AO53" s="38">
        <f>AN53-AN52</f>
        <v>0.30000000000000004</v>
      </c>
    </row>
    <row r="54" spans="2:41" s="5" customFormat="1" ht="20" customHeight="1" x14ac:dyDescent="0.2">
      <c r="B54" s="146" t="s">
        <v>13</v>
      </c>
      <c r="C54" s="147"/>
      <c r="D54" s="147"/>
      <c r="E54" s="147"/>
      <c r="F54" s="147"/>
      <c r="G54" s="148"/>
      <c r="H54" s="149">
        <v>5300000</v>
      </c>
      <c r="I54" s="149"/>
      <c r="J54" s="149"/>
      <c r="K54" s="150">
        <f>$H54*$K$20</f>
        <v>3709999.9999999995</v>
      </c>
      <c r="L54" s="151"/>
      <c r="M54" s="152"/>
      <c r="N54" s="143">
        <f>$H54*$K$21</f>
        <v>0</v>
      </c>
      <c r="O54" s="144"/>
      <c r="P54" s="145"/>
      <c r="Q54" s="143">
        <f>$H54*$K$22</f>
        <v>0</v>
      </c>
      <c r="R54" s="144"/>
      <c r="S54" s="145"/>
      <c r="T54" s="143">
        <f>$H54*$K$23</f>
        <v>0</v>
      </c>
      <c r="U54" s="144"/>
      <c r="V54" s="145"/>
      <c r="W54" s="143">
        <f>$H54*$K$24</f>
        <v>0</v>
      </c>
      <c r="X54" s="144"/>
      <c r="Y54" s="145"/>
      <c r="Z54" s="143">
        <f>$H54*$K$25</f>
        <v>0</v>
      </c>
      <c r="AA54" s="144"/>
      <c r="AB54" s="145"/>
      <c r="AC54" s="143">
        <f>$H54*$K$26</f>
        <v>1590000</v>
      </c>
      <c r="AD54" s="144"/>
      <c r="AE54" s="145"/>
      <c r="AF54" s="143">
        <f>$H54*$K$27</f>
        <v>0</v>
      </c>
      <c r="AG54" s="144"/>
      <c r="AH54" s="145"/>
      <c r="AN54" s="36">
        <f>H54/$H$53</f>
        <v>1.325</v>
      </c>
      <c r="AO54" s="38">
        <f>AN54-AN53</f>
        <v>0.32499999999999996</v>
      </c>
    </row>
    <row r="55" spans="2:41" x14ac:dyDescent="0.2">
      <c r="I55" s="110" t="s">
        <v>388</v>
      </c>
      <c r="AN55" s="39"/>
      <c r="AO55" s="40"/>
    </row>
    <row r="56" spans="2:41" x14ac:dyDescent="0.2">
      <c r="AN56" s="39"/>
      <c r="AO56" s="40"/>
    </row>
    <row r="57" spans="2:41" x14ac:dyDescent="0.2">
      <c r="AN57" s="39"/>
      <c r="AO57" s="40"/>
    </row>
    <row r="58" spans="2:41" x14ac:dyDescent="0.2">
      <c r="B58" s="2" t="s">
        <v>383</v>
      </c>
      <c r="AN58" s="40"/>
      <c r="AO58" s="40"/>
    </row>
    <row r="59" spans="2:41" x14ac:dyDescent="0.2">
      <c r="B59" t="s">
        <v>385</v>
      </c>
      <c r="AN59" s="40"/>
      <c r="AO59" s="40"/>
    </row>
    <row r="60" spans="2:41" ht="5" customHeight="1" x14ac:dyDescent="0.2">
      <c r="AN60" s="40"/>
      <c r="AO60" s="40"/>
    </row>
    <row r="61" spans="2:41" x14ac:dyDescent="0.2">
      <c r="B61" s="2"/>
      <c r="C61" s="2"/>
      <c r="D61" s="2"/>
      <c r="E61" s="2"/>
      <c r="F61" s="2"/>
      <c r="G61" s="2"/>
      <c r="H61" s="12"/>
      <c r="I61" s="2"/>
      <c r="J61" s="12"/>
      <c r="K61" s="114"/>
      <c r="L61" s="115"/>
      <c r="M61" s="115"/>
      <c r="N61" s="115"/>
      <c r="O61" s="115"/>
      <c r="P61" s="115"/>
      <c r="Q61" s="115"/>
      <c r="R61" s="115"/>
      <c r="S61" s="115"/>
      <c r="T61" s="115"/>
      <c r="U61" s="115" t="s">
        <v>10</v>
      </c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6"/>
      <c r="AN61" s="40"/>
      <c r="AO61" s="40"/>
    </row>
    <row r="62" spans="2:41" s="5" customFormat="1" ht="25" customHeight="1" x14ac:dyDescent="0.2">
      <c r="B62" s="308" t="s">
        <v>20</v>
      </c>
      <c r="C62" s="309"/>
      <c r="D62" s="309"/>
      <c r="E62" s="309"/>
      <c r="F62" s="309"/>
      <c r="G62" s="310"/>
      <c r="H62" s="311" t="s">
        <v>19</v>
      </c>
      <c r="I62" s="312"/>
      <c r="J62" s="313"/>
      <c r="K62" s="305" t="s">
        <v>18</v>
      </c>
      <c r="L62" s="306"/>
      <c r="M62" s="307"/>
      <c r="N62" s="305" t="s">
        <v>105</v>
      </c>
      <c r="O62" s="306"/>
      <c r="P62" s="307"/>
      <c r="Q62" s="305" t="s">
        <v>104</v>
      </c>
      <c r="R62" s="306"/>
      <c r="S62" s="307"/>
      <c r="T62" s="305" t="s">
        <v>96</v>
      </c>
      <c r="U62" s="306"/>
      <c r="V62" s="307"/>
      <c r="W62" s="305" t="s">
        <v>16</v>
      </c>
      <c r="X62" s="306"/>
      <c r="Y62" s="307"/>
      <c r="Z62" s="305" t="s">
        <v>94</v>
      </c>
      <c r="AA62" s="306"/>
      <c r="AB62" s="307"/>
      <c r="AC62" s="305" t="s">
        <v>15</v>
      </c>
      <c r="AD62" s="306"/>
      <c r="AE62" s="307"/>
      <c r="AF62" s="305" t="s">
        <v>14</v>
      </c>
      <c r="AG62" s="306"/>
      <c r="AH62" s="307"/>
      <c r="AI62"/>
      <c r="AJ62"/>
      <c r="AK62"/>
      <c r="AN62" s="37"/>
      <c r="AO62" s="37"/>
    </row>
    <row r="63" spans="2:41" ht="5" customHeight="1" x14ac:dyDescent="0.2">
      <c r="B63" s="4"/>
      <c r="C63" s="3"/>
      <c r="D63" s="3"/>
      <c r="E63" s="3"/>
      <c r="F63" s="3"/>
      <c r="G63" s="3"/>
      <c r="H63" s="3"/>
      <c r="I63" s="3"/>
      <c r="J63" s="3"/>
      <c r="K63" s="166"/>
      <c r="L63" s="167"/>
      <c r="M63" s="168"/>
      <c r="N63" s="166"/>
      <c r="O63" s="167"/>
      <c r="P63" s="168"/>
      <c r="Q63" s="166"/>
      <c r="R63" s="167"/>
      <c r="S63" s="168"/>
      <c r="T63" s="166"/>
      <c r="U63" s="167"/>
      <c r="V63" s="168"/>
      <c r="W63" s="166"/>
      <c r="X63" s="167"/>
      <c r="Y63" s="168"/>
      <c r="Z63" s="166"/>
      <c r="AA63" s="167"/>
      <c r="AB63" s="168"/>
      <c r="AC63" s="166"/>
      <c r="AD63" s="167"/>
      <c r="AE63" s="168"/>
      <c r="AF63" s="166"/>
      <c r="AG63" s="167"/>
      <c r="AH63" s="168"/>
      <c r="AN63" s="40"/>
      <c r="AO63" s="40"/>
    </row>
    <row r="64" spans="2:41" s="5" customFormat="1" ht="20" customHeight="1" x14ac:dyDescent="0.2">
      <c r="B64" s="146" t="s">
        <v>55</v>
      </c>
      <c r="C64" s="147"/>
      <c r="D64" s="147"/>
      <c r="E64" s="147"/>
      <c r="F64" s="147"/>
      <c r="G64" s="148"/>
      <c r="H64" s="149">
        <v>1000000</v>
      </c>
      <c r="I64" s="149"/>
      <c r="J64" s="149"/>
      <c r="K64" s="150">
        <f>$H64*$M$20</f>
        <v>750000</v>
      </c>
      <c r="L64" s="151"/>
      <c r="M64" s="152"/>
      <c r="N64" s="143">
        <f>$H64*$M$21</f>
        <v>0</v>
      </c>
      <c r="O64" s="144"/>
      <c r="P64" s="145"/>
      <c r="Q64" s="143">
        <f>$H64*$M$22</f>
        <v>150000</v>
      </c>
      <c r="R64" s="144"/>
      <c r="S64" s="145"/>
      <c r="T64" s="143">
        <f>$H64*$M$23</f>
        <v>0</v>
      </c>
      <c r="U64" s="144"/>
      <c r="V64" s="145"/>
      <c r="W64" s="143">
        <f>$H64*$M$24</f>
        <v>0</v>
      </c>
      <c r="X64" s="144"/>
      <c r="Y64" s="145"/>
      <c r="Z64" s="143">
        <f>$H64*$M$25</f>
        <v>0</v>
      </c>
      <c r="AA64" s="144"/>
      <c r="AB64" s="145"/>
      <c r="AC64" s="143">
        <f>$H64*$M$26</f>
        <v>100000</v>
      </c>
      <c r="AD64" s="144"/>
      <c r="AE64" s="145"/>
      <c r="AF64" s="143">
        <f>$H64*$M$27</f>
        <v>0</v>
      </c>
      <c r="AG64" s="144"/>
      <c r="AH64" s="145"/>
      <c r="AN64" s="36">
        <f>H64/$H$67</f>
        <v>0.25</v>
      </c>
      <c r="AO64" s="37"/>
    </row>
    <row r="65" spans="2:41" s="5" customFormat="1" ht="20" customHeight="1" x14ac:dyDescent="0.2">
      <c r="B65" s="146" t="s">
        <v>56</v>
      </c>
      <c r="C65" s="147"/>
      <c r="D65" s="147"/>
      <c r="E65" s="147"/>
      <c r="F65" s="147"/>
      <c r="G65" s="148"/>
      <c r="H65" s="149">
        <v>1800000</v>
      </c>
      <c r="I65" s="149"/>
      <c r="J65" s="149"/>
      <c r="K65" s="150">
        <f>$H65*$M$20</f>
        <v>1350000</v>
      </c>
      <c r="L65" s="151"/>
      <c r="M65" s="152"/>
      <c r="N65" s="143">
        <f>$H65*$M$21</f>
        <v>0</v>
      </c>
      <c r="O65" s="144"/>
      <c r="P65" s="145"/>
      <c r="Q65" s="143">
        <f>$H65*$M$22</f>
        <v>270000</v>
      </c>
      <c r="R65" s="144"/>
      <c r="S65" s="145"/>
      <c r="T65" s="143">
        <f>$H65*$M$23</f>
        <v>0</v>
      </c>
      <c r="U65" s="144"/>
      <c r="V65" s="145"/>
      <c r="W65" s="143">
        <f>$H65*$M$24</f>
        <v>0</v>
      </c>
      <c r="X65" s="144"/>
      <c r="Y65" s="145"/>
      <c r="Z65" s="143">
        <f>$H65*$M$25</f>
        <v>0</v>
      </c>
      <c r="AA65" s="144"/>
      <c r="AB65" s="145"/>
      <c r="AC65" s="143">
        <f>$H65*$M$26</f>
        <v>180000</v>
      </c>
      <c r="AD65" s="144"/>
      <c r="AE65" s="145"/>
      <c r="AF65" s="143">
        <f>$H65*$M$27</f>
        <v>0</v>
      </c>
      <c r="AG65" s="144"/>
      <c r="AH65" s="145"/>
      <c r="AN65" s="36">
        <f>H65/$H$67</f>
        <v>0.45</v>
      </c>
      <c r="AO65" s="38">
        <f>AN65-AN64</f>
        <v>0.2</v>
      </c>
    </row>
    <row r="66" spans="2:41" s="5" customFormat="1" ht="20" customHeight="1" x14ac:dyDescent="0.2">
      <c r="B66" s="146" t="s">
        <v>57</v>
      </c>
      <c r="C66" s="147"/>
      <c r="D66" s="147"/>
      <c r="E66" s="147"/>
      <c r="F66" s="147"/>
      <c r="G66" s="148"/>
      <c r="H66" s="149">
        <v>2800000</v>
      </c>
      <c r="I66" s="149"/>
      <c r="J66" s="149"/>
      <c r="K66" s="150">
        <f>$H66*$M$20</f>
        <v>2100000</v>
      </c>
      <c r="L66" s="151"/>
      <c r="M66" s="152"/>
      <c r="N66" s="143">
        <f>$H66*$M$21</f>
        <v>0</v>
      </c>
      <c r="O66" s="144"/>
      <c r="P66" s="145"/>
      <c r="Q66" s="143">
        <f>$H66*$M$22</f>
        <v>420000</v>
      </c>
      <c r="R66" s="144"/>
      <c r="S66" s="145"/>
      <c r="T66" s="143">
        <f>$H66*$M$23</f>
        <v>0</v>
      </c>
      <c r="U66" s="144"/>
      <c r="V66" s="145"/>
      <c r="W66" s="143">
        <f>$H66*$M$24</f>
        <v>0</v>
      </c>
      <c r="X66" s="144"/>
      <c r="Y66" s="145"/>
      <c r="Z66" s="143">
        <f>$H66*$M$25</f>
        <v>0</v>
      </c>
      <c r="AA66" s="144"/>
      <c r="AB66" s="145"/>
      <c r="AC66" s="143">
        <f>$H66*$M$26</f>
        <v>280000</v>
      </c>
      <c r="AD66" s="144"/>
      <c r="AE66" s="145"/>
      <c r="AF66" s="143">
        <f>$H66*$M$27</f>
        <v>0</v>
      </c>
      <c r="AG66" s="144"/>
      <c r="AH66" s="145"/>
      <c r="AN66" s="36">
        <f>H66/$H$67</f>
        <v>0.7</v>
      </c>
      <c r="AO66" s="38">
        <f>AN66-AN65</f>
        <v>0.24999999999999994</v>
      </c>
    </row>
    <row r="67" spans="2:41" s="5" customFormat="1" ht="20" customHeight="1" x14ac:dyDescent="0.2">
      <c r="B67" s="153" t="s">
        <v>58</v>
      </c>
      <c r="C67" s="154"/>
      <c r="D67" s="154"/>
      <c r="E67" s="154"/>
      <c r="F67" s="154"/>
      <c r="G67" s="155"/>
      <c r="H67" s="156">
        <v>4000000</v>
      </c>
      <c r="I67" s="156"/>
      <c r="J67" s="156"/>
      <c r="K67" s="299">
        <f>$H67*$M$20</f>
        <v>3000000</v>
      </c>
      <c r="L67" s="300"/>
      <c r="M67" s="301"/>
      <c r="N67" s="302">
        <f>$H67*$M$21</f>
        <v>0</v>
      </c>
      <c r="O67" s="303"/>
      <c r="P67" s="304"/>
      <c r="Q67" s="302">
        <f>$H67*$M$22</f>
        <v>600000</v>
      </c>
      <c r="R67" s="303"/>
      <c r="S67" s="304"/>
      <c r="T67" s="302">
        <f>$H67*$M$23</f>
        <v>0</v>
      </c>
      <c r="U67" s="303"/>
      <c r="V67" s="304"/>
      <c r="W67" s="302">
        <f>$H67*$M$24</f>
        <v>0</v>
      </c>
      <c r="X67" s="303"/>
      <c r="Y67" s="304"/>
      <c r="Z67" s="302">
        <f>$H67*$M$25</f>
        <v>0</v>
      </c>
      <c r="AA67" s="303"/>
      <c r="AB67" s="304"/>
      <c r="AC67" s="302">
        <f>$H67*$M$26</f>
        <v>400000</v>
      </c>
      <c r="AD67" s="303"/>
      <c r="AE67" s="304"/>
      <c r="AF67" s="302">
        <f>$H67*$M$27</f>
        <v>0</v>
      </c>
      <c r="AG67" s="303"/>
      <c r="AH67" s="304"/>
      <c r="AN67" s="36">
        <f>H67/$H$67</f>
        <v>1</v>
      </c>
      <c r="AO67" s="38">
        <f>AN67-AN66</f>
        <v>0.30000000000000004</v>
      </c>
    </row>
    <row r="68" spans="2:41" s="5" customFormat="1" ht="20" customHeight="1" x14ac:dyDescent="0.2">
      <c r="B68" s="146" t="s">
        <v>13</v>
      </c>
      <c r="C68" s="147"/>
      <c r="D68" s="147"/>
      <c r="E68" s="147"/>
      <c r="F68" s="147"/>
      <c r="G68" s="148"/>
      <c r="H68" s="149">
        <v>5300000</v>
      </c>
      <c r="I68" s="149"/>
      <c r="J68" s="149"/>
      <c r="K68" s="150">
        <f>$H68*$M$20</f>
        <v>3975000</v>
      </c>
      <c r="L68" s="151"/>
      <c r="M68" s="152"/>
      <c r="N68" s="143">
        <f>$H68*$M$21</f>
        <v>0</v>
      </c>
      <c r="O68" s="144"/>
      <c r="P68" s="145"/>
      <c r="Q68" s="143">
        <f>$H68*$M$22</f>
        <v>795000</v>
      </c>
      <c r="R68" s="144"/>
      <c r="S68" s="145"/>
      <c r="T68" s="143">
        <f>$H68*$M$23</f>
        <v>0</v>
      </c>
      <c r="U68" s="144"/>
      <c r="V68" s="145"/>
      <c r="W68" s="143">
        <f>$H68*$M$24</f>
        <v>0</v>
      </c>
      <c r="X68" s="144"/>
      <c r="Y68" s="145"/>
      <c r="Z68" s="143">
        <f>$H68*$M$25</f>
        <v>0</v>
      </c>
      <c r="AA68" s="144"/>
      <c r="AB68" s="145"/>
      <c r="AC68" s="143">
        <f>$H68*$M$26</f>
        <v>530000</v>
      </c>
      <c r="AD68" s="144"/>
      <c r="AE68" s="145"/>
      <c r="AF68" s="143">
        <f>$H68*$M$27</f>
        <v>0</v>
      </c>
      <c r="AG68" s="144"/>
      <c r="AH68" s="145"/>
      <c r="AN68" s="36">
        <f>H68/$H$67</f>
        <v>1.325</v>
      </c>
      <c r="AO68" s="38">
        <f>AN68-AN67</f>
        <v>0.32499999999999996</v>
      </c>
    </row>
    <row r="69" spans="2:41" x14ac:dyDescent="0.2">
      <c r="I69" s="110" t="s">
        <v>388</v>
      </c>
      <c r="AN69" s="26"/>
      <c r="AO69" s="26"/>
    </row>
    <row r="71" spans="2:41" x14ac:dyDescent="0.2">
      <c r="AN71" s="109"/>
    </row>
    <row r="72" spans="2:41" x14ac:dyDescent="0.2">
      <c r="AN72" s="109"/>
    </row>
    <row r="73" spans="2:41" x14ac:dyDescent="0.2">
      <c r="B73" s="117" t="s">
        <v>389</v>
      </c>
      <c r="AN73" s="109"/>
    </row>
    <row r="74" spans="2:41" x14ac:dyDescent="0.2">
      <c r="AN74" s="109"/>
    </row>
    <row r="75" spans="2:41" x14ac:dyDescent="0.2">
      <c r="B75" s="2" t="s">
        <v>383</v>
      </c>
    </row>
    <row r="76" spans="2:41" x14ac:dyDescent="0.2">
      <c r="B76" t="s">
        <v>390</v>
      </c>
    </row>
    <row r="77" spans="2:41" ht="5" customHeight="1" x14ac:dyDescent="0.2"/>
    <row r="78" spans="2:41" x14ac:dyDescent="0.2">
      <c r="B78" s="2"/>
      <c r="C78" s="2"/>
      <c r="D78" s="2"/>
      <c r="E78" s="2"/>
      <c r="F78" s="2"/>
      <c r="G78" s="2"/>
      <c r="H78" s="12"/>
      <c r="I78" s="2"/>
      <c r="J78" s="12"/>
      <c r="K78" s="114"/>
      <c r="L78" s="115"/>
      <c r="M78" s="115"/>
      <c r="N78" s="115"/>
      <c r="O78" s="115"/>
      <c r="P78" s="115"/>
      <c r="Q78" s="115"/>
      <c r="R78" s="115"/>
      <c r="S78" s="115"/>
      <c r="T78" s="115"/>
      <c r="U78" s="115" t="s">
        <v>10</v>
      </c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6"/>
    </row>
    <row r="79" spans="2:41" s="5" customFormat="1" ht="25" customHeight="1" x14ac:dyDescent="0.2">
      <c r="B79" s="308" t="s">
        <v>20</v>
      </c>
      <c r="C79" s="309"/>
      <c r="D79" s="309"/>
      <c r="E79" s="309"/>
      <c r="F79" s="309"/>
      <c r="G79" s="310"/>
      <c r="H79" s="311" t="s">
        <v>19</v>
      </c>
      <c r="I79" s="312"/>
      <c r="J79" s="313"/>
      <c r="K79" s="305" t="s">
        <v>18</v>
      </c>
      <c r="L79" s="306"/>
      <c r="M79" s="307"/>
      <c r="N79" s="305" t="s">
        <v>105</v>
      </c>
      <c r="O79" s="306"/>
      <c r="P79" s="307"/>
      <c r="Q79" s="305" t="s">
        <v>104</v>
      </c>
      <c r="R79" s="306"/>
      <c r="S79" s="307"/>
      <c r="T79" s="305" t="s">
        <v>96</v>
      </c>
      <c r="U79" s="306"/>
      <c r="V79" s="307"/>
      <c r="W79" s="305" t="s">
        <v>16</v>
      </c>
      <c r="X79" s="306"/>
      <c r="Y79" s="307"/>
      <c r="Z79" s="305" t="s">
        <v>94</v>
      </c>
      <c r="AA79" s="306"/>
      <c r="AB79" s="307"/>
      <c r="AC79" s="305" t="s">
        <v>15</v>
      </c>
      <c r="AD79" s="306"/>
      <c r="AE79" s="307"/>
      <c r="AF79" s="305" t="s">
        <v>14</v>
      </c>
      <c r="AG79" s="306"/>
      <c r="AH79" s="307"/>
      <c r="AI79"/>
      <c r="AJ79"/>
      <c r="AK79"/>
    </row>
    <row r="80" spans="2:41" ht="5" customHeight="1" x14ac:dyDescent="0.2">
      <c r="B80" s="4"/>
      <c r="C80" s="3"/>
      <c r="D80" s="3"/>
      <c r="E80" s="3"/>
      <c r="F80" s="3"/>
      <c r="G80" s="3"/>
      <c r="H80" s="3"/>
      <c r="I80" s="3"/>
      <c r="J80" s="3"/>
      <c r="K80" s="166"/>
      <c r="L80" s="167"/>
      <c r="M80" s="168"/>
      <c r="N80" s="166"/>
      <c r="O80" s="167"/>
      <c r="P80" s="168"/>
      <c r="Q80" s="166"/>
      <c r="R80" s="167"/>
      <c r="S80" s="168"/>
      <c r="T80" s="166"/>
      <c r="U80" s="167"/>
      <c r="V80" s="168"/>
      <c r="W80" s="166"/>
      <c r="X80" s="167"/>
      <c r="Y80" s="168"/>
      <c r="Z80" s="166"/>
      <c r="AA80" s="167"/>
      <c r="AB80" s="168"/>
      <c r="AC80" s="166"/>
      <c r="AD80" s="167"/>
      <c r="AE80" s="168"/>
      <c r="AF80" s="166"/>
      <c r="AG80" s="167"/>
      <c r="AH80" s="168"/>
    </row>
    <row r="81" spans="2:41" s="5" customFormat="1" ht="20" customHeight="1" x14ac:dyDescent="0.2">
      <c r="B81" s="146" t="s">
        <v>55</v>
      </c>
      <c r="C81" s="147"/>
      <c r="D81" s="147"/>
      <c r="E81" s="147"/>
      <c r="F81" s="147"/>
      <c r="G81" s="148"/>
      <c r="H81" s="149">
        <v>2000000</v>
      </c>
      <c r="I81" s="149"/>
      <c r="J81" s="149"/>
      <c r="K81" s="150">
        <f>$H81*$K$20</f>
        <v>1400000</v>
      </c>
      <c r="L81" s="151"/>
      <c r="M81" s="152"/>
      <c r="N81" s="143">
        <f>$H81*$K$21</f>
        <v>0</v>
      </c>
      <c r="O81" s="144"/>
      <c r="P81" s="145"/>
      <c r="Q81" s="143">
        <f>$H81*$K$22</f>
        <v>0</v>
      </c>
      <c r="R81" s="144"/>
      <c r="S81" s="145"/>
      <c r="T81" s="143">
        <f>$H81*$K$23</f>
        <v>0</v>
      </c>
      <c r="U81" s="144"/>
      <c r="V81" s="145"/>
      <c r="W81" s="143">
        <f>$H81*$K$24</f>
        <v>0</v>
      </c>
      <c r="X81" s="144"/>
      <c r="Y81" s="145"/>
      <c r="Z81" s="143">
        <f>$H81*$K$25</f>
        <v>0</v>
      </c>
      <c r="AA81" s="144"/>
      <c r="AB81" s="145"/>
      <c r="AC81" s="143">
        <f>$H81*$K$26</f>
        <v>600000</v>
      </c>
      <c r="AD81" s="144"/>
      <c r="AE81" s="145"/>
      <c r="AF81" s="143">
        <f>$H81*$K$27</f>
        <v>0</v>
      </c>
      <c r="AG81" s="144"/>
      <c r="AH81" s="145"/>
      <c r="AN81" s="36">
        <f>H81/$H$53</f>
        <v>0.5</v>
      </c>
      <c r="AO81" s="37"/>
    </row>
    <row r="82" spans="2:41" s="5" customFormat="1" ht="20" customHeight="1" x14ac:dyDescent="0.2">
      <c r="B82" s="146" t="s">
        <v>56</v>
      </c>
      <c r="C82" s="147"/>
      <c r="D82" s="147"/>
      <c r="E82" s="147"/>
      <c r="F82" s="147"/>
      <c r="G82" s="148"/>
      <c r="H82" s="149">
        <v>3600000</v>
      </c>
      <c r="I82" s="149"/>
      <c r="J82" s="149"/>
      <c r="K82" s="150">
        <f>$H82*$K$20</f>
        <v>2520000</v>
      </c>
      <c r="L82" s="151"/>
      <c r="M82" s="152"/>
      <c r="N82" s="143">
        <f>$H82*$K$21</f>
        <v>0</v>
      </c>
      <c r="O82" s="144"/>
      <c r="P82" s="145"/>
      <c r="Q82" s="143">
        <f>$H82*$K$22</f>
        <v>0</v>
      </c>
      <c r="R82" s="144"/>
      <c r="S82" s="145"/>
      <c r="T82" s="143">
        <f>$H82*$K$23</f>
        <v>0</v>
      </c>
      <c r="U82" s="144"/>
      <c r="V82" s="145"/>
      <c r="W82" s="143">
        <f>$H82*$K$24</f>
        <v>0</v>
      </c>
      <c r="X82" s="144"/>
      <c r="Y82" s="145"/>
      <c r="Z82" s="143">
        <f>$H82*$K$25</f>
        <v>0</v>
      </c>
      <c r="AA82" s="144"/>
      <c r="AB82" s="145"/>
      <c r="AC82" s="143">
        <f>$H82*$K$26</f>
        <v>1080000</v>
      </c>
      <c r="AD82" s="144"/>
      <c r="AE82" s="145"/>
      <c r="AF82" s="143">
        <f>$H82*$K$27</f>
        <v>0</v>
      </c>
      <c r="AG82" s="144"/>
      <c r="AH82" s="145"/>
      <c r="AN82" s="36">
        <f>H82/$H$53</f>
        <v>0.9</v>
      </c>
      <c r="AO82" s="38">
        <f>AN82-AN81</f>
        <v>0.4</v>
      </c>
    </row>
    <row r="83" spans="2:41" s="5" customFormat="1" ht="20" customHeight="1" x14ac:dyDescent="0.2">
      <c r="B83" s="146" t="s">
        <v>57</v>
      </c>
      <c r="C83" s="147"/>
      <c r="D83" s="147"/>
      <c r="E83" s="147"/>
      <c r="F83" s="147"/>
      <c r="G83" s="148"/>
      <c r="H83" s="149">
        <v>5600000</v>
      </c>
      <c r="I83" s="149"/>
      <c r="J83" s="149"/>
      <c r="K83" s="150">
        <f>$H83*$K$20</f>
        <v>3919999.9999999995</v>
      </c>
      <c r="L83" s="151"/>
      <c r="M83" s="152"/>
      <c r="N83" s="143">
        <f>$H83*$K$21</f>
        <v>0</v>
      </c>
      <c r="O83" s="144"/>
      <c r="P83" s="145"/>
      <c r="Q83" s="143">
        <f>$H83*$K$22</f>
        <v>0</v>
      </c>
      <c r="R83" s="144"/>
      <c r="S83" s="145"/>
      <c r="T83" s="143">
        <f>$H83*$K$23</f>
        <v>0</v>
      </c>
      <c r="U83" s="144"/>
      <c r="V83" s="145"/>
      <c r="W83" s="143">
        <f>$H83*$K$24</f>
        <v>0</v>
      </c>
      <c r="X83" s="144"/>
      <c r="Y83" s="145"/>
      <c r="Z83" s="143">
        <f>$H83*$K$25</f>
        <v>0</v>
      </c>
      <c r="AA83" s="144"/>
      <c r="AB83" s="145"/>
      <c r="AC83" s="143">
        <f>$H83*$K$26</f>
        <v>1680000</v>
      </c>
      <c r="AD83" s="144"/>
      <c r="AE83" s="145"/>
      <c r="AF83" s="143">
        <f>$H83*$K$27</f>
        <v>0</v>
      </c>
      <c r="AG83" s="144"/>
      <c r="AH83" s="145"/>
      <c r="AN83" s="36">
        <f>H83/$H$53</f>
        <v>1.4</v>
      </c>
      <c r="AO83" s="38">
        <f>AN83-AN82</f>
        <v>0.49999999999999989</v>
      </c>
    </row>
    <row r="84" spans="2:41" s="5" customFormat="1" ht="20" customHeight="1" x14ac:dyDescent="0.2">
      <c r="B84" s="153" t="s">
        <v>58</v>
      </c>
      <c r="C84" s="154"/>
      <c r="D84" s="154"/>
      <c r="E84" s="154"/>
      <c r="F84" s="154"/>
      <c r="G84" s="155"/>
      <c r="H84" s="156">
        <v>8000000</v>
      </c>
      <c r="I84" s="156"/>
      <c r="J84" s="156"/>
      <c r="K84" s="299">
        <f>$H84*$K$20</f>
        <v>5600000</v>
      </c>
      <c r="L84" s="300"/>
      <c r="M84" s="301"/>
      <c r="N84" s="302">
        <f>$H84*$K$21</f>
        <v>0</v>
      </c>
      <c r="O84" s="303"/>
      <c r="P84" s="304"/>
      <c r="Q84" s="302">
        <f>$H84*$K$22</f>
        <v>0</v>
      </c>
      <c r="R84" s="303"/>
      <c r="S84" s="304"/>
      <c r="T84" s="302">
        <f>$H84*$K$23</f>
        <v>0</v>
      </c>
      <c r="U84" s="303"/>
      <c r="V84" s="304"/>
      <c r="W84" s="302">
        <f>$H84*$K$24</f>
        <v>0</v>
      </c>
      <c r="X84" s="303"/>
      <c r="Y84" s="304"/>
      <c r="Z84" s="302">
        <f>$H84*$K$25</f>
        <v>0</v>
      </c>
      <c r="AA84" s="303"/>
      <c r="AB84" s="304"/>
      <c r="AC84" s="302">
        <f>$H84*$K$26</f>
        <v>2400000</v>
      </c>
      <c r="AD84" s="303"/>
      <c r="AE84" s="304"/>
      <c r="AF84" s="302">
        <f>$H84*$K$27</f>
        <v>0</v>
      </c>
      <c r="AG84" s="303"/>
      <c r="AH84" s="304"/>
      <c r="AN84" s="36">
        <f>H84/$H$53</f>
        <v>2</v>
      </c>
      <c r="AO84" s="38">
        <f>AN84-AN83</f>
        <v>0.60000000000000009</v>
      </c>
    </row>
    <row r="85" spans="2:41" s="5" customFormat="1" ht="20" customHeight="1" x14ac:dyDescent="0.2">
      <c r="B85" s="146" t="s">
        <v>13</v>
      </c>
      <c r="C85" s="147"/>
      <c r="D85" s="147"/>
      <c r="E85" s="147"/>
      <c r="F85" s="147"/>
      <c r="G85" s="148"/>
      <c r="H85" s="149">
        <v>10600000</v>
      </c>
      <c r="I85" s="149"/>
      <c r="J85" s="149"/>
      <c r="K85" s="150">
        <f>$H85*$K$20</f>
        <v>7419999.9999999991</v>
      </c>
      <c r="L85" s="151"/>
      <c r="M85" s="152"/>
      <c r="N85" s="143">
        <f>$H85*$K$21</f>
        <v>0</v>
      </c>
      <c r="O85" s="144"/>
      <c r="P85" s="145"/>
      <c r="Q85" s="143">
        <f>$H85*$K$22</f>
        <v>0</v>
      </c>
      <c r="R85" s="144"/>
      <c r="S85" s="145"/>
      <c r="T85" s="143">
        <f>$H85*$K$23</f>
        <v>0</v>
      </c>
      <c r="U85" s="144"/>
      <c r="V85" s="145"/>
      <c r="W85" s="143">
        <f>$H85*$K$24</f>
        <v>0</v>
      </c>
      <c r="X85" s="144"/>
      <c r="Y85" s="145"/>
      <c r="Z85" s="143">
        <f>$H85*$K$25</f>
        <v>0</v>
      </c>
      <c r="AA85" s="144"/>
      <c r="AB85" s="145"/>
      <c r="AC85" s="143">
        <f>$H85*$K$26</f>
        <v>3180000</v>
      </c>
      <c r="AD85" s="144"/>
      <c r="AE85" s="145"/>
      <c r="AF85" s="143">
        <f>$H85*$K$27</f>
        <v>0</v>
      </c>
      <c r="AG85" s="144"/>
      <c r="AH85" s="145"/>
      <c r="AN85" s="36">
        <f>H85/$H$53</f>
        <v>2.65</v>
      </c>
      <c r="AO85" s="38">
        <f>AN85-AN84</f>
        <v>0.64999999999999991</v>
      </c>
    </row>
    <row r="86" spans="2:41" x14ac:dyDescent="0.2">
      <c r="I86" s="110" t="s">
        <v>388</v>
      </c>
      <c r="AN86" s="39"/>
      <c r="AO86" s="40"/>
    </row>
    <row r="87" spans="2:41" x14ac:dyDescent="0.2">
      <c r="AN87" s="39"/>
      <c r="AO87" s="40"/>
    </row>
    <row r="88" spans="2:41" x14ac:dyDescent="0.2">
      <c r="AN88" s="109"/>
    </row>
    <row r="89" spans="2:41" x14ac:dyDescent="0.2">
      <c r="B89" s="118" t="s">
        <v>401</v>
      </c>
      <c r="AN89" s="109"/>
    </row>
    <row r="90" spans="2:41" x14ac:dyDescent="0.2">
      <c r="B90" s="118"/>
      <c r="D90" s="117" t="s">
        <v>400</v>
      </c>
      <c r="AN90" s="109"/>
    </row>
    <row r="91" spans="2:41" x14ac:dyDescent="0.2"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109"/>
    </row>
  </sheetData>
  <mergeCells count="288">
    <mergeCell ref="AF66:AH66"/>
    <mergeCell ref="B67:G67"/>
    <mergeCell ref="H67:J67"/>
    <mergeCell ref="K67:M67"/>
    <mergeCell ref="N67:P67"/>
    <mergeCell ref="Q67:S67"/>
    <mergeCell ref="T67:V67"/>
    <mergeCell ref="W68:Y68"/>
    <mergeCell ref="Z68:AB68"/>
    <mergeCell ref="AC68:AE68"/>
    <mergeCell ref="AF68:AH68"/>
    <mergeCell ref="W67:Y67"/>
    <mergeCell ref="Z67:AB67"/>
    <mergeCell ref="AC67:AE67"/>
    <mergeCell ref="AF67:AH67"/>
    <mergeCell ref="B68:G68"/>
    <mergeCell ref="H68:J68"/>
    <mergeCell ref="K68:M68"/>
    <mergeCell ref="N68:P68"/>
    <mergeCell ref="Q68:S68"/>
    <mergeCell ref="T68:V68"/>
    <mergeCell ref="B66:G66"/>
    <mergeCell ref="H66:J66"/>
    <mergeCell ref="K66:M66"/>
    <mergeCell ref="N66:P66"/>
    <mergeCell ref="Q66:S66"/>
    <mergeCell ref="T66:V66"/>
    <mergeCell ref="W66:Y66"/>
    <mergeCell ref="Z66:AB66"/>
    <mergeCell ref="AC66:AE66"/>
    <mergeCell ref="W64:Y64"/>
    <mergeCell ref="Z64:AB64"/>
    <mergeCell ref="AC64:AE64"/>
    <mergeCell ref="AF64:AH64"/>
    <mergeCell ref="B65:G65"/>
    <mergeCell ref="H65:J65"/>
    <mergeCell ref="K65:M65"/>
    <mergeCell ref="N65:P65"/>
    <mergeCell ref="Q65:S65"/>
    <mergeCell ref="T65:V65"/>
    <mergeCell ref="B64:G64"/>
    <mergeCell ref="H64:J64"/>
    <mergeCell ref="K64:M64"/>
    <mergeCell ref="N64:P64"/>
    <mergeCell ref="Q64:S64"/>
    <mergeCell ref="T64:V64"/>
    <mergeCell ref="W65:Y65"/>
    <mergeCell ref="Z65:AB65"/>
    <mergeCell ref="AC65:AE65"/>
    <mergeCell ref="AF65:AH65"/>
    <mergeCell ref="AF62:AH62"/>
    <mergeCell ref="K63:M63"/>
    <mergeCell ref="N63:P63"/>
    <mergeCell ref="Q63:S63"/>
    <mergeCell ref="T63:V63"/>
    <mergeCell ref="W63:Y63"/>
    <mergeCell ref="Z63:AB63"/>
    <mergeCell ref="AC63:AE63"/>
    <mergeCell ref="AF63:AH63"/>
    <mergeCell ref="B62:G62"/>
    <mergeCell ref="H62:J62"/>
    <mergeCell ref="K62:M62"/>
    <mergeCell ref="N62:P62"/>
    <mergeCell ref="Q62:S62"/>
    <mergeCell ref="T62:V62"/>
    <mergeCell ref="W62:Y62"/>
    <mergeCell ref="Z62:AB62"/>
    <mergeCell ref="AC62:AE62"/>
    <mergeCell ref="AF53:AH53"/>
    <mergeCell ref="B54:G54"/>
    <mergeCell ref="H54:J54"/>
    <mergeCell ref="K54:M54"/>
    <mergeCell ref="N54:P54"/>
    <mergeCell ref="Q54:S54"/>
    <mergeCell ref="T54:V54"/>
    <mergeCell ref="W54:Y54"/>
    <mergeCell ref="Z54:AB54"/>
    <mergeCell ref="AC54:AE54"/>
    <mergeCell ref="AF54:AH54"/>
    <mergeCell ref="B53:G53"/>
    <mergeCell ref="H53:J53"/>
    <mergeCell ref="K53:M53"/>
    <mergeCell ref="N53:P53"/>
    <mergeCell ref="Q53:S53"/>
    <mergeCell ref="T53:V53"/>
    <mergeCell ref="W53:Y53"/>
    <mergeCell ref="Z53:AB53"/>
    <mergeCell ref="AC53:AE53"/>
    <mergeCell ref="AF51:AH51"/>
    <mergeCell ref="B52:G52"/>
    <mergeCell ref="H52:J52"/>
    <mergeCell ref="K52:M52"/>
    <mergeCell ref="N52:P52"/>
    <mergeCell ref="Q52:S52"/>
    <mergeCell ref="T52:V52"/>
    <mergeCell ref="W52:Y52"/>
    <mergeCell ref="Z52:AB52"/>
    <mergeCell ref="AC52:AE52"/>
    <mergeCell ref="AF52:AH52"/>
    <mergeCell ref="B51:G51"/>
    <mergeCell ref="H51:J51"/>
    <mergeCell ref="K51:M51"/>
    <mergeCell ref="N51:P51"/>
    <mergeCell ref="Q51:S51"/>
    <mergeCell ref="T51:V51"/>
    <mergeCell ref="W51:Y51"/>
    <mergeCell ref="Z51:AB51"/>
    <mergeCell ref="AC51:AE51"/>
    <mergeCell ref="AC49:AE49"/>
    <mergeCell ref="AF49:AH49"/>
    <mergeCell ref="B50:G50"/>
    <mergeCell ref="H50:J50"/>
    <mergeCell ref="K50:M50"/>
    <mergeCell ref="N50:P50"/>
    <mergeCell ref="Q50:S50"/>
    <mergeCell ref="T50:V50"/>
    <mergeCell ref="W50:Y50"/>
    <mergeCell ref="Z50:AB50"/>
    <mergeCell ref="K49:M49"/>
    <mergeCell ref="N49:P49"/>
    <mergeCell ref="Q49:S49"/>
    <mergeCell ref="T49:V49"/>
    <mergeCell ref="W49:Y49"/>
    <mergeCell ref="Z49:AB49"/>
    <mergeCell ref="AC50:AE50"/>
    <mergeCell ref="AF50:AH50"/>
    <mergeCell ref="C27:J27"/>
    <mergeCell ref="K27:L27"/>
    <mergeCell ref="M27:N27"/>
    <mergeCell ref="Q48:S48"/>
    <mergeCell ref="T48:V48"/>
    <mergeCell ref="W48:Y48"/>
    <mergeCell ref="Z48:AB48"/>
    <mergeCell ref="AC48:AE48"/>
    <mergeCell ref="AF48:AH48"/>
    <mergeCell ref="K28:L28"/>
    <mergeCell ref="M28:N28"/>
    <mergeCell ref="B48:G48"/>
    <mergeCell ref="H48:J48"/>
    <mergeCell ref="K48:M48"/>
    <mergeCell ref="N48:P48"/>
    <mergeCell ref="C20:J20"/>
    <mergeCell ref="K20:L20"/>
    <mergeCell ref="M20:N20"/>
    <mergeCell ref="O20:U27"/>
    <mergeCell ref="V20:AF23"/>
    <mergeCell ref="C23:J23"/>
    <mergeCell ref="K23:L23"/>
    <mergeCell ref="M23:N23"/>
    <mergeCell ref="C24:J24"/>
    <mergeCell ref="K24:L24"/>
    <mergeCell ref="M24:N24"/>
    <mergeCell ref="C21:J21"/>
    <mergeCell ref="K21:L21"/>
    <mergeCell ref="M21:N21"/>
    <mergeCell ref="C22:J22"/>
    <mergeCell ref="K22:L22"/>
    <mergeCell ref="M22:N22"/>
    <mergeCell ref="V24:AF27"/>
    <mergeCell ref="C25:J25"/>
    <mergeCell ref="K25:L25"/>
    <mergeCell ref="M25:N25"/>
    <mergeCell ref="C26:J26"/>
    <mergeCell ref="K26:L26"/>
    <mergeCell ref="M26:N26"/>
    <mergeCell ref="K16:N17"/>
    <mergeCell ref="B17:B18"/>
    <mergeCell ref="C17:J18"/>
    <mergeCell ref="O17:U18"/>
    <mergeCell ref="V17:AF18"/>
    <mergeCell ref="K18:L18"/>
    <mergeCell ref="M18:N18"/>
    <mergeCell ref="C19:J19"/>
    <mergeCell ref="K19:L19"/>
    <mergeCell ref="M19:N19"/>
    <mergeCell ref="O19:U19"/>
    <mergeCell ref="V19:AF19"/>
    <mergeCell ref="AC11:AD11"/>
    <mergeCell ref="AE11:AF11"/>
    <mergeCell ref="B12:F12"/>
    <mergeCell ref="G12:K12"/>
    <mergeCell ref="L12:N12"/>
    <mergeCell ref="O12:Q12"/>
    <mergeCell ref="R12:T12"/>
    <mergeCell ref="U12:V12"/>
    <mergeCell ref="W12:X12"/>
    <mergeCell ref="Y12:Z12"/>
    <mergeCell ref="AA12:AB12"/>
    <mergeCell ref="AC12:AD12"/>
    <mergeCell ref="AE12:AF12"/>
    <mergeCell ref="B11:F11"/>
    <mergeCell ref="G11:K11"/>
    <mergeCell ref="L11:N11"/>
    <mergeCell ref="O11:Q11"/>
    <mergeCell ref="R11:T11"/>
    <mergeCell ref="U11:V11"/>
    <mergeCell ref="W11:X11"/>
    <mergeCell ref="Y11:Z11"/>
    <mergeCell ref="AA11:AB11"/>
    <mergeCell ref="AE9:AF9"/>
    <mergeCell ref="L10:N10"/>
    <mergeCell ref="O10:Q10"/>
    <mergeCell ref="R10:T10"/>
    <mergeCell ref="U10:V10"/>
    <mergeCell ref="W10:X10"/>
    <mergeCell ref="Y10:Z10"/>
    <mergeCell ref="AA10:AB10"/>
    <mergeCell ref="AC10:AD10"/>
    <mergeCell ref="AE10:AF10"/>
    <mergeCell ref="L8:AD8"/>
    <mergeCell ref="B9:F9"/>
    <mergeCell ref="G9:K9"/>
    <mergeCell ref="L9:N9"/>
    <mergeCell ref="O9:Q9"/>
    <mergeCell ref="R9:T9"/>
    <mergeCell ref="U9:V9"/>
    <mergeCell ref="W9:X9"/>
    <mergeCell ref="Y9:Z9"/>
    <mergeCell ref="AA9:AB9"/>
    <mergeCell ref="AC9:AD9"/>
    <mergeCell ref="B79:G79"/>
    <mergeCell ref="H79:J79"/>
    <mergeCell ref="K79:M79"/>
    <mergeCell ref="N79:P79"/>
    <mergeCell ref="Q79:S79"/>
    <mergeCell ref="T79:V79"/>
    <mergeCell ref="W79:Y79"/>
    <mergeCell ref="Z79:AB79"/>
    <mergeCell ref="AC79:AE79"/>
    <mergeCell ref="AF79:AH79"/>
    <mergeCell ref="K80:M80"/>
    <mergeCell ref="N80:P80"/>
    <mergeCell ref="Q80:S80"/>
    <mergeCell ref="T80:V80"/>
    <mergeCell ref="W80:Y80"/>
    <mergeCell ref="Z80:AB80"/>
    <mergeCell ref="AC80:AE80"/>
    <mergeCell ref="AF80:AH80"/>
    <mergeCell ref="AF81:AH81"/>
    <mergeCell ref="B82:G82"/>
    <mergeCell ref="H82:J82"/>
    <mergeCell ref="K82:M82"/>
    <mergeCell ref="N82:P82"/>
    <mergeCell ref="Q82:S82"/>
    <mergeCell ref="T82:V82"/>
    <mergeCell ref="W82:Y82"/>
    <mergeCell ref="Z82:AB82"/>
    <mergeCell ref="AC82:AE82"/>
    <mergeCell ref="AF82:AH82"/>
    <mergeCell ref="B81:G81"/>
    <mergeCell ref="H81:J81"/>
    <mergeCell ref="K81:M81"/>
    <mergeCell ref="N81:P81"/>
    <mergeCell ref="Q81:S81"/>
    <mergeCell ref="T81:V81"/>
    <mergeCell ref="W81:Y81"/>
    <mergeCell ref="Z81:AB81"/>
    <mergeCell ref="AC81:AE81"/>
    <mergeCell ref="AF83:AH83"/>
    <mergeCell ref="B84:G84"/>
    <mergeCell ref="H84:J84"/>
    <mergeCell ref="K84:M84"/>
    <mergeCell ref="N84:P84"/>
    <mergeCell ref="Q84:S84"/>
    <mergeCell ref="T84:V84"/>
    <mergeCell ref="W84:Y84"/>
    <mergeCell ref="Z84:AB84"/>
    <mergeCell ref="AC84:AE84"/>
    <mergeCell ref="AF84:AH84"/>
    <mergeCell ref="B83:G83"/>
    <mergeCell ref="H83:J83"/>
    <mergeCell ref="K83:M83"/>
    <mergeCell ref="N83:P83"/>
    <mergeCell ref="Q83:S83"/>
    <mergeCell ref="T83:V83"/>
    <mergeCell ref="W83:Y83"/>
    <mergeCell ref="Z83:AB83"/>
    <mergeCell ref="AC83:AE83"/>
    <mergeCell ref="AF85:AH85"/>
    <mergeCell ref="B85:G85"/>
    <mergeCell ref="H85:J85"/>
    <mergeCell ref="K85:M85"/>
    <mergeCell ref="N85:P85"/>
    <mergeCell ref="Q85:S85"/>
    <mergeCell ref="T85:V85"/>
    <mergeCell ref="W85:Y85"/>
    <mergeCell ref="Z85:AB85"/>
    <mergeCell ref="AC85:AE85"/>
  </mergeCells>
  <pageMargins left="0.25" right="0.25" top="0.25" bottom="0.25" header="0.2" footer="0.15"/>
  <pageSetup scale="85" orientation="landscape" r:id="rId1"/>
  <rowBreaks count="1" manualBreakCount="1">
    <brk id="4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5B1E-7018-4D31-AFDA-571D832960BA}">
  <sheetPr>
    <tabColor theme="7"/>
  </sheetPr>
  <dimension ref="B1:AN52"/>
  <sheetViews>
    <sheetView showGridLines="0" zoomScale="80" zoomScaleNormal="80" workbookViewId="0">
      <selection activeCell="R54" sqref="R54"/>
    </sheetView>
  </sheetViews>
  <sheetFormatPr baseColWidth="10" defaultColWidth="8.83203125" defaultRowHeight="15" x14ac:dyDescent="0.2"/>
  <cols>
    <col min="1" max="1" width="1.6640625" customWidth="1"/>
    <col min="2" max="10" width="4.6640625" customWidth="1"/>
    <col min="11" max="40" width="3.6640625" customWidth="1"/>
    <col min="41" max="42" width="1.6640625" customWidth="1"/>
    <col min="43" max="72" width="4.6640625" customWidth="1"/>
  </cols>
  <sheetData>
    <row r="1" spans="2:34" x14ac:dyDescent="0.2">
      <c r="B1" s="24" t="s">
        <v>393</v>
      </c>
    </row>
    <row r="2" spans="2:34" ht="21" x14ac:dyDescent="0.25">
      <c r="B2" s="7" t="s">
        <v>52</v>
      </c>
    </row>
    <row r="3" spans="2:34" x14ac:dyDescent="0.2">
      <c r="B3" s="15" t="s">
        <v>51</v>
      </c>
    </row>
    <row r="5" spans="2:34" ht="18" customHeight="1" x14ac:dyDescent="0.25">
      <c r="B5" s="20" t="s">
        <v>179</v>
      </c>
      <c r="E5" s="6"/>
      <c r="H5" s="18"/>
      <c r="I5" s="18"/>
      <c r="J5" s="18"/>
      <c r="K5" s="18"/>
      <c r="L5" s="18"/>
      <c r="M5" s="18"/>
      <c r="N5" s="18"/>
    </row>
    <row r="6" spans="2:34" ht="14.5" customHeight="1" x14ac:dyDescent="0.25">
      <c r="B6" s="21" t="s">
        <v>50</v>
      </c>
      <c r="E6" s="6"/>
      <c r="H6" s="18"/>
      <c r="I6" s="18"/>
      <c r="J6" s="18"/>
      <c r="K6" s="18"/>
      <c r="L6" s="18"/>
      <c r="M6" s="18"/>
      <c r="N6" s="18"/>
    </row>
    <row r="7" spans="2:34" ht="5" customHeight="1" x14ac:dyDescent="0.2">
      <c r="B7" s="2"/>
      <c r="E7" s="6"/>
      <c r="G7" s="6"/>
    </row>
    <row r="8" spans="2:34" ht="5" customHeight="1" x14ac:dyDescent="0.2">
      <c r="B8" s="2"/>
      <c r="E8" s="6"/>
      <c r="G8" s="6"/>
    </row>
    <row r="9" spans="2:34" x14ac:dyDescent="0.2">
      <c r="B9" s="2" t="s">
        <v>180</v>
      </c>
    </row>
    <row r="10" spans="2:34" ht="5" customHeight="1" x14ac:dyDescent="0.2">
      <c r="K10" s="367" t="s">
        <v>9</v>
      </c>
      <c r="L10" s="368"/>
      <c r="M10" s="368"/>
      <c r="N10" s="368"/>
      <c r="O10" s="368"/>
      <c r="P10" s="369"/>
    </row>
    <row r="11" spans="2:34" ht="20" customHeight="1" x14ac:dyDescent="0.2">
      <c r="B11" s="376" t="s">
        <v>11</v>
      </c>
      <c r="C11" s="376" t="s">
        <v>10</v>
      </c>
      <c r="D11" s="376"/>
      <c r="E11" s="376"/>
      <c r="F11" s="376"/>
      <c r="G11" s="376"/>
      <c r="H11" s="376"/>
      <c r="I11" s="376"/>
      <c r="J11" s="377"/>
      <c r="K11" s="370"/>
      <c r="L11" s="371"/>
      <c r="M11" s="371"/>
      <c r="N11" s="371"/>
      <c r="O11" s="371"/>
      <c r="P11" s="372"/>
      <c r="Q11" s="378" t="s">
        <v>8</v>
      </c>
      <c r="R11" s="376"/>
      <c r="S11" s="376"/>
      <c r="T11" s="376"/>
      <c r="U11" s="376"/>
      <c r="V11" s="376"/>
      <c r="W11" s="376"/>
      <c r="X11" s="376" t="s">
        <v>7</v>
      </c>
      <c r="Y11" s="376"/>
      <c r="Z11" s="376"/>
      <c r="AA11" s="376"/>
      <c r="AB11" s="376"/>
      <c r="AC11" s="376"/>
      <c r="AD11" s="376"/>
      <c r="AE11" s="376"/>
      <c r="AF11" s="376"/>
      <c r="AG11" s="376"/>
      <c r="AH11" s="376"/>
    </row>
    <row r="12" spans="2:34" ht="20" customHeight="1" x14ac:dyDescent="0.2">
      <c r="B12" s="376"/>
      <c r="C12" s="376"/>
      <c r="D12" s="376"/>
      <c r="E12" s="376"/>
      <c r="F12" s="376"/>
      <c r="G12" s="376"/>
      <c r="H12" s="376"/>
      <c r="I12" s="376"/>
      <c r="J12" s="377"/>
      <c r="K12" s="373"/>
      <c r="L12" s="374"/>
      <c r="M12" s="374"/>
      <c r="N12" s="374"/>
      <c r="O12" s="374"/>
      <c r="P12" s="375"/>
      <c r="Q12" s="378"/>
      <c r="R12" s="376"/>
      <c r="S12" s="376"/>
      <c r="T12" s="376"/>
      <c r="U12" s="376"/>
      <c r="V12" s="376"/>
      <c r="W12" s="376"/>
      <c r="X12" s="376"/>
      <c r="Y12" s="376"/>
      <c r="Z12" s="376"/>
      <c r="AA12" s="376"/>
      <c r="AB12" s="376"/>
      <c r="AC12" s="376"/>
      <c r="AD12" s="376"/>
      <c r="AE12" s="376"/>
      <c r="AF12" s="376"/>
      <c r="AG12" s="376"/>
      <c r="AH12" s="376"/>
    </row>
    <row r="13" spans="2:34" ht="5" customHeight="1" x14ac:dyDescent="0.2">
      <c r="B13" s="54"/>
      <c r="C13" s="379"/>
      <c r="D13" s="379"/>
      <c r="E13" s="379"/>
      <c r="F13" s="379"/>
      <c r="G13" s="379"/>
      <c r="H13" s="379"/>
      <c r="I13" s="379"/>
      <c r="J13" s="380"/>
      <c r="K13" s="382"/>
      <c r="L13" s="383"/>
      <c r="M13" s="383"/>
      <c r="N13" s="383"/>
      <c r="O13" s="383"/>
      <c r="P13" s="384"/>
      <c r="Q13" s="381"/>
      <c r="R13" s="379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C13" s="379"/>
      <c r="AD13" s="379"/>
      <c r="AE13" s="379"/>
      <c r="AF13" s="379"/>
      <c r="AG13" s="379"/>
      <c r="AH13" s="379"/>
    </row>
    <row r="14" spans="2:34" ht="14.5" customHeight="1" x14ac:dyDescent="0.2">
      <c r="B14" s="54">
        <v>1</v>
      </c>
      <c r="C14" s="385" t="s">
        <v>6</v>
      </c>
      <c r="D14" s="386"/>
      <c r="E14" s="386"/>
      <c r="F14" s="386"/>
      <c r="G14" s="386"/>
      <c r="H14" s="386"/>
      <c r="I14" s="386"/>
      <c r="J14" s="386"/>
      <c r="K14" s="387">
        <v>0.6</v>
      </c>
      <c r="L14" s="388"/>
      <c r="M14" s="388"/>
      <c r="N14" s="388"/>
      <c r="O14" s="388"/>
      <c r="P14" s="389"/>
      <c r="Q14" s="390" t="s">
        <v>12</v>
      </c>
      <c r="R14" s="391"/>
      <c r="S14" s="391"/>
      <c r="T14" s="391"/>
      <c r="U14" s="391"/>
      <c r="V14" s="391"/>
      <c r="W14" s="391"/>
      <c r="X14" s="391" t="s">
        <v>54</v>
      </c>
      <c r="Y14" s="391"/>
      <c r="Z14" s="391"/>
      <c r="AA14" s="391"/>
      <c r="AB14" s="391"/>
      <c r="AC14" s="391"/>
      <c r="AD14" s="391"/>
      <c r="AE14" s="391"/>
      <c r="AF14" s="391"/>
      <c r="AG14" s="391"/>
      <c r="AH14" s="391"/>
    </row>
    <row r="15" spans="2:34" x14ac:dyDescent="0.2">
      <c r="B15" s="54">
        <v>2</v>
      </c>
      <c r="C15" s="385" t="s">
        <v>103</v>
      </c>
      <c r="D15" s="386"/>
      <c r="E15" s="386"/>
      <c r="F15" s="386"/>
      <c r="G15" s="386"/>
      <c r="H15" s="386"/>
      <c r="I15" s="386"/>
      <c r="J15" s="386"/>
      <c r="K15" s="387"/>
      <c r="L15" s="388"/>
      <c r="M15" s="388"/>
      <c r="N15" s="388"/>
      <c r="O15" s="388"/>
      <c r="P15" s="389"/>
      <c r="Q15" s="390"/>
      <c r="R15" s="391"/>
      <c r="S15" s="391"/>
      <c r="T15" s="391"/>
      <c r="U15" s="391"/>
      <c r="V15" s="391"/>
      <c r="W15" s="391"/>
      <c r="X15" s="391"/>
      <c r="Y15" s="391"/>
      <c r="Z15" s="391"/>
      <c r="AA15" s="391"/>
      <c r="AB15" s="391"/>
      <c r="AC15" s="391"/>
      <c r="AD15" s="391"/>
      <c r="AE15" s="391"/>
      <c r="AF15" s="391"/>
      <c r="AG15" s="391"/>
      <c r="AH15" s="391"/>
    </row>
    <row r="16" spans="2:34" x14ac:dyDescent="0.2">
      <c r="B16" s="54">
        <v>3</v>
      </c>
      <c r="C16" s="385" t="s">
        <v>102</v>
      </c>
      <c r="D16" s="386"/>
      <c r="E16" s="386"/>
      <c r="F16" s="386"/>
      <c r="G16" s="386"/>
      <c r="H16" s="386"/>
      <c r="I16" s="386"/>
      <c r="J16" s="386"/>
      <c r="K16" s="387">
        <v>0.1</v>
      </c>
      <c r="L16" s="388"/>
      <c r="M16" s="388"/>
      <c r="N16" s="388"/>
      <c r="O16" s="388"/>
      <c r="P16" s="389"/>
      <c r="Q16" s="390"/>
      <c r="R16" s="391"/>
      <c r="S16" s="391"/>
      <c r="T16" s="391"/>
      <c r="U16" s="391"/>
      <c r="V16" s="391"/>
      <c r="W16" s="391"/>
      <c r="X16" s="391"/>
      <c r="Y16" s="391"/>
      <c r="Z16" s="391"/>
      <c r="AA16" s="391"/>
      <c r="AB16" s="391"/>
      <c r="AC16" s="391"/>
      <c r="AD16" s="391"/>
      <c r="AE16" s="391"/>
      <c r="AF16" s="391"/>
      <c r="AG16" s="391"/>
      <c r="AH16" s="391"/>
    </row>
    <row r="17" spans="2:34" x14ac:dyDescent="0.2">
      <c r="B17" s="54">
        <v>4</v>
      </c>
      <c r="C17" s="200" t="s">
        <v>327</v>
      </c>
      <c r="D17" s="201"/>
      <c r="E17" s="201"/>
      <c r="F17" s="201"/>
      <c r="G17" s="201"/>
      <c r="H17" s="201"/>
      <c r="I17" s="201"/>
      <c r="J17" s="202"/>
      <c r="K17" s="387"/>
      <c r="L17" s="388"/>
      <c r="M17" s="388"/>
      <c r="N17" s="388"/>
      <c r="O17" s="388"/>
      <c r="P17" s="389"/>
      <c r="Q17" s="390"/>
      <c r="R17" s="391"/>
      <c r="S17" s="391"/>
      <c r="T17" s="391"/>
      <c r="U17" s="391"/>
      <c r="V17" s="391"/>
      <c r="W17" s="391"/>
      <c r="X17" s="391"/>
      <c r="Y17" s="391"/>
      <c r="Z17" s="391"/>
      <c r="AA17" s="391"/>
      <c r="AB17" s="391"/>
      <c r="AC17" s="391"/>
      <c r="AD17" s="391"/>
      <c r="AE17" s="391"/>
      <c r="AF17" s="391"/>
      <c r="AG17" s="391"/>
      <c r="AH17" s="391"/>
    </row>
    <row r="18" spans="2:34" x14ac:dyDescent="0.2">
      <c r="B18" s="54">
        <v>5</v>
      </c>
      <c r="C18" s="385" t="s">
        <v>4</v>
      </c>
      <c r="D18" s="386"/>
      <c r="E18" s="386"/>
      <c r="F18" s="386"/>
      <c r="G18" s="386"/>
      <c r="H18" s="386"/>
      <c r="I18" s="386"/>
      <c r="J18" s="386"/>
      <c r="K18" s="387">
        <v>0.1</v>
      </c>
      <c r="L18" s="388"/>
      <c r="M18" s="388"/>
      <c r="N18" s="388"/>
      <c r="O18" s="388"/>
      <c r="P18" s="389"/>
      <c r="Q18" s="390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</row>
    <row r="19" spans="2:34" ht="14.5" customHeight="1" x14ac:dyDescent="0.2">
      <c r="B19" s="54">
        <v>6</v>
      </c>
      <c r="C19" s="385" t="s">
        <v>67</v>
      </c>
      <c r="D19" s="386"/>
      <c r="E19" s="386"/>
      <c r="F19" s="386"/>
      <c r="G19" s="386"/>
      <c r="H19" s="386"/>
      <c r="I19" s="386"/>
      <c r="J19" s="386"/>
      <c r="K19" s="387"/>
      <c r="L19" s="388"/>
      <c r="M19" s="388"/>
      <c r="N19" s="388"/>
      <c r="O19" s="388"/>
      <c r="P19" s="389"/>
      <c r="Q19" s="390"/>
      <c r="R19" s="391"/>
      <c r="S19" s="391"/>
      <c r="T19" s="391"/>
      <c r="U19" s="391"/>
      <c r="V19" s="391"/>
      <c r="W19" s="391"/>
      <c r="X19" s="391" t="s">
        <v>2</v>
      </c>
      <c r="Y19" s="391"/>
      <c r="Z19" s="391"/>
      <c r="AA19" s="391"/>
      <c r="AB19" s="391"/>
      <c r="AC19" s="391"/>
      <c r="AD19" s="391"/>
      <c r="AE19" s="391"/>
      <c r="AF19" s="391"/>
      <c r="AG19" s="391"/>
      <c r="AH19" s="391"/>
    </row>
    <row r="20" spans="2:34" ht="14.5" customHeight="1" x14ac:dyDescent="0.2">
      <c r="B20" s="54">
        <v>7</v>
      </c>
      <c r="C20" s="385" t="s">
        <v>1</v>
      </c>
      <c r="D20" s="386"/>
      <c r="E20" s="386"/>
      <c r="F20" s="386"/>
      <c r="G20" s="386"/>
      <c r="H20" s="386"/>
      <c r="I20" s="386"/>
      <c r="J20" s="386"/>
      <c r="K20" s="387">
        <v>0.1</v>
      </c>
      <c r="L20" s="388"/>
      <c r="M20" s="388"/>
      <c r="N20" s="388"/>
      <c r="O20" s="388"/>
      <c r="P20" s="389"/>
      <c r="Q20" s="390"/>
      <c r="R20" s="391"/>
      <c r="S20" s="391"/>
      <c r="T20" s="391"/>
      <c r="U20" s="391"/>
      <c r="V20" s="391"/>
      <c r="W20" s="391"/>
      <c r="X20" s="391"/>
      <c r="Y20" s="391"/>
      <c r="Z20" s="391"/>
      <c r="AA20" s="391"/>
      <c r="AB20" s="391"/>
      <c r="AC20" s="391"/>
      <c r="AD20" s="391"/>
      <c r="AE20" s="391"/>
      <c r="AF20" s="391"/>
      <c r="AG20" s="391"/>
      <c r="AH20" s="391"/>
    </row>
    <row r="21" spans="2:34" x14ac:dyDescent="0.2">
      <c r="B21" s="54">
        <v>8</v>
      </c>
      <c r="C21" s="385" t="s">
        <v>0</v>
      </c>
      <c r="D21" s="386"/>
      <c r="E21" s="386"/>
      <c r="F21" s="386"/>
      <c r="G21" s="386"/>
      <c r="H21" s="386"/>
      <c r="I21" s="386"/>
      <c r="J21" s="386"/>
      <c r="K21" s="387"/>
      <c r="L21" s="388"/>
      <c r="M21" s="388"/>
      <c r="N21" s="388"/>
      <c r="O21" s="388"/>
      <c r="P21" s="389"/>
      <c r="Q21" s="390"/>
      <c r="R21" s="391"/>
      <c r="S21" s="391"/>
      <c r="T21" s="391"/>
      <c r="U21" s="391"/>
      <c r="V21" s="391"/>
      <c r="W21" s="391"/>
      <c r="X21" s="391"/>
      <c r="Y21" s="391"/>
      <c r="Z21" s="391"/>
      <c r="AA21" s="391"/>
      <c r="AB21" s="391"/>
      <c r="AC21" s="391"/>
      <c r="AD21" s="391"/>
      <c r="AE21" s="391"/>
      <c r="AF21" s="391"/>
      <c r="AG21" s="391"/>
      <c r="AH21" s="391"/>
    </row>
    <row r="22" spans="2:34" x14ac:dyDescent="0.2">
      <c r="B22" s="54">
        <v>9</v>
      </c>
      <c r="C22" s="385" t="s">
        <v>161</v>
      </c>
      <c r="D22" s="386"/>
      <c r="E22" s="386"/>
      <c r="F22" s="386"/>
      <c r="G22" s="386"/>
      <c r="H22" s="386"/>
      <c r="I22" s="386"/>
      <c r="J22" s="386"/>
      <c r="K22" s="387">
        <v>0.1</v>
      </c>
      <c r="L22" s="388"/>
      <c r="M22" s="388"/>
      <c r="N22" s="388"/>
      <c r="O22" s="388"/>
      <c r="P22" s="389"/>
      <c r="Q22" s="390"/>
      <c r="R22" s="391"/>
      <c r="S22" s="391"/>
      <c r="T22" s="391"/>
      <c r="U22" s="391"/>
      <c r="V22" s="391"/>
      <c r="W22" s="391"/>
      <c r="X22" s="391"/>
      <c r="Y22" s="391"/>
      <c r="Z22" s="391"/>
      <c r="AA22" s="391"/>
      <c r="AB22" s="391"/>
      <c r="AC22" s="391"/>
      <c r="AD22" s="391"/>
      <c r="AE22" s="391"/>
      <c r="AF22" s="391"/>
      <c r="AG22" s="391"/>
      <c r="AH22" s="391"/>
    </row>
    <row r="23" spans="2:34" x14ac:dyDescent="0.2">
      <c r="B23" s="54">
        <v>10</v>
      </c>
      <c r="C23" s="385" t="s">
        <v>162</v>
      </c>
      <c r="D23" s="386"/>
      <c r="E23" s="386"/>
      <c r="F23" s="386"/>
      <c r="G23" s="386"/>
      <c r="H23" s="386"/>
      <c r="I23" s="386"/>
      <c r="J23" s="386"/>
      <c r="K23" s="387"/>
      <c r="L23" s="388"/>
      <c r="M23" s="388"/>
      <c r="N23" s="388"/>
      <c r="O23" s="388"/>
      <c r="P23" s="389"/>
      <c r="Q23" s="390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</row>
    <row r="24" spans="2:34" x14ac:dyDescent="0.2">
      <c r="K24" s="392">
        <f>SUM(K14:L23)</f>
        <v>0.99999999999999989</v>
      </c>
      <c r="L24" s="393"/>
      <c r="M24" s="393"/>
      <c r="N24" s="393"/>
      <c r="O24" s="393"/>
      <c r="P24" s="394"/>
    </row>
    <row r="27" spans="2:34" x14ac:dyDescent="0.2">
      <c r="B27" t="s">
        <v>77</v>
      </c>
    </row>
    <row r="28" spans="2:34" x14ac:dyDescent="0.2">
      <c r="B28" s="29" t="s">
        <v>18</v>
      </c>
      <c r="C28" s="26"/>
      <c r="F28" s="6"/>
      <c r="G28" s="6" t="s">
        <v>126</v>
      </c>
    </row>
    <row r="29" spans="2:34" x14ac:dyDescent="0.2">
      <c r="B29" s="29" t="s">
        <v>121</v>
      </c>
      <c r="C29" s="26"/>
      <c r="F29" s="6"/>
      <c r="G29" s="6" t="s">
        <v>125</v>
      </c>
    </row>
    <row r="30" spans="2:34" x14ac:dyDescent="0.2">
      <c r="B30" s="29" t="s">
        <v>122</v>
      </c>
      <c r="C30" s="26"/>
      <c r="F30" s="6"/>
      <c r="G30" s="6" t="s">
        <v>127</v>
      </c>
    </row>
    <row r="31" spans="2:34" x14ac:dyDescent="0.2">
      <c r="B31" s="29" t="s">
        <v>98</v>
      </c>
      <c r="C31" s="26"/>
      <c r="F31" s="6"/>
      <c r="G31" s="6" t="s">
        <v>141</v>
      </c>
    </row>
    <row r="32" spans="2:34" x14ac:dyDescent="0.2">
      <c r="B32" s="29" t="s">
        <v>324</v>
      </c>
      <c r="C32" s="26"/>
      <c r="F32" s="6"/>
      <c r="G32" s="6" t="s">
        <v>325</v>
      </c>
    </row>
    <row r="33" spans="2:40" x14ac:dyDescent="0.2">
      <c r="B33" s="29" t="s">
        <v>129</v>
      </c>
      <c r="C33" s="26"/>
      <c r="F33" s="6"/>
      <c r="G33" s="6" t="s">
        <v>131</v>
      </c>
    </row>
    <row r="34" spans="2:40" x14ac:dyDescent="0.2">
      <c r="B34" s="29" t="s">
        <v>132</v>
      </c>
      <c r="C34" s="26"/>
      <c r="F34" s="6"/>
      <c r="G34" s="6" t="s">
        <v>136</v>
      </c>
    </row>
    <row r="35" spans="2:40" x14ac:dyDescent="0.2">
      <c r="B35" s="29" t="s">
        <v>133</v>
      </c>
      <c r="C35" s="26"/>
      <c r="F35" s="6"/>
      <c r="G35" s="6" t="s">
        <v>135</v>
      </c>
    </row>
    <row r="36" spans="2:40" x14ac:dyDescent="0.2">
      <c r="B36" s="29" t="s">
        <v>134</v>
      </c>
      <c r="C36" s="26"/>
      <c r="F36" s="6"/>
      <c r="G36" s="6" t="s">
        <v>137</v>
      </c>
    </row>
    <row r="37" spans="2:40" x14ac:dyDescent="0.2">
      <c r="B37" s="29" t="s">
        <v>163</v>
      </c>
      <c r="C37" s="26"/>
      <c r="F37" s="6"/>
      <c r="G37" s="6" t="s">
        <v>181</v>
      </c>
    </row>
    <row r="38" spans="2:40" x14ac:dyDescent="0.2">
      <c r="B38" s="29" t="s">
        <v>164</v>
      </c>
      <c r="C38" s="26"/>
      <c r="F38" s="6"/>
      <c r="G38" s="6" t="s">
        <v>182</v>
      </c>
    </row>
    <row r="42" spans="2:40" x14ac:dyDescent="0.2">
      <c r="B42" s="2" t="s">
        <v>183</v>
      </c>
    </row>
    <row r="44" spans="2:40" ht="5" customHeight="1" x14ac:dyDescent="0.2"/>
    <row r="45" spans="2:40" x14ac:dyDescent="0.2">
      <c r="B45" s="2"/>
      <c r="H45" s="6"/>
      <c r="J45" s="6"/>
      <c r="K45" s="219" t="s">
        <v>10</v>
      </c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</row>
    <row r="46" spans="2:40" s="5" customFormat="1" ht="25" customHeight="1" x14ac:dyDescent="0.2">
      <c r="B46" s="233" t="s">
        <v>20</v>
      </c>
      <c r="C46" s="233"/>
      <c r="D46" s="233"/>
      <c r="E46" s="233"/>
      <c r="F46" s="233"/>
      <c r="G46" s="234"/>
      <c r="H46" s="235" t="s">
        <v>19</v>
      </c>
      <c r="I46" s="236"/>
      <c r="J46" s="237"/>
      <c r="K46" s="230" t="s">
        <v>18</v>
      </c>
      <c r="L46" s="231"/>
      <c r="M46" s="232"/>
      <c r="N46" s="230" t="s">
        <v>105</v>
      </c>
      <c r="O46" s="231"/>
      <c r="P46" s="232"/>
      <c r="Q46" s="230" t="s">
        <v>314</v>
      </c>
      <c r="R46" s="231"/>
      <c r="S46" s="232"/>
      <c r="T46" s="230" t="s">
        <v>315</v>
      </c>
      <c r="U46" s="231"/>
      <c r="V46" s="232"/>
      <c r="W46" s="230" t="s">
        <v>16</v>
      </c>
      <c r="X46" s="231"/>
      <c r="Y46" s="232"/>
      <c r="Z46" s="230" t="s">
        <v>95</v>
      </c>
      <c r="AA46" s="231"/>
      <c r="AB46" s="232"/>
      <c r="AC46" s="230" t="s">
        <v>15</v>
      </c>
      <c r="AD46" s="231"/>
      <c r="AE46" s="232"/>
      <c r="AF46" s="230" t="s">
        <v>14</v>
      </c>
      <c r="AG46" s="231"/>
      <c r="AH46" s="231"/>
      <c r="AI46" s="230" t="s">
        <v>165</v>
      </c>
      <c r="AJ46" s="231"/>
      <c r="AK46" s="232"/>
      <c r="AL46" s="230" t="s">
        <v>166</v>
      </c>
      <c r="AM46" s="231"/>
      <c r="AN46" s="231"/>
    </row>
    <row r="47" spans="2:40" ht="5" customHeight="1" x14ac:dyDescent="0.2">
      <c r="B47" s="4"/>
      <c r="C47" s="3"/>
      <c r="D47" s="3"/>
      <c r="E47" s="3"/>
      <c r="F47" s="3"/>
      <c r="G47" s="3"/>
      <c r="H47" s="3"/>
      <c r="I47" s="3"/>
      <c r="J47" s="3"/>
      <c r="K47" s="166"/>
      <c r="L47" s="167"/>
      <c r="M47" s="168"/>
      <c r="N47" s="166"/>
      <c r="O47" s="167"/>
      <c r="P47" s="168"/>
      <c r="Q47" s="166"/>
      <c r="R47" s="167"/>
      <c r="S47" s="168"/>
      <c r="T47" s="166"/>
      <c r="U47" s="167"/>
      <c r="V47" s="168"/>
      <c r="W47" s="166"/>
      <c r="X47" s="167"/>
      <c r="Y47" s="168"/>
      <c r="Z47" s="166"/>
      <c r="AA47" s="167"/>
      <c r="AB47" s="168"/>
      <c r="AC47" s="166"/>
      <c r="AD47" s="167"/>
      <c r="AE47" s="168"/>
      <c r="AF47" s="166"/>
      <c r="AG47" s="167"/>
      <c r="AH47" s="168"/>
      <c r="AI47" s="166"/>
      <c r="AJ47" s="167"/>
      <c r="AK47" s="168"/>
      <c r="AL47" s="166"/>
      <c r="AM47" s="167"/>
      <c r="AN47" s="168"/>
    </row>
    <row r="48" spans="2:40" s="5" customFormat="1" ht="18" customHeight="1" x14ac:dyDescent="0.2">
      <c r="B48" s="238" t="s">
        <v>55</v>
      </c>
      <c r="C48" s="239"/>
      <c r="D48" s="239"/>
      <c r="E48" s="239"/>
      <c r="F48" s="239"/>
      <c r="G48" s="240"/>
      <c r="H48" s="149">
        <v>200000</v>
      </c>
      <c r="I48" s="149"/>
      <c r="J48" s="149"/>
      <c r="K48" s="150">
        <f>$H48*$K$14</f>
        <v>120000</v>
      </c>
      <c r="L48" s="151"/>
      <c r="M48" s="152"/>
      <c r="N48" s="150">
        <f>$H48*$K$15</f>
        <v>0</v>
      </c>
      <c r="O48" s="151"/>
      <c r="P48" s="152"/>
      <c r="Q48" s="150">
        <f>$H48*$K$16</f>
        <v>20000</v>
      </c>
      <c r="R48" s="151"/>
      <c r="S48" s="152"/>
      <c r="T48" s="150">
        <f>$H48*$K$17</f>
        <v>0</v>
      </c>
      <c r="U48" s="151"/>
      <c r="V48" s="152"/>
      <c r="W48" s="150">
        <f>$H48*$K$18</f>
        <v>20000</v>
      </c>
      <c r="X48" s="151"/>
      <c r="Y48" s="152"/>
      <c r="Z48" s="150">
        <f>$H48*$K$19</f>
        <v>0</v>
      </c>
      <c r="AA48" s="151"/>
      <c r="AB48" s="152"/>
      <c r="AC48" s="150">
        <f>$H48*$K$20</f>
        <v>20000</v>
      </c>
      <c r="AD48" s="151"/>
      <c r="AE48" s="152"/>
      <c r="AF48" s="150">
        <f>$H48*$K$21</f>
        <v>0</v>
      </c>
      <c r="AG48" s="151"/>
      <c r="AH48" s="152"/>
      <c r="AI48" s="150">
        <f>$H48*$K$22</f>
        <v>20000</v>
      </c>
      <c r="AJ48" s="151"/>
      <c r="AK48" s="152"/>
      <c r="AL48" s="150">
        <f>$H48*$K$23</f>
        <v>0</v>
      </c>
      <c r="AM48" s="151"/>
      <c r="AN48" s="152"/>
    </row>
    <row r="49" spans="2:40" s="5" customFormat="1" ht="18" customHeight="1" x14ac:dyDescent="0.2">
      <c r="B49" s="238" t="s">
        <v>56</v>
      </c>
      <c r="C49" s="239"/>
      <c r="D49" s="239"/>
      <c r="E49" s="239"/>
      <c r="F49" s="239"/>
      <c r="G49" s="240"/>
      <c r="H49" s="149">
        <v>400000</v>
      </c>
      <c r="I49" s="149"/>
      <c r="J49" s="149"/>
      <c r="K49" s="150">
        <f>$H49*$K$14</f>
        <v>240000</v>
      </c>
      <c r="L49" s="151"/>
      <c r="M49" s="152"/>
      <c r="N49" s="150">
        <f>$H49*$K$15</f>
        <v>0</v>
      </c>
      <c r="O49" s="151"/>
      <c r="P49" s="152"/>
      <c r="Q49" s="150">
        <f>$H49*$K$16</f>
        <v>40000</v>
      </c>
      <c r="R49" s="151"/>
      <c r="S49" s="152"/>
      <c r="T49" s="150">
        <f>$H49*$K$17</f>
        <v>0</v>
      </c>
      <c r="U49" s="151"/>
      <c r="V49" s="152"/>
      <c r="W49" s="150">
        <f>$H49*$K$18</f>
        <v>40000</v>
      </c>
      <c r="X49" s="151"/>
      <c r="Y49" s="152"/>
      <c r="Z49" s="150">
        <f>$H49*$K$19</f>
        <v>0</v>
      </c>
      <c r="AA49" s="151"/>
      <c r="AB49" s="152"/>
      <c r="AC49" s="150">
        <f>$H49*$K$20</f>
        <v>40000</v>
      </c>
      <c r="AD49" s="151"/>
      <c r="AE49" s="152"/>
      <c r="AF49" s="150">
        <f>$H49*$K$21</f>
        <v>0</v>
      </c>
      <c r="AG49" s="151"/>
      <c r="AH49" s="152"/>
      <c r="AI49" s="150">
        <f>$H49*$K$22</f>
        <v>40000</v>
      </c>
      <c r="AJ49" s="151"/>
      <c r="AK49" s="152"/>
      <c r="AL49" s="150">
        <f>$H49*$K$23</f>
        <v>0</v>
      </c>
      <c r="AM49" s="151"/>
      <c r="AN49" s="152"/>
    </row>
    <row r="50" spans="2:40" s="5" customFormat="1" ht="18" customHeight="1" x14ac:dyDescent="0.2">
      <c r="B50" s="238" t="s">
        <v>57</v>
      </c>
      <c r="C50" s="239"/>
      <c r="D50" s="239"/>
      <c r="E50" s="239"/>
      <c r="F50" s="239"/>
      <c r="G50" s="240"/>
      <c r="H50" s="149">
        <v>700000</v>
      </c>
      <c r="I50" s="149"/>
      <c r="J50" s="149"/>
      <c r="K50" s="150">
        <f>$H50*$K$14</f>
        <v>420000</v>
      </c>
      <c r="L50" s="151"/>
      <c r="M50" s="152"/>
      <c r="N50" s="150">
        <f>$H50*$K$15</f>
        <v>0</v>
      </c>
      <c r="O50" s="151"/>
      <c r="P50" s="152"/>
      <c r="Q50" s="150">
        <f>$H50*$K$16</f>
        <v>70000</v>
      </c>
      <c r="R50" s="151"/>
      <c r="S50" s="152"/>
      <c r="T50" s="150">
        <f>$H50*$K$17</f>
        <v>0</v>
      </c>
      <c r="U50" s="151"/>
      <c r="V50" s="152"/>
      <c r="W50" s="150">
        <f>$H50*$K$18</f>
        <v>70000</v>
      </c>
      <c r="X50" s="151"/>
      <c r="Y50" s="152"/>
      <c r="Z50" s="150">
        <f>$H50*$K$19</f>
        <v>0</v>
      </c>
      <c r="AA50" s="151"/>
      <c r="AB50" s="152"/>
      <c r="AC50" s="150">
        <f>$H50*$K$20</f>
        <v>70000</v>
      </c>
      <c r="AD50" s="151"/>
      <c r="AE50" s="152"/>
      <c r="AF50" s="150">
        <f>$H50*$K$21</f>
        <v>0</v>
      </c>
      <c r="AG50" s="151"/>
      <c r="AH50" s="152"/>
      <c r="AI50" s="150">
        <f>$H50*$K$22</f>
        <v>70000</v>
      </c>
      <c r="AJ50" s="151"/>
      <c r="AK50" s="152"/>
      <c r="AL50" s="150">
        <f>$H50*$K$23</f>
        <v>0</v>
      </c>
      <c r="AM50" s="151"/>
      <c r="AN50" s="152"/>
    </row>
    <row r="51" spans="2:40" s="5" customFormat="1" ht="18" customHeight="1" x14ac:dyDescent="0.2">
      <c r="B51" s="241" t="s">
        <v>58</v>
      </c>
      <c r="C51" s="242"/>
      <c r="D51" s="242"/>
      <c r="E51" s="242"/>
      <c r="F51" s="242"/>
      <c r="G51" s="243"/>
      <c r="H51" s="156">
        <v>1000000</v>
      </c>
      <c r="I51" s="156"/>
      <c r="J51" s="156"/>
      <c r="K51" s="244">
        <f>$H51*$K$14</f>
        <v>600000</v>
      </c>
      <c r="L51" s="245"/>
      <c r="M51" s="246"/>
      <c r="N51" s="244">
        <f>$H51*$K$15</f>
        <v>0</v>
      </c>
      <c r="O51" s="245"/>
      <c r="P51" s="246"/>
      <c r="Q51" s="244">
        <f>$H51*$K$16</f>
        <v>100000</v>
      </c>
      <c r="R51" s="245"/>
      <c r="S51" s="246"/>
      <c r="T51" s="244">
        <f>$H51*$K$17</f>
        <v>0</v>
      </c>
      <c r="U51" s="245"/>
      <c r="V51" s="246"/>
      <c r="W51" s="244">
        <f>$H51*$K$18</f>
        <v>100000</v>
      </c>
      <c r="X51" s="245"/>
      <c r="Y51" s="246"/>
      <c r="Z51" s="244">
        <f>$H51*$K$19</f>
        <v>0</v>
      </c>
      <c r="AA51" s="245"/>
      <c r="AB51" s="246"/>
      <c r="AC51" s="244">
        <f>$H51*$K$20</f>
        <v>100000</v>
      </c>
      <c r="AD51" s="245"/>
      <c r="AE51" s="246"/>
      <c r="AF51" s="244">
        <f>$H51*$K$21</f>
        <v>0</v>
      </c>
      <c r="AG51" s="245"/>
      <c r="AH51" s="246"/>
      <c r="AI51" s="244">
        <f>$H51*$K$22</f>
        <v>100000</v>
      </c>
      <c r="AJ51" s="245"/>
      <c r="AK51" s="246"/>
      <c r="AL51" s="244">
        <f>$H51*$K$23</f>
        <v>0</v>
      </c>
      <c r="AM51" s="245"/>
      <c r="AN51" s="246"/>
    </row>
    <row r="52" spans="2:40" s="5" customFormat="1" ht="18" customHeight="1" x14ac:dyDescent="0.2">
      <c r="B52" s="238" t="s">
        <v>13</v>
      </c>
      <c r="C52" s="239"/>
      <c r="D52" s="239"/>
      <c r="E52" s="239"/>
      <c r="F52" s="239"/>
      <c r="G52" s="240"/>
      <c r="H52" s="149">
        <v>1400000</v>
      </c>
      <c r="I52" s="149"/>
      <c r="J52" s="149"/>
      <c r="K52" s="150">
        <f>$H52*$K$14</f>
        <v>840000</v>
      </c>
      <c r="L52" s="151"/>
      <c r="M52" s="152"/>
      <c r="N52" s="150">
        <f>$H52*$K$15</f>
        <v>0</v>
      </c>
      <c r="O52" s="151"/>
      <c r="P52" s="152"/>
      <c r="Q52" s="150">
        <f>$H52*$K$16</f>
        <v>140000</v>
      </c>
      <c r="R52" s="151"/>
      <c r="S52" s="152"/>
      <c r="T52" s="150">
        <f>$H52*$K$17</f>
        <v>0</v>
      </c>
      <c r="U52" s="151"/>
      <c r="V52" s="152"/>
      <c r="W52" s="150">
        <f>$H52*$K$18</f>
        <v>140000</v>
      </c>
      <c r="X52" s="151"/>
      <c r="Y52" s="152"/>
      <c r="Z52" s="150">
        <f>$H52*$K$19</f>
        <v>0</v>
      </c>
      <c r="AA52" s="151"/>
      <c r="AB52" s="152"/>
      <c r="AC52" s="150">
        <f>$H52*$K$20</f>
        <v>140000</v>
      </c>
      <c r="AD52" s="151"/>
      <c r="AE52" s="152"/>
      <c r="AF52" s="150">
        <f>$H52*$K$21</f>
        <v>0</v>
      </c>
      <c r="AG52" s="151"/>
      <c r="AH52" s="152"/>
      <c r="AI52" s="150">
        <f>$H52*$K$22</f>
        <v>140000</v>
      </c>
      <c r="AJ52" s="151"/>
      <c r="AK52" s="152"/>
      <c r="AL52" s="150">
        <f>$H52*$K$23</f>
        <v>0</v>
      </c>
      <c r="AM52" s="151"/>
      <c r="AN52" s="152"/>
    </row>
  </sheetData>
  <mergeCells count="116">
    <mergeCell ref="Z52:AB52"/>
    <mergeCell ref="AC52:AE52"/>
    <mergeCell ref="AF52:AH52"/>
    <mergeCell ref="AI52:AK52"/>
    <mergeCell ref="AL52:AN52"/>
    <mergeCell ref="AF51:AH51"/>
    <mergeCell ref="AI51:AK51"/>
    <mergeCell ref="AL51:AN51"/>
    <mergeCell ref="B52:G52"/>
    <mergeCell ref="H52:J52"/>
    <mergeCell ref="K52:M52"/>
    <mergeCell ref="N52:P52"/>
    <mergeCell ref="Q52:S52"/>
    <mergeCell ref="T52:V52"/>
    <mergeCell ref="W52:Y52"/>
    <mergeCell ref="B50:G50"/>
    <mergeCell ref="H50:J50"/>
    <mergeCell ref="K50:M50"/>
    <mergeCell ref="N50:P50"/>
    <mergeCell ref="Q50:S50"/>
    <mergeCell ref="AL50:AN50"/>
    <mergeCell ref="B51:G51"/>
    <mergeCell ref="H51:J51"/>
    <mergeCell ref="K51:M51"/>
    <mergeCell ref="N51:P51"/>
    <mergeCell ref="Q51:S51"/>
    <mergeCell ref="T51:V51"/>
    <mergeCell ref="W51:Y51"/>
    <mergeCell ref="Z51:AB51"/>
    <mergeCell ref="AC51:AE51"/>
    <mergeCell ref="T50:V50"/>
    <mergeCell ref="W50:Y50"/>
    <mergeCell ref="Z50:AB50"/>
    <mergeCell ref="AC50:AE50"/>
    <mergeCell ref="AF50:AH50"/>
    <mergeCell ref="AI50:AK50"/>
    <mergeCell ref="AF48:AH48"/>
    <mergeCell ref="AI48:AK48"/>
    <mergeCell ref="AL48:AN48"/>
    <mergeCell ref="B49:G49"/>
    <mergeCell ref="H49:J49"/>
    <mergeCell ref="K49:M49"/>
    <mergeCell ref="N49:P49"/>
    <mergeCell ref="Q49:S49"/>
    <mergeCell ref="T49:V49"/>
    <mergeCell ref="W49:Y49"/>
    <mergeCell ref="Z49:AB49"/>
    <mergeCell ref="AC49:AE49"/>
    <mergeCell ref="AF49:AH49"/>
    <mergeCell ref="AI49:AK49"/>
    <mergeCell ref="AL49:AN49"/>
    <mergeCell ref="B48:G48"/>
    <mergeCell ref="H48:J48"/>
    <mergeCell ref="K48:M48"/>
    <mergeCell ref="N48:P48"/>
    <mergeCell ref="Q48:S48"/>
    <mergeCell ref="T48:V48"/>
    <mergeCell ref="W48:Y48"/>
    <mergeCell ref="Z48:AB48"/>
    <mergeCell ref="AC48:AE48"/>
    <mergeCell ref="K24:P24"/>
    <mergeCell ref="K45:AN45"/>
    <mergeCell ref="B46:G46"/>
    <mergeCell ref="H46:J46"/>
    <mergeCell ref="K46:M46"/>
    <mergeCell ref="N46:P46"/>
    <mergeCell ref="Q46:S46"/>
    <mergeCell ref="AL46:AN46"/>
    <mergeCell ref="K47:M47"/>
    <mergeCell ref="N47:P47"/>
    <mergeCell ref="Q47:S47"/>
    <mergeCell ref="T47:V47"/>
    <mergeCell ref="W47:Y47"/>
    <mergeCell ref="Z47:AB47"/>
    <mergeCell ref="AC47:AE47"/>
    <mergeCell ref="AF47:AH47"/>
    <mergeCell ref="AI47:AK47"/>
    <mergeCell ref="T46:V46"/>
    <mergeCell ref="W46:Y46"/>
    <mergeCell ref="Z46:AB46"/>
    <mergeCell ref="AC46:AE46"/>
    <mergeCell ref="AF46:AH46"/>
    <mergeCell ref="AI46:AK46"/>
    <mergeCell ref="AL47:AN47"/>
    <mergeCell ref="C14:J14"/>
    <mergeCell ref="K14:P14"/>
    <mergeCell ref="Q14:W23"/>
    <mergeCell ref="X14:AH18"/>
    <mergeCell ref="C15:J15"/>
    <mergeCell ref="K15:P15"/>
    <mergeCell ref="C16:J16"/>
    <mergeCell ref="K16:P16"/>
    <mergeCell ref="C17:J17"/>
    <mergeCell ref="K17:P17"/>
    <mergeCell ref="C18:J18"/>
    <mergeCell ref="K18:P18"/>
    <mergeCell ref="C19:J19"/>
    <mergeCell ref="K19:P19"/>
    <mergeCell ref="X19:AH23"/>
    <mergeCell ref="C20:J20"/>
    <mergeCell ref="K20:P20"/>
    <mergeCell ref="C21:J21"/>
    <mergeCell ref="K21:P21"/>
    <mergeCell ref="C22:J22"/>
    <mergeCell ref="K22:P22"/>
    <mergeCell ref="C23:J23"/>
    <mergeCell ref="K23:P23"/>
    <mergeCell ref="K10:P12"/>
    <mergeCell ref="B11:B12"/>
    <mergeCell ref="C11:J12"/>
    <mergeCell ref="Q11:W12"/>
    <mergeCell ref="X11:AH12"/>
    <mergeCell ref="C13:J13"/>
    <mergeCell ref="Q13:W13"/>
    <mergeCell ref="X13:AH13"/>
    <mergeCell ref="K13:P13"/>
  </mergeCells>
  <pageMargins left="0.25" right="0.25" top="0.25" bottom="0.25" header="0.2" footer="0.15"/>
  <pageSetup scale="85" orientation="landscape" r:id="rId1"/>
  <rowBreaks count="1" manualBreakCount="1">
    <brk id="2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2506-02E9-4970-9CE6-3CD4A8E4703D}">
  <sheetPr>
    <tabColor theme="7"/>
  </sheetPr>
  <dimension ref="B1:AH79"/>
  <sheetViews>
    <sheetView showGridLines="0" zoomScale="80" zoomScaleNormal="80" workbookViewId="0">
      <selection activeCell="A23" sqref="A23"/>
    </sheetView>
  </sheetViews>
  <sheetFormatPr baseColWidth="10" defaultColWidth="8.83203125" defaultRowHeight="15" x14ac:dyDescent="0.2"/>
  <cols>
    <col min="1" max="84" width="4.6640625" customWidth="1"/>
  </cols>
  <sheetData>
    <row r="1" spans="2:34" x14ac:dyDescent="0.2">
      <c r="B1" s="24" t="s">
        <v>203</v>
      </c>
    </row>
    <row r="2" spans="2:34" ht="21" x14ac:dyDescent="0.25">
      <c r="B2" s="7" t="s">
        <v>52</v>
      </c>
    </row>
    <row r="3" spans="2:34" x14ac:dyDescent="0.2">
      <c r="B3" s="15" t="s">
        <v>51</v>
      </c>
    </row>
    <row r="6" spans="2:34" ht="18" customHeight="1" x14ac:dyDescent="0.25">
      <c r="B6" s="22" t="s">
        <v>336</v>
      </c>
      <c r="E6" s="6"/>
      <c r="H6" s="19"/>
      <c r="I6" s="19"/>
      <c r="J6" s="19"/>
      <c r="K6" s="19"/>
      <c r="L6" s="19"/>
      <c r="M6" s="19"/>
      <c r="N6" s="19"/>
    </row>
    <row r="7" spans="2:34" x14ac:dyDescent="0.2">
      <c r="B7" s="21" t="s">
        <v>50</v>
      </c>
      <c r="E7" s="6"/>
      <c r="H7" s="6"/>
    </row>
    <row r="8" spans="2:34" ht="5" customHeight="1" x14ac:dyDescent="0.2">
      <c r="B8" s="2"/>
      <c r="E8" s="6"/>
      <c r="G8" s="6"/>
    </row>
    <row r="9" spans="2:34" x14ac:dyDescent="0.2">
      <c r="B9" s="2"/>
      <c r="E9" s="6"/>
      <c r="G9" s="6"/>
      <c r="L9" s="119" t="s">
        <v>10</v>
      </c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</row>
    <row r="10" spans="2:34" s="5" customFormat="1" ht="25" customHeight="1" x14ac:dyDescent="0.2">
      <c r="B10" s="121" t="s">
        <v>49</v>
      </c>
      <c r="C10" s="121"/>
      <c r="D10" s="121"/>
      <c r="E10" s="121"/>
      <c r="F10" s="121"/>
      <c r="G10" s="122" t="s">
        <v>48</v>
      </c>
      <c r="H10" s="122"/>
      <c r="I10" s="122"/>
      <c r="J10" s="122"/>
      <c r="K10" s="123"/>
      <c r="L10" s="124" t="s">
        <v>18</v>
      </c>
      <c r="M10" s="124"/>
      <c r="N10" s="124"/>
      <c r="O10" s="124" t="s">
        <v>314</v>
      </c>
      <c r="P10" s="124"/>
      <c r="Q10" s="124"/>
      <c r="R10" s="124" t="s">
        <v>315</v>
      </c>
      <c r="S10" s="124"/>
      <c r="T10" s="124"/>
      <c r="U10" s="124" t="s">
        <v>17</v>
      </c>
      <c r="V10" s="124"/>
      <c r="W10" s="124" t="s">
        <v>16</v>
      </c>
      <c r="X10" s="124"/>
      <c r="Y10" s="124" t="s">
        <v>47</v>
      </c>
      <c r="Z10" s="124"/>
      <c r="AA10" s="124" t="s">
        <v>15</v>
      </c>
      <c r="AB10" s="124"/>
      <c r="AC10" s="124" t="s">
        <v>14</v>
      </c>
      <c r="AD10" s="124"/>
      <c r="AE10" s="124"/>
      <c r="AF10" s="124"/>
      <c r="AG10" s="126" t="s">
        <v>46</v>
      </c>
      <c r="AH10" s="126"/>
    </row>
    <row r="11" spans="2:34" ht="5" customHeight="1" x14ac:dyDescent="0.2">
      <c r="B11" s="4"/>
      <c r="C11" s="3"/>
      <c r="D11" s="3"/>
      <c r="E11" s="3"/>
      <c r="F11" s="3"/>
      <c r="G11" s="3"/>
      <c r="H11" s="3"/>
      <c r="I11" s="3"/>
      <c r="J11" s="3"/>
      <c r="K11" s="9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8"/>
      <c r="AH11" s="128"/>
    </row>
    <row r="12" spans="2:34" s="5" customFormat="1" ht="17" customHeight="1" x14ac:dyDescent="0.2">
      <c r="B12" s="129" t="s">
        <v>45</v>
      </c>
      <c r="C12" s="129"/>
      <c r="D12" s="129"/>
      <c r="E12" s="129"/>
      <c r="F12" s="130"/>
      <c r="G12" s="131" t="s">
        <v>44</v>
      </c>
      <c r="H12" s="131"/>
      <c r="I12" s="131"/>
      <c r="J12" s="131"/>
      <c r="K12" s="132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33"/>
      <c r="AH12" s="133"/>
    </row>
    <row r="13" spans="2:34" s="5" customFormat="1" ht="17" customHeight="1" x14ac:dyDescent="0.2">
      <c r="B13" s="129" t="s">
        <v>43</v>
      </c>
      <c r="C13" s="129"/>
      <c r="D13" s="129"/>
      <c r="E13" s="129"/>
      <c r="F13" s="130"/>
      <c r="G13" s="131" t="s">
        <v>42</v>
      </c>
      <c r="H13" s="131"/>
      <c r="I13" s="131"/>
      <c r="J13" s="131"/>
      <c r="K13" s="132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33"/>
      <c r="AH13" s="133"/>
    </row>
    <row r="14" spans="2:34" s="5" customFormat="1" ht="17" customHeight="1" x14ac:dyDescent="0.2">
      <c r="B14" s="129" t="s">
        <v>41</v>
      </c>
      <c r="C14" s="129"/>
      <c r="D14" s="129"/>
      <c r="E14" s="129"/>
      <c r="F14" s="130"/>
      <c r="G14" s="131" t="s">
        <v>40</v>
      </c>
      <c r="H14" s="131"/>
      <c r="I14" s="131"/>
      <c r="J14" s="131"/>
      <c r="K14" s="132"/>
      <c r="L14" s="125">
        <v>0.5</v>
      </c>
      <c r="M14" s="125"/>
      <c r="N14" s="125"/>
      <c r="O14" s="125">
        <v>0.1</v>
      </c>
      <c r="P14" s="125"/>
      <c r="Q14" s="125"/>
      <c r="R14" s="125">
        <v>0.1</v>
      </c>
      <c r="S14" s="125"/>
      <c r="T14" s="125"/>
      <c r="U14" s="125"/>
      <c r="V14" s="125"/>
      <c r="W14" s="125">
        <v>0.1</v>
      </c>
      <c r="X14" s="125"/>
      <c r="Y14" s="125">
        <v>0.1</v>
      </c>
      <c r="Z14" s="125"/>
      <c r="AA14" s="125"/>
      <c r="AB14" s="125"/>
      <c r="AC14" s="125">
        <v>0.1</v>
      </c>
      <c r="AD14" s="125"/>
      <c r="AE14" s="125"/>
      <c r="AF14" s="125"/>
      <c r="AG14" s="134">
        <f>SUM(L14:AF14)</f>
        <v>0.99999999999999989</v>
      </c>
      <c r="AH14" s="135"/>
    </row>
    <row r="15" spans="2:34" s="5" customFormat="1" ht="17" customHeight="1" x14ac:dyDescent="0.2">
      <c r="B15" s="129" t="s">
        <v>39</v>
      </c>
      <c r="C15" s="129"/>
      <c r="D15" s="129"/>
      <c r="E15" s="129"/>
      <c r="F15" s="130"/>
      <c r="G15" s="131" t="s">
        <v>38</v>
      </c>
      <c r="H15" s="131"/>
      <c r="I15" s="131"/>
      <c r="J15" s="131"/>
      <c r="K15" s="132"/>
      <c r="L15" s="125">
        <v>0.5</v>
      </c>
      <c r="M15" s="125"/>
      <c r="N15" s="125"/>
      <c r="O15" s="125">
        <v>0.1</v>
      </c>
      <c r="P15" s="125"/>
      <c r="Q15" s="125"/>
      <c r="R15" s="125">
        <v>0.1</v>
      </c>
      <c r="S15" s="125"/>
      <c r="T15" s="125"/>
      <c r="U15" s="125"/>
      <c r="V15" s="125"/>
      <c r="W15" s="125">
        <v>0.1</v>
      </c>
      <c r="X15" s="125"/>
      <c r="Y15" s="125">
        <v>0.1</v>
      </c>
      <c r="Z15" s="125"/>
      <c r="AA15" s="125"/>
      <c r="AB15" s="125"/>
      <c r="AC15" s="125">
        <v>0.1</v>
      </c>
      <c r="AD15" s="125"/>
      <c r="AE15" s="125"/>
      <c r="AF15" s="125"/>
      <c r="AG15" s="134">
        <f>SUM(L15:AF15)</f>
        <v>0.99999999999999989</v>
      </c>
      <c r="AH15" s="135"/>
    </row>
    <row r="16" spans="2:34" s="5" customFormat="1" ht="17" customHeight="1" x14ac:dyDescent="0.2">
      <c r="B16" s="129" t="s">
        <v>37</v>
      </c>
      <c r="C16" s="129"/>
      <c r="D16" s="129"/>
      <c r="E16" s="129"/>
      <c r="F16" s="130"/>
      <c r="G16" s="131" t="s">
        <v>36</v>
      </c>
      <c r="H16" s="131"/>
      <c r="I16" s="131"/>
      <c r="J16" s="131"/>
      <c r="K16" s="132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34"/>
      <c r="AH16" s="135"/>
    </row>
    <row r="19" spans="2:34" ht="18" customHeight="1" x14ac:dyDescent="0.25">
      <c r="B19" s="22" t="s">
        <v>335</v>
      </c>
      <c r="E19" s="6"/>
      <c r="H19" s="19"/>
      <c r="I19" s="19"/>
      <c r="J19" s="19"/>
      <c r="K19" s="19"/>
      <c r="L19" s="19"/>
      <c r="M19" s="19"/>
      <c r="N19" s="19"/>
    </row>
    <row r="20" spans="2:34" x14ac:dyDescent="0.2">
      <c r="B20" s="21" t="s">
        <v>50</v>
      </c>
      <c r="E20" s="6"/>
      <c r="H20" s="6"/>
    </row>
    <row r="21" spans="2:34" ht="5" customHeight="1" x14ac:dyDescent="0.2">
      <c r="B21" s="2"/>
      <c r="E21" s="6"/>
      <c r="G21" s="6"/>
    </row>
    <row r="22" spans="2:34" x14ac:dyDescent="0.2">
      <c r="B22" s="2"/>
      <c r="E22" s="6"/>
      <c r="G22" s="6"/>
      <c r="L22" s="119" t="s">
        <v>10</v>
      </c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</row>
    <row r="23" spans="2:34" s="5" customFormat="1" ht="25" customHeight="1" x14ac:dyDescent="0.2">
      <c r="B23" s="121" t="s">
        <v>49</v>
      </c>
      <c r="C23" s="121"/>
      <c r="D23" s="121"/>
      <c r="E23" s="121"/>
      <c r="F23" s="121"/>
      <c r="G23" s="122" t="s">
        <v>48</v>
      </c>
      <c r="H23" s="122"/>
      <c r="I23" s="122"/>
      <c r="J23" s="122"/>
      <c r="K23" s="123"/>
      <c r="L23" s="124" t="s">
        <v>18</v>
      </c>
      <c r="M23" s="124"/>
      <c r="N23" s="124"/>
      <c r="O23" s="124" t="s">
        <v>176</v>
      </c>
      <c r="P23" s="124"/>
      <c r="Q23" s="124"/>
      <c r="R23" s="124" t="s">
        <v>331</v>
      </c>
      <c r="S23" s="124"/>
      <c r="T23" s="124"/>
      <c r="U23" s="124" t="s">
        <v>17</v>
      </c>
      <c r="V23" s="124"/>
      <c r="W23" s="124" t="s">
        <v>16</v>
      </c>
      <c r="X23" s="124"/>
      <c r="Y23" s="124" t="s">
        <v>47</v>
      </c>
      <c r="Z23" s="124"/>
      <c r="AA23" s="124" t="s">
        <v>15</v>
      </c>
      <c r="AB23" s="124"/>
      <c r="AC23" s="124" t="s">
        <v>14</v>
      </c>
      <c r="AD23" s="124"/>
      <c r="AE23" s="124"/>
      <c r="AF23" s="124"/>
      <c r="AG23" s="126" t="s">
        <v>46</v>
      </c>
      <c r="AH23" s="126"/>
    </row>
    <row r="24" spans="2:34" ht="5" customHeight="1" x14ac:dyDescent="0.2">
      <c r="B24" s="4"/>
      <c r="C24" s="3"/>
      <c r="D24" s="3"/>
      <c r="E24" s="3"/>
      <c r="F24" s="3"/>
      <c r="G24" s="3"/>
      <c r="H24" s="3"/>
      <c r="I24" s="3"/>
      <c r="J24" s="3"/>
      <c r="K24" s="9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8"/>
      <c r="AH24" s="128"/>
    </row>
    <row r="25" spans="2:34" s="5" customFormat="1" ht="17" customHeight="1" x14ac:dyDescent="0.2">
      <c r="B25" s="129" t="s">
        <v>45</v>
      </c>
      <c r="C25" s="129"/>
      <c r="D25" s="129"/>
      <c r="E25" s="129"/>
      <c r="F25" s="130"/>
      <c r="G25" s="131" t="s">
        <v>44</v>
      </c>
      <c r="H25" s="131"/>
      <c r="I25" s="131"/>
      <c r="J25" s="131"/>
      <c r="K25" s="132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33"/>
      <c r="AH25" s="133"/>
    </row>
    <row r="26" spans="2:34" s="5" customFormat="1" ht="17" customHeight="1" x14ac:dyDescent="0.2">
      <c r="B26" s="129" t="s">
        <v>43</v>
      </c>
      <c r="C26" s="129"/>
      <c r="D26" s="129"/>
      <c r="E26" s="129"/>
      <c r="F26" s="130"/>
      <c r="G26" s="131" t="s">
        <v>42</v>
      </c>
      <c r="H26" s="131"/>
      <c r="I26" s="131"/>
      <c r="J26" s="131"/>
      <c r="K26" s="132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33"/>
      <c r="AH26" s="133"/>
    </row>
    <row r="27" spans="2:34" s="5" customFormat="1" ht="17" customHeight="1" x14ac:dyDescent="0.2">
      <c r="B27" s="129" t="s">
        <v>41</v>
      </c>
      <c r="C27" s="129"/>
      <c r="D27" s="129"/>
      <c r="E27" s="129"/>
      <c r="F27" s="130"/>
      <c r="G27" s="131" t="s">
        <v>40</v>
      </c>
      <c r="H27" s="131"/>
      <c r="I27" s="131"/>
      <c r="J27" s="131"/>
      <c r="K27" s="132"/>
      <c r="L27" s="125">
        <v>0.4</v>
      </c>
      <c r="M27" s="125"/>
      <c r="N27" s="125"/>
      <c r="O27" s="125">
        <v>0.1</v>
      </c>
      <c r="P27" s="125"/>
      <c r="Q27" s="125"/>
      <c r="R27" s="125">
        <v>0.1</v>
      </c>
      <c r="S27" s="125"/>
      <c r="T27" s="125"/>
      <c r="U27" s="125"/>
      <c r="V27" s="125"/>
      <c r="W27" s="125"/>
      <c r="X27" s="125"/>
      <c r="Y27" s="125">
        <v>0.2</v>
      </c>
      <c r="Z27" s="125"/>
      <c r="AA27" s="125">
        <v>0.2</v>
      </c>
      <c r="AB27" s="125"/>
      <c r="AC27" s="125"/>
      <c r="AD27" s="125"/>
      <c r="AE27" s="125"/>
      <c r="AF27" s="125"/>
      <c r="AG27" s="134">
        <f>SUM(L27:AF27)</f>
        <v>1</v>
      </c>
      <c r="AH27" s="135"/>
    </row>
    <row r="28" spans="2:34" s="5" customFormat="1" ht="17" customHeight="1" x14ac:dyDescent="0.2">
      <c r="B28" s="129" t="s">
        <v>39</v>
      </c>
      <c r="C28" s="129"/>
      <c r="D28" s="129"/>
      <c r="E28" s="129"/>
      <c r="F28" s="130"/>
      <c r="G28" s="131" t="s">
        <v>38</v>
      </c>
      <c r="H28" s="131"/>
      <c r="I28" s="131"/>
      <c r="J28" s="131"/>
      <c r="K28" s="132"/>
      <c r="L28" s="125">
        <v>0.4</v>
      </c>
      <c r="M28" s="125"/>
      <c r="N28" s="125"/>
      <c r="O28" s="125">
        <v>0.1</v>
      </c>
      <c r="P28" s="125"/>
      <c r="Q28" s="125"/>
      <c r="R28" s="125">
        <v>0.1</v>
      </c>
      <c r="S28" s="125"/>
      <c r="T28" s="125"/>
      <c r="U28" s="125"/>
      <c r="V28" s="125"/>
      <c r="W28" s="125"/>
      <c r="X28" s="125"/>
      <c r="Y28" s="125">
        <v>0.2</v>
      </c>
      <c r="Z28" s="125"/>
      <c r="AA28" s="125">
        <v>0.2</v>
      </c>
      <c r="AB28" s="125"/>
      <c r="AC28" s="125"/>
      <c r="AD28" s="125"/>
      <c r="AE28" s="125"/>
      <c r="AF28" s="125"/>
      <c r="AG28" s="134">
        <f>SUM(L28:AF28)</f>
        <v>1</v>
      </c>
      <c r="AH28" s="135"/>
    </row>
    <row r="29" spans="2:34" s="5" customFormat="1" ht="17" customHeight="1" x14ac:dyDescent="0.2">
      <c r="B29" s="129" t="s">
        <v>37</v>
      </c>
      <c r="C29" s="129"/>
      <c r="D29" s="129"/>
      <c r="E29" s="129"/>
      <c r="F29" s="130"/>
      <c r="G29" s="131" t="s">
        <v>36</v>
      </c>
      <c r="H29" s="131"/>
      <c r="I29" s="131"/>
      <c r="J29" s="131"/>
      <c r="K29" s="132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34"/>
      <c r="AH29" s="135"/>
    </row>
    <row r="32" spans="2:34" ht="18" customHeight="1" x14ac:dyDescent="0.25">
      <c r="B32" s="20" t="s">
        <v>334</v>
      </c>
      <c r="E32" s="6"/>
      <c r="H32" s="18"/>
      <c r="I32" s="18"/>
      <c r="J32" s="18"/>
      <c r="K32" s="18"/>
      <c r="L32" s="18"/>
      <c r="M32" s="18"/>
      <c r="N32" s="18"/>
    </row>
    <row r="33" spans="2:34" ht="14.5" customHeight="1" x14ac:dyDescent="0.25">
      <c r="B33" s="21" t="s">
        <v>50</v>
      </c>
      <c r="E33" s="6"/>
      <c r="H33" s="18"/>
      <c r="I33" s="18"/>
      <c r="J33" s="18"/>
      <c r="K33" s="18"/>
      <c r="L33" s="18"/>
      <c r="M33" s="18"/>
      <c r="N33" s="18"/>
    </row>
    <row r="34" spans="2:34" ht="5" customHeight="1" x14ac:dyDescent="0.2">
      <c r="B34" s="2"/>
      <c r="E34" s="6"/>
      <c r="G34" s="6"/>
    </row>
    <row r="35" spans="2:34" ht="5" customHeight="1" x14ac:dyDescent="0.2">
      <c r="B35" s="2"/>
      <c r="E35" s="6"/>
      <c r="G35" s="6"/>
    </row>
    <row r="36" spans="2:34" x14ac:dyDescent="0.2">
      <c r="B36" s="2"/>
      <c r="E36" s="6"/>
      <c r="G36" s="6"/>
      <c r="L36" s="119" t="s">
        <v>10</v>
      </c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</row>
    <row r="37" spans="2:34" s="5" customFormat="1" ht="25" customHeight="1" x14ac:dyDescent="0.2">
      <c r="B37" s="121" t="s">
        <v>49</v>
      </c>
      <c r="C37" s="121"/>
      <c r="D37" s="121"/>
      <c r="E37" s="121"/>
      <c r="F37" s="121"/>
      <c r="G37" s="122" t="s">
        <v>48</v>
      </c>
      <c r="H37" s="122"/>
      <c r="I37" s="122"/>
      <c r="J37" s="122"/>
      <c r="K37" s="123"/>
      <c r="L37" s="124" t="s">
        <v>18</v>
      </c>
      <c r="M37" s="124"/>
      <c r="N37" s="124"/>
      <c r="O37" s="124" t="s">
        <v>314</v>
      </c>
      <c r="P37" s="124"/>
      <c r="Q37" s="124"/>
      <c r="R37" s="124" t="s">
        <v>315</v>
      </c>
      <c r="S37" s="124"/>
      <c r="T37" s="124"/>
      <c r="U37" s="124" t="s">
        <v>16</v>
      </c>
      <c r="V37" s="124"/>
      <c r="W37" s="124" t="s">
        <v>15</v>
      </c>
      <c r="X37" s="124"/>
      <c r="Y37" s="124" t="s">
        <v>14</v>
      </c>
      <c r="Z37" s="124"/>
      <c r="AA37" s="124" t="s">
        <v>165</v>
      </c>
      <c r="AB37" s="124"/>
      <c r="AC37" s="124" t="s">
        <v>166</v>
      </c>
      <c r="AD37" s="124"/>
      <c r="AE37" s="124"/>
      <c r="AF37" s="124"/>
      <c r="AG37" s="126" t="s">
        <v>46</v>
      </c>
      <c r="AH37" s="126"/>
    </row>
    <row r="38" spans="2:34" ht="5" customHeight="1" x14ac:dyDescent="0.2">
      <c r="B38" s="4"/>
      <c r="C38" s="3"/>
      <c r="D38" s="3"/>
      <c r="E38" s="3"/>
      <c r="F38" s="3"/>
      <c r="G38" s="3"/>
      <c r="H38" s="3"/>
      <c r="I38" s="3"/>
      <c r="J38" s="3"/>
      <c r="K38" s="9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8"/>
      <c r="AH38" s="128"/>
    </row>
    <row r="39" spans="2:34" s="5" customFormat="1" ht="17" customHeight="1" x14ac:dyDescent="0.2">
      <c r="B39" s="129" t="s">
        <v>45</v>
      </c>
      <c r="C39" s="129"/>
      <c r="D39" s="129"/>
      <c r="E39" s="129"/>
      <c r="F39" s="130"/>
      <c r="G39" s="131" t="s">
        <v>44</v>
      </c>
      <c r="H39" s="131"/>
      <c r="I39" s="131"/>
      <c r="J39" s="131"/>
      <c r="K39" s="132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33"/>
      <c r="AH39" s="133"/>
    </row>
    <row r="40" spans="2:34" s="5" customFormat="1" ht="17" customHeight="1" x14ac:dyDescent="0.2">
      <c r="B40" s="129" t="s">
        <v>43</v>
      </c>
      <c r="C40" s="129"/>
      <c r="D40" s="129"/>
      <c r="E40" s="129"/>
      <c r="F40" s="130"/>
      <c r="G40" s="131" t="s">
        <v>42</v>
      </c>
      <c r="H40" s="131"/>
      <c r="I40" s="131"/>
      <c r="J40" s="131"/>
      <c r="K40" s="132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33"/>
      <c r="AH40" s="133"/>
    </row>
    <row r="41" spans="2:34" s="5" customFormat="1" ht="17" customHeight="1" x14ac:dyDescent="0.2">
      <c r="B41" s="129" t="s">
        <v>41</v>
      </c>
      <c r="C41" s="129"/>
      <c r="D41" s="129"/>
      <c r="E41" s="129"/>
      <c r="F41" s="130"/>
      <c r="G41" s="131" t="s">
        <v>40</v>
      </c>
      <c r="H41" s="131"/>
      <c r="I41" s="131"/>
      <c r="J41" s="131"/>
      <c r="K41" s="132"/>
      <c r="L41" s="125">
        <v>0.6</v>
      </c>
      <c r="M41" s="125"/>
      <c r="N41" s="125"/>
      <c r="O41" s="125">
        <v>0.1</v>
      </c>
      <c r="P41" s="125"/>
      <c r="Q41" s="125"/>
      <c r="R41" s="125"/>
      <c r="S41" s="125"/>
      <c r="T41" s="125"/>
      <c r="U41" s="125">
        <v>0.1</v>
      </c>
      <c r="V41" s="125"/>
      <c r="W41" s="125">
        <v>0.1</v>
      </c>
      <c r="X41" s="125"/>
      <c r="Y41" s="125"/>
      <c r="Z41" s="125"/>
      <c r="AA41" s="125">
        <v>0.1</v>
      </c>
      <c r="AB41" s="125"/>
      <c r="AC41" s="125"/>
      <c r="AD41" s="125"/>
      <c r="AE41" s="125"/>
      <c r="AF41" s="125"/>
      <c r="AG41" s="134">
        <f>SUM(L41:AF41)</f>
        <v>0.99999999999999989</v>
      </c>
      <c r="AH41" s="135"/>
    </row>
    <row r="42" spans="2:34" s="5" customFormat="1" ht="17" customHeight="1" x14ac:dyDescent="0.2">
      <c r="B42" s="129" t="s">
        <v>39</v>
      </c>
      <c r="C42" s="129"/>
      <c r="D42" s="129"/>
      <c r="E42" s="129"/>
      <c r="F42" s="130"/>
      <c r="G42" s="131" t="s">
        <v>38</v>
      </c>
      <c r="H42" s="131"/>
      <c r="I42" s="131"/>
      <c r="J42" s="131"/>
      <c r="K42" s="132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34"/>
      <c r="AH42" s="135"/>
    </row>
    <row r="43" spans="2:34" s="5" customFormat="1" ht="17" customHeight="1" x14ac:dyDescent="0.2">
      <c r="B43" s="129" t="s">
        <v>37</v>
      </c>
      <c r="C43" s="129"/>
      <c r="D43" s="129"/>
      <c r="E43" s="129"/>
      <c r="F43" s="130"/>
      <c r="G43" s="131" t="s">
        <v>36</v>
      </c>
      <c r="H43" s="131"/>
      <c r="I43" s="131"/>
      <c r="J43" s="131"/>
      <c r="K43" s="132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34"/>
      <c r="AH43" s="135"/>
    </row>
    <row r="46" spans="2:34" ht="18" customHeight="1" x14ac:dyDescent="0.25">
      <c r="B46" s="20" t="s">
        <v>333</v>
      </c>
      <c r="E46" s="6"/>
      <c r="H46" s="18"/>
      <c r="I46" s="18"/>
      <c r="J46" s="18"/>
      <c r="K46" s="18"/>
      <c r="L46" s="18"/>
      <c r="M46" s="18"/>
      <c r="N46" s="18"/>
    </row>
    <row r="47" spans="2:34" ht="14.5" customHeight="1" x14ac:dyDescent="0.25">
      <c r="B47" s="21" t="s">
        <v>50</v>
      </c>
      <c r="E47" s="6"/>
      <c r="H47" s="18"/>
      <c r="I47" s="18"/>
      <c r="J47" s="18"/>
      <c r="K47" s="18"/>
      <c r="L47" s="18"/>
      <c r="M47" s="18"/>
      <c r="N47" s="18"/>
    </row>
    <row r="48" spans="2:34" ht="5" customHeight="1" x14ac:dyDescent="0.2">
      <c r="B48" s="2"/>
      <c r="E48" s="6"/>
      <c r="G48" s="6"/>
    </row>
    <row r="49" spans="2:34" ht="5" customHeight="1" x14ac:dyDescent="0.2">
      <c r="B49" s="2"/>
      <c r="E49" s="6"/>
      <c r="G49" s="6"/>
    </row>
    <row r="50" spans="2:34" x14ac:dyDescent="0.2">
      <c r="B50" s="2"/>
      <c r="E50" s="6"/>
      <c r="G50" s="6"/>
      <c r="L50" s="119" t="s">
        <v>10</v>
      </c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</row>
    <row r="51" spans="2:34" s="5" customFormat="1" ht="25" customHeight="1" x14ac:dyDescent="0.2">
      <c r="B51" s="121" t="s">
        <v>49</v>
      </c>
      <c r="C51" s="121"/>
      <c r="D51" s="121"/>
      <c r="E51" s="121"/>
      <c r="F51" s="121"/>
      <c r="G51" s="122" t="s">
        <v>48</v>
      </c>
      <c r="H51" s="122"/>
      <c r="I51" s="122"/>
      <c r="J51" s="122"/>
      <c r="K51" s="123"/>
      <c r="L51" s="124" t="s">
        <v>18</v>
      </c>
      <c r="M51" s="124"/>
      <c r="N51" s="124"/>
      <c r="O51" s="124" t="s">
        <v>176</v>
      </c>
      <c r="P51" s="124"/>
      <c r="Q51" s="124"/>
      <c r="R51" s="124" t="s">
        <v>331</v>
      </c>
      <c r="S51" s="124"/>
      <c r="T51" s="124"/>
      <c r="U51" s="124" t="s">
        <v>16</v>
      </c>
      <c r="V51" s="124"/>
      <c r="W51" s="124" t="s">
        <v>47</v>
      </c>
      <c r="X51" s="124"/>
      <c r="Y51" s="124" t="s">
        <v>15</v>
      </c>
      <c r="Z51" s="124"/>
      <c r="AA51" s="124" t="s">
        <v>14</v>
      </c>
      <c r="AB51" s="124"/>
      <c r="AC51" s="124" t="s">
        <v>332</v>
      </c>
      <c r="AD51" s="124"/>
      <c r="AE51" s="124" t="s">
        <v>337</v>
      </c>
      <c r="AF51" s="124"/>
      <c r="AG51" s="126" t="s">
        <v>46</v>
      </c>
      <c r="AH51" s="126"/>
    </row>
    <row r="52" spans="2:34" ht="5" customHeight="1" x14ac:dyDescent="0.2">
      <c r="B52" s="4"/>
      <c r="C52" s="3"/>
      <c r="D52" s="3"/>
      <c r="E52" s="3"/>
      <c r="F52" s="3"/>
      <c r="G52" s="3"/>
      <c r="H52" s="3"/>
      <c r="I52" s="3"/>
      <c r="J52" s="3"/>
      <c r="K52" s="9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8"/>
      <c r="AH52" s="128"/>
    </row>
    <row r="53" spans="2:34" s="5" customFormat="1" ht="17" customHeight="1" x14ac:dyDescent="0.2">
      <c r="B53" s="129" t="s">
        <v>45</v>
      </c>
      <c r="C53" s="129"/>
      <c r="D53" s="129"/>
      <c r="E53" s="129"/>
      <c r="F53" s="130"/>
      <c r="G53" s="131" t="s">
        <v>44</v>
      </c>
      <c r="H53" s="131"/>
      <c r="I53" s="131"/>
      <c r="J53" s="131"/>
      <c r="K53" s="132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33"/>
      <c r="AH53" s="133"/>
    </row>
    <row r="54" spans="2:34" s="5" customFormat="1" ht="17" customHeight="1" x14ac:dyDescent="0.2">
      <c r="B54" s="129" t="s">
        <v>43</v>
      </c>
      <c r="C54" s="129"/>
      <c r="D54" s="129"/>
      <c r="E54" s="129"/>
      <c r="F54" s="130"/>
      <c r="G54" s="131" t="s">
        <v>42</v>
      </c>
      <c r="H54" s="131"/>
      <c r="I54" s="131"/>
      <c r="J54" s="131"/>
      <c r="K54" s="132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33"/>
      <c r="AH54" s="133"/>
    </row>
    <row r="55" spans="2:34" s="5" customFormat="1" ht="17" customHeight="1" x14ac:dyDescent="0.2">
      <c r="B55" s="129" t="s">
        <v>41</v>
      </c>
      <c r="C55" s="129"/>
      <c r="D55" s="129"/>
      <c r="E55" s="129"/>
      <c r="F55" s="130"/>
      <c r="G55" s="131" t="s">
        <v>40</v>
      </c>
      <c r="H55" s="131"/>
      <c r="I55" s="131"/>
      <c r="J55" s="131"/>
      <c r="K55" s="132"/>
      <c r="L55" s="125">
        <v>0.55000000000000004</v>
      </c>
      <c r="M55" s="125"/>
      <c r="N55" s="125"/>
      <c r="O55" s="125">
        <v>0.1</v>
      </c>
      <c r="P55" s="125"/>
      <c r="Q55" s="125"/>
      <c r="R55" s="125">
        <v>0.1</v>
      </c>
      <c r="S55" s="125"/>
      <c r="T55" s="125"/>
      <c r="U55" s="125"/>
      <c r="V55" s="125"/>
      <c r="W55" s="125">
        <v>0.1</v>
      </c>
      <c r="X55" s="125"/>
      <c r="Y55" s="125">
        <v>0.1</v>
      </c>
      <c r="Z55" s="125"/>
      <c r="AA55" s="125"/>
      <c r="AB55" s="125"/>
      <c r="AC55" s="125"/>
      <c r="AD55" s="125"/>
      <c r="AE55" s="125">
        <v>0.05</v>
      </c>
      <c r="AF55" s="125"/>
      <c r="AG55" s="134">
        <f>SUM(L55:AF55)</f>
        <v>1</v>
      </c>
      <c r="AH55" s="135"/>
    </row>
    <row r="56" spans="2:34" s="5" customFormat="1" ht="17" customHeight="1" x14ac:dyDescent="0.2">
      <c r="B56" s="129" t="s">
        <v>39</v>
      </c>
      <c r="C56" s="129"/>
      <c r="D56" s="129"/>
      <c r="E56" s="129"/>
      <c r="F56" s="130"/>
      <c r="G56" s="131" t="s">
        <v>38</v>
      </c>
      <c r="H56" s="131"/>
      <c r="I56" s="131"/>
      <c r="J56" s="131"/>
      <c r="K56" s="132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34"/>
      <c r="AH56" s="135"/>
    </row>
    <row r="57" spans="2:34" s="5" customFormat="1" ht="17" customHeight="1" x14ac:dyDescent="0.2">
      <c r="B57" s="129" t="s">
        <v>37</v>
      </c>
      <c r="C57" s="129"/>
      <c r="D57" s="129"/>
      <c r="E57" s="129"/>
      <c r="F57" s="130"/>
      <c r="G57" s="131" t="s">
        <v>36</v>
      </c>
      <c r="H57" s="131"/>
      <c r="I57" s="131"/>
      <c r="J57" s="131"/>
      <c r="K57" s="132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34"/>
      <c r="AH57" s="135"/>
    </row>
    <row r="59" spans="2:34" ht="15" customHeight="1" x14ac:dyDescent="0.2"/>
    <row r="63" spans="2:34" ht="18" customHeight="1" x14ac:dyDescent="0.25">
      <c r="B63" s="98" t="s">
        <v>338</v>
      </c>
      <c r="E63" s="6"/>
      <c r="H63" s="18"/>
      <c r="I63" s="18"/>
      <c r="J63" s="18"/>
      <c r="K63" s="18"/>
      <c r="L63" s="18"/>
      <c r="M63" s="18"/>
      <c r="N63" s="18"/>
    </row>
    <row r="64" spans="2:34" ht="14.5" customHeight="1" x14ac:dyDescent="0.25">
      <c r="B64" s="21" t="s">
        <v>50</v>
      </c>
      <c r="E64" s="6"/>
      <c r="H64" s="18"/>
      <c r="I64" s="18"/>
      <c r="J64" s="18"/>
      <c r="K64" s="18"/>
      <c r="L64" s="18"/>
      <c r="M64" s="18"/>
      <c r="N64" s="18"/>
    </row>
    <row r="65" spans="2:34" ht="5" customHeight="1" x14ac:dyDescent="0.2">
      <c r="B65" s="2"/>
      <c r="E65" s="6"/>
      <c r="G65" s="6"/>
    </row>
    <row r="66" spans="2:34" ht="5" customHeight="1" x14ac:dyDescent="0.2">
      <c r="B66" s="2"/>
      <c r="E66" s="6"/>
      <c r="G66" s="6"/>
    </row>
    <row r="67" spans="2:34" x14ac:dyDescent="0.2">
      <c r="B67" s="2"/>
      <c r="E67" s="6"/>
      <c r="G67" s="6"/>
      <c r="L67" s="119" t="s">
        <v>10</v>
      </c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</row>
    <row r="68" spans="2:34" s="5" customFormat="1" ht="25" customHeight="1" x14ac:dyDescent="0.2">
      <c r="B68" s="346" t="s">
        <v>339</v>
      </c>
      <c r="C68" s="346"/>
      <c r="D68" s="346"/>
      <c r="E68" s="346"/>
      <c r="F68" s="346"/>
      <c r="G68" s="347" t="s">
        <v>340</v>
      </c>
      <c r="H68" s="347"/>
      <c r="I68" s="347"/>
      <c r="J68" s="347"/>
      <c r="K68" s="348"/>
      <c r="L68" s="331" t="s">
        <v>343</v>
      </c>
      <c r="M68" s="332"/>
      <c r="N68" s="332"/>
      <c r="O68" s="332"/>
      <c r="P68" s="332"/>
      <c r="Q68" s="332"/>
      <c r="R68" s="332"/>
      <c r="S68" s="332"/>
      <c r="T68" s="332"/>
      <c r="U68" s="332"/>
      <c r="V68" s="333"/>
      <c r="W68" s="331" t="s">
        <v>359</v>
      </c>
      <c r="X68" s="332"/>
      <c r="Y68" s="332"/>
      <c r="Z68" s="332"/>
      <c r="AA68" s="332"/>
      <c r="AB68" s="332"/>
      <c r="AC68" s="332"/>
      <c r="AD68" s="332"/>
      <c r="AE68" s="332"/>
      <c r="AF68" s="333"/>
      <c r="AG68"/>
      <c r="AH68"/>
    </row>
    <row r="69" spans="2:34" s="5" customFormat="1" ht="25" customHeight="1" x14ac:dyDescent="0.2">
      <c r="B69" s="121"/>
      <c r="C69" s="121"/>
      <c r="D69" s="121"/>
      <c r="E69" s="121"/>
      <c r="F69" s="121"/>
      <c r="G69" s="122"/>
      <c r="H69" s="122"/>
      <c r="I69" s="122"/>
      <c r="J69" s="122"/>
      <c r="K69" s="123"/>
      <c r="L69" s="331" t="s">
        <v>344</v>
      </c>
      <c r="M69" s="332"/>
      <c r="N69" s="332"/>
      <c r="O69" s="332"/>
      <c r="P69" s="332"/>
      <c r="Q69" s="332"/>
      <c r="R69" s="333"/>
      <c r="S69" s="331" t="s">
        <v>91</v>
      </c>
      <c r="T69" s="332"/>
      <c r="U69" s="332"/>
      <c r="V69" s="333"/>
      <c r="W69" s="331" t="s">
        <v>354</v>
      </c>
      <c r="X69" s="332"/>
      <c r="Y69" s="332"/>
      <c r="Z69" s="332"/>
      <c r="AA69" s="332"/>
      <c r="AB69" s="333"/>
      <c r="AC69" s="331" t="s">
        <v>91</v>
      </c>
      <c r="AD69" s="332"/>
      <c r="AE69" s="332"/>
      <c r="AF69" s="333"/>
      <c r="AG69"/>
      <c r="AH69"/>
    </row>
    <row r="70" spans="2:34" ht="5" customHeight="1" x14ac:dyDescent="0.2">
      <c r="B70" s="4"/>
      <c r="C70" s="3"/>
      <c r="D70" s="3"/>
      <c r="E70" s="3"/>
      <c r="F70" s="3"/>
      <c r="G70" s="3"/>
      <c r="H70" s="3"/>
      <c r="I70" s="3"/>
      <c r="J70" s="3"/>
      <c r="K70" s="9"/>
      <c r="L70" s="97"/>
      <c r="M70" s="99"/>
      <c r="N70" s="99"/>
      <c r="O70" s="99"/>
      <c r="P70" s="99"/>
      <c r="Q70" s="99"/>
      <c r="R70" s="100"/>
      <c r="S70" s="136"/>
      <c r="T70" s="137"/>
      <c r="U70" s="137"/>
      <c r="V70" s="138"/>
      <c r="W70" s="166"/>
      <c r="X70" s="167"/>
      <c r="Y70" s="167"/>
      <c r="Z70" s="167"/>
      <c r="AA70" s="167"/>
      <c r="AB70" s="168"/>
      <c r="AC70" s="136"/>
      <c r="AD70" s="137"/>
      <c r="AE70" s="137"/>
      <c r="AF70" s="138"/>
    </row>
    <row r="71" spans="2:34" s="5" customFormat="1" ht="17" customHeight="1" x14ac:dyDescent="0.2">
      <c r="B71" s="334" t="s">
        <v>341</v>
      </c>
      <c r="C71" s="335"/>
      <c r="D71" s="335"/>
      <c r="E71" s="335"/>
      <c r="F71" s="335"/>
      <c r="G71" s="340"/>
      <c r="H71" s="340"/>
      <c r="I71" s="340"/>
      <c r="J71" s="340"/>
      <c r="K71" s="341"/>
      <c r="L71" s="136" t="s">
        <v>345</v>
      </c>
      <c r="M71" s="137"/>
      <c r="N71" s="137"/>
      <c r="O71" s="137"/>
      <c r="P71" s="137"/>
      <c r="Q71" s="137"/>
      <c r="R71" s="138"/>
      <c r="S71" s="328" t="s">
        <v>349</v>
      </c>
      <c r="T71" s="329"/>
      <c r="U71" s="329"/>
      <c r="V71" s="330"/>
      <c r="W71" s="166" t="s">
        <v>355</v>
      </c>
      <c r="X71" s="167"/>
      <c r="Y71" s="167"/>
      <c r="Z71" s="167"/>
      <c r="AA71" s="167"/>
      <c r="AB71" s="168"/>
      <c r="AC71" s="328" t="s">
        <v>349</v>
      </c>
      <c r="AD71" s="329"/>
      <c r="AE71" s="329"/>
      <c r="AF71" s="330"/>
      <c r="AG71"/>
      <c r="AH71"/>
    </row>
    <row r="72" spans="2:34" s="5" customFormat="1" ht="17" customHeight="1" x14ac:dyDescent="0.2">
      <c r="B72" s="336"/>
      <c r="C72" s="337"/>
      <c r="D72" s="337"/>
      <c r="E72" s="337"/>
      <c r="F72" s="337"/>
      <c r="G72" s="342"/>
      <c r="H72" s="342"/>
      <c r="I72" s="342"/>
      <c r="J72" s="342"/>
      <c r="K72" s="343"/>
      <c r="L72" s="136" t="s">
        <v>346</v>
      </c>
      <c r="M72" s="137"/>
      <c r="N72" s="137"/>
      <c r="O72" s="137"/>
      <c r="P72" s="137"/>
      <c r="Q72" s="137"/>
      <c r="R72" s="138"/>
      <c r="S72" s="328" t="s">
        <v>255</v>
      </c>
      <c r="T72" s="329"/>
      <c r="U72" s="329"/>
      <c r="V72" s="330"/>
      <c r="W72" s="166" t="s">
        <v>356</v>
      </c>
      <c r="X72" s="167"/>
      <c r="Y72" s="167"/>
      <c r="Z72" s="167"/>
      <c r="AA72" s="167"/>
      <c r="AB72" s="168"/>
      <c r="AC72" s="328" t="s">
        <v>252</v>
      </c>
      <c r="AD72" s="329"/>
      <c r="AE72" s="329"/>
      <c r="AF72" s="330"/>
      <c r="AG72"/>
      <c r="AH72"/>
    </row>
    <row r="73" spans="2:34" s="5" customFormat="1" ht="17" customHeight="1" x14ac:dyDescent="0.2">
      <c r="B73" s="336"/>
      <c r="C73" s="337"/>
      <c r="D73" s="337"/>
      <c r="E73" s="337"/>
      <c r="F73" s="337"/>
      <c r="G73" s="342"/>
      <c r="H73" s="342"/>
      <c r="I73" s="342"/>
      <c r="J73" s="342"/>
      <c r="K73" s="343"/>
      <c r="L73" s="136" t="s">
        <v>347</v>
      </c>
      <c r="M73" s="137"/>
      <c r="N73" s="137"/>
      <c r="O73" s="137"/>
      <c r="P73" s="137"/>
      <c r="Q73" s="137"/>
      <c r="R73" s="138"/>
      <c r="S73" s="328" t="s">
        <v>350</v>
      </c>
      <c r="T73" s="329"/>
      <c r="U73" s="329"/>
      <c r="V73" s="330"/>
      <c r="W73" s="166" t="s">
        <v>358</v>
      </c>
      <c r="X73" s="167"/>
      <c r="Y73" s="167"/>
      <c r="Z73" s="167"/>
      <c r="AA73" s="167"/>
      <c r="AB73" s="168"/>
      <c r="AC73" s="328" t="s">
        <v>255</v>
      </c>
      <c r="AD73" s="329"/>
      <c r="AE73" s="329"/>
      <c r="AF73" s="330"/>
      <c r="AG73"/>
      <c r="AH73"/>
    </row>
    <row r="74" spans="2:34" s="5" customFormat="1" ht="17" customHeight="1" x14ac:dyDescent="0.2">
      <c r="B74" s="338"/>
      <c r="C74" s="339"/>
      <c r="D74" s="339"/>
      <c r="E74" s="339"/>
      <c r="F74" s="339"/>
      <c r="G74" s="344"/>
      <c r="H74" s="344"/>
      <c r="I74" s="344"/>
      <c r="J74" s="344"/>
      <c r="K74" s="345"/>
      <c r="L74" s="136" t="s">
        <v>348</v>
      </c>
      <c r="M74" s="137"/>
      <c r="N74" s="137"/>
      <c r="O74" s="137"/>
      <c r="P74" s="137"/>
      <c r="Q74" s="137"/>
      <c r="R74" s="138"/>
      <c r="S74" s="328" t="s">
        <v>226</v>
      </c>
      <c r="T74" s="329"/>
      <c r="U74" s="329"/>
      <c r="V74" s="330"/>
      <c r="W74" s="166" t="s">
        <v>357</v>
      </c>
      <c r="X74" s="167"/>
      <c r="Y74" s="167"/>
      <c r="Z74" s="167"/>
      <c r="AA74" s="167"/>
      <c r="AB74" s="168"/>
      <c r="AC74" s="328" t="s">
        <v>258</v>
      </c>
      <c r="AD74" s="329"/>
      <c r="AE74" s="329"/>
      <c r="AF74" s="330"/>
      <c r="AG74"/>
      <c r="AH74"/>
    </row>
    <row r="75" spans="2:34" s="5" customFormat="1" ht="3" customHeight="1" x14ac:dyDescent="0.2">
      <c r="B75" s="101"/>
      <c r="C75" s="102"/>
      <c r="D75" s="102"/>
      <c r="E75" s="102"/>
      <c r="F75" s="102"/>
      <c r="G75" s="102"/>
      <c r="H75" s="102"/>
      <c r="I75" s="102"/>
      <c r="J75" s="102"/>
      <c r="K75" s="103"/>
      <c r="L75" s="97"/>
      <c r="M75" s="99"/>
      <c r="N75" s="99"/>
      <c r="O75" s="99"/>
      <c r="P75" s="99"/>
      <c r="Q75" s="99"/>
      <c r="R75" s="100"/>
      <c r="S75" s="136"/>
      <c r="T75" s="137"/>
      <c r="U75" s="137"/>
      <c r="V75" s="138"/>
      <c r="W75" s="166"/>
      <c r="X75" s="167"/>
      <c r="Y75" s="167"/>
      <c r="Z75" s="167"/>
      <c r="AA75" s="167"/>
      <c r="AB75" s="168"/>
      <c r="AC75" s="136"/>
      <c r="AD75" s="137"/>
      <c r="AE75" s="137"/>
      <c r="AF75" s="138"/>
      <c r="AG75"/>
      <c r="AH75"/>
    </row>
    <row r="76" spans="2:34" s="5" customFormat="1" ht="17" customHeight="1" x14ac:dyDescent="0.2">
      <c r="B76" s="334" t="s">
        <v>342</v>
      </c>
      <c r="C76" s="335"/>
      <c r="D76" s="335"/>
      <c r="E76" s="335"/>
      <c r="F76" s="335"/>
      <c r="G76" s="340"/>
      <c r="H76" s="340"/>
      <c r="I76" s="340"/>
      <c r="J76" s="340"/>
      <c r="K76" s="341"/>
      <c r="L76" s="136" t="s">
        <v>345</v>
      </c>
      <c r="M76" s="137"/>
      <c r="N76" s="137"/>
      <c r="O76" s="137"/>
      <c r="P76" s="137"/>
      <c r="Q76" s="137"/>
      <c r="R76" s="138"/>
      <c r="S76" s="328" t="s">
        <v>349</v>
      </c>
      <c r="T76" s="329"/>
      <c r="U76" s="329"/>
      <c r="V76" s="330"/>
      <c r="W76" s="166" t="s">
        <v>355</v>
      </c>
      <c r="X76" s="167"/>
      <c r="Y76" s="167"/>
      <c r="Z76" s="167"/>
      <c r="AA76" s="167"/>
      <c r="AB76" s="168"/>
      <c r="AC76" s="328" t="s">
        <v>349</v>
      </c>
      <c r="AD76" s="329"/>
      <c r="AE76" s="329"/>
      <c r="AF76" s="330"/>
      <c r="AG76"/>
      <c r="AH76"/>
    </row>
    <row r="77" spans="2:34" s="5" customFormat="1" ht="17" customHeight="1" x14ac:dyDescent="0.2">
      <c r="B77" s="336"/>
      <c r="C77" s="337"/>
      <c r="D77" s="337"/>
      <c r="E77" s="337"/>
      <c r="F77" s="337"/>
      <c r="G77" s="342"/>
      <c r="H77" s="342"/>
      <c r="I77" s="342"/>
      <c r="J77" s="342"/>
      <c r="K77" s="343"/>
      <c r="L77" s="136" t="s">
        <v>346</v>
      </c>
      <c r="M77" s="137"/>
      <c r="N77" s="137"/>
      <c r="O77" s="137"/>
      <c r="P77" s="137"/>
      <c r="Q77" s="137"/>
      <c r="R77" s="138"/>
      <c r="S77" s="328" t="s">
        <v>351</v>
      </c>
      <c r="T77" s="329"/>
      <c r="U77" s="329"/>
      <c r="V77" s="330"/>
      <c r="W77" s="166" t="s">
        <v>356</v>
      </c>
      <c r="X77" s="167"/>
      <c r="Y77" s="167"/>
      <c r="Z77" s="167"/>
      <c r="AA77" s="167"/>
      <c r="AB77" s="168"/>
      <c r="AC77" s="328" t="s">
        <v>252</v>
      </c>
      <c r="AD77" s="329"/>
      <c r="AE77" s="329"/>
      <c r="AF77" s="330"/>
      <c r="AG77"/>
      <c r="AH77"/>
    </row>
    <row r="78" spans="2:34" s="5" customFormat="1" ht="17" customHeight="1" x14ac:dyDescent="0.2">
      <c r="B78" s="336"/>
      <c r="C78" s="337"/>
      <c r="D78" s="337"/>
      <c r="E78" s="337"/>
      <c r="F78" s="337"/>
      <c r="G78" s="342"/>
      <c r="H78" s="342"/>
      <c r="I78" s="342"/>
      <c r="J78" s="342"/>
      <c r="K78" s="343"/>
      <c r="L78" s="136" t="s">
        <v>347</v>
      </c>
      <c r="M78" s="137"/>
      <c r="N78" s="137"/>
      <c r="O78" s="137"/>
      <c r="P78" s="137"/>
      <c r="Q78" s="137"/>
      <c r="R78" s="138"/>
      <c r="S78" s="328" t="s">
        <v>352</v>
      </c>
      <c r="T78" s="329"/>
      <c r="U78" s="329"/>
      <c r="V78" s="330"/>
      <c r="W78" s="166" t="s">
        <v>358</v>
      </c>
      <c r="X78" s="167"/>
      <c r="Y78" s="167"/>
      <c r="Z78" s="167"/>
      <c r="AA78" s="167"/>
      <c r="AB78" s="168"/>
      <c r="AC78" s="328" t="s">
        <v>255</v>
      </c>
      <c r="AD78" s="329"/>
      <c r="AE78" s="329"/>
      <c r="AF78" s="330"/>
      <c r="AG78"/>
      <c r="AH78"/>
    </row>
    <row r="79" spans="2:34" s="5" customFormat="1" ht="17" customHeight="1" x14ac:dyDescent="0.2">
      <c r="B79" s="338"/>
      <c r="C79" s="339"/>
      <c r="D79" s="339"/>
      <c r="E79" s="339"/>
      <c r="F79" s="339"/>
      <c r="G79" s="344"/>
      <c r="H79" s="344"/>
      <c r="I79" s="344"/>
      <c r="J79" s="344"/>
      <c r="K79" s="345"/>
      <c r="L79" s="136" t="s">
        <v>348</v>
      </c>
      <c r="M79" s="137"/>
      <c r="N79" s="137"/>
      <c r="O79" s="137"/>
      <c r="P79" s="137"/>
      <c r="Q79" s="137"/>
      <c r="R79" s="138"/>
      <c r="S79" s="328" t="s">
        <v>353</v>
      </c>
      <c r="T79" s="329"/>
      <c r="U79" s="329"/>
      <c r="V79" s="330"/>
      <c r="W79" s="166" t="s">
        <v>357</v>
      </c>
      <c r="X79" s="167"/>
      <c r="Y79" s="167"/>
      <c r="Z79" s="167"/>
      <c r="AA79" s="167"/>
      <c r="AB79" s="168"/>
      <c r="AC79" s="328" t="s">
        <v>258</v>
      </c>
      <c r="AD79" s="329"/>
      <c r="AE79" s="329"/>
      <c r="AF79" s="330"/>
      <c r="AG79"/>
      <c r="AH79"/>
    </row>
  </sheetData>
  <mergeCells count="383">
    <mergeCell ref="B10:F10"/>
    <mergeCell ref="G10:K10"/>
    <mergeCell ref="L10:N10"/>
    <mergeCell ref="O10:Q10"/>
    <mergeCell ref="R10:T10"/>
    <mergeCell ref="U10:V10"/>
    <mergeCell ref="W10:X10"/>
    <mergeCell ref="Y10:Z10"/>
    <mergeCell ref="AA10:AB10"/>
    <mergeCell ref="AC10:AD10"/>
    <mergeCell ref="AG10:AH10"/>
    <mergeCell ref="L11:N11"/>
    <mergeCell ref="O11:Q11"/>
    <mergeCell ref="R11:T11"/>
    <mergeCell ref="U11:V11"/>
    <mergeCell ref="W11:X11"/>
    <mergeCell ref="Y11:Z11"/>
    <mergeCell ref="AA11:AB11"/>
    <mergeCell ref="AC11:AD11"/>
    <mergeCell ref="AG11:AH11"/>
    <mergeCell ref="AE11:AF11"/>
    <mergeCell ref="B12:F12"/>
    <mergeCell ref="G12:K12"/>
    <mergeCell ref="L12:N12"/>
    <mergeCell ref="O12:Q12"/>
    <mergeCell ref="R12:T12"/>
    <mergeCell ref="U12:V12"/>
    <mergeCell ref="W12:X12"/>
    <mergeCell ref="Y12:Z12"/>
    <mergeCell ref="AA12:AB12"/>
    <mergeCell ref="B13:F13"/>
    <mergeCell ref="G13:K13"/>
    <mergeCell ref="L13:N13"/>
    <mergeCell ref="O13:Q13"/>
    <mergeCell ref="R13:T13"/>
    <mergeCell ref="U13:V13"/>
    <mergeCell ref="W13:X13"/>
    <mergeCell ref="Y13:Z13"/>
    <mergeCell ref="AA13:AB13"/>
    <mergeCell ref="Y14:Z14"/>
    <mergeCell ref="AA14:AB14"/>
    <mergeCell ref="AC12:AD12"/>
    <mergeCell ref="AG12:AH12"/>
    <mergeCell ref="AC13:AD13"/>
    <mergeCell ref="AG13:AH13"/>
    <mergeCell ref="AE12:AF12"/>
    <mergeCell ref="AE13:AF13"/>
    <mergeCell ref="AC14:AD14"/>
    <mergeCell ref="AG14:AH14"/>
    <mergeCell ref="AE14:AF14"/>
    <mergeCell ref="AG16:AH16"/>
    <mergeCell ref="W15:X15"/>
    <mergeCell ref="Y15:Z15"/>
    <mergeCell ref="AA15:AB15"/>
    <mergeCell ref="AC15:AD15"/>
    <mergeCell ref="AG15:AH15"/>
    <mergeCell ref="B16:F16"/>
    <mergeCell ref="G16:K16"/>
    <mergeCell ref="L16:N16"/>
    <mergeCell ref="O16:Q16"/>
    <mergeCell ref="R16:T16"/>
    <mergeCell ref="AE15:AF15"/>
    <mergeCell ref="AE16:AF16"/>
    <mergeCell ref="B14:F14"/>
    <mergeCell ref="G14:K14"/>
    <mergeCell ref="U16:V16"/>
    <mergeCell ref="W16:X16"/>
    <mergeCell ref="Y16:Z16"/>
    <mergeCell ref="AA16:AB16"/>
    <mergeCell ref="B26:F26"/>
    <mergeCell ref="G26:K26"/>
    <mergeCell ref="L26:N26"/>
    <mergeCell ref="O26:Q26"/>
    <mergeCell ref="R26:T26"/>
    <mergeCell ref="Y24:Z24"/>
    <mergeCell ref="AA24:AB24"/>
    <mergeCell ref="B15:F15"/>
    <mergeCell ref="G15:K15"/>
    <mergeCell ref="L15:N15"/>
    <mergeCell ref="O15:Q15"/>
    <mergeCell ref="R15:T15"/>
    <mergeCell ref="U15:V15"/>
    <mergeCell ref="L14:N14"/>
    <mergeCell ref="O14:Q14"/>
    <mergeCell ref="R14:T14"/>
    <mergeCell ref="U14:V14"/>
    <mergeCell ref="W14:X14"/>
    <mergeCell ref="G39:K39"/>
    <mergeCell ref="L39:N39"/>
    <mergeCell ref="O39:Q39"/>
    <mergeCell ref="R39:T39"/>
    <mergeCell ref="U39:V39"/>
    <mergeCell ref="W39:X39"/>
    <mergeCell ref="Y39:Z39"/>
    <mergeCell ref="AA39:AB39"/>
    <mergeCell ref="AG37:AH37"/>
    <mergeCell ref="L38:N38"/>
    <mergeCell ref="O38:Q38"/>
    <mergeCell ref="R38:T38"/>
    <mergeCell ref="U38:V38"/>
    <mergeCell ref="W38:X38"/>
    <mergeCell ref="Y38:Z38"/>
    <mergeCell ref="AA38:AB38"/>
    <mergeCell ref="AC38:AD38"/>
    <mergeCell ref="L37:N37"/>
    <mergeCell ref="O37:Q37"/>
    <mergeCell ref="R37:T37"/>
    <mergeCell ref="U37:V37"/>
    <mergeCell ref="W37:X37"/>
    <mergeCell ref="AA37:AB37"/>
    <mergeCell ref="AG38:AH38"/>
    <mergeCell ref="AG41:AH41"/>
    <mergeCell ref="B42:F42"/>
    <mergeCell ref="G42:K42"/>
    <mergeCell ref="L42:N42"/>
    <mergeCell ref="O42:Q42"/>
    <mergeCell ref="R42:T42"/>
    <mergeCell ref="U42:V42"/>
    <mergeCell ref="B41:F41"/>
    <mergeCell ref="G41:K41"/>
    <mergeCell ref="L41:N41"/>
    <mergeCell ref="O41:Q41"/>
    <mergeCell ref="R41:T41"/>
    <mergeCell ref="U41:V41"/>
    <mergeCell ref="W41:X41"/>
    <mergeCell ref="AE41:AF41"/>
    <mergeCell ref="AE42:AF42"/>
    <mergeCell ref="AG23:AH23"/>
    <mergeCell ref="L24:N24"/>
    <mergeCell ref="O24:Q24"/>
    <mergeCell ref="R24:T24"/>
    <mergeCell ref="U24:V24"/>
    <mergeCell ref="W24:X24"/>
    <mergeCell ref="AE40:AF40"/>
    <mergeCell ref="B23:F23"/>
    <mergeCell ref="G23:K23"/>
    <mergeCell ref="L23:N23"/>
    <mergeCell ref="O23:Q23"/>
    <mergeCell ref="R23:T23"/>
    <mergeCell ref="U23:V23"/>
    <mergeCell ref="AE39:AF39"/>
    <mergeCell ref="AE38:AF38"/>
    <mergeCell ref="AE37:AF37"/>
    <mergeCell ref="Y37:Z37"/>
    <mergeCell ref="AA40:AB40"/>
    <mergeCell ref="AC40:AD40"/>
    <mergeCell ref="AG40:AH40"/>
    <mergeCell ref="AC39:AD39"/>
    <mergeCell ref="AG39:AH39"/>
    <mergeCell ref="B40:F40"/>
    <mergeCell ref="G40:K40"/>
    <mergeCell ref="AG24:AH24"/>
    <mergeCell ref="B25:F25"/>
    <mergeCell ref="G25:K25"/>
    <mergeCell ref="L25:N25"/>
    <mergeCell ref="O25:Q25"/>
    <mergeCell ref="R25:T25"/>
    <mergeCell ref="U25:V25"/>
    <mergeCell ref="U26:V26"/>
    <mergeCell ref="W26:X26"/>
    <mergeCell ref="Y26:Z26"/>
    <mergeCell ref="AA26:AB26"/>
    <mergeCell ref="AC26:AD26"/>
    <mergeCell ref="AG26:AH26"/>
    <mergeCell ref="W25:X25"/>
    <mergeCell ref="Y25:Z25"/>
    <mergeCell ref="AA25:AB25"/>
    <mergeCell ref="AC25:AD25"/>
    <mergeCell ref="AG25:AH25"/>
    <mergeCell ref="B27:F27"/>
    <mergeCell ref="G27:K27"/>
    <mergeCell ref="L27:N27"/>
    <mergeCell ref="O27:Q27"/>
    <mergeCell ref="R27:T27"/>
    <mergeCell ref="U28:V28"/>
    <mergeCell ref="W28:X28"/>
    <mergeCell ref="Y28:Z28"/>
    <mergeCell ref="AA28:AB28"/>
    <mergeCell ref="B28:F28"/>
    <mergeCell ref="G28:K28"/>
    <mergeCell ref="L28:N28"/>
    <mergeCell ref="O28:Q28"/>
    <mergeCell ref="R28:T28"/>
    <mergeCell ref="AG28:AH28"/>
    <mergeCell ref="W27:X27"/>
    <mergeCell ref="Y27:Z27"/>
    <mergeCell ref="AA27:AB27"/>
    <mergeCell ref="AC27:AD27"/>
    <mergeCell ref="AG27:AH27"/>
    <mergeCell ref="U27:V27"/>
    <mergeCell ref="AG29:AH29"/>
    <mergeCell ref="AE29:AF29"/>
    <mergeCell ref="AA29:AB29"/>
    <mergeCell ref="AC29:AD29"/>
    <mergeCell ref="B29:F29"/>
    <mergeCell ref="G29:K29"/>
    <mergeCell ref="L29:N29"/>
    <mergeCell ref="O29:Q29"/>
    <mergeCell ref="R29:T29"/>
    <mergeCell ref="U29:V29"/>
    <mergeCell ref="U43:V43"/>
    <mergeCell ref="W43:X43"/>
    <mergeCell ref="Y43:Z43"/>
    <mergeCell ref="L43:N43"/>
    <mergeCell ref="O43:Q43"/>
    <mergeCell ref="R43:T43"/>
    <mergeCell ref="Y41:Z41"/>
    <mergeCell ref="L40:N40"/>
    <mergeCell ref="O40:Q40"/>
    <mergeCell ref="R40:T40"/>
    <mergeCell ref="U40:V40"/>
    <mergeCell ref="W40:X40"/>
    <mergeCell ref="Y40:Z40"/>
    <mergeCell ref="B37:F37"/>
    <mergeCell ref="G37:K37"/>
    <mergeCell ref="W29:X29"/>
    <mergeCell ref="Y29:Z29"/>
    <mergeCell ref="B39:F39"/>
    <mergeCell ref="AG43:AH43"/>
    <mergeCell ref="W42:X42"/>
    <mergeCell ref="Y42:Z42"/>
    <mergeCell ref="AA42:AB42"/>
    <mergeCell ref="AC42:AD42"/>
    <mergeCell ref="AG42:AH42"/>
    <mergeCell ref="B43:F43"/>
    <mergeCell ref="G43:K43"/>
    <mergeCell ref="AE43:AF43"/>
    <mergeCell ref="AA43:AB43"/>
    <mergeCell ref="AG51:AH51"/>
    <mergeCell ref="L52:N52"/>
    <mergeCell ref="O52:Q52"/>
    <mergeCell ref="R52:T52"/>
    <mergeCell ref="U52:V52"/>
    <mergeCell ref="W52:X52"/>
    <mergeCell ref="B51:F51"/>
    <mergeCell ref="G51:K51"/>
    <mergeCell ref="L51:N51"/>
    <mergeCell ref="O51:Q51"/>
    <mergeCell ref="R51:T51"/>
    <mergeCell ref="U51:V51"/>
    <mergeCell ref="Y52:Z52"/>
    <mergeCell ref="AA52:AB52"/>
    <mergeCell ref="AC52:AD52"/>
    <mergeCell ref="AG52:AH52"/>
    <mergeCell ref="Y51:Z51"/>
    <mergeCell ref="AA51:AB51"/>
    <mergeCell ref="AC51:AD51"/>
    <mergeCell ref="AE51:AF51"/>
    <mergeCell ref="AE52:AF52"/>
    <mergeCell ref="AG53:AH53"/>
    <mergeCell ref="B54:F54"/>
    <mergeCell ref="G54:K54"/>
    <mergeCell ref="L54:N54"/>
    <mergeCell ref="O54:Q54"/>
    <mergeCell ref="R54:T54"/>
    <mergeCell ref="B55:F55"/>
    <mergeCell ref="G55:K55"/>
    <mergeCell ref="L55:N55"/>
    <mergeCell ref="O55:Q55"/>
    <mergeCell ref="R55:T55"/>
    <mergeCell ref="U55:V55"/>
    <mergeCell ref="U54:V54"/>
    <mergeCell ref="W54:X54"/>
    <mergeCell ref="Y54:Z54"/>
    <mergeCell ref="AE53:AF53"/>
    <mergeCell ref="AE54:AF54"/>
    <mergeCell ref="AE55:AF55"/>
    <mergeCell ref="B53:F53"/>
    <mergeCell ref="G53:K53"/>
    <mergeCell ref="L53:N53"/>
    <mergeCell ref="O53:Q53"/>
    <mergeCell ref="R53:T53"/>
    <mergeCell ref="U53:V53"/>
    <mergeCell ref="B57:F57"/>
    <mergeCell ref="G57:K57"/>
    <mergeCell ref="L57:N57"/>
    <mergeCell ref="O57:Q57"/>
    <mergeCell ref="R57:T57"/>
    <mergeCell ref="U57:V57"/>
    <mergeCell ref="U56:V56"/>
    <mergeCell ref="W56:X56"/>
    <mergeCell ref="Y56:Z56"/>
    <mergeCell ref="B56:F56"/>
    <mergeCell ref="G56:K56"/>
    <mergeCell ref="L56:N56"/>
    <mergeCell ref="O56:Q56"/>
    <mergeCell ref="R56:T56"/>
    <mergeCell ref="AG57:AH57"/>
    <mergeCell ref="L9:AF9"/>
    <mergeCell ref="L22:AF22"/>
    <mergeCell ref="L36:AF36"/>
    <mergeCell ref="L50:AF50"/>
    <mergeCell ref="AE10:AF10"/>
    <mergeCell ref="AA56:AB56"/>
    <mergeCell ref="AC56:AD56"/>
    <mergeCell ref="AG56:AH56"/>
    <mergeCell ref="W55:X55"/>
    <mergeCell ref="Y55:Z55"/>
    <mergeCell ref="AA55:AB55"/>
    <mergeCell ref="AC55:AD55"/>
    <mergeCell ref="AG55:AH55"/>
    <mergeCell ref="AA54:AB54"/>
    <mergeCell ref="AC54:AD54"/>
    <mergeCell ref="AG54:AH54"/>
    <mergeCell ref="W23:X23"/>
    <mergeCell ref="Y23:Z23"/>
    <mergeCell ref="AA23:AB23"/>
    <mergeCell ref="AC23:AD23"/>
    <mergeCell ref="AC37:AD37"/>
    <mergeCell ref="AC16:AD16"/>
    <mergeCell ref="AE57:AF57"/>
    <mergeCell ref="AE56:AF56"/>
    <mergeCell ref="AE23:AF23"/>
    <mergeCell ref="AE24:AF24"/>
    <mergeCell ref="AE25:AF25"/>
    <mergeCell ref="AE26:AF26"/>
    <mergeCell ref="AE27:AF27"/>
    <mergeCell ref="AE28:AF28"/>
    <mergeCell ref="W57:X57"/>
    <mergeCell ref="Y57:Z57"/>
    <mergeCell ref="AA57:AB57"/>
    <mergeCell ref="AC57:AD57"/>
    <mergeCell ref="W51:X51"/>
    <mergeCell ref="AC53:AD53"/>
    <mergeCell ref="W53:X53"/>
    <mergeCell ref="Y53:Z53"/>
    <mergeCell ref="AA53:AB53"/>
    <mergeCell ref="AC43:AD43"/>
    <mergeCell ref="AC28:AD28"/>
    <mergeCell ref="AC24:AD24"/>
    <mergeCell ref="AA41:AB41"/>
    <mergeCell ref="AC41:AD41"/>
    <mergeCell ref="L67:AF67"/>
    <mergeCell ref="W68:AF68"/>
    <mergeCell ref="L68:V68"/>
    <mergeCell ref="B68:F69"/>
    <mergeCell ref="G68:K69"/>
    <mergeCell ref="L69:R69"/>
    <mergeCell ref="S69:V69"/>
    <mergeCell ref="AC75:AF75"/>
    <mergeCell ref="AC76:AF76"/>
    <mergeCell ref="W76:AB76"/>
    <mergeCell ref="W71:AB71"/>
    <mergeCell ref="W72:AB72"/>
    <mergeCell ref="W73:AB73"/>
    <mergeCell ref="W74:AB74"/>
    <mergeCell ref="W75:AB75"/>
    <mergeCell ref="L78:R78"/>
    <mergeCell ref="L79:R79"/>
    <mergeCell ref="B71:F74"/>
    <mergeCell ref="G71:K74"/>
    <mergeCell ref="B76:F79"/>
    <mergeCell ref="G76:K79"/>
    <mergeCell ref="L71:R71"/>
    <mergeCell ref="L72:R72"/>
    <mergeCell ref="L73:R73"/>
    <mergeCell ref="L74:R74"/>
    <mergeCell ref="L76:R76"/>
    <mergeCell ref="L77:R77"/>
    <mergeCell ref="S77:V77"/>
    <mergeCell ref="S78:V78"/>
    <mergeCell ref="S79:V79"/>
    <mergeCell ref="S70:V70"/>
    <mergeCell ref="AC69:AF69"/>
    <mergeCell ref="AC70:AF70"/>
    <mergeCell ref="AC71:AF71"/>
    <mergeCell ref="AC72:AF72"/>
    <mergeCell ref="AC73:AF73"/>
    <mergeCell ref="AC74:AF74"/>
    <mergeCell ref="S71:V71"/>
    <mergeCell ref="S72:V72"/>
    <mergeCell ref="S73:V73"/>
    <mergeCell ref="S74:V74"/>
    <mergeCell ref="S75:V75"/>
    <mergeCell ref="S76:V76"/>
    <mergeCell ref="W77:AB77"/>
    <mergeCell ref="W78:AB78"/>
    <mergeCell ref="W79:AB79"/>
    <mergeCell ref="AC77:AF77"/>
    <mergeCell ref="AC78:AF78"/>
    <mergeCell ref="AC79:AF79"/>
    <mergeCell ref="W69:AB69"/>
    <mergeCell ref="W70:AB70"/>
  </mergeCells>
  <pageMargins left="0.25" right="0.25" top="0.25" bottom="0.25" header="0.2" footer="0.15"/>
  <pageSetup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3EA6-5708-4A35-8234-41E69C3CE3F7}">
  <sheetPr>
    <tabColor theme="7"/>
  </sheetPr>
  <dimension ref="B1:AQ51"/>
  <sheetViews>
    <sheetView showGridLines="0" tabSelected="1" topLeftCell="A3" zoomScale="80" zoomScaleNormal="80" workbookViewId="0">
      <selection activeCell="V62" sqref="V62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39" width="4.6640625" customWidth="1"/>
    <col min="40" max="40" width="13" customWidth="1"/>
    <col min="41" max="41" width="4.6640625" customWidth="1"/>
    <col min="42" max="43" width="6.1640625" customWidth="1"/>
    <col min="44" max="72" width="4.6640625" customWidth="1"/>
  </cols>
  <sheetData>
    <row r="1" spans="2:32" x14ac:dyDescent="0.2">
      <c r="B1" s="24" t="s">
        <v>391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4" spans="2:32" ht="14.5" customHeight="1" x14ac:dyDescent="0.25">
      <c r="H4" s="19"/>
      <c r="I4" s="19"/>
      <c r="J4" s="19"/>
      <c r="K4" s="19"/>
      <c r="L4" s="19"/>
      <c r="M4" s="19"/>
      <c r="N4" s="19"/>
    </row>
    <row r="5" spans="2:32" ht="18" customHeight="1" x14ac:dyDescent="0.25">
      <c r="B5" s="22" t="s">
        <v>155</v>
      </c>
      <c r="E5" s="6"/>
      <c r="H5" s="19"/>
      <c r="I5" s="19"/>
      <c r="J5" s="19"/>
      <c r="K5" s="19"/>
      <c r="L5" s="19"/>
      <c r="M5" s="19"/>
      <c r="N5" s="19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 t="s">
        <v>156</v>
      </c>
    </row>
    <row r="9" spans="2:32" ht="5" customHeight="1" x14ac:dyDescent="0.2">
      <c r="K9" s="352" t="s">
        <v>9</v>
      </c>
      <c r="L9" s="353"/>
      <c r="M9" s="353"/>
      <c r="N9" s="354"/>
    </row>
    <row r="10" spans="2:32" ht="20" customHeight="1" x14ac:dyDescent="0.2">
      <c r="B10" s="185" t="s">
        <v>11</v>
      </c>
      <c r="C10" s="187" t="s">
        <v>10</v>
      </c>
      <c r="D10" s="188"/>
      <c r="E10" s="188"/>
      <c r="F10" s="188"/>
      <c r="G10" s="188"/>
      <c r="H10" s="188"/>
      <c r="I10" s="188"/>
      <c r="J10" s="188"/>
      <c r="K10" s="355"/>
      <c r="L10" s="356"/>
      <c r="M10" s="356"/>
      <c r="N10" s="357"/>
      <c r="O10" s="165" t="s">
        <v>8</v>
      </c>
      <c r="P10" s="185"/>
      <c r="Q10" s="185"/>
      <c r="R10" s="185"/>
      <c r="S10" s="185"/>
      <c r="T10" s="185"/>
      <c r="U10" s="185"/>
      <c r="V10" s="187" t="s">
        <v>7</v>
      </c>
      <c r="W10" s="188"/>
      <c r="X10" s="188"/>
      <c r="Y10" s="188"/>
      <c r="Z10" s="188"/>
      <c r="AA10" s="188"/>
      <c r="AB10" s="188"/>
      <c r="AC10" s="188"/>
      <c r="AD10" s="188"/>
      <c r="AE10" s="188"/>
      <c r="AF10" s="189"/>
    </row>
    <row r="11" spans="2:32" ht="20" customHeight="1" x14ac:dyDescent="0.2">
      <c r="B11" s="185"/>
      <c r="C11" s="190"/>
      <c r="D11" s="191"/>
      <c r="E11" s="191"/>
      <c r="F11" s="191"/>
      <c r="G11" s="191"/>
      <c r="H11" s="191"/>
      <c r="I11" s="191"/>
      <c r="J11" s="191"/>
      <c r="K11" s="358"/>
      <c r="L11" s="359"/>
      <c r="M11" s="359"/>
      <c r="N11" s="360"/>
      <c r="O11" s="165"/>
      <c r="P11" s="185"/>
      <c r="Q11" s="185"/>
      <c r="R11" s="185"/>
      <c r="S11" s="185"/>
      <c r="T11" s="185"/>
      <c r="U11" s="185"/>
      <c r="V11" s="190"/>
      <c r="W11" s="191"/>
      <c r="X11" s="191"/>
      <c r="Y11" s="191"/>
      <c r="Z11" s="191"/>
      <c r="AA11" s="191"/>
      <c r="AB11" s="191"/>
      <c r="AC11" s="191"/>
      <c r="AD11" s="191"/>
      <c r="AE11" s="191"/>
      <c r="AF11" s="192"/>
    </row>
    <row r="12" spans="2:32" ht="5" customHeight="1" x14ac:dyDescent="0.2">
      <c r="B12" s="1"/>
      <c r="C12" s="166"/>
      <c r="D12" s="167"/>
      <c r="E12" s="167"/>
      <c r="F12" s="167"/>
      <c r="G12" s="167"/>
      <c r="H12" s="167"/>
      <c r="I12" s="167"/>
      <c r="J12" s="167"/>
      <c r="K12" s="349"/>
      <c r="L12" s="350"/>
      <c r="M12" s="350"/>
      <c r="N12" s="351"/>
      <c r="O12" s="202"/>
      <c r="P12" s="193"/>
      <c r="Q12" s="193"/>
      <c r="R12" s="193"/>
      <c r="S12" s="193"/>
      <c r="T12" s="193"/>
      <c r="U12" s="193"/>
      <c r="V12" s="166"/>
      <c r="W12" s="167"/>
      <c r="X12" s="167"/>
      <c r="Y12" s="167"/>
      <c r="Z12" s="167"/>
      <c r="AA12" s="167"/>
      <c r="AB12" s="167"/>
      <c r="AC12" s="167"/>
      <c r="AD12" s="167"/>
      <c r="AE12" s="167"/>
      <c r="AF12" s="168"/>
    </row>
    <row r="13" spans="2:32" ht="14.5" customHeight="1" x14ac:dyDescent="0.2">
      <c r="B13" s="1">
        <v>1</v>
      </c>
      <c r="C13" s="200" t="s">
        <v>6</v>
      </c>
      <c r="D13" s="201"/>
      <c r="E13" s="201"/>
      <c r="F13" s="201"/>
      <c r="G13" s="201"/>
      <c r="H13" s="201"/>
      <c r="I13" s="201"/>
      <c r="J13" s="201"/>
      <c r="K13" s="361">
        <v>0.5</v>
      </c>
      <c r="L13" s="362"/>
      <c r="M13" s="362"/>
      <c r="N13" s="363"/>
      <c r="O13" s="177" t="s">
        <v>12</v>
      </c>
      <c r="P13" s="177"/>
      <c r="Q13" s="177"/>
      <c r="R13" s="177"/>
      <c r="S13" s="177"/>
      <c r="T13" s="177"/>
      <c r="U13" s="178"/>
      <c r="V13" s="177" t="s">
        <v>54</v>
      </c>
      <c r="W13" s="177"/>
      <c r="X13" s="177"/>
      <c r="Y13" s="177"/>
      <c r="Z13" s="177"/>
      <c r="AA13" s="177"/>
      <c r="AB13" s="177"/>
      <c r="AC13" s="177"/>
      <c r="AD13" s="177"/>
      <c r="AE13" s="177"/>
      <c r="AF13" s="178"/>
    </row>
    <row r="14" spans="2:32" x14ac:dyDescent="0.2">
      <c r="B14" s="1">
        <v>2</v>
      </c>
      <c r="C14" s="200" t="s">
        <v>102</v>
      </c>
      <c r="D14" s="201"/>
      <c r="E14" s="201"/>
      <c r="F14" s="201"/>
      <c r="G14" s="201"/>
      <c r="H14" s="201"/>
      <c r="I14" s="201"/>
      <c r="J14" s="201"/>
      <c r="K14" s="361">
        <v>0.1</v>
      </c>
      <c r="L14" s="362"/>
      <c r="M14" s="362"/>
      <c r="N14" s="363"/>
      <c r="O14" s="180"/>
      <c r="P14" s="180"/>
      <c r="Q14" s="180"/>
      <c r="R14" s="180"/>
      <c r="S14" s="180"/>
      <c r="T14" s="180"/>
      <c r="U14" s="181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1"/>
    </row>
    <row r="15" spans="2:32" x14ac:dyDescent="0.2">
      <c r="B15" s="1">
        <v>3</v>
      </c>
      <c r="C15" s="200" t="s">
        <v>327</v>
      </c>
      <c r="D15" s="201"/>
      <c r="E15" s="201"/>
      <c r="F15" s="201"/>
      <c r="G15" s="201"/>
      <c r="H15" s="201"/>
      <c r="I15" s="201"/>
      <c r="J15" s="202"/>
      <c r="K15" s="361">
        <v>0.1</v>
      </c>
      <c r="L15" s="362"/>
      <c r="M15" s="362"/>
      <c r="N15" s="363"/>
      <c r="O15" s="180"/>
      <c r="P15" s="180"/>
      <c r="Q15" s="180"/>
      <c r="R15" s="180"/>
      <c r="S15" s="180"/>
      <c r="T15" s="180"/>
      <c r="U15" s="181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1"/>
    </row>
    <row r="16" spans="2:32" x14ac:dyDescent="0.2">
      <c r="B16" s="1">
        <v>4</v>
      </c>
      <c r="C16" s="200" t="s">
        <v>53</v>
      </c>
      <c r="D16" s="201"/>
      <c r="E16" s="201"/>
      <c r="F16" s="201"/>
      <c r="G16" s="201"/>
      <c r="H16" s="201"/>
      <c r="I16" s="201"/>
      <c r="J16" s="201"/>
      <c r="K16" s="361"/>
      <c r="L16" s="362"/>
      <c r="M16" s="362"/>
      <c r="N16" s="363"/>
      <c r="O16" s="180"/>
      <c r="P16" s="180"/>
      <c r="Q16" s="180"/>
      <c r="R16" s="180"/>
      <c r="S16" s="180"/>
      <c r="T16" s="180"/>
      <c r="U16" s="181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4"/>
    </row>
    <row r="17" spans="2:32" x14ac:dyDescent="0.2">
      <c r="B17" s="1">
        <v>5</v>
      </c>
      <c r="C17" s="200" t="s">
        <v>4</v>
      </c>
      <c r="D17" s="201"/>
      <c r="E17" s="201"/>
      <c r="F17" s="201"/>
      <c r="G17" s="201"/>
      <c r="H17" s="201"/>
      <c r="I17" s="201"/>
      <c r="J17" s="201"/>
      <c r="K17" s="361">
        <v>0.1</v>
      </c>
      <c r="L17" s="362"/>
      <c r="M17" s="362"/>
      <c r="N17" s="363"/>
      <c r="O17" s="180"/>
      <c r="P17" s="180"/>
      <c r="Q17" s="180"/>
      <c r="R17" s="180"/>
      <c r="S17" s="180"/>
      <c r="T17" s="180"/>
      <c r="U17" s="181"/>
      <c r="V17" s="177" t="s">
        <v>2</v>
      </c>
      <c r="W17" s="177"/>
      <c r="X17" s="177"/>
      <c r="Y17" s="177"/>
      <c r="Z17" s="177"/>
      <c r="AA17" s="177"/>
      <c r="AB17" s="177"/>
      <c r="AC17" s="177"/>
      <c r="AD17" s="177"/>
      <c r="AE17" s="177"/>
      <c r="AF17" s="178"/>
    </row>
    <row r="18" spans="2:32" ht="14.5" customHeight="1" x14ac:dyDescent="0.2">
      <c r="B18" s="1">
        <v>6</v>
      </c>
      <c r="C18" s="200" t="s">
        <v>3</v>
      </c>
      <c r="D18" s="201"/>
      <c r="E18" s="201"/>
      <c r="F18" s="201"/>
      <c r="G18" s="201"/>
      <c r="H18" s="201"/>
      <c r="I18" s="201"/>
      <c r="J18" s="201"/>
      <c r="K18" s="361">
        <v>0.1</v>
      </c>
      <c r="L18" s="362"/>
      <c r="M18" s="362"/>
      <c r="N18" s="363"/>
      <c r="O18" s="180"/>
      <c r="P18" s="180"/>
      <c r="Q18" s="180"/>
      <c r="R18" s="180"/>
      <c r="S18" s="180"/>
      <c r="T18" s="180"/>
      <c r="U18" s="181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1"/>
    </row>
    <row r="19" spans="2:32" x14ac:dyDescent="0.2">
      <c r="B19" s="1">
        <v>7</v>
      </c>
      <c r="C19" s="200" t="s">
        <v>1</v>
      </c>
      <c r="D19" s="201"/>
      <c r="E19" s="201"/>
      <c r="F19" s="201"/>
      <c r="G19" s="201"/>
      <c r="H19" s="201"/>
      <c r="I19" s="201"/>
      <c r="J19" s="201"/>
      <c r="K19" s="361"/>
      <c r="L19" s="362"/>
      <c r="M19" s="362"/>
      <c r="N19" s="363"/>
      <c r="O19" s="180"/>
      <c r="P19" s="180"/>
      <c r="Q19" s="180"/>
      <c r="R19" s="180"/>
      <c r="S19" s="180"/>
      <c r="T19" s="180"/>
      <c r="U19" s="181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1"/>
    </row>
    <row r="20" spans="2:32" x14ac:dyDescent="0.2">
      <c r="B20" s="1">
        <v>8</v>
      </c>
      <c r="C20" s="200" t="s">
        <v>0</v>
      </c>
      <c r="D20" s="201"/>
      <c r="E20" s="201"/>
      <c r="F20" s="201"/>
      <c r="G20" s="201"/>
      <c r="H20" s="201"/>
      <c r="I20" s="201"/>
      <c r="J20" s="201"/>
      <c r="K20" s="361">
        <v>0.1</v>
      </c>
      <c r="L20" s="362"/>
      <c r="M20" s="362"/>
      <c r="N20" s="363"/>
      <c r="O20" s="183"/>
      <c r="P20" s="183"/>
      <c r="Q20" s="183"/>
      <c r="R20" s="183"/>
      <c r="S20" s="183"/>
      <c r="T20" s="183"/>
      <c r="U20" s="184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4"/>
    </row>
    <row r="21" spans="2:32" x14ac:dyDescent="0.2">
      <c r="K21" s="364">
        <f>SUM(K13:L20)</f>
        <v>0.99999999999999989</v>
      </c>
      <c r="L21" s="365"/>
      <c r="M21" s="365"/>
      <c r="N21" s="366"/>
    </row>
    <row r="24" spans="2:32" x14ac:dyDescent="0.2">
      <c r="B24" s="5" t="s">
        <v>77</v>
      </c>
    </row>
    <row r="25" spans="2:32" x14ac:dyDescent="0.2">
      <c r="B25" s="30" t="s">
        <v>142</v>
      </c>
    </row>
    <row r="26" spans="2:32" x14ac:dyDescent="0.2">
      <c r="B26" s="30" t="s">
        <v>100</v>
      </c>
      <c r="H26" s="6" t="s">
        <v>140</v>
      </c>
    </row>
    <row r="27" spans="2:32" x14ac:dyDescent="0.2">
      <c r="B27" s="30" t="s">
        <v>98</v>
      </c>
      <c r="H27" s="6" t="s">
        <v>141</v>
      </c>
    </row>
    <row r="28" spans="2:32" x14ac:dyDescent="0.2">
      <c r="B28" s="30" t="s">
        <v>324</v>
      </c>
      <c r="H28" s="6" t="s">
        <v>325</v>
      </c>
    </row>
    <row r="29" spans="2:32" x14ac:dyDescent="0.2">
      <c r="B29" s="30" t="s">
        <v>99</v>
      </c>
      <c r="H29" s="6" t="s">
        <v>143</v>
      </c>
    </row>
    <row r="30" spans="2:32" x14ac:dyDescent="0.2">
      <c r="B30" s="30" t="s">
        <v>101</v>
      </c>
      <c r="H30" s="6" t="s">
        <v>144</v>
      </c>
    </row>
    <row r="31" spans="2:32" x14ac:dyDescent="0.2">
      <c r="B31" s="30"/>
      <c r="H31" s="6" t="s">
        <v>139</v>
      </c>
    </row>
    <row r="32" spans="2:32" x14ac:dyDescent="0.2">
      <c r="B32" s="30" t="s">
        <v>92</v>
      </c>
      <c r="H32" s="6" t="s">
        <v>145</v>
      </c>
    </row>
    <row r="33" spans="2:43" x14ac:dyDescent="0.2">
      <c r="B33" s="30"/>
      <c r="H33" s="6" t="s">
        <v>146</v>
      </c>
    </row>
    <row r="34" spans="2:43" x14ac:dyDescent="0.2">
      <c r="B34" s="30" t="s">
        <v>93</v>
      </c>
      <c r="H34" s="6" t="s">
        <v>147</v>
      </c>
    </row>
    <row r="35" spans="2:43" x14ac:dyDescent="0.2">
      <c r="B35" s="30" t="s">
        <v>89</v>
      </c>
      <c r="H35" s="6" t="s">
        <v>148</v>
      </c>
    </row>
    <row r="36" spans="2:43" x14ac:dyDescent="0.2">
      <c r="B36" s="5"/>
    </row>
    <row r="37" spans="2:43" x14ac:dyDescent="0.2">
      <c r="B37" s="5"/>
    </row>
    <row r="38" spans="2:43" x14ac:dyDescent="0.2">
      <c r="B38" s="5"/>
    </row>
    <row r="39" spans="2:43" x14ac:dyDescent="0.2">
      <c r="B39" s="2" t="s">
        <v>157</v>
      </c>
    </row>
    <row r="40" spans="2:43" ht="5" customHeight="1" x14ac:dyDescent="0.2"/>
    <row r="42" spans="2:43" ht="20" customHeight="1" x14ac:dyDescent="0.2">
      <c r="B42" s="14" t="s">
        <v>158</v>
      </c>
      <c r="H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10" t="s">
        <v>10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2:43" s="5" customFormat="1" ht="25" customHeight="1" x14ac:dyDescent="0.2">
      <c r="B43" s="170" t="s">
        <v>20</v>
      </c>
      <c r="C43" s="170"/>
      <c r="D43" s="170"/>
      <c r="E43" s="170"/>
      <c r="F43" s="170"/>
      <c r="G43" s="171"/>
      <c r="H43" s="172" t="s">
        <v>19</v>
      </c>
      <c r="I43" s="173"/>
      <c r="J43" s="174"/>
      <c r="K43" s="163" t="s">
        <v>18</v>
      </c>
      <c r="L43" s="164"/>
      <c r="M43" s="165"/>
      <c r="N43" s="163" t="s">
        <v>326</v>
      </c>
      <c r="O43" s="164"/>
      <c r="P43" s="165"/>
      <c r="Q43" s="163" t="s">
        <v>315</v>
      </c>
      <c r="R43" s="164"/>
      <c r="S43" s="165"/>
      <c r="T43" s="163" t="s">
        <v>17</v>
      </c>
      <c r="U43" s="164"/>
      <c r="V43" s="165"/>
      <c r="W43" s="163" t="s">
        <v>16</v>
      </c>
      <c r="X43" s="164"/>
      <c r="Y43" s="165"/>
      <c r="Z43" s="163" t="s">
        <v>47</v>
      </c>
      <c r="AA43" s="164"/>
      <c r="AB43" s="165"/>
      <c r="AC43" s="163" t="s">
        <v>15</v>
      </c>
      <c r="AD43" s="164"/>
      <c r="AE43" s="165"/>
      <c r="AF43" s="163" t="s">
        <v>14</v>
      </c>
      <c r="AG43" s="164"/>
      <c r="AH43" s="164"/>
      <c r="AI43"/>
      <c r="AJ43"/>
      <c r="AK43"/>
    </row>
    <row r="44" spans="2:43" ht="5" customHeight="1" x14ac:dyDescent="0.2">
      <c r="B44" s="4"/>
      <c r="C44" s="3"/>
      <c r="D44" s="3"/>
      <c r="E44" s="3"/>
      <c r="F44" s="3"/>
      <c r="G44" s="3"/>
      <c r="H44" s="3"/>
      <c r="I44" s="3"/>
      <c r="J44" s="3"/>
      <c r="K44" s="166"/>
      <c r="L44" s="167"/>
      <c r="M44" s="168"/>
      <c r="N44" s="166"/>
      <c r="O44" s="167"/>
      <c r="P44" s="168"/>
      <c r="Q44" s="166"/>
      <c r="R44" s="167"/>
      <c r="S44" s="168"/>
      <c r="T44" s="166"/>
      <c r="U44" s="167"/>
      <c r="V44" s="168"/>
      <c r="W44" s="166"/>
      <c r="X44" s="167"/>
      <c r="Y44" s="168"/>
      <c r="Z44" s="166"/>
      <c r="AA44" s="167"/>
      <c r="AB44" s="168"/>
      <c r="AC44" s="166"/>
      <c r="AD44" s="167"/>
      <c r="AE44" s="168"/>
      <c r="AF44" s="166"/>
      <c r="AG44" s="167"/>
      <c r="AH44" s="168"/>
    </row>
    <row r="45" spans="2:43" s="5" customFormat="1" ht="20" customHeight="1" x14ac:dyDescent="0.2">
      <c r="B45" s="146" t="s">
        <v>55</v>
      </c>
      <c r="C45" s="147"/>
      <c r="D45" s="147"/>
      <c r="E45" s="147"/>
      <c r="F45" s="147"/>
      <c r="G45" s="148"/>
      <c r="H45" s="149">
        <v>160000</v>
      </c>
      <c r="I45" s="149"/>
      <c r="J45" s="149"/>
      <c r="K45" s="150">
        <f>$H45*$K$13</f>
        <v>80000</v>
      </c>
      <c r="L45" s="151"/>
      <c r="M45" s="152"/>
      <c r="N45" s="143">
        <f>$H45*$K$14</f>
        <v>16000</v>
      </c>
      <c r="O45" s="144"/>
      <c r="P45" s="145"/>
      <c r="Q45" s="143">
        <f>$H45*$K$15</f>
        <v>16000</v>
      </c>
      <c r="R45" s="144"/>
      <c r="S45" s="145"/>
      <c r="T45" s="143">
        <f>$H45*$K$16</f>
        <v>0</v>
      </c>
      <c r="U45" s="144"/>
      <c r="V45" s="145"/>
      <c r="W45" s="143">
        <f>$H45*$K$17</f>
        <v>16000</v>
      </c>
      <c r="X45" s="144"/>
      <c r="Y45" s="145"/>
      <c r="Z45" s="143">
        <f>$H45*$K$18</f>
        <v>16000</v>
      </c>
      <c r="AA45" s="144"/>
      <c r="AB45" s="145"/>
      <c r="AC45" s="143">
        <f>$H45*$K$19</f>
        <v>0</v>
      </c>
      <c r="AD45" s="144"/>
      <c r="AE45" s="145"/>
      <c r="AF45" s="143">
        <f>$H45*$K$20</f>
        <v>16000</v>
      </c>
      <c r="AG45" s="144"/>
      <c r="AH45" s="145"/>
      <c r="AN45" s="48">
        <f>SUM(K45:AH45)</f>
        <v>160000</v>
      </c>
      <c r="AO45" s="49"/>
      <c r="AP45" s="50">
        <f>AN45/$AN$48</f>
        <v>0.24615384615384617</v>
      </c>
    </row>
    <row r="46" spans="2:43" s="5" customFormat="1" ht="20" customHeight="1" x14ac:dyDescent="0.2">
      <c r="B46" s="146" t="s">
        <v>56</v>
      </c>
      <c r="C46" s="147"/>
      <c r="D46" s="147"/>
      <c r="E46" s="147"/>
      <c r="F46" s="147"/>
      <c r="G46" s="148"/>
      <c r="H46" s="149">
        <v>325000</v>
      </c>
      <c r="I46" s="149"/>
      <c r="J46" s="149"/>
      <c r="K46" s="150">
        <f>$H46*$K$13</f>
        <v>162500</v>
      </c>
      <c r="L46" s="151"/>
      <c r="M46" s="152"/>
      <c r="N46" s="143">
        <f>$H46*$K$14</f>
        <v>32500</v>
      </c>
      <c r="O46" s="144"/>
      <c r="P46" s="145"/>
      <c r="Q46" s="143">
        <f>$H46*$K$15</f>
        <v>32500</v>
      </c>
      <c r="R46" s="144"/>
      <c r="S46" s="145"/>
      <c r="T46" s="143">
        <f>$H46*$K$16</f>
        <v>0</v>
      </c>
      <c r="U46" s="144"/>
      <c r="V46" s="145"/>
      <c r="W46" s="143">
        <f>$H46*$K$17</f>
        <v>32500</v>
      </c>
      <c r="X46" s="144"/>
      <c r="Y46" s="145"/>
      <c r="Z46" s="143">
        <f>$H46*$K$18</f>
        <v>32500</v>
      </c>
      <c r="AA46" s="144"/>
      <c r="AB46" s="145"/>
      <c r="AC46" s="143">
        <f>$H46*$K$19</f>
        <v>0</v>
      </c>
      <c r="AD46" s="144"/>
      <c r="AE46" s="145"/>
      <c r="AF46" s="143">
        <f>$H46*$K$20</f>
        <v>32500</v>
      </c>
      <c r="AG46" s="144"/>
      <c r="AH46" s="145"/>
      <c r="AN46" s="48">
        <f>SUM(K46:AH46)</f>
        <v>325000</v>
      </c>
      <c r="AO46" s="49"/>
      <c r="AP46" s="50">
        <f>AN46/$AN$48</f>
        <v>0.5</v>
      </c>
      <c r="AQ46" s="51">
        <f>AP46-AP45</f>
        <v>0.25384615384615383</v>
      </c>
    </row>
    <row r="47" spans="2:43" s="5" customFormat="1" ht="20" customHeight="1" x14ac:dyDescent="0.2">
      <c r="B47" s="146" t="s">
        <v>57</v>
      </c>
      <c r="C47" s="147"/>
      <c r="D47" s="147"/>
      <c r="E47" s="147"/>
      <c r="F47" s="147"/>
      <c r="G47" s="148"/>
      <c r="H47" s="149">
        <v>490000</v>
      </c>
      <c r="I47" s="149"/>
      <c r="J47" s="149"/>
      <c r="K47" s="150">
        <f>$H47*$K$13</f>
        <v>245000</v>
      </c>
      <c r="L47" s="151"/>
      <c r="M47" s="152"/>
      <c r="N47" s="143">
        <f>$H47*$K$14</f>
        <v>49000</v>
      </c>
      <c r="O47" s="144"/>
      <c r="P47" s="145"/>
      <c r="Q47" s="143">
        <f>$H47*$K$15</f>
        <v>49000</v>
      </c>
      <c r="R47" s="144"/>
      <c r="S47" s="145"/>
      <c r="T47" s="143">
        <f>$H47*$K$16</f>
        <v>0</v>
      </c>
      <c r="U47" s="144"/>
      <c r="V47" s="145"/>
      <c r="W47" s="143">
        <f>$H47*$K$17</f>
        <v>49000</v>
      </c>
      <c r="X47" s="144"/>
      <c r="Y47" s="145"/>
      <c r="Z47" s="143">
        <f>$H47*$K$18</f>
        <v>49000</v>
      </c>
      <c r="AA47" s="144"/>
      <c r="AB47" s="145"/>
      <c r="AC47" s="143">
        <f>$H47*$K$19</f>
        <v>0</v>
      </c>
      <c r="AD47" s="144"/>
      <c r="AE47" s="145"/>
      <c r="AF47" s="143">
        <f>$H47*$K$20</f>
        <v>49000</v>
      </c>
      <c r="AG47" s="144"/>
      <c r="AH47" s="145"/>
      <c r="AN47" s="48">
        <f>SUM(K47:AH47)</f>
        <v>490000</v>
      </c>
      <c r="AO47" s="49"/>
      <c r="AP47" s="50">
        <f>AN47/$AN$48</f>
        <v>0.75384615384615383</v>
      </c>
      <c r="AQ47" s="51">
        <f>AP47-AP46</f>
        <v>0.25384615384615383</v>
      </c>
    </row>
    <row r="48" spans="2:43" s="5" customFormat="1" ht="20" customHeight="1" x14ac:dyDescent="0.2">
      <c r="B48" s="153" t="s">
        <v>58</v>
      </c>
      <c r="C48" s="154"/>
      <c r="D48" s="154"/>
      <c r="E48" s="154"/>
      <c r="F48" s="154"/>
      <c r="G48" s="155"/>
      <c r="H48" s="156">
        <v>650000</v>
      </c>
      <c r="I48" s="156"/>
      <c r="J48" s="156"/>
      <c r="K48" s="157">
        <f>$H48*$K$13</f>
        <v>325000</v>
      </c>
      <c r="L48" s="158"/>
      <c r="M48" s="159"/>
      <c r="N48" s="160">
        <f>$H48*$K$14</f>
        <v>65000</v>
      </c>
      <c r="O48" s="161"/>
      <c r="P48" s="162"/>
      <c r="Q48" s="160">
        <f>$H48*$K$15</f>
        <v>65000</v>
      </c>
      <c r="R48" s="161"/>
      <c r="S48" s="162"/>
      <c r="T48" s="160">
        <f>$H48*$K$16</f>
        <v>0</v>
      </c>
      <c r="U48" s="161"/>
      <c r="V48" s="162"/>
      <c r="W48" s="160">
        <f>$H48*$K$17</f>
        <v>65000</v>
      </c>
      <c r="X48" s="161"/>
      <c r="Y48" s="162"/>
      <c r="Z48" s="160">
        <f>$H48*$K$18</f>
        <v>65000</v>
      </c>
      <c r="AA48" s="161"/>
      <c r="AB48" s="162"/>
      <c r="AC48" s="160">
        <f>$H48*$K$19</f>
        <v>0</v>
      </c>
      <c r="AD48" s="161"/>
      <c r="AE48" s="162"/>
      <c r="AF48" s="160">
        <f>$H48*$K$20</f>
        <v>65000</v>
      </c>
      <c r="AG48" s="161"/>
      <c r="AH48" s="162"/>
      <c r="AN48" s="48">
        <f>SUM(K48:AH48)</f>
        <v>650000</v>
      </c>
      <c r="AO48" s="49"/>
      <c r="AP48" s="50">
        <f>AN48/$AN$48</f>
        <v>1</v>
      </c>
      <c r="AQ48" s="51">
        <f>AP48-AP47</f>
        <v>0.24615384615384617</v>
      </c>
    </row>
    <row r="49" spans="2:43" s="5" customFormat="1" ht="20" customHeight="1" x14ac:dyDescent="0.2">
      <c r="B49" s="146" t="s">
        <v>13</v>
      </c>
      <c r="C49" s="147"/>
      <c r="D49" s="147"/>
      <c r="E49" s="147"/>
      <c r="F49" s="147"/>
      <c r="G49" s="148"/>
      <c r="H49" s="149">
        <v>810000</v>
      </c>
      <c r="I49" s="149"/>
      <c r="J49" s="149"/>
      <c r="K49" s="150">
        <f>$H49*$K$13</f>
        <v>405000</v>
      </c>
      <c r="L49" s="151"/>
      <c r="M49" s="152"/>
      <c r="N49" s="143">
        <f>$H49*$K$14</f>
        <v>81000</v>
      </c>
      <c r="O49" s="144"/>
      <c r="P49" s="145"/>
      <c r="Q49" s="143">
        <f>$H49*$K$15</f>
        <v>81000</v>
      </c>
      <c r="R49" s="144"/>
      <c r="S49" s="145"/>
      <c r="T49" s="143">
        <f>$H49*$K$16</f>
        <v>0</v>
      </c>
      <c r="U49" s="144"/>
      <c r="V49" s="145"/>
      <c r="W49" s="143">
        <f>$H49*$K$17</f>
        <v>81000</v>
      </c>
      <c r="X49" s="144"/>
      <c r="Y49" s="145"/>
      <c r="Z49" s="143">
        <f>$H49*$K$18</f>
        <v>81000</v>
      </c>
      <c r="AA49" s="144"/>
      <c r="AB49" s="145"/>
      <c r="AC49" s="143">
        <f>$H49*$K$19</f>
        <v>0</v>
      </c>
      <c r="AD49" s="144"/>
      <c r="AE49" s="145"/>
      <c r="AF49" s="143">
        <f>$H49*$K$20</f>
        <v>81000</v>
      </c>
      <c r="AG49" s="144"/>
      <c r="AH49" s="145"/>
      <c r="AN49" s="48">
        <f>SUM(K49:AH49)</f>
        <v>810000</v>
      </c>
      <c r="AO49" s="49"/>
      <c r="AP49" s="50">
        <f>AN49/$AN$48</f>
        <v>1.2461538461538462</v>
      </c>
      <c r="AQ49" s="51">
        <f>AP49-AP48</f>
        <v>0.24615384615384617</v>
      </c>
    </row>
    <row r="50" spans="2:43" ht="5" customHeight="1" x14ac:dyDescent="0.2"/>
    <row r="51" spans="2:43" x14ac:dyDescent="0.2">
      <c r="B51" s="52" t="s">
        <v>159</v>
      </c>
      <c r="AN51" s="53"/>
    </row>
  </sheetData>
  <mergeCells count="97">
    <mergeCell ref="B49:G49"/>
    <mergeCell ref="H49:J49"/>
    <mergeCell ref="K49:M49"/>
    <mergeCell ref="N49:P49"/>
    <mergeCell ref="Q49:S49"/>
    <mergeCell ref="T49:V49"/>
    <mergeCell ref="W49:Y49"/>
    <mergeCell ref="Z47:AB47"/>
    <mergeCell ref="AC47:AE47"/>
    <mergeCell ref="AF47:AH47"/>
    <mergeCell ref="T48:V48"/>
    <mergeCell ref="W48:Y48"/>
    <mergeCell ref="Z49:AB49"/>
    <mergeCell ref="AC49:AE49"/>
    <mergeCell ref="AF49:AH49"/>
    <mergeCell ref="Z48:AB48"/>
    <mergeCell ref="AC48:AE48"/>
    <mergeCell ref="AF48:AH48"/>
    <mergeCell ref="T47:V47"/>
    <mergeCell ref="W47:Y47"/>
    <mergeCell ref="B48:G48"/>
    <mergeCell ref="H48:J48"/>
    <mergeCell ref="K48:M48"/>
    <mergeCell ref="N48:P48"/>
    <mergeCell ref="Q48:S48"/>
    <mergeCell ref="B47:G47"/>
    <mergeCell ref="H47:J47"/>
    <mergeCell ref="K47:M47"/>
    <mergeCell ref="N47:P47"/>
    <mergeCell ref="Q47:S47"/>
    <mergeCell ref="Z45:AB45"/>
    <mergeCell ref="AC45:AE45"/>
    <mergeCell ref="AF45:AH45"/>
    <mergeCell ref="B46:G46"/>
    <mergeCell ref="H46:J46"/>
    <mergeCell ref="K46:M46"/>
    <mergeCell ref="N46:P46"/>
    <mergeCell ref="Q46:S46"/>
    <mergeCell ref="T46:V46"/>
    <mergeCell ref="W46:Y46"/>
    <mergeCell ref="Z46:AB46"/>
    <mergeCell ref="AC46:AE46"/>
    <mergeCell ref="AF46:AH46"/>
    <mergeCell ref="T45:V45"/>
    <mergeCell ref="W45:Y45"/>
    <mergeCell ref="B45:G45"/>
    <mergeCell ref="AF43:AH43"/>
    <mergeCell ref="Z44:AB44"/>
    <mergeCell ref="AC44:AE44"/>
    <mergeCell ref="AF44:AH44"/>
    <mergeCell ref="H45:J45"/>
    <mergeCell ref="K45:M45"/>
    <mergeCell ref="N45:P45"/>
    <mergeCell ref="Q45:S45"/>
    <mergeCell ref="W43:Y43"/>
    <mergeCell ref="Q43:S43"/>
    <mergeCell ref="T43:V43"/>
    <mergeCell ref="K44:M44"/>
    <mergeCell ref="N44:P44"/>
    <mergeCell ref="Q44:S44"/>
    <mergeCell ref="T44:V44"/>
    <mergeCell ref="W44:Y44"/>
    <mergeCell ref="Z43:AB43"/>
    <mergeCell ref="AC43:AE43"/>
    <mergeCell ref="K21:N21"/>
    <mergeCell ref="B43:G43"/>
    <mergeCell ref="H43:J43"/>
    <mergeCell ref="K43:M43"/>
    <mergeCell ref="N43:P43"/>
    <mergeCell ref="V17:AF20"/>
    <mergeCell ref="C18:J18"/>
    <mergeCell ref="K18:N18"/>
    <mergeCell ref="C19:J19"/>
    <mergeCell ref="K19:N19"/>
    <mergeCell ref="C20:J20"/>
    <mergeCell ref="K20:N20"/>
    <mergeCell ref="B10:B11"/>
    <mergeCell ref="C10:J11"/>
    <mergeCell ref="O10:U11"/>
    <mergeCell ref="V10:AF11"/>
    <mergeCell ref="C13:J13"/>
    <mergeCell ref="K13:N13"/>
    <mergeCell ref="O13:U20"/>
    <mergeCell ref="V13:AF16"/>
    <mergeCell ref="C14:J14"/>
    <mergeCell ref="K14:N14"/>
    <mergeCell ref="C15:J15"/>
    <mergeCell ref="K15:N15"/>
    <mergeCell ref="C16:J16"/>
    <mergeCell ref="K16:N16"/>
    <mergeCell ref="C17:J17"/>
    <mergeCell ref="K17:N17"/>
    <mergeCell ref="C12:J12"/>
    <mergeCell ref="O12:U12"/>
    <mergeCell ref="V12:AF12"/>
    <mergeCell ref="K12:N12"/>
    <mergeCell ref="K9:N11"/>
  </mergeCells>
  <pageMargins left="0.25" right="0.25" top="0.25" bottom="0.25" header="0.2" footer="0.15"/>
  <pageSetup scale="85" orientation="landscape" r:id="rId1"/>
  <rowBreaks count="1" manualBreakCount="1">
    <brk id="2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05AC-0B0B-4EBA-8949-29C77FD8C809}">
  <sheetPr>
    <tabColor theme="7"/>
  </sheetPr>
  <dimension ref="B1:AK49"/>
  <sheetViews>
    <sheetView showGridLines="0" topLeftCell="A37" zoomScale="80" zoomScaleNormal="80" workbookViewId="0">
      <selection activeCell="Q6" sqref="Q6"/>
    </sheetView>
  </sheetViews>
  <sheetFormatPr baseColWidth="10" defaultColWidth="8.83203125" defaultRowHeight="15" x14ac:dyDescent="0.2"/>
  <cols>
    <col min="1" max="1" width="1.6640625" customWidth="1"/>
    <col min="2" max="34" width="4.6640625" customWidth="1"/>
    <col min="35" max="36" width="1.6640625" customWidth="1"/>
    <col min="37" max="72" width="4.6640625" customWidth="1"/>
  </cols>
  <sheetData>
    <row r="1" spans="2:32" x14ac:dyDescent="0.2">
      <c r="B1" s="24" t="s">
        <v>392</v>
      </c>
    </row>
    <row r="2" spans="2:32" ht="21" x14ac:dyDescent="0.25">
      <c r="B2" s="7" t="s">
        <v>52</v>
      </c>
    </row>
    <row r="3" spans="2:32" x14ac:dyDescent="0.2">
      <c r="B3" s="15" t="s">
        <v>51</v>
      </c>
    </row>
    <row r="4" spans="2:32" ht="14.5" customHeight="1" x14ac:dyDescent="0.25">
      <c r="H4" s="19"/>
      <c r="I4" s="19"/>
      <c r="J4" s="19"/>
      <c r="K4" s="19"/>
      <c r="L4" s="19"/>
      <c r="M4" s="19"/>
      <c r="N4" s="19"/>
    </row>
    <row r="5" spans="2:32" ht="18" customHeight="1" x14ac:dyDescent="0.25">
      <c r="B5" s="22" t="s">
        <v>167</v>
      </c>
      <c r="E5" s="6"/>
      <c r="H5" s="19"/>
      <c r="I5" s="19"/>
      <c r="J5" s="19"/>
      <c r="K5" s="19"/>
      <c r="L5" s="19"/>
      <c r="M5" s="19"/>
      <c r="N5" s="19"/>
    </row>
    <row r="6" spans="2:32" x14ac:dyDescent="0.2">
      <c r="B6" s="21" t="s">
        <v>50</v>
      </c>
      <c r="E6" s="6"/>
      <c r="H6" s="6"/>
    </row>
    <row r="7" spans="2:32" ht="5" customHeight="1" x14ac:dyDescent="0.2">
      <c r="B7" s="2"/>
      <c r="E7" s="6"/>
      <c r="G7" s="6"/>
    </row>
    <row r="8" spans="2:32" x14ac:dyDescent="0.2">
      <c r="B8" s="2" t="s">
        <v>168</v>
      </c>
    </row>
    <row r="9" spans="2:32" ht="5" customHeight="1" x14ac:dyDescent="0.2">
      <c r="K9" s="352" t="s">
        <v>9</v>
      </c>
      <c r="L9" s="353"/>
      <c r="M9" s="353"/>
      <c r="N9" s="354"/>
    </row>
    <row r="10" spans="2:32" ht="20" customHeight="1" x14ac:dyDescent="0.2">
      <c r="B10" s="185" t="s">
        <v>11</v>
      </c>
      <c r="C10" s="187" t="s">
        <v>10</v>
      </c>
      <c r="D10" s="188"/>
      <c r="E10" s="188"/>
      <c r="F10" s="188"/>
      <c r="G10" s="188"/>
      <c r="H10" s="188"/>
      <c r="I10" s="188"/>
      <c r="J10" s="188"/>
      <c r="K10" s="355"/>
      <c r="L10" s="356"/>
      <c r="M10" s="356"/>
      <c r="N10" s="357"/>
      <c r="O10" s="165" t="s">
        <v>8</v>
      </c>
      <c r="P10" s="185"/>
      <c r="Q10" s="185"/>
      <c r="R10" s="185"/>
      <c r="S10" s="185"/>
      <c r="T10" s="185"/>
      <c r="U10" s="185"/>
      <c r="V10" s="187" t="s">
        <v>7</v>
      </c>
      <c r="W10" s="188"/>
      <c r="X10" s="188"/>
      <c r="Y10" s="188"/>
      <c r="Z10" s="188"/>
      <c r="AA10" s="188"/>
      <c r="AB10" s="188"/>
      <c r="AC10" s="188"/>
      <c r="AD10" s="188"/>
      <c r="AE10" s="188"/>
      <c r="AF10" s="189"/>
    </row>
    <row r="11" spans="2:32" ht="20" customHeight="1" x14ac:dyDescent="0.2">
      <c r="B11" s="185"/>
      <c r="C11" s="190"/>
      <c r="D11" s="191"/>
      <c r="E11" s="191"/>
      <c r="F11" s="191"/>
      <c r="G11" s="191"/>
      <c r="H11" s="191"/>
      <c r="I11" s="191"/>
      <c r="J11" s="191"/>
      <c r="K11" s="358"/>
      <c r="L11" s="359"/>
      <c r="M11" s="359"/>
      <c r="N11" s="360"/>
      <c r="O11" s="165"/>
      <c r="P11" s="185"/>
      <c r="Q11" s="185"/>
      <c r="R11" s="185"/>
      <c r="S11" s="185"/>
      <c r="T11" s="185"/>
      <c r="U11" s="185"/>
      <c r="V11" s="190"/>
      <c r="W11" s="191"/>
      <c r="X11" s="191"/>
      <c r="Y11" s="191"/>
      <c r="Z11" s="191"/>
      <c r="AA11" s="191"/>
      <c r="AB11" s="191"/>
      <c r="AC11" s="191"/>
      <c r="AD11" s="191"/>
      <c r="AE11" s="191"/>
      <c r="AF11" s="192"/>
    </row>
    <row r="12" spans="2:32" ht="5" customHeight="1" x14ac:dyDescent="0.2">
      <c r="B12" s="1"/>
      <c r="C12" s="166"/>
      <c r="D12" s="167"/>
      <c r="E12" s="167"/>
      <c r="F12" s="167"/>
      <c r="G12" s="167"/>
      <c r="H12" s="167"/>
      <c r="I12" s="167"/>
      <c r="J12" s="167"/>
      <c r="K12" s="349"/>
      <c r="L12" s="350"/>
      <c r="M12" s="350"/>
      <c r="N12" s="351"/>
      <c r="O12" s="202"/>
      <c r="P12" s="193"/>
      <c r="Q12" s="193"/>
      <c r="R12" s="193"/>
      <c r="S12" s="193"/>
      <c r="T12" s="193"/>
      <c r="U12" s="193"/>
      <c r="V12" s="166"/>
      <c r="W12" s="167"/>
      <c r="X12" s="167"/>
      <c r="Y12" s="167"/>
      <c r="Z12" s="167"/>
      <c r="AA12" s="167"/>
      <c r="AB12" s="167"/>
      <c r="AC12" s="167"/>
      <c r="AD12" s="167"/>
      <c r="AE12" s="167"/>
      <c r="AF12" s="168"/>
    </row>
    <row r="13" spans="2:32" ht="14.5" customHeight="1" x14ac:dyDescent="0.2">
      <c r="B13" s="1">
        <v>1</v>
      </c>
      <c r="C13" s="200" t="s">
        <v>6</v>
      </c>
      <c r="D13" s="201"/>
      <c r="E13" s="201"/>
      <c r="F13" s="201"/>
      <c r="G13" s="201"/>
      <c r="H13" s="201"/>
      <c r="I13" s="201"/>
      <c r="J13" s="201"/>
      <c r="K13" s="361">
        <v>0.4</v>
      </c>
      <c r="L13" s="362"/>
      <c r="M13" s="362"/>
      <c r="N13" s="363"/>
      <c r="O13" s="177" t="s">
        <v>12</v>
      </c>
      <c r="P13" s="177"/>
      <c r="Q13" s="177"/>
      <c r="R13" s="177"/>
      <c r="S13" s="177"/>
      <c r="T13" s="177"/>
      <c r="U13" s="178"/>
      <c r="V13" s="177" t="s">
        <v>54</v>
      </c>
      <c r="W13" s="177"/>
      <c r="X13" s="177"/>
      <c r="Y13" s="177"/>
      <c r="Z13" s="177"/>
      <c r="AA13" s="177"/>
      <c r="AB13" s="177"/>
      <c r="AC13" s="177"/>
      <c r="AD13" s="177"/>
      <c r="AE13" s="177"/>
      <c r="AF13" s="178"/>
    </row>
    <row r="14" spans="2:32" x14ac:dyDescent="0.2">
      <c r="B14" s="1">
        <v>2</v>
      </c>
      <c r="C14" s="200" t="s">
        <v>169</v>
      </c>
      <c r="D14" s="201"/>
      <c r="E14" s="201"/>
      <c r="F14" s="201"/>
      <c r="G14" s="201"/>
      <c r="H14" s="201"/>
      <c r="I14" s="201"/>
      <c r="J14" s="201"/>
      <c r="K14" s="361">
        <v>0.1</v>
      </c>
      <c r="L14" s="362"/>
      <c r="M14" s="362"/>
      <c r="N14" s="363"/>
      <c r="O14" s="180"/>
      <c r="P14" s="180"/>
      <c r="Q14" s="180"/>
      <c r="R14" s="180"/>
      <c r="S14" s="180"/>
      <c r="T14" s="180"/>
      <c r="U14" s="181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1"/>
    </row>
    <row r="15" spans="2:32" x14ac:dyDescent="0.2">
      <c r="B15" s="1">
        <v>3</v>
      </c>
      <c r="C15" s="200" t="s">
        <v>170</v>
      </c>
      <c r="D15" s="201"/>
      <c r="E15" s="201"/>
      <c r="F15" s="201"/>
      <c r="G15" s="201"/>
      <c r="H15" s="201"/>
      <c r="I15" s="201"/>
      <c r="J15" s="201"/>
      <c r="K15" s="361">
        <v>0.1</v>
      </c>
      <c r="L15" s="362"/>
      <c r="M15" s="362"/>
      <c r="N15" s="363"/>
      <c r="O15" s="180"/>
      <c r="P15" s="180"/>
      <c r="Q15" s="180"/>
      <c r="R15" s="180"/>
      <c r="S15" s="180"/>
      <c r="T15" s="180"/>
      <c r="U15" s="181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1"/>
    </row>
    <row r="16" spans="2:32" x14ac:dyDescent="0.2">
      <c r="B16" s="1">
        <v>4</v>
      </c>
      <c r="C16" s="200" t="s">
        <v>53</v>
      </c>
      <c r="D16" s="201"/>
      <c r="E16" s="201"/>
      <c r="F16" s="201"/>
      <c r="G16" s="201"/>
      <c r="H16" s="201"/>
      <c r="I16" s="201"/>
      <c r="J16" s="201"/>
      <c r="K16" s="361"/>
      <c r="L16" s="362"/>
      <c r="M16" s="362"/>
      <c r="N16" s="363"/>
      <c r="O16" s="180"/>
      <c r="P16" s="180"/>
      <c r="Q16" s="180"/>
      <c r="R16" s="180"/>
      <c r="S16" s="180"/>
      <c r="T16" s="180"/>
      <c r="U16" s="181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4"/>
    </row>
    <row r="17" spans="2:32" x14ac:dyDescent="0.2">
      <c r="B17" s="1">
        <v>5</v>
      </c>
      <c r="C17" s="200" t="s">
        <v>4</v>
      </c>
      <c r="D17" s="201"/>
      <c r="E17" s="201"/>
      <c r="F17" s="201"/>
      <c r="G17" s="201"/>
      <c r="H17" s="201"/>
      <c r="I17" s="201"/>
      <c r="J17" s="201"/>
      <c r="K17" s="361"/>
      <c r="L17" s="362"/>
      <c r="M17" s="362"/>
      <c r="N17" s="363"/>
      <c r="O17" s="180"/>
      <c r="P17" s="180"/>
      <c r="Q17" s="180"/>
      <c r="R17" s="180"/>
      <c r="S17" s="180"/>
      <c r="T17" s="180"/>
      <c r="U17" s="181"/>
      <c r="V17" s="177" t="s">
        <v>2</v>
      </c>
      <c r="W17" s="177"/>
      <c r="X17" s="177"/>
      <c r="Y17" s="177"/>
      <c r="Z17" s="177"/>
      <c r="AA17" s="177"/>
      <c r="AB17" s="177"/>
      <c r="AC17" s="177"/>
      <c r="AD17" s="177"/>
      <c r="AE17" s="177"/>
      <c r="AF17" s="178"/>
    </row>
    <row r="18" spans="2:32" ht="14.5" customHeight="1" x14ac:dyDescent="0.2">
      <c r="B18" s="1">
        <v>6</v>
      </c>
      <c r="C18" s="200" t="s">
        <v>3</v>
      </c>
      <c r="D18" s="201"/>
      <c r="E18" s="201"/>
      <c r="F18" s="201"/>
      <c r="G18" s="201"/>
      <c r="H18" s="201"/>
      <c r="I18" s="201"/>
      <c r="J18" s="201"/>
      <c r="K18" s="361">
        <v>0.2</v>
      </c>
      <c r="L18" s="362"/>
      <c r="M18" s="362"/>
      <c r="N18" s="363"/>
      <c r="O18" s="180"/>
      <c r="P18" s="180"/>
      <c r="Q18" s="180"/>
      <c r="R18" s="180"/>
      <c r="S18" s="180"/>
      <c r="T18" s="180"/>
      <c r="U18" s="181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1"/>
    </row>
    <row r="19" spans="2:32" x14ac:dyDescent="0.2">
      <c r="B19" s="1">
        <v>7</v>
      </c>
      <c r="C19" s="200" t="s">
        <v>1</v>
      </c>
      <c r="D19" s="201"/>
      <c r="E19" s="201"/>
      <c r="F19" s="201"/>
      <c r="G19" s="201"/>
      <c r="H19" s="201"/>
      <c r="I19" s="201"/>
      <c r="J19" s="201"/>
      <c r="K19" s="361">
        <v>0.2</v>
      </c>
      <c r="L19" s="362"/>
      <c r="M19" s="362"/>
      <c r="N19" s="363"/>
      <c r="O19" s="180"/>
      <c r="P19" s="180"/>
      <c r="Q19" s="180"/>
      <c r="R19" s="180"/>
      <c r="S19" s="180"/>
      <c r="T19" s="180"/>
      <c r="U19" s="181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1"/>
    </row>
    <row r="20" spans="2:32" x14ac:dyDescent="0.2">
      <c r="B20" s="1">
        <v>8</v>
      </c>
      <c r="C20" s="200" t="s">
        <v>0</v>
      </c>
      <c r="D20" s="201"/>
      <c r="E20" s="201"/>
      <c r="F20" s="201"/>
      <c r="G20" s="201"/>
      <c r="H20" s="201"/>
      <c r="I20" s="201"/>
      <c r="J20" s="201"/>
      <c r="K20" s="361"/>
      <c r="L20" s="362"/>
      <c r="M20" s="362"/>
      <c r="N20" s="363"/>
      <c r="O20" s="183"/>
      <c r="P20" s="183"/>
      <c r="Q20" s="183"/>
      <c r="R20" s="183"/>
      <c r="S20" s="183"/>
      <c r="T20" s="183"/>
      <c r="U20" s="184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4"/>
    </row>
    <row r="21" spans="2:32" x14ac:dyDescent="0.2">
      <c r="K21" s="364">
        <f>SUM(K13:L20)</f>
        <v>1</v>
      </c>
      <c r="L21" s="365"/>
      <c r="M21" s="365"/>
      <c r="N21" s="366"/>
    </row>
    <row r="23" spans="2:32" ht="14.5" customHeight="1" x14ac:dyDescent="0.2"/>
    <row r="24" spans="2:32" ht="14.5" customHeight="1" x14ac:dyDescent="0.2">
      <c r="B24" s="5" t="s">
        <v>77</v>
      </c>
    </row>
    <row r="25" spans="2:32" x14ac:dyDescent="0.2">
      <c r="B25" s="30" t="s">
        <v>142</v>
      </c>
    </row>
    <row r="26" spans="2:32" x14ac:dyDescent="0.2">
      <c r="B26" s="30" t="s">
        <v>100</v>
      </c>
      <c r="H26" s="6" t="s">
        <v>140</v>
      </c>
    </row>
    <row r="27" spans="2:32" x14ac:dyDescent="0.2">
      <c r="B27" s="30" t="s">
        <v>171</v>
      </c>
      <c r="H27" s="6" t="s">
        <v>172</v>
      </c>
    </row>
    <row r="28" spans="2:32" x14ac:dyDescent="0.2">
      <c r="B28" s="30" t="s">
        <v>173</v>
      </c>
      <c r="H28" s="6" t="s">
        <v>174</v>
      </c>
    </row>
    <row r="29" spans="2:32" x14ac:dyDescent="0.2">
      <c r="B29" s="30" t="s">
        <v>99</v>
      </c>
      <c r="H29" s="6" t="s">
        <v>143</v>
      </c>
    </row>
    <row r="30" spans="2:32" x14ac:dyDescent="0.2">
      <c r="B30" s="30" t="s">
        <v>101</v>
      </c>
      <c r="H30" s="6" t="s">
        <v>144</v>
      </c>
    </row>
    <row r="31" spans="2:32" x14ac:dyDescent="0.2">
      <c r="B31" s="30"/>
      <c r="H31" s="6" t="s">
        <v>139</v>
      </c>
    </row>
    <row r="32" spans="2:32" x14ac:dyDescent="0.2">
      <c r="B32" s="30" t="s">
        <v>92</v>
      </c>
      <c r="H32" s="6" t="s">
        <v>145</v>
      </c>
    </row>
    <row r="33" spans="2:37" x14ac:dyDescent="0.2">
      <c r="B33" s="30"/>
      <c r="H33" s="6" t="s">
        <v>146</v>
      </c>
    </row>
    <row r="34" spans="2:37" x14ac:dyDescent="0.2">
      <c r="B34" s="30" t="s">
        <v>93</v>
      </c>
      <c r="H34" s="6" t="s">
        <v>147</v>
      </c>
    </row>
    <row r="35" spans="2:37" x14ac:dyDescent="0.2">
      <c r="B35" s="30" t="s">
        <v>89</v>
      </c>
      <c r="H35" s="6" t="s">
        <v>148</v>
      </c>
    </row>
    <row r="36" spans="2:37" x14ac:dyDescent="0.2">
      <c r="B36" s="5"/>
    </row>
    <row r="37" spans="2:37" x14ac:dyDescent="0.2">
      <c r="B37" s="5"/>
    </row>
    <row r="38" spans="2:37" x14ac:dyDescent="0.2">
      <c r="B38" s="5"/>
    </row>
    <row r="39" spans="2:37" x14ac:dyDescent="0.2">
      <c r="B39" s="2" t="s">
        <v>175</v>
      </c>
    </row>
    <row r="40" spans="2:37" ht="5" customHeight="1" x14ac:dyDescent="0.2"/>
    <row r="42" spans="2:37" ht="20" customHeight="1" x14ac:dyDescent="0.2">
      <c r="B42" s="14"/>
      <c r="H42" s="6"/>
      <c r="J42" s="6"/>
      <c r="K42" s="8"/>
      <c r="L42" s="8"/>
      <c r="M42" s="8"/>
      <c r="N42" s="8"/>
      <c r="O42" s="8"/>
      <c r="P42" s="8"/>
      <c r="Q42" s="8"/>
      <c r="R42" s="8"/>
      <c r="S42" s="8"/>
      <c r="T42" s="8"/>
      <c r="U42" s="10" t="s">
        <v>10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2:37" s="5" customFormat="1" ht="25" customHeight="1" x14ac:dyDescent="0.2">
      <c r="B43" s="170" t="s">
        <v>20</v>
      </c>
      <c r="C43" s="170"/>
      <c r="D43" s="170"/>
      <c r="E43" s="170"/>
      <c r="F43" s="170"/>
      <c r="G43" s="171"/>
      <c r="H43" s="172" t="s">
        <v>19</v>
      </c>
      <c r="I43" s="173"/>
      <c r="J43" s="174"/>
      <c r="K43" s="163" t="s">
        <v>18</v>
      </c>
      <c r="L43" s="164"/>
      <c r="M43" s="165"/>
      <c r="N43" s="163" t="s">
        <v>176</v>
      </c>
      <c r="O43" s="164"/>
      <c r="P43" s="165"/>
      <c r="Q43" s="163" t="s">
        <v>177</v>
      </c>
      <c r="R43" s="164"/>
      <c r="S43" s="165"/>
      <c r="T43" s="163" t="s">
        <v>17</v>
      </c>
      <c r="U43" s="164"/>
      <c r="V43" s="165"/>
      <c r="W43" s="163" t="s">
        <v>16</v>
      </c>
      <c r="X43" s="164"/>
      <c r="Y43" s="165"/>
      <c r="Z43" s="163" t="s">
        <v>47</v>
      </c>
      <c r="AA43" s="164"/>
      <c r="AB43" s="165"/>
      <c r="AC43" s="163" t="s">
        <v>15</v>
      </c>
      <c r="AD43" s="164"/>
      <c r="AE43" s="165"/>
      <c r="AF43" s="163" t="s">
        <v>14</v>
      </c>
      <c r="AG43" s="164"/>
      <c r="AH43" s="164"/>
      <c r="AI43"/>
      <c r="AJ43"/>
      <c r="AK43"/>
    </row>
    <row r="44" spans="2:37" ht="5" customHeight="1" x14ac:dyDescent="0.2">
      <c r="B44" s="4"/>
      <c r="C44" s="3"/>
      <c r="D44" s="3"/>
      <c r="E44" s="3"/>
      <c r="F44" s="3"/>
      <c r="G44" s="3"/>
      <c r="H44" s="3"/>
      <c r="I44" s="3"/>
      <c r="J44" s="3"/>
      <c r="K44" s="166"/>
      <c r="L44" s="167"/>
      <c r="M44" s="168"/>
      <c r="N44" s="166"/>
      <c r="O44" s="167"/>
      <c r="P44" s="168"/>
      <c r="Q44" s="166"/>
      <c r="R44" s="167"/>
      <c r="S44" s="168"/>
      <c r="T44" s="166"/>
      <c r="U44" s="167"/>
      <c r="V44" s="168"/>
      <c r="W44" s="166"/>
      <c r="X44" s="167"/>
      <c r="Y44" s="168"/>
      <c r="Z44" s="166"/>
      <c r="AA44" s="167"/>
      <c r="AB44" s="168"/>
      <c r="AC44" s="166"/>
      <c r="AD44" s="167"/>
      <c r="AE44" s="168"/>
      <c r="AF44" s="166"/>
      <c r="AG44" s="167"/>
      <c r="AH44" s="168"/>
    </row>
    <row r="45" spans="2:37" s="5" customFormat="1" ht="20" customHeight="1" x14ac:dyDescent="0.2">
      <c r="B45" s="146" t="s">
        <v>55</v>
      </c>
      <c r="C45" s="147"/>
      <c r="D45" s="147"/>
      <c r="E45" s="147"/>
      <c r="F45" s="147"/>
      <c r="G45" s="148"/>
      <c r="H45" s="149">
        <v>160000</v>
      </c>
      <c r="I45" s="149"/>
      <c r="J45" s="149"/>
      <c r="K45" s="150">
        <f>$H45*$K$13</f>
        <v>64000</v>
      </c>
      <c r="L45" s="151"/>
      <c r="M45" s="152"/>
      <c r="N45" s="143">
        <f>$H45*$K$14</f>
        <v>16000</v>
      </c>
      <c r="O45" s="144"/>
      <c r="P45" s="145"/>
      <c r="Q45" s="143">
        <f>$H45*$K$15</f>
        <v>16000</v>
      </c>
      <c r="R45" s="144"/>
      <c r="S45" s="145"/>
      <c r="T45" s="143">
        <f>$H45*$K$16</f>
        <v>0</v>
      </c>
      <c r="U45" s="144"/>
      <c r="V45" s="145"/>
      <c r="W45" s="143">
        <f>$H45*$K$17</f>
        <v>0</v>
      </c>
      <c r="X45" s="144"/>
      <c r="Y45" s="145"/>
      <c r="Z45" s="143">
        <f>$H45*$K$18</f>
        <v>32000</v>
      </c>
      <c r="AA45" s="144"/>
      <c r="AB45" s="145"/>
      <c r="AC45" s="143">
        <f>$H45*$K$19</f>
        <v>32000</v>
      </c>
      <c r="AD45" s="144"/>
      <c r="AE45" s="145"/>
      <c r="AF45" s="143">
        <f>$H45*$K$20</f>
        <v>0</v>
      </c>
      <c r="AG45" s="144"/>
      <c r="AH45" s="145"/>
    </row>
    <row r="46" spans="2:37" s="5" customFormat="1" ht="20" customHeight="1" x14ac:dyDescent="0.2">
      <c r="B46" s="146" t="s">
        <v>56</v>
      </c>
      <c r="C46" s="147"/>
      <c r="D46" s="147"/>
      <c r="E46" s="147"/>
      <c r="F46" s="147"/>
      <c r="G46" s="148"/>
      <c r="H46" s="149">
        <v>325000</v>
      </c>
      <c r="I46" s="149"/>
      <c r="J46" s="149"/>
      <c r="K46" s="150">
        <f>$H46*$K$13</f>
        <v>130000</v>
      </c>
      <c r="L46" s="151"/>
      <c r="M46" s="152"/>
      <c r="N46" s="143">
        <f>$H46*$K$14</f>
        <v>32500</v>
      </c>
      <c r="O46" s="144"/>
      <c r="P46" s="145"/>
      <c r="Q46" s="143">
        <f>$H46*$K$15</f>
        <v>32500</v>
      </c>
      <c r="R46" s="144"/>
      <c r="S46" s="145"/>
      <c r="T46" s="143">
        <f>$H46*$K$16</f>
        <v>0</v>
      </c>
      <c r="U46" s="144"/>
      <c r="V46" s="145"/>
      <c r="W46" s="143">
        <f>$H46*$K$17</f>
        <v>0</v>
      </c>
      <c r="X46" s="144"/>
      <c r="Y46" s="145"/>
      <c r="Z46" s="143">
        <f>$H46*$K$18</f>
        <v>65000</v>
      </c>
      <c r="AA46" s="144"/>
      <c r="AB46" s="145"/>
      <c r="AC46" s="143">
        <f>$H46*$K$19</f>
        <v>65000</v>
      </c>
      <c r="AD46" s="144"/>
      <c r="AE46" s="145"/>
      <c r="AF46" s="143">
        <f>$H46*$K$20</f>
        <v>0</v>
      </c>
      <c r="AG46" s="144"/>
      <c r="AH46" s="145"/>
    </row>
    <row r="47" spans="2:37" s="5" customFormat="1" ht="20" customHeight="1" x14ac:dyDescent="0.2">
      <c r="B47" s="146" t="s">
        <v>57</v>
      </c>
      <c r="C47" s="147"/>
      <c r="D47" s="147"/>
      <c r="E47" s="147"/>
      <c r="F47" s="147"/>
      <c r="G47" s="148"/>
      <c r="H47" s="149">
        <v>490000</v>
      </c>
      <c r="I47" s="149"/>
      <c r="J47" s="149"/>
      <c r="K47" s="150">
        <f>$H47*$K$13</f>
        <v>196000</v>
      </c>
      <c r="L47" s="151"/>
      <c r="M47" s="152"/>
      <c r="N47" s="143">
        <f>$H47*$K$14</f>
        <v>49000</v>
      </c>
      <c r="O47" s="144"/>
      <c r="P47" s="145"/>
      <c r="Q47" s="143">
        <f>$H47*$K$15</f>
        <v>49000</v>
      </c>
      <c r="R47" s="144"/>
      <c r="S47" s="145"/>
      <c r="T47" s="143">
        <f>$H47*$K$16</f>
        <v>0</v>
      </c>
      <c r="U47" s="144"/>
      <c r="V47" s="145"/>
      <c r="W47" s="143">
        <f>$H47*$K$17</f>
        <v>0</v>
      </c>
      <c r="X47" s="144"/>
      <c r="Y47" s="145"/>
      <c r="Z47" s="143">
        <f>$H47*$K$18</f>
        <v>98000</v>
      </c>
      <c r="AA47" s="144"/>
      <c r="AB47" s="145"/>
      <c r="AC47" s="143">
        <f>$H47*$K$19</f>
        <v>98000</v>
      </c>
      <c r="AD47" s="144"/>
      <c r="AE47" s="145"/>
      <c r="AF47" s="143">
        <f>$H47*$K$20</f>
        <v>0</v>
      </c>
      <c r="AG47" s="144"/>
      <c r="AH47" s="145"/>
    </row>
    <row r="48" spans="2:37" s="5" customFormat="1" ht="20" customHeight="1" x14ac:dyDescent="0.2">
      <c r="B48" s="153" t="s">
        <v>58</v>
      </c>
      <c r="C48" s="154"/>
      <c r="D48" s="154"/>
      <c r="E48" s="154"/>
      <c r="F48" s="154"/>
      <c r="G48" s="155"/>
      <c r="H48" s="156">
        <v>650000</v>
      </c>
      <c r="I48" s="156"/>
      <c r="J48" s="156"/>
      <c r="K48" s="157">
        <f>$H48*$K$13</f>
        <v>260000</v>
      </c>
      <c r="L48" s="158"/>
      <c r="M48" s="159"/>
      <c r="N48" s="160">
        <f>$H48*$K$14</f>
        <v>65000</v>
      </c>
      <c r="O48" s="161"/>
      <c r="P48" s="162"/>
      <c r="Q48" s="160">
        <f>$H48*$K$15</f>
        <v>65000</v>
      </c>
      <c r="R48" s="161"/>
      <c r="S48" s="162"/>
      <c r="T48" s="160">
        <f>$H48*$K$16</f>
        <v>0</v>
      </c>
      <c r="U48" s="161"/>
      <c r="V48" s="162"/>
      <c r="W48" s="160">
        <f>$H48*$K$17</f>
        <v>0</v>
      </c>
      <c r="X48" s="161"/>
      <c r="Y48" s="162"/>
      <c r="Z48" s="160">
        <f>$H48*$K$18</f>
        <v>130000</v>
      </c>
      <c r="AA48" s="161"/>
      <c r="AB48" s="162"/>
      <c r="AC48" s="160">
        <f>$H48*$K$19</f>
        <v>130000</v>
      </c>
      <c r="AD48" s="161"/>
      <c r="AE48" s="162"/>
      <c r="AF48" s="160">
        <f>$H48*$K$20</f>
        <v>0</v>
      </c>
      <c r="AG48" s="161"/>
      <c r="AH48" s="162"/>
    </row>
    <row r="49" spans="2:34" s="5" customFormat="1" ht="20" customHeight="1" x14ac:dyDescent="0.2">
      <c r="B49" s="146" t="s">
        <v>13</v>
      </c>
      <c r="C49" s="147"/>
      <c r="D49" s="147"/>
      <c r="E49" s="147"/>
      <c r="F49" s="147"/>
      <c r="G49" s="148"/>
      <c r="H49" s="149">
        <v>810000</v>
      </c>
      <c r="I49" s="149"/>
      <c r="J49" s="149"/>
      <c r="K49" s="150">
        <f>$H49*$K$13</f>
        <v>324000</v>
      </c>
      <c r="L49" s="151"/>
      <c r="M49" s="152"/>
      <c r="N49" s="143">
        <f>$H49*$K$14</f>
        <v>81000</v>
      </c>
      <c r="O49" s="144"/>
      <c r="P49" s="145"/>
      <c r="Q49" s="143">
        <f>$H49*$K$15</f>
        <v>81000</v>
      </c>
      <c r="R49" s="144"/>
      <c r="S49" s="145"/>
      <c r="T49" s="143">
        <f>$H49*$K$16</f>
        <v>0</v>
      </c>
      <c r="U49" s="144"/>
      <c r="V49" s="145"/>
      <c r="W49" s="143">
        <f>$H49*$K$17</f>
        <v>0</v>
      </c>
      <c r="X49" s="144"/>
      <c r="Y49" s="145"/>
      <c r="Z49" s="143">
        <f>$H49*$K$18</f>
        <v>162000</v>
      </c>
      <c r="AA49" s="144"/>
      <c r="AB49" s="145"/>
      <c r="AC49" s="143">
        <f>$H49*$K$19</f>
        <v>162000</v>
      </c>
      <c r="AD49" s="144"/>
      <c r="AE49" s="145"/>
      <c r="AF49" s="143">
        <f>$H49*$K$20</f>
        <v>0</v>
      </c>
      <c r="AG49" s="144"/>
      <c r="AH49" s="145"/>
    </row>
  </sheetData>
  <mergeCells count="97">
    <mergeCell ref="B49:G49"/>
    <mergeCell ref="H49:J49"/>
    <mergeCell ref="K49:M49"/>
    <mergeCell ref="N49:P49"/>
    <mergeCell ref="Q49:S49"/>
    <mergeCell ref="T49:V49"/>
    <mergeCell ref="W49:Y49"/>
    <mergeCell ref="Z47:AB47"/>
    <mergeCell ref="AC47:AE47"/>
    <mergeCell ref="AF47:AH47"/>
    <mergeCell ref="T48:V48"/>
    <mergeCell ref="W48:Y48"/>
    <mergeCell ref="Z49:AB49"/>
    <mergeCell ref="AC49:AE49"/>
    <mergeCell ref="AF49:AH49"/>
    <mergeCell ref="Z48:AB48"/>
    <mergeCell ref="AC48:AE48"/>
    <mergeCell ref="AF48:AH48"/>
    <mergeCell ref="T47:V47"/>
    <mergeCell ref="W47:Y47"/>
    <mergeCell ref="B48:G48"/>
    <mergeCell ref="H48:J48"/>
    <mergeCell ref="K48:M48"/>
    <mergeCell ref="N48:P48"/>
    <mergeCell ref="Q48:S48"/>
    <mergeCell ref="B47:G47"/>
    <mergeCell ref="H47:J47"/>
    <mergeCell ref="K47:M47"/>
    <mergeCell ref="N47:P47"/>
    <mergeCell ref="Q47:S47"/>
    <mergeCell ref="Z45:AB45"/>
    <mergeCell ref="AC45:AE45"/>
    <mergeCell ref="AF45:AH45"/>
    <mergeCell ref="B46:G46"/>
    <mergeCell ref="H46:J46"/>
    <mergeCell ref="K46:M46"/>
    <mergeCell ref="N46:P46"/>
    <mergeCell ref="Q46:S46"/>
    <mergeCell ref="T46:V46"/>
    <mergeCell ref="W46:Y46"/>
    <mergeCell ref="Z46:AB46"/>
    <mergeCell ref="AC46:AE46"/>
    <mergeCell ref="AF46:AH46"/>
    <mergeCell ref="T45:V45"/>
    <mergeCell ref="W45:Y45"/>
    <mergeCell ref="B45:G45"/>
    <mergeCell ref="AF43:AH43"/>
    <mergeCell ref="Z44:AB44"/>
    <mergeCell ref="AC44:AE44"/>
    <mergeCell ref="AF44:AH44"/>
    <mergeCell ref="H45:J45"/>
    <mergeCell ref="K45:M45"/>
    <mergeCell ref="N45:P45"/>
    <mergeCell ref="Q45:S45"/>
    <mergeCell ref="W43:Y43"/>
    <mergeCell ref="Q43:S43"/>
    <mergeCell ref="T43:V43"/>
    <mergeCell ref="K44:M44"/>
    <mergeCell ref="N44:P44"/>
    <mergeCell ref="Q44:S44"/>
    <mergeCell ref="T44:V44"/>
    <mergeCell ref="W44:Y44"/>
    <mergeCell ref="Z43:AB43"/>
    <mergeCell ref="AC43:AE43"/>
    <mergeCell ref="K21:N21"/>
    <mergeCell ref="B43:G43"/>
    <mergeCell ref="H43:J43"/>
    <mergeCell ref="K43:M43"/>
    <mergeCell ref="N43:P43"/>
    <mergeCell ref="V17:AF20"/>
    <mergeCell ref="C18:J18"/>
    <mergeCell ref="K18:N18"/>
    <mergeCell ref="C19:J19"/>
    <mergeCell ref="K19:N19"/>
    <mergeCell ref="C20:J20"/>
    <mergeCell ref="K20:N20"/>
    <mergeCell ref="B10:B11"/>
    <mergeCell ref="C10:J11"/>
    <mergeCell ref="O10:U11"/>
    <mergeCell ref="V10:AF11"/>
    <mergeCell ref="C13:J13"/>
    <mergeCell ref="K13:N13"/>
    <mergeCell ref="O13:U20"/>
    <mergeCell ref="V13:AF16"/>
    <mergeCell ref="C14:J14"/>
    <mergeCell ref="K14:N14"/>
    <mergeCell ref="C15:J15"/>
    <mergeCell ref="K15:N15"/>
    <mergeCell ref="C16:J16"/>
    <mergeCell ref="K16:N16"/>
    <mergeCell ref="C17:J17"/>
    <mergeCell ref="K17:N17"/>
    <mergeCell ref="C12:J12"/>
    <mergeCell ref="O12:U12"/>
    <mergeCell ref="V12:AF12"/>
    <mergeCell ref="K12:N12"/>
    <mergeCell ref="K9:N11"/>
  </mergeCells>
  <pageMargins left="0.25" right="0.25" top="0.25" bottom="0.25" header="0.2" footer="0.15"/>
  <pageSetup scale="85" orientation="landscape" r:id="rId1"/>
  <rowBreaks count="1" manualBreakCount="1">
    <brk id="22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3FBF-5C21-43EE-9944-1DA586A5DD21}">
  <sheetPr>
    <tabColor theme="7"/>
  </sheetPr>
  <dimension ref="B1:AK51"/>
  <sheetViews>
    <sheetView showGridLines="0" topLeftCell="A34" zoomScale="80" zoomScaleNormal="80" workbookViewId="0">
      <selection activeCell="Q6" sqref="Q6"/>
    </sheetView>
  </sheetViews>
  <sheetFormatPr baseColWidth="10" defaultColWidth="8.83203125" defaultRowHeight="15" x14ac:dyDescent="0.2"/>
  <cols>
    <col min="1" max="1" width="1.6640625" customWidth="1"/>
    <col min="2" max="10" width="4.6640625" customWidth="1"/>
    <col min="11" max="40" width="3.33203125" customWidth="1"/>
    <col min="41" max="42" width="1.6640625" customWidth="1"/>
    <col min="43" max="72" width="4.6640625" customWidth="1"/>
  </cols>
  <sheetData>
    <row r="1" spans="2:36" x14ac:dyDescent="0.2">
      <c r="B1" s="24" t="s">
        <v>394</v>
      </c>
    </row>
    <row r="2" spans="2:36" ht="21" x14ac:dyDescent="0.25">
      <c r="B2" s="7" t="s">
        <v>52</v>
      </c>
    </row>
    <row r="3" spans="2:36" x14ac:dyDescent="0.2">
      <c r="B3" s="15" t="s">
        <v>51</v>
      </c>
    </row>
    <row r="5" spans="2:36" ht="18" customHeight="1" x14ac:dyDescent="0.25">
      <c r="B5" s="20" t="s">
        <v>185</v>
      </c>
      <c r="E5" s="6"/>
      <c r="H5" s="18"/>
      <c r="I5" s="18"/>
      <c r="J5" s="18"/>
      <c r="K5" s="18"/>
      <c r="L5" s="18"/>
      <c r="M5" s="18"/>
      <c r="N5" s="18"/>
    </row>
    <row r="6" spans="2:36" ht="14.5" customHeight="1" x14ac:dyDescent="0.25">
      <c r="B6" s="21" t="s">
        <v>50</v>
      </c>
      <c r="E6" s="6"/>
      <c r="H6" s="18"/>
      <c r="I6" s="18"/>
      <c r="J6" s="18"/>
      <c r="K6" s="18"/>
      <c r="L6" s="18"/>
      <c r="M6" s="18"/>
      <c r="N6" s="18"/>
    </row>
    <row r="7" spans="2:36" ht="5" customHeight="1" x14ac:dyDescent="0.2">
      <c r="B7" s="2"/>
      <c r="E7" s="6"/>
      <c r="G7" s="6"/>
    </row>
    <row r="8" spans="2:36" ht="5" customHeight="1" x14ac:dyDescent="0.2">
      <c r="B8" s="2"/>
      <c r="E8" s="6"/>
      <c r="G8" s="6"/>
    </row>
    <row r="9" spans="2:36" x14ac:dyDescent="0.2">
      <c r="B9" s="2" t="s">
        <v>186</v>
      </c>
    </row>
    <row r="10" spans="2:36" ht="5" customHeight="1" x14ac:dyDescent="0.2">
      <c r="K10" s="367" t="s">
        <v>9</v>
      </c>
      <c r="L10" s="368"/>
      <c r="M10" s="368"/>
      <c r="N10" s="368"/>
      <c r="O10" s="368"/>
      <c r="P10" s="368"/>
      <c r="Q10" s="368"/>
      <c r="R10" s="369"/>
    </row>
    <row r="11" spans="2:36" ht="20" customHeight="1" x14ac:dyDescent="0.2">
      <c r="B11" s="376" t="s">
        <v>11</v>
      </c>
      <c r="C11" s="376" t="s">
        <v>10</v>
      </c>
      <c r="D11" s="376"/>
      <c r="E11" s="376"/>
      <c r="F11" s="376"/>
      <c r="G11" s="376"/>
      <c r="H11" s="376"/>
      <c r="I11" s="376"/>
      <c r="J11" s="377"/>
      <c r="K11" s="370"/>
      <c r="L11" s="371"/>
      <c r="M11" s="371"/>
      <c r="N11" s="371"/>
      <c r="O11" s="371"/>
      <c r="P11" s="371"/>
      <c r="Q11" s="371"/>
      <c r="R11" s="372"/>
      <c r="S11" s="378" t="s">
        <v>8</v>
      </c>
      <c r="T11" s="376"/>
      <c r="U11" s="376"/>
      <c r="V11" s="376"/>
      <c r="W11" s="376"/>
      <c r="X11" s="376"/>
      <c r="Y11" s="376"/>
      <c r="Z11" s="376"/>
      <c r="AA11" s="376" t="s">
        <v>7</v>
      </c>
      <c r="AB11" s="376"/>
      <c r="AC11" s="376"/>
      <c r="AD11" s="376"/>
      <c r="AE11" s="376"/>
      <c r="AF11" s="376"/>
      <c r="AG11" s="376"/>
      <c r="AH11" s="376"/>
      <c r="AI11" s="376"/>
      <c r="AJ11" s="376"/>
    </row>
    <row r="12" spans="2:36" ht="20" customHeight="1" x14ac:dyDescent="0.2">
      <c r="B12" s="376"/>
      <c r="C12" s="376"/>
      <c r="D12" s="376"/>
      <c r="E12" s="376"/>
      <c r="F12" s="376"/>
      <c r="G12" s="376"/>
      <c r="H12" s="376"/>
      <c r="I12" s="376"/>
      <c r="J12" s="377"/>
      <c r="K12" s="373"/>
      <c r="L12" s="374"/>
      <c r="M12" s="374"/>
      <c r="N12" s="374"/>
      <c r="O12" s="374"/>
      <c r="P12" s="374"/>
      <c r="Q12" s="374"/>
      <c r="R12" s="375"/>
      <c r="S12" s="378"/>
      <c r="T12" s="376"/>
      <c r="U12" s="376"/>
      <c r="V12" s="376"/>
      <c r="W12" s="376"/>
      <c r="X12" s="376"/>
      <c r="Y12" s="376"/>
      <c r="Z12" s="376"/>
      <c r="AA12" s="376"/>
      <c r="AB12" s="376"/>
      <c r="AC12" s="376"/>
      <c r="AD12" s="376"/>
      <c r="AE12" s="376"/>
      <c r="AF12" s="376"/>
      <c r="AG12" s="376"/>
      <c r="AH12" s="376"/>
      <c r="AI12" s="376"/>
      <c r="AJ12" s="376"/>
    </row>
    <row r="13" spans="2:36" ht="5" customHeight="1" x14ac:dyDescent="0.2">
      <c r="B13" s="54"/>
      <c r="C13" s="379"/>
      <c r="D13" s="379"/>
      <c r="E13" s="379"/>
      <c r="F13" s="379"/>
      <c r="G13" s="379"/>
      <c r="H13" s="379"/>
      <c r="I13" s="379"/>
      <c r="J13" s="380"/>
      <c r="K13" s="382"/>
      <c r="L13" s="383"/>
      <c r="M13" s="383"/>
      <c r="N13" s="383"/>
      <c r="O13" s="383"/>
      <c r="P13" s="383"/>
      <c r="Q13" s="383"/>
      <c r="R13" s="384"/>
      <c r="S13" s="381"/>
      <c r="T13" s="379"/>
      <c r="U13" s="379"/>
      <c r="V13" s="379"/>
      <c r="W13" s="379"/>
      <c r="X13" s="379"/>
      <c r="Y13" s="379"/>
      <c r="Z13" s="379"/>
      <c r="AA13" s="379"/>
      <c r="AB13" s="379"/>
      <c r="AC13" s="379"/>
      <c r="AD13" s="379"/>
      <c r="AE13" s="379"/>
      <c r="AF13" s="379"/>
      <c r="AG13" s="379"/>
      <c r="AH13" s="379"/>
      <c r="AI13" s="379"/>
      <c r="AJ13" s="379"/>
    </row>
    <row r="14" spans="2:36" ht="14.5" customHeight="1" x14ac:dyDescent="0.2">
      <c r="B14" s="54">
        <v>1</v>
      </c>
      <c r="C14" s="385" t="s">
        <v>6</v>
      </c>
      <c r="D14" s="386"/>
      <c r="E14" s="386"/>
      <c r="F14" s="386"/>
      <c r="G14" s="386"/>
      <c r="H14" s="386"/>
      <c r="I14" s="386"/>
      <c r="J14" s="386"/>
      <c r="K14" s="387">
        <v>0.55000000000000004</v>
      </c>
      <c r="L14" s="388"/>
      <c r="M14" s="388"/>
      <c r="N14" s="388"/>
      <c r="O14" s="388"/>
      <c r="P14" s="388"/>
      <c r="Q14" s="388"/>
      <c r="R14" s="389"/>
      <c r="S14" s="390" t="s">
        <v>12</v>
      </c>
      <c r="T14" s="391"/>
      <c r="U14" s="391"/>
      <c r="V14" s="391"/>
      <c r="W14" s="391"/>
      <c r="X14" s="391"/>
      <c r="Y14" s="391"/>
      <c r="Z14" s="391"/>
      <c r="AA14" s="391" t="s">
        <v>54</v>
      </c>
      <c r="AB14" s="391"/>
      <c r="AC14" s="391"/>
      <c r="AD14" s="391"/>
      <c r="AE14" s="391"/>
      <c r="AF14" s="391"/>
      <c r="AG14" s="391"/>
      <c r="AH14" s="391"/>
      <c r="AI14" s="391"/>
      <c r="AJ14" s="391"/>
    </row>
    <row r="15" spans="2:36" x14ac:dyDescent="0.2">
      <c r="B15" s="54">
        <v>2</v>
      </c>
      <c r="C15" s="385" t="s">
        <v>169</v>
      </c>
      <c r="D15" s="386"/>
      <c r="E15" s="386"/>
      <c r="F15" s="386"/>
      <c r="G15" s="386"/>
      <c r="H15" s="386"/>
      <c r="I15" s="386"/>
      <c r="J15" s="386"/>
      <c r="K15" s="387">
        <v>0.1</v>
      </c>
      <c r="L15" s="388"/>
      <c r="M15" s="388"/>
      <c r="N15" s="388"/>
      <c r="O15" s="388"/>
      <c r="P15" s="388"/>
      <c r="Q15" s="388"/>
      <c r="R15" s="389"/>
      <c r="S15" s="390"/>
      <c r="T15" s="391"/>
      <c r="U15" s="391"/>
      <c r="V15" s="391"/>
      <c r="W15" s="391"/>
      <c r="X15" s="391"/>
      <c r="Y15" s="391"/>
      <c r="Z15" s="391"/>
      <c r="AA15" s="391"/>
      <c r="AB15" s="391"/>
      <c r="AC15" s="391"/>
      <c r="AD15" s="391"/>
      <c r="AE15" s="391"/>
      <c r="AF15" s="391"/>
      <c r="AG15" s="391"/>
      <c r="AH15" s="391"/>
      <c r="AI15" s="391"/>
      <c r="AJ15" s="391"/>
    </row>
    <row r="16" spans="2:36" x14ac:dyDescent="0.2">
      <c r="B16" s="54">
        <v>3</v>
      </c>
      <c r="C16" s="385" t="s">
        <v>170</v>
      </c>
      <c r="D16" s="386"/>
      <c r="E16" s="386"/>
      <c r="F16" s="386"/>
      <c r="G16" s="386"/>
      <c r="H16" s="386"/>
      <c r="I16" s="386"/>
      <c r="J16" s="386"/>
      <c r="K16" s="387">
        <v>0.1</v>
      </c>
      <c r="L16" s="388"/>
      <c r="M16" s="388"/>
      <c r="N16" s="388"/>
      <c r="O16" s="388"/>
      <c r="P16" s="388"/>
      <c r="Q16" s="388"/>
      <c r="R16" s="389"/>
      <c r="S16" s="390"/>
      <c r="T16" s="391"/>
      <c r="U16" s="391"/>
      <c r="V16" s="391"/>
      <c r="W16" s="391"/>
      <c r="X16" s="391"/>
      <c r="Y16" s="391"/>
      <c r="Z16" s="391"/>
      <c r="AA16" s="391"/>
      <c r="AB16" s="391"/>
      <c r="AC16" s="391"/>
      <c r="AD16" s="391"/>
      <c r="AE16" s="391"/>
      <c r="AF16" s="391"/>
      <c r="AG16" s="391"/>
      <c r="AH16" s="391"/>
      <c r="AI16" s="391"/>
      <c r="AJ16" s="391"/>
    </row>
    <row r="17" spans="2:36" x14ac:dyDescent="0.2">
      <c r="B17" s="54">
        <v>4</v>
      </c>
      <c r="C17" s="385" t="s">
        <v>4</v>
      </c>
      <c r="D17" s="386"/>
      <c r="E17" s="386"/>
      <c r="F17" s="386"/>
      <c r="G17" s="386"/>
      <c r="H17" s="386"/>
      <c r="I17" s="386"/>
      <c r="J17" s="386"/>
      <c r="K17" s="387"/>
      <c r="L17" s="388"/>
      <c r="M17" s="388"/>
      <c r="N17" s="388"/>
      <c r="O17" s="388"/>
      <c r="P17" s="388"/>
      <c r="Q17" s="388"/>
      <c r="R17" s="389"/>
      <c r="S17" s="390"/>
      <c r="T17" s="391"/>
      <c r="U17" s="391"/>
      <c r="V17" s="391"/>
      <c r="W17" s="391"/>
      <c r="X17" s="391"/>
      <c r="Y17" s="391"/>
      <c r="Z17" s="391"/>
      <c r="AA17" s="391"/>
      <c r="AB17" s="391"/>
      <c r="AC17" s="391"/>
      <c r="AD17" s="391"/>
      <c r="AE17" s="391"/>
      <c r="AF17" s="391"/>
      <c r="AG17" s="391"/>
      <c r="AH17" s="391"/>
      <c r="AI17" s="391"/>
      <c r="AJ17" s="391"/>
    </row>
    <row r="18" spans="2:36" ht="14.5" customHeight="1" x14ac:dyDescent="0.2">
      <c r="B18" s="54">
        <v>5</v>
      </c>
      <c r="C18" s="385" t="s">
        <v>3</v>
      </c>
      <c r="D18" s="386"/>
      <c r="E18" s="386"/>
      <c r="F18" s="386"/>
      <c r="G18" s="386"/>
      <c r="H18" s="386"/>
      <c r="I18" s="386"/>
      <c r="J18" s="386"/>
      <c r="K18" s="387">
        <v>0.1</v>
      </c>
      <c r="L18" s="388"/>
      <c r="M18" s="388"/>
      <c r="N18" s="388"/>
      <c r="O18" s="388"/>
      <c r="P18" s="388"/>
      <c r="Q18" s="388"/>
      <c r="R18" s="389"/>
      <c r="S18" s="390"/>
      <c r="T18" s="391"/>
      <c r="U18" s="391"/>
      <c r="V18" s="391"/>
      <c r="W18" s="391"/>
      <c r="X18" s="391"/>
      <c r="Y18" s="391"/>
      <c r="Z18" s="391"/>
      <c r="AA18" s="391" t="s">
        <v>2</v>
      </c>
      <c r="AB18" s="391"/>
      <c r="AC18" s="391"/>
      <c r="AD18" s="391"/>
      <c r="AE18" s="391"/>
      <c r="AF18" s="391"/>
      <c r="AG18" s="391"/>
      <c r="AH18" s="391"/>
      <c r="AI18" s="391"/>
      <c r="AJ18" s="391"/>
    </row>
    <row r="19" spans="2:36" ht="14.5" customHeight="1" x14ac:dyDescent="0.2">
      <c r="B19" s="54">
        <v>6</v>
      </c>
      <c r="C19" s="385" t="s">
        <v>1</v>
      </c>
      <c r="D19" s="386"/>
      <c r="E19" s="386"/>
      <c r="F19" s="386"/>
      <c r="G19" s="386"/>
      <c r="H19" s="386"/>
      <c r="I19" s="386"/>
      <c r="J19" s="386"/>
      <c r="K19" s="387">
        <v>0.1</v>
      </c>
      <c r="L19" s="388"/>
      <c r="M19" s="388"/>
      <c r="N19" s="388"/>
      <c r="O19" s="388"/>
      <c r="P19" s="388"/>
      <c r="Q19" s="388"/>
      <c r="R19" s="389"/>
      <c r="S19" s="390"/>
      <c r="T19" s="391"/>
      <c r="U19" s="391"/>
      <c r="V19" s="391"/>
      <c r="W19" s="391"/>
      <c r="X19" s="391"/>
      <c r="Y19" s="391"/>
      <c r="Z19" s="391"/>
      <c r="AA19" s="391"/>
      <c r="AB19" s="391"/>
      <c r="AC19" s="391"/>
      <c r="AD19" s="391"/>
      <c r="AE19" s="391"/>
      <c r="AF19" s="391"/>
      <c r="AG19" s="391"/>
      <c r="AH19" s="391"/>
      <c r="AI19" s="391"/>
      <c r="AJ19" s="391"/>
    </row>
    <row r="20" spans="2:36" x14ac:dyDescent="0.2">
      <c r="B20" s="54">
        <v>7</v>
      </c>
      <c r="C20" s="385" t="s">
        <v>0</v>
      </c>
      <c r="D20" s="386"/>
      <c r="E20" s="386"/>
      <c r="F20" s="386"/>
      <c r="G20" s="386"/>
      <c r="H20" s="386"/>
      <c r="I20" s="386"/>
      <c r="J20" s="386"/>
      <c r="K20" s="387"/>
      <c r="L20" s="388"/>
      <c r="M20" s="388"/>
      <c r="N20" s="388"/>
      <c r="O20" s="388"/>
      <c r="P20" s="388"/>
      <c r="Q20" s="388"/>
      <c r="R20" s="389"/>
      <c r="S20" s="390"/>
      <c r="T20" s="391"/>
      <c r="U20" s="391"/>
      <c r="V20" s="391"/>
      <c r="W20" s="391"/>
      <c r="X20" s="391"/>
      <c r="Y20" s="391"/>
      <c r="Z20" s="391"/>
      <c r="AA20" s="391"/>
      <c r="AB20" s="391"/>
      <c r="AC20" s="391"/>
      <c r="AD20" s="391"/>
      <c r="AE20" s="391"/>
      <c r="AF20" s="391"/>
      <c r="AG20" s="391"/>
      <c r="AH20" s="391"/>
      <c r="AI20" s="391"/>
      <c r="AJ20" s="391"/>
    </row>
    <row r="21" spans="2:36" x14ac:dyDescent="0.2">
      <c r="B21" s="54">
        <v>8</v>
      </c>
      <c r="C21" s="385" t="s">
        <v>187</v>
      </c>
      <c r="D21" s="386"/>
      <c r="E21" s="386"/>
      <c r="F21" s="386"/>
      <c r="G21" s="386"/>
      <c r="H21" s="386"/>
      <c r="I21" s="386"/>
      <c r="J21" s="386"/>
      <c r="K21" s="387"/>
      <c r="L21" s="388"/>
      <c r="M21" s="388"/>
      <c r="N21" s="388"/>
      <c r="O21" s="388"/>
      <c r="P21" s="388"/>
      <c r="Q21" s="388"/>
      <c r="R21" s="389"/>
      <c r="S21" s="390"/>
      <c r="T21" s="391"/>
      <c r="U21" s="391"/>
      <c r="V21" s="391"/>
      <c r="W21" s="391"/>
      <c r="X21" s="391"/>
      <c r="Y21" s="391"/>
      <c r="Z21" s="391"/>
      <c r="AA21" s="391"/>
      <c r="AB21" s="391"/>
      <c r="AC21" s="391"/>
      <c r="AD21" s="391"/>
      <c r="AE21" s="391"/>
      <c r="AF21" s="391"/>
      <c r="AG21" s="391"/>
      <c r="AH21" s="391"/>
      <c r="AI21" s="391"/>
      <c r="AJ21" s="391"/>
    </row>
    <row r="22" spans="2:36" x14ac:dyDescent="0.2">
      <c r="B22" s="54">
        <v>9</v>
      </c>
      <c r="C22" s="385" t="s">
        <v>188</v>
      </c>
      <c r="D22" s="386"/>
      <c r="E22" s="386"/>
      <c r="F22" s="386"/>
      <c r="G22" s="386"/>
      <c r="H22" s="386"/>
      <c r="I22" s="386"/>
      <c r="J22" s="386"/>
      <c r="K22" s="387">
        <v>0.05</v>
      </c>
      <c r="L22" s="388"/>
      <c r="M22" s="388"/>
      <c r="N22" s="388"/>
      <c r="O22" s="388"/>
      <c r="P22" s="388"/>
      <c r="Q22" s="388"/>
      <c r="R22" s="389"/>
      <c r="S22" s="390"/>
      <c r="T22" s="391"/>
      <c r="U22" s="391"/>
      <c r="V22" s="391"/>
      <c r="W22" s="391"/>
      <c r="X22" s="391"/>
      <c r="Y22" s="391"/>
      <c r="Z22" s="391"/>
      <c r="AA22" s="391"/>
      <c r="AB22" s="391"/>
      <c r="AC22" s="391"/>
      <c r="AD22" s="391"/>
      <c r="AE22" s="391"/>
      <c r="AF22" s="391"/>
      <c r="AG22" s="391"/>
      <c r="AH22" s="391"/>
      <c r="AI22" s="391"/>
      <c r="AJ22" s="391"/>
    </row>
    <row r="23" spans="2:36" x14ac:dyDescent="0.2">
      <c r="K23" s="392">
        <f>SUM(K14:L22)</f>
        <v>1</v>
      </c>
      <c r="L23" s="393"/>
      <c r="M23" s="393"/>
      <c r="N23" s="393"/>
      <c r="O23" s="393"/>
      <c r="P23" s="393"/>
      <c r="Q23" s="393"/>
      <c r="R23" s="394"/>
    </row>
    <row r="26" spans="2:36" x14ac:dyDescent="0.2">
      <c r="B26" t="s">
        <v>77</v>
      </c>
    </row>
    <row r="27" spans="2:36" x14ac:dyDescent="0.2">
      <c r="B27" s="29" t="s">
        <v>18</v>
      </c>
      <c r="C27" s="26"/>
      <c r="F27" s="6"/>
      <c r="G27" s="6" t="s">
        <v>126</v>
      </c>
    </row>
    <row r="28" spans="2:36" x14ac:dyDescent="0.2">
      <c r="B28" s="29" t="s">
        <v>189</v>
      </c>
      <c r="C28" s="26"/>
      <c r="F28" s="6"/>
      <c r="G28" s="6" t="s">
        <v>172</v>
      </c>
    </row>
    <row r="29" spans="2:36" x14ac:dyDescent="0.2">
      <c r="B29" s="29" t="s">
        <v>190</v>
      </c>
      <c r="C29" s="26"/>
      <c r="F29" s="6"/>
      <c r="G29" s="6" t="s">
        <v>174</v>
      </c>
    </row>
    <row r="30" spans="2:36" x14ac:dyDescent="0.2">
      <c r="B30" s="29" t="s">
        <v>129</v>
      </c>
      <c r="C30" s="26"/>
      <c r="F30" s="6"/>
      <c r="G30" s="6" t="s">
        <v>131</v>
      </c>
    </row>
    <row r="31" spans="2:36" x14ac:dyDescent="0.2">
      <c r="B31" s="29" t="s">
        <v>191</v>
      </c>
      <c r="C31" s="26"/>
      <c r="F31" s="6"/>
      <c r="G31" s="6" t="s">
        <v>145</v>
      </c>
    </row>
    <row r="32" spans="2:36" x14ac:dyDescent="0.2">
      <c r="B32" s="29"/>
      <c r="C32" s="26"/>
      <c r="F32" s="6"/>
      <c r="G32" s="6" t="s">
        <v>146</v>
      </c>
    </row>
    <row r="33" spans="2:37" x14ac:dyDescent="0.2">
      <c r="B33" s="29" t="s">
        <v>133</v>
      </c>
      <c r="C33" s="26"/>
      <c r="F33" s="6"/>
      <c r="G33" s="6" t="s">
        <v>135</v>
      </c>
    </row>
    <row r="34" spans="2:37" x14ac:dyDescent="0.2">
      <c r="B34" s="29" t="s">
        <v>134</v>
      </c>
      <c r="C34" s="26"/>
      <c r="F34" s="6"/>
      <c r="G34" s="6" t="s">
        <v>137</v>
      </c>
    </row>
    <row r="35" spans="2:37" x14ac:dyDescent="0.2">
      <c r="B35" s="29" t="s">
        <v>192</v>
      </c>
      <c r="C35" s="26"/>
      <c r="F35" s="6"/>
      <c r="G35" s="6" t="s">
        <v>193</v>
      </c>
    </row>
    <row r="36" spans="2:37" x14ac:dyDescent="0.2">
      <c r="B36" s="29" t="s">
        <v>194</v>
      </c>
      <c r="C36" s="26"/>
      <c r="F36" s="6"/>
      <c r="G36" s="6" t="s">
        <v>195</v>
      </c>
    </row>
    <row r="37" spans="2:37" x14ac:dyDescent="0.2">
      <c r="B37" s="29" t="s">
        <v>196</v>
      </c>
      <c r="C37" s="26"/>
      <c r="F37" s="6"/>
      <c r="G37" s="6" t="s">
        <v>197</v>
      </c>
    </row>
    <row r="38" spans="2:37" x14ac:dyDescent="0.2">
      <c r="H38" t="s">
        <v>198</v>
      </c>
    </row>
    <row r="39" spans="2:37" x14ac:dyDescent="0.2">
      <c r="H39" t="s">
        <v>199</v>
      </c>
    </row>
    <row r="41" spans="2:37" x14ac:dyDescent="0.2">
      <c r="B41" s="2" t="s">
        <v>200</v>
      </c>
    </row>
    <row r="43" spans="2:37" ht="5" customHeight="1" x14ac:dyDescent="0.2"/>
    <row r="44" spans="2:37" x14ac:dyDescent="0.2">
      <c r="B44" s="2"/>
      <c r="H44" s="6"/>
      <c r="J44" s="6"/>
      <c r="K44" s="219" t="s">
        <v>10</v>
      </c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</row>
    <row r="45" spans="2:37" s="5" customFormat="1" ht="25" customHeight="1" x14ac:dyDescent="0.2">
      <c r="B45" s="233" t="s">
        <v>20</v>
      </c>
      <c r="C45" s="233"/>
      <c r="D45" s="233"/>
      <c r="E45" s="233"/>
      <c r="F45" s="233"/>
      <c r="G45" s="234"/>
      <c r="H45" s="235" t="s">
        <v>19</v>
      </c>
      <c r="I45" s="236"/>
      <c r="J45" s="237"/>
      <c r="K45" s="230" t="s">
        <v>18</v>
      </c>
      <c r="L45" s="231"/>
      <c r="M45" s="232"/>
      <c r="N45" s="230" t="s">
        <v>176</v>
      </c>
      <c r="O45" s="231"/>
      <c r="P45" s="232"/>
      <c r="Q45" s="230" t="s">
        <v>177</v>
      </c>
      <c r="R45" s="231"/>
      <c r="S45" s="232"/>
      <c r="T45" s="230" t="s">
        <v>16</v>
      </c>
      <c r="U45" s="231"/>
      <c r="V45" s="232"/>
      <c r="W45" s="230" t="s">
        <v>47</v>
      </c>
      <c r="X45" s="231"/>
      <c r="Y45" s="232"/>
      <c r="Z45" s="230" t="s">
        <v>15</v>
      </c>
      <c r="AA45" s="231"/>
      <c r="AB45" s="232"/>
      <c r="AC45" s="230" t="s">
        <v>14</v>
      </c>
      <c r="AD45" s="231"/>
      <c r="AE45" s="231"/>
      <c r="AF45" s="230" t="s">
        <v>201</v>
      </c>
      <c r="AG45" s="231"/>
      <c r="AH45" s="232"/>
      <c r="AI45" s="230" t="s">
        <v>202</v>
      </c>
      <c r="AJ45" s="231"/>
      <c r="AK45" s="231"/>
    </row>
    <row r="46" spans="2:37" ht="5" customHeight="1" x14ac:dyDescent="0.2">
      <c r="B46" s="4"/>
      <c r="C46" s="3"/>
      <c r="D46" s="3"/>
      <c r="E46" s="3"/>
      <c r="F46" s="3"/>
      <c r="G46" s="3"/>
      <c r="H46" s="3"/>
      <c r="I46" s="3"/>
      <c r="J46" s="3"/>
      <c r="K46" s="166"/>
      <c r="L46" s="167"/>
      <c r="M46" s="168"/>
      <c r="N46" s="166"/>
      <c r="O46" s="167"/>
      <c r="P46" s="168"/>
      <c r="Q46" s="166"/>
      <c r="R46" s="167"/>
      <c r="S46" s="168"/>
      <c r="T46" s="166"/>
      <c r="U46" s="167"/>
      <c r="V46" s="168"/>
      <c r="W46" s="166"/>
      <c r="X46" s="167"/>
      <c r="Y46" s="168"/>
      <c r="Z46" s="166"/>
      <c r="AA46" s="167"/>
      <c r="AB46" s="168"/>
      <c r="AC46" s="166"/>
      <c r="AD46" s="167"/>
      <c r="AE46" s="168"/>
      <c r="AF46" s="166"/>
      <c r="AG46" s="167"/>
      <c r="AH46" s="168"/>
      <c r="AI46" s="166"/>
      <c r="AJ46" s="167"/>
      <c r="AK46" s="168"/>
    </row>
    <row r="47" spans="2:37" s="5" customFormat="1" ht="18" customHeight="1" x14ac:dyDescent="0.2">
      <c r="B47" s="238" t="s">
        <v>55</v>
      </c>
      <c r="C47" s="239"/>
      <c r="D47" s="239"/>
      <c r="E47" s="239"/>
      <c r="F47" s="239"/>
      <c r="G47" s="240"/>
      <c r="H47" s="149">
        <v>200000</v>
      </c>
      <c r="I47" s="149"/>
      <c r="J47" s="149"/>
      <c r="K47" s="150">
        <f>$H47*$K$14</f>
        <v>110000.00000000001</v>
      </c>
      <c r="L47" s="151"/>
      <c r="M47" s="152"/>
      <c r="N47" s="150">
        <f>$H47*$K$15</f>
        <v>20000</v>
      </c>
      <c r="O47" s="151"/>
      <c r="P47" s="152"/>
      <c r="Q47" s="150">
        <f>$H47*$K$16</f>
        <v>20000</v>
      </c>
      <c r="R47" s="151"/>
      <c r="S47" s="152"/>
      <c r="T47" s="150">
        <f>$H47*$K$17</f>
        <v>0</v>
      </c>
      <c r="U47" s="151"/>
      <c r="V47" s="152"/>
      <c r="W47" s="150">
        <f>$H47*$K$18</f>
        <v>20000</v>
      </c>
      <c r="X47" s="151"/>
      <c r="Y47" s="152"/>
      <c r="Z47" s="150">
        <f>$H47*$K$19</f>
        <v>20000</v>
      </c>
      <c r="AA47" s="151"/>
      <c r="AB47" s="152"/>
      <c r="AC47" s="150">
        <f>$H47*$K$20</f>
        <v>0</v>
      </c>
      <c r="AD47" s="151"/>
      <c r="AE47" s="152"/>
      <c r="AF47" s="150">
        <f>$H47*$K$21</f>
        <v>0</v>
      </c>
      <c r="AG47" s="151"/>
      <c r="AH47" s="152"/>
      <c r="AI47" s="150">
        <f>$H47*$K$22</f>
        <v>10000</v>
      </c>
      <c r="AJ47" s="151"/>
      <c r="AK47" s="152"/>
    </row>
    <row r="48" spans="2:37" s="5" customFormat="1" ht="18" customHeight="1" x14ac:dyDescent="0.2">
      <c r="B48" s="238" t="s">
        <v>56</v>
      </c>
      <c r="C48" s="239"/>
      <c r="D48" s="239"/>
      <c r="E48" s="239"/>
      <c r="F48" s="239"/>
      <c r="G48" s="240"/>
      <c r="H48" s="149">
        <v>400000</v>
      </c>
      <c r="I48" s="149"/>
      <c r="J48" s="149"/>
      <c r="K48" s="150">
        <f>$H48*$K$14</f>
        <v>220000.00000000003</v>
      </c>
      <c r="L48" s="151"/>
      <c r="M48" s="152"/>
      <c r="N48" s="150">
        <f>$H48*$K$15</f>
        <v>40000</v>
      </c>
      <c r="O48" s="151"/>
      <c r="P48" s="152"/>
      <c r="Q48" s="150">
        <f>$H48*$K$16</f>
        <v>40000</v>
      </c>
      <c r="R48" s="151"/>
      <c r="S48" s="152"/>
      <c r="T48" s="150">
        <f>$H48*$K$17</f>
        <v>0</v>
      </c>
      <c r="U48" s="151"/>
      <c r="V48" s="152"/>
      <c r="W48" s="150">
        <f>$H48*$K$18</f>
        <v>40000</v>
      </c>
      <c r="X48" s="151"/>
      <c r="Y48" s="152"/>
      <c r="Z48" s="150">
        <f>$H48*$K$19</f>
        <v>40000</v>
      </c>
      <c r="AA48" s="151"/>
      <c r="AB48" s="152"/>
      <c r="AC48" s="150">
        <f>$H48*$K$20</f>
        <v>0</v>
      </c>
      <c r="AD48" s="151"/>
      <c r="AE48" s="152"/>
      <c r="AF48" s="150">
        <f>$H48*$K$21</f>
        <v>0</v>
      </c>
      <c r="AG48" s="151"/>
      <c r="AH48" s="152"/>
      <c r="AI48" s="150">
        <f>$H48*$K$22</f>
        <v>20000</v>
      </c>
      <c r="AJ48" s="151"/>
      <c r="AK48" s="152"/>
    </row>
    <row r="49" spans="2:37" s="5" customFormat="1" ht="18" customHeight="1" x14ac:dyDescent="0.2">
      <c r="B49" s="238" t="s">
        <v>57</v>
      </c>
      <c r="C49" s="239"/>
      <c r="D49" s="239"/>
      <c r="E49" s="239"/>
      <c r="F49" s="239"/>
      <c r="G49" s="240"/>
      <c r="H49" s="149">
        <v>700000</v>
      </c>
      <c r="I49" s="149"/>
      <c r="J49" s="149"/>
      <c r="K49" s="150">
        <f>$H49*$K$14</f>
        <v>385000.00000000006</v>
      </c>
      <c r="L49" s="151"/>
      <c r="M49" s="152"/>
      <c r="N49" s="150">
        <f>$H49*$K$15</f>
        <v>70000</v>
      </c>
      <c r="O49" s="151"/>
      <c r="P49" s="152"/>
      <c r="Q49" s="150">
        <f>$H49*$K$16</f>
        <v>70000</v>
      </c>
      <c r="R49" s="151"/>
      <c r="S49" s="152"/>
      <c r="T49" s="150">
        <f>$H49*$K$17</f>
        <v>0</v>
      </c>
      <c r="U49" s="151"/>
      <c r="V49" s="152"/>
      <c r="W49" s="150">
        <f>$H49*$K$18</f>
        <v>70000</v>
      </c>
      <c r="X49" s="151"/>
      <c r="Y49" s="152"/>
      <c r="Z49" s="150">
        <f>$H49*$K$19</f>
        <v>70000</v>
      </c>
      <c r="AA49" s="151"/>
      <c r="AB49" s="152"/>
      <c r="AC49" s="150">
        <f>$H49*$K$20</f>
        <v>0</v>
      </c>
      <c r="AD49" s="151"/>
      <c r="AE49" s="152"/>
      <c r="AF49" s="150">
        <f>$H49*$K$21</f>
        <v>0</v>
      </c>
      <c r="AG49" s="151"/>
      <c r="AH49" s="152"/>
      <c r="AI49" s="150">
        <f>$H49*$K$22</f>
        <v>35000</v>
      </c>
      <c r="AJ49" s="151"/>
      <c r="AK49" s="152"/>
    </row>
    <row r="50" spans="2:37" s="5" customFormat="1" ht="18" customHeight="1" x14ac:dyDescent="0.2">
      <c r="B50" s="241" t="s">
        <v>58</v>
      </c>
      <c r="C50" s="242"/>
      <c r="D50" s="242"/>
      <c r="E50" s="242"/>
      <c r="F50" s="242"/>
      <c r="G50" s="243"/>
      <c r="H50" s="156">
        <v>1000000</v>
      </c>
      <c r="I50" s="156"/>
      <c r="J50" s="156"/>
      <c r="K50" s="244">
        <f>$H50*$K$14</f>
        <v>550000</v>
      </c>
      <c r="L50" s="245"/>
      <c r="M50" s="246"/>
      <c r="N50" s="244">
        <f>$H50*$K$15</f>
        <v>100000</v>
      </c>
      <c r="O50" s="245"/>
      <c r="P50" s="246"/>
      <c r="Q50" s="244">
        <f>$H50*$K$16</f>
        <v>100000</v>
      </c>
      <c r="R50" s="245"/>
      <c r="S50" s="246"/>
      <c r="T50" s="244">
        <f>$H50*$K$17</f>
        <v>0</v>
      </c>
      <c r="U50" s="245"/>
      <c r="V50" s="246"/>
      <c r="W50" s="244">
        <f>$H50*$K$18</f>
        <v>100000</v>
      </c>
      <c r="X50" s="245"/>
      <c r="Y50" s="246"/>
      <c r="Z50" s="244">
        <f>$H50*$K$19</f>
        <v>100000</v>
      </c>
      <c r="AA50" s="245"/>
      <c r="AB50" s="246"/>
      <c r="AC50" s="244">
        <f>$H50*$K$20</f>
        <v>0</v>
      </c>
      <c r="AD50" s="245"/>
      <c r="AE50" s="246"/>
      <c r="AF50" s="244">
        <f>$H50*$K$21</f>
        <v>0</v>
      </c>
      <c r="AG50" s="245"/>
      <c r="AH50" s="246"/>
      <c r="AI50" s="244">
        <f>$H50*$K$22</f>
        <v>50000</v>
      </c>
      <c r="AJ50" s="245"/>
      <c r="AK50" s="246"/>
    </row>
    <row r="51" spans="2:37" s="5" customFormat="1" ht="18" customHeight="1" x14ac:dyDescent="0.2">
      <c r="B51" s="238" t="s">
        <v>13</v>
      </c>
      <c r="C51" s="239"/>
      <c r="D51" s="239"/>
      <c r="E51" s="239"/>
      <c r="F51" s="239"/>
      <c r="G51" s="240"/>
      <c r="H51" s="149">
        <v>1400000</v>
      </c>
      <c r="I51" s="149"/>
      <c r="J51" s="149"/>
      <c r="K51" s="150">
        <f>$H51*$K$14</f>
        <v>770000.00000000012</v>
      </c>
      <c r="L51" s="151"/>
      <c r="M51" s="152"/>
      <c r="N51" s="150">
        <f>$H51*$K$15</f>
        <v>140000</v>
      </c>
      <c r="O51" s="151"/>
      <c r="P51" s="152"/>
      <c r="Q51" s="150">
        <f>$H51*$K$16</f>
        <v>140000</v>
      </c>
      <c r="R51" s="151"/>
      <c r="S51" s="152"/>
      <c r="T51" s="150">
        <f>$H51*$K$17</f>
        <v>0</v>
      </c>
      <c r="U51" s="151"/>
      <c r="V51" s="152"/>
      <c r="W51" s="150">
        <f>$H51*$K$18</f>
        <v>140000</v>
      </c>
      <c r="X51" s="151"/>
      <c r="Y51" s="152"/>
      <c r="Z51" s="150">
        <f>$H51*$K$19</f>
        <v>140000</v>
      </c>
      <c r="AA51" s="151"/>
      <c r="AB51" s="152"/>
      <c r="AC51" s="150">
        <f>$H51*$K$20</f>
        <v>0</v>
      </c>
      <c r="AD51" s="151"/>
      <c r="AE51" s="152"/>
      <c r="AF51" s="150">
        <f>$H51*$K$21</f>
        <v>0</v>
      </c>
      <c r="AG51" s="151"/>
      <c r="AH51" s="152"/>
      <c r="AI51" s="150">
        <f>$H51*$K$22</f>
        <v>70000</v>
      </c>
      <c r="AJ51" s="151"/>
      <c r="AK51" s="152"/>
    </row>
  </sheetData>
  <mergeCells count="107">
    <mergeCell ref="T51:V51"/>
    <mergeCell ref="W51:Y51"/>
    <mergeCell ref="Z51:AB51"/>
    <mergeCell ref="AC51:AE51"/>
    <mergeCell ref="AF51:AH51"/>
    <mergeCell ref="AI51:AK51"/>
    <mergeCell ref="W50:Y50"/>
    <mergeCell ref="Z50:AB50"/>
    <mergeCell ref="AC50:AE50"/>
    <mergeCell ref="AF50:AH50"/>
    <mergeCell ref="AI50:AK50"/>
    <mergeCell ref="T50:V50"/>
    <mergeCell ref="B51:G51"/>
    <mergeCell ref="H51:J51"/>
    <mergeCell ref="K51:M51"/>
    <mergeCell ref="N51:P51"/>
    <mergeCell ref="Q51:S51"/>
    <mergeCell ref="B50:G50"/>
    <mergeCell ref="H50:J50"/>
    <mergeCell ref="K50:M50"/>
    <mergeCell ref="N50:P50"/>
    <mergeCell ref="Q50:S50"/>
    <mergeCell ref="Z49:AB49"/>
    <mergeCell ref="AC49:AE49"/>
    <mergeCell ref="AF49:AH49"/>
    <mergeCell ref="AI49:AK49"/>
    <mergeCell ref="W48:Y48"/>
    <mergeCell ref="Z48:AB48"/>
    <mergeCell ref="AC48:AE48"/>
    <mergeCell ref="AF48:AH48"/>
    <mergeCell ref="AI48:AK48"/>
    <mergeCell ref="Z47:AB47"/>
    <mergeCell ref="AC47:AE47"/>
    <mergeCell ref="AF47:AH47"/>
    <mergeCell ref="AI47:AK47"/>
    <mergeCell ref="B48:G48"/>
    <mergeCell ref="H48:J48"/>
    <mergeCell ref="K48:M48"/>
    <mergeCell ref="N48:P48"/>
    <mergeCell ref="Q48:S48"/>
    <mergeCell ref="T48:V48"/>
    <mergeCell ref="B47:G47"/>
    <mergeCell ref="H47:J47"/>
    <mergeCell ref="K47:M47"/>
    <mergeCell ref="N47:P47"/>
    <mergeCell ref="Q47:S47"/>
    <mergeCell ref="T47:V47"/>
    <mergeCell ref="W47:Y47"/>
    <mergeCell ref="B49:G49"/>
    <mergeCell ref="H49:J49"/>
    <mergeCell ref="K49:M49"/>
    <mergeCell ref="N49:P49"/>
    <mergeCell ref="Q49:S49"/>
    <mergeCell ref="T49:V49"/>
    <mergeCell ref="W49:Y49"/>
    <mergeCell ref="K46:M46"/>
    <mergeCell ref="N46:P46"/>
    <mergeCell ref="Q46:S46"/>
    <mergeCell ref="T46:V46"/>
    <mergeCell ref="W46:Y46"/>
    <mergeCell ref="Z46:AB46"/>
    <mergeCell ref="AC46:AE46"/>
    <mergeCell ref="AF46:AH46"/>
    <mergeCell ref="AI46:AK46"/>
    <mergeCell ref="K23:R23"/>
    <mergeCell ref="K44:AK44"/>
    <mergeCell ref="B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C14:J14"/>
    <mergeCell ref="K14:R14"/>
    <mergeCell ref="S14:Z22"/>
    <mergeCell ref="AA14:AJ17"/>
    <mergeCell ref="C15:J15"/>
    <mergeCell ref="K15:R15"/>
    <mergeCell ref="C16:J16"/>
    <mergeCell ref="K16:R16"/>
    <mergeCell ref="C17:J17"/>
    <mergeCell ref="K17:R17"/>
    <mergeCell ref="C18:J18"/>
    <mergeCell ref="K18:R18"/>
    <mergeCell ref="AA18:AJ22"/>
    <mergeCell ref="C19:J19"/>
    <mergeCell ref="K19:R19"/>
    <mergeCell ref="C20:J20"/>
    <mergeCell ref="K20:R20"/>
    <mergeCell ref="C21:J21"/>
    <mergeCell ref="K21:R21"/>
    <mergeCell ref="C22:J22"/>
    <mergeCell ref="K22:R22"/>
    <mergeCell ref="K10:R12"/>
    <mergeCell ref="B11:B12"/>
    <mergeCell ref="C11:J12"/>
    <mergeCell ref="S11:Z12"/>
    <mergeCell ref="AA11:AJ12"/>
    <mergeCell ref="C13:J13"/>
    <mergeCell ref="S13:Z13"/>
    <mergeCell ref="AA13:AJ13"/>
    <mergeCell ref="K13:R13"/>
  </mergeCells>
  <pageMargins left="0.25" right="0.25" top="0.25" bottom="0.25" header="0.2" footer="0.15"/>
  <pageSetup scale="85" orientation="landscape" r:id="rId1"/>
  <rowBreaks count="1" manualBreakCount="1">
    <brk id="2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0B5A-660C-4F6D-B40D-F1FAF9B264DD}">
  <sheetPr>
    <tabColor rgb="FFC00000"/>
  </sheetPr>
  <dimension ref="B1:K94"/>
  <sheetViews>
    <sheetView showGridLines="0" zoomScale="80" zoomScaleNormal="80" workbookViewId="0">
      <selection activeCell="Q6" sqref="Q6"/>
    </sheetView>
  </sheetViews>
  <sheetFormatPr baseColWidth="10" defaultColWidth="8.83203125" defaultRowHeight="15" x14ac:dyDescent="0.2"/>
  <cols>
    <col min="1" max="1" width="3.6640625" customWidth="1"/>
    <col min="2" max="2" width="29.1640625" customWidth="1"/>
    <col min="3" max="6" width="15.6640625" style="55" customWidth="1"/>
    <col min="7" max="7" width="20.6640625" style="55" customWidth="1"/>
    <col min="8" max="8" width="14.33203125" customWidth="1"/>
    <col min="9" max="9" width="2.83203125" customWidth="1"/>
    <col min="10" max="11" width="10.83203125" customWidth="1"/>
    <col min="12" max="12" width="1.1640625" customWidth="1"/>
  </cols>
  <sheetData>
    <row r="1" spans="2:7" x14ac:dyDescent="0.2">
      <c r="B1" s="24" t="s">
        <v>397</v>
      </c>
    </row>
    <row r="2" spans="2:7" ht="21" x14ac:dyDescent="0.25">
      <c r="B2" s="7" t="s">
        <v>204</v>
      </c>
    </row>
    <row r="3" spans="2:7" x14ac:dyDescent="0.2">
      <c r="B3" s="15" t="s">
        <v>205</v>
      </c>
    </row>
    <row r="6" spans="2:7" ht="16" x14ac:dyDescent="0.2">
      <c r="B6" s="56" t="s">
        <v>206</v>
      </c>
    </row>
    <row r="7" spans="2:7" ht="16" x14ac:dyDescent="0.2">
      <c r="B7" s="57" t="s">
        <v>207</v>
      </c>
    </row>
    <row r="8" spans="2:7" x14ac:dyDescent="0.2">
      <c r="B8" s="58" t="s">
        <v>208</v>
      </c>
    </row>
    <row r="9" spans="2:7" x14ac:dyDescent="0.2">
      <c r="B9" s="58" t="s">
        <v>209</v>
      </c>
    </row>
    <row r="10" spans="2:7" x14ac:dyDescent="0.2">
      <c r="B10" s="58" t="s">
        <v>210</v>
      </c>
    </row>
    <row r="12" spans="2:7" ht="16" x14ac:dyDescent="0.2">
      <c r="B12" s="56" t="s">
        <v>208</v>
      </c>
    </row>
    <row r="13" spans="2:7" x14ac:dyDescent="0.2">
      <c r="B13" s="58" t="s">
        <v>211</v>
      </c>
    </row>
    <row r="14" spans="2:7" x14ac:dyDescent="0.2">
      <c r="B14" s="58" t="s">
        <v>212</v>
      </c>
    </row>
    <row r="15" spans="2:7" ht="7" customHeight="1" x14ac:dyDescent="0.2">
      <c r="B15" s="58"/>
    </row>
    <row r="16" spans="2:7" x14ac:dyDescent="0.2">
      <c r="B16" s="59" t="s">
        <v>213</v>
      </c>
      <c r="G16" s="60" t="s">
        <v>214</v>
      </c>
    </row>
    <row r="17" spans="2:11" x14ac:dyDescent="0.2">
      <c r="B17" s="59" t="s">
        <v>215</v>
      </c>
      <c r="G17" s="61"/>
      <c r="J17" s="62"/>
      <c r="K17" s="62"/>
    </row>
    <row r="18" spans="2:11" x14ac:dyDescent="0.2">
      <c r="B18" s="63" t="s">
        <v>216</v>
      </c>
      <c r="D18" s="64" t="s">
        <v>217</v>
      </c>
      <c r="G18" s="65" t="s">
        <v>218</v>
      </c>
      <c r="J18" s="62"/>
      <c r="K18" s="62">
        <v>1950</v>
      </c>
    </row>
    <row r="19" spans="2:11" x14ac:dyDescent="0.2">
      <c r="B19" s="66" t="s">
        <v>219</v>
      </c>
      <c r="D19" s="64" t="s">
        <v>220</v>
      </c>
      <c r="G19" s="65" t="s">
        <v>221</v>
      </c>
      <c r="J19" s="62">
        <v>1950</v>
      </c>
      <c r="K19" s="62">
        <v>2860</v>
      </c>
    </row>
    <row r="20" spans="2:11" x14ac:dyDescent="0.2">
      <c r="B20" s="66" t="s">
        <v>222</v>
      </c>
      <c r="D20" s="64" t="s">
        <v>223</v>
      </c>
      <c r="G20" s="65" t="s">
        <v>224</v>
      </c>
      <c r="J20" s="62">
        <v>2860</v>
      </c>
      <c r="K20" s="62">
        <v>3900</v>
      </c>
    </row>
    <row r="21" spans="2:11" x14ac:dyDescent="0.2">
      <c r="B21" s="66" t="s">
        <v>225</v>
      </c>
      <c r="D21" s="64" t="s">
        <v>226</v>
      </c>
      <c r="G21" s="65" t="s">
        <v>227</v>
      </c>
      <c r="J21" s="62">
        <v>3900</v>
      </c>
      <c r="K21" s="62"/>
    </row>
    <row r="22" spans="2:11" ht="7" customHeight="1" x14ac:dyDescent="0.2">
      <c r="B22" s="66"/>
      <c r="D22" s="64"/>
      <c r="G22" s="65"/>
      <c r="J22" s="62"/>
      <c r="K22" s="62"/>
    </row>
    <row r="23" spans="2:11" x14ac:dyDescent="0.2">
      <c r="B23" s="59" t="s">
        <v>228</v>
      </c>
      <c r="D23" s="64"/>
      <c r="G23" s="65"/>
      <c r="J23" s="62"/>
      <c r="K23" s="62"/>
    </row>
    <row r="24" spans="2:11" x14ac:dyDescent="0.2">
      <c r="B24" s="59" t="s">
        <v>229</v>
      </c>
      <c r="D24" s="64"/>
      <c r="G24" s="65"/>
      <c r="J24" s="62"/>
      <c r="K24" s="62"/>
    </row>
    <row r="25" spans="2:11" x14ac:dyDescent="0.2">
      <c r="B25" s="63" t="s">
        <v>230</v>
      </c>
      <c r="D25" s="64" t="s">
        <v>217</v>
      </c>
      <c r="G25" s="65" t="s">
        <v>231</v>
      </c>
      <c r="J25" s="62"/>
      <c r="K25" s="62">
        <v>2600</v>
      </c>
    </row>
    <row r="26" spans="2:11" x14ac:dyDescent="0.2">
      <c r="B26" s="66" t="s">
        <v>232</v>
      </c>
      <c r="D26" s="64" t="s">
        <v>233</v>
      </c>
      <c r="G26" s="65" t="s">
        <v>234</v>
      </c>
      <c r="J26" s="62">
        <v>2600</v>
      </c>
      <c r="K26" s="62">
        <v>6500</v>
      </c>
    </row>
    <row r="27" spans="2:11" x14ac:dyDescent="0.2">
      <c r="B27" s="66" t="s">
        <v>235</v>
      </c>
      <c r="D27" s="64" t="s">
        <v>236</v>
      </c>
      <c r="G27" s="65" t="s">
        <v>237</v>
      </c>
      <c r="J27" s="62">
        <v>6500</v>
      </c>
      <c r="K27" s="62">
        <v>10400</v>
      </c>
    </row>
    <row r="28" spans="2:11" x14ac:dyDescent="0.2">
      <c r="B28" s="66" t="s">
        <v>238</v>
      </c>
      <c r="D28" s="64" t="s">
        <v>239</v>
      </c>
      <c r="G28" s="65" t="s">
        <v>240</v>
      </c>
      <c r="H28" s="55"/>
      <c r="I28" s="55"/>
      <c r="J28" s="62">
        <v>10400</v>
      </c>
      <c r="K28" s="62"/>
    </row>
    <row r="29" spans="2:11" x14ac:dyDescent="0.2">
      <c r="B29" s="58"/>
      <c r="H29" s="55"/>
      <c r="I29" s="55"/>
    </row>
    <row r="30" spans="2:11" x14ac:dyDescent="0.2">
      <c r="B30" s="59"/>
    </row>
    <row r="31" spans="2:11" x14ac:dyDescent="0.2">
      <c r="B31" s="58" t="s">
        <v>241</v>
      </c>
    </row>
    <row r="32" spans="2:11" x14ac:dyDescent="0.2">
      <c r="B32" s="58" t="s">
        <v>242</v>
      </c>
    </row>
    <row r="33" spans="2:9" x14ac:dyDescent="0.2">
      <c r="B33" s="58" t="s">
        <v>243</v>
      </c>
    </row>
    <row r="34" spans="2:9" x14ac:dyDescent="0.2">
      <c r="B34" s="59" t="s">
        <v>244</v>
      </c>
    </row>
    <row r="35" spans="2:9" x14ac:dyDescent="0.2">
      <c r="B35" s="58"/>
    </row>
    <row r="36" spans="2:9" ht="16" x14ac:dyDescent="0.2">
      <c r="B36" s="56" t="s">
        <v>209</v>
      </c>
    </row>
    <row r="37" spans="2:9" x14ac:dyDescent="0.2">
      <c r="B37" s="58" t="s">
        <v>245</v>
      </c>
    </row>
    <row r="38" spans="2:9" x14ac:dyDescent="0.2">
      <c r="B38" s="58" t="s">
        <v>246</v>
      </c>
    </row>
    <row r="39" spans="2:9" ht="7" customHeight="1" x14ac:dyDescent="0.2">
      <c r="B39" s="58"/>
    </row>
    <row r="40" spans="2:9" x14ac:dyDescent="0.2">
      <c r="B40" s="59" t="s">
        <v>247</v>
      </c>
      <c r="G40" s="60" t="s">
        <v>214</v>
      </c>
    </row>
    <row r="41" spans="2:9" x14ac:dyDescent="0.2">
      <c r="B41" s="63" t="s">
        <v>248</v>
      </c>
      <c r="D41" s="64" t="s">
        <v>249</v>
      </c>
      <c r="G41" s="65" t="s">
        <v>250</v>
      </c>
    </row>
    <row r="42" spans="2:9" x14ac:dyDescent="0.2">
      <c r="B42" s="63" t="s">
        <v>251</v>
      </c>
      <c r="D42" s="64" t="s">
        <v>252</v>
      </c>
      <c r="G42" s="65" t="s">
        <v>253</v>
      </c>
    </row>
    <row r="43" spans="2:9" x14ac:dyDescent="0.2">
      <c r="B43" s="63" t="s">
        <v>254</v>
      </c>
      <c r="D43" s="64" t="s">
        <v>255</v>
      </c>
      <c r="G43" s="65" t="s">
        <v>256</v>
      </c>
    </row>
    <row r="44" spans="2:9" x14ac:dyDescent="0.2">
      <c r="B44" s="63" t="s">
        <v>257</v>
      </c>
      <c r="D44" s="64" t="s">
        <v>258</v>
      </c>
      <c r="G44" s="65" t="s">
        <v>259</v>
      </c>
    </row>
    <row r="46" spans="2:9" ht="16" x14ac:dyDescent="0.2">
      <c r="B46" s="56" t="s">
        <v>260</v>
      </c>
    </row>
    <row r="47" spans="2:9" x14ac:dyDescent="0.2">
      <c r="B47" s="67" t="s">
        <v>261</v>
      </c>
      <c r="C47" s="68"/>
      <c r="D47" s="68"/>
      <c r="E47" s="68"/>
      <c r="F47" s="68"/>
      <c r="G47" s="68"/>
      <c r="H47" s="69"/>
      <c r="I47" s="69"/>
    </row>
    <row r="48" spans="2:9" x14ac:dyDescent="0.2">
      <c r="B48" s="67" t="s">
        <v>262</v>
      </c>
      <c r="C48" s="68"/>
      <c r="D48" s="68"/>
      <c r="E48" s="68"/>
      <c r="F48" s="68"/>
      <c r="G48" s="68"/>
      <c r="H48" s="69"/>
      <c r="I48" s="69"/>
    </row>
    <row r="49" spans="2:11" x14ac:dyDescent="0.2">
      <c r="B49" s="70" t="s">
        <v>263</v>
      </c>
      <c r="C49" s="68"/>
      <c r="D49" s="68"/>
      <c r="E49" s="71">
        <v>0.95</v>
      </c>
      <c r="F49" s="72" t="s">
        <v>264</v>
      </c>
      <c r="G49" s="68"/>
      <c r="H49" s="69"/>
      <c r="I49" s="69"/>
    </row>
    <row r="50" spans="2:11" x14ac:dyDescent="0.2">
      <c r="B50" s="70" t="s">
        <v>265</v>
      </c>
      <c r="C50" s="68"/>
      <c r="D50" s="68"/>
      <c r="E50" s="71">
        <v>0.97</v>
      </c>
      <c r="F50" s="72" t="s">
        <v>266</v>
      </c>
      <c r="G50" s="68"/>
      <c r="H50" s="69"/>
      <c r="I50" s="69"/>
    </row>
    <row r="53" spans="2:11" x14ac:dyDescent="0.2">
      <c r="B53" s="2" t="s">
        <v>267</v>
      </c>
    </row>
    <row r="55" spans="2:11" ht="20" customHeight="1" x14ac:dyDescent="0.2">
      <c r="C55" s="399" t="s">
        <v>268</v>
      </c>
      <c r="D55" s="399"/>
      <c r="E55" s="400" t="s">
        <v>269</v>
      </c>
      <c r="F55" s="400"/>
      <c r="G55" s="399" t="s">
        <v>270</v>
      </c>
      <c r="H55" s="399" t="s">
        <v>271</v>
      </c>
      <c r="J55" s="73" t="s">
        <v>272</v>
      </c>
      <c r="K55" s="74">
        <v>26</v>
      </c>
    </row>
    <row r="56" spans="2:11" ht="25" customHeight="1" x14ac:dyDescent="0.2">
      <c r="B56" s="395" t="s">
        <v>273</v>
      </c>
      <c r="C56" s="75" t="s">
        <v>274</v>
      </c>
      <c r="D56" s="75" t="s">
        <v>275</v>
      </c>
      <c r="E56" s="75" t="s">
        <v>274</v>
      </c>
      <c r="F56" s="75" t="s">
        <v>276</v>
      </c>
      <c r="G56" s="399"/>
      <c r="H56" s="399"/>
      <c r="J56" s="397" t="s">
        <v>277</v>
      </c>
      <c r="K56" s="397"/>
    </row>
    <row r="57" spans="2:11" ht="15" customHeight="1" x14ac:dyDescent="0.2">
      <c r="B57" s="396"/>
      <c r="C57" s="76" t="s">
        <v>278</v>
      </c>
      <c r="D57" s="76" t="s">
        <v>279</v>
      </c>
      <c r="E57" s="76" t="s">
        <v>280</v>
      </c>
      <c r="F57" s="76" t="s">
        <v>281</v>
      </c>
      <c r="G57" s="76" t="s">
        <v>281</v>
      </c>
      <c r="H57" s="76"/>
      <c r="J57" s="77" t="s">
        <v>282</v>
      </c>
      <c r="K57" s="77" t="s">
        <v>283</v>
      </c>
    </row>
    <row r="58" spans="2:11" ht="5" customHeight="1" x14ac:dyDescent="0.2">
      <c r="B58" s="25"/>
      <c r="C58" s="17"/>
      <c r="D58" s="17"/>
      <c r="E58" s="17"/>
      <c r="F58" s="17"/>
      <c r="G58" s="17"/>
      <c r="H58" s="17"/>
    </row>
    <row r="59" spans="2:11" s="5" customFormat="1" ht="20" customHeight="1" x14ac:dyDescent="0.2">
      <c r="B59" s="78" t="s">
        <v>284</v>
      </c>
      <c r="C59" s="79">
        <f>26*300</f>
        <v>7800</v>
      </c>
      <c r="D59" s="79">
        <v>160000</v>
      </c>
      <c r="E59" s="79">
        <v>350</v>
      </c>
      <c r="F59" s="79">
        <v>25000</v>
      </c>
      <c r="G59" s="79">
        <f>D59+F59</f>
        <v>185000</v>
      </c>
      <c r="H59" s="79" t="s">
        <v>285</v>
      </c>
      <c r="J59" s="80">
        <f t="shared" ref="J59:J65" si="0">C59/$K$55</f>
        <v>300</v>
      </c>
      <c r="K59" s="80">
        <f t="shared" ref="K59:K65" si="1">E59/$K$55</f>
        <v>13.461538461538462</v>
      </c>
    </row>
    <row r="60" spans="2:11" s="5" customFormat="1" ht="20" customHeight="1" x14ac:dyDescent="0.2">
      <c r="B60" s="78" t="s">
        <v>286</v>
      </c>
      <c r="C60" s="79">
        <f>26*300</f>
        <v>7800</v>
      </c>
      <c r="D60" s="79">
        <v>160000</v>
      </c>
      <c r="E60" s="79">
        <v>420</v>
      </c>
      <c r="F60" s="79">
        <v>40000</v>
      </c>
      <c r="G60" s="79">
        <f t="shared" ref="G60:G65" si="2">D60+F60</f>
        <v>200000</v>
      </c>
      <c r="H60" s="79" t="s">
        <v>285</v>
      </c>
      <c r="J60" s="80">
        <f t="shared" si="0"/>
        <v>300</v>
      </c>
      <c r="K60" s="80">
        <f t="shared" si="1"/>
        <v>16.153846153846153</v>
      </c>
    </row>
    <row r="61" spans="2:11" s="5" customFormat="1" ht="20" customHeight="1" x14ac:dyDescent="0.2">
      <c r="B61" s="78" t="s">
        <v>287</v>
      </c>
      <c r="C61" s="79">
        <f>26*300</f>
        <v>7800</v>
      </c>
      <c r="D61" s="79">
        <v>160000</v>
      </c>
      <c r="E61" s="79">
        <v>50</v>
      </c>
      <c r="F61" s="79">
        <v>0</v>
      </c>
      <c r="G61" s="79">
        <f t="shared" si="2"/>
        <v>160000</v>
      </c>
      <c r="H61" s="79" t="s">
        <v>285</v>
      </c>
      <c r="J61" s="80">
        <f t="shared" si="0"/>
        <v>300</v>
      </c>
      <c r="K61" s="80">
        <f t="shared" si="1"/>
        <v>1.9230769230769231</v>
      </c>
    </row>
    <row r="62" spans="2:11" s="5" customFormat="1" ht="20" customHeight="1" x14ac:dyDescent="0.2">
      <c r="B62" s="78" t="s">
        <v>288</v>
      </c>
      <c r="C62" s="79">
        <f>26*110</f>
        <v>2860</v>
      </c>
      <c r="D62" s="79">
        <v>40000</v>
      </c>
      <c r="E62" s="79">
        <v>500</v>
      </c>
      <c r="F62" s="79">
        <v>40000</v>
      </c>
      <c r="G62" s="79">
        <f t="shared" si="2"/>
        <v>80000</v>
      </c>
      <c r="H62" s="79" t="s">
        <v>289</v>
      </c>
      <c r="J62" s="80">
        <f t="shared" si="0"/>
        <v>110</v>
      </c>
      <c r="K62" s="80">
        <f t="shared" si="1"/>
        <v>19.23076923076923</v>
      </c>
    </row>
    <row r="63" spans="2:11" s="5" customFormat="1" ht="20" customHeight="1" x14ac:dyDescent="0.2">
      <c r="B63" s="78" t="s">
        <v>290</v>
      </c>
      <c r="C63" s="79">
        <v>3500</v>
      </c>
      <c r="D63" s="79">
        <v>75000</v>
      </c>
      <c r="E63" s="79">
        <v>500</v>
      </c>
      <c r="F63" s="79">
        <v>40000</v>
      </c>
      <c r="G63" s="79">
        <f t="shared" si="2"/>
        <v>115000</v>
      </c>
      <c r="H63" s="79" t="s">
        <v>289</v>
      </c>
      <c r="J63" s="80">
        <f t="shared" si="0"/>
        <v>134.61538461538461</v>
      </c>
      <c r="K63" s="80">
        <f t="shared" si="1"/>
        <v>19.23076923076923</v>
      </c>
    </row>
    <row r="64" spans="2:11" s="5" customFormat="1" ht="20" customHeight="1" x14ac:dyDescent="0.2">
      <c r="B64" s="78" t="s">
        <v>291</v>
      </c>
      <c r="C64" s="79">
        <v>5000</v>
      </c>
      <c r="D64" s="79">
        <v>125000</v>
      </c>
      <c r="E64" s="79">
        <v>500</v>
      </c>
      <c r="F64" s="79">
        <v>40000</v>
      </c>
      <c r="G64" s="79">
        <f t="shared" si="2"/>
        <v>165000</v>
      </c>
      <c r="H64" s="79" t="s">
        <v>289</v>
      </c>
      <c r="J64" s="80">
        <f t="shared" si="0"/>
        <v>192.30769230769232</v>
      </c>
      <c r="K64" s="80">
        <f t="shared" si="1"/>
        <v>19.23076923076923</v>
      </c>
    </row>
    <row r="65" spans="2:11" s="5" customFormat="1" ht="20" customHeight="1" x14ac:dyDescent="0.2">
      <c r="B65" s="78" t="s">
        <v>292</v>
      </c>
      <c r="C65" s="79">
        <v>10500</v>
      </c>
      <c r="D65" s="79">
        <v>275000</v>
      </c>
      <c r="E65" s="79">
        <v>700</v>
      </c>
      <c r="F65" s="79">
        <v>60000</v>
      </c>
      <c r="G65" s="79">
        <f t="shared" si="2"/>
        <v>335000</v>
      </c>
      <c r="H65" s="79" t="s">
        <v>285</v>
      </c>
      <c r="J65" s="80">
        <f t="shared" si="0"/>
        <v>403.84615384615387</v>
      </c>
      <c r="K65" s="80">
        <f t="shared" si="1"/>
        <v>26.923076923076923</v>
      </c>
    </row>
    <row r="66" spans="2:11" x14ac:dyDescent="0.2">
      <c r="J66" s="69"/>
      <c r="K66" s="69"/>
    </row>
    <row r="68" spans="2:11" x14ac:dyDescent="0.2">
      <c r="B68" s="81"/>
    </row>
    <row r="69" spans="2:11" x14ac:dyDescent="0.2">
      <c r="B69" s="81" t="s">
        <v>273</v>
      </c>
      <c r="C69" s="82" t="s">
        <v>293</v>
      </c>
    </row>
    <row r="70" spans="2:11" x14ac:dyDescent="0.2">
      <c r="B70" s="81"/>
      <c r="C70" s="82" t="s">
        <v>294</v>
      </c>
    </row>
    <row r="71" spans="2:11" x14ac:dyDescent="0.2">
      <c r="B71" s="81"/>
      <c r="C71" s="82" t="s">
        <v>295</v>
      </c>
    </row>
    <row r="72" spans="2:11" x14ac:dyDescent="0.2">
      <c r="B72" s="81"/>
      <c r="C72" s="83" t="s">
        <v>296</v>
      </c>
      <c r="D72" s="84"/>
      <c r="E72" s="85" t="s">
        <v>297</v>
      </c>
      <c r="F72" s="84"/>
      <c r="G72" s="83" t="s">
        <v>298</v>
      </c>
      <c r="H72" s="83"/>
      <c r="I72" s="86"/>
    </row>
    <row r="73" spans="2:11" x14ac:dyDescent="0.2">
      <c r="B73" s="81"/>
      <c r="C73" s="86" t="s">
        <v>299</v>
      </c>
      <c r="E73" s="82" t="s">
        <v>151</v>
      </c>
      <c r="G73" s="86" t="s">
        <v>300</v>
      </c>
      <c r="H73" s="86"/>
      <c r="I73" s="86"/>
    </row>
    <row r="74" spans="2:11" x14ac:dyDescent="0.2">
      <c r="B74" s="81"/>
      <c r="C74" s="86" t="s">
        <v>301</v>
      </c>
      <c r="E74" s="82" t="s">
        <v>302</v>
      </c>
      <c r="G74" s="82"/>
    </row>
    <row r="75" spans="2:11" x14ac:dyDescent="0.2">
      <c r="B75" s="81"/>
      <c r="C75" s="87" t="s">
        <v>303</v>
      </c>
      <c r="D75" s="68"/>
      <c r="E75" s="72" t="s">
        <v>304</v>
      </c>
      <c r="G75" s="82"/>
    </row>
    <row r="76" spans="2:11" x14ac:dyDescent="0.2">
      <c r="B76" s="81"/>
    </row>
    <row r="77" spans="2:11" x14ac:dyDescent="0.2">
      <c r="B77" s="81" t="s">
        <v>305</v>
      </c>
      <c r="C77" s="82" t="s">
        <v>306</v>
      </c>
    </row>
    <row r="78" spans="2:11" x14ac:dyDescent="0.2">
      <c r="B78" s="81"/>
      <c r="C78" s="86" t="s">
        <v>307</v>
      </c>
    </row>
    <row r="79" spans="2:11" x14ac:dyDescent="0.2">
      <c r="B79" s="81"/>
      <c r="C79" s="86" t="s">
        <v>308</v>
      </c>
    </row>
    <row r="80" spans="2:11" x14ac:dyDescent="0.2">
      <c r="B80" s="81"/>
      <c r="C80" s="86" t="s">
        <v>309</v>
      </c>
    </row>
    <row r="81" spans="2:10" x14ac:dyDescent="0.2">
      <c r="B81" s="81"/>
      <c r="C81" s="86" t="s">
        <v>310</v>
      </c>
    </row>
    <row r="82" spans="2:10" x14ac:dyDescent="0.2">
      <c r="B82" s="81"/>
      <c r="C82" s="86" t="s">
        <v>311</v>
      </c>
      <c r="D82" s="82"/>
      <c r="E82" s="82"/>
      <c r="F82" s="82"/>
      <c r="G82" s="82"/>
    </row>
    <row r="83" spans="2:10" x14ac:dyDescent="0.2">
      <c r="C83" s="82"/>
      <c r="D83" s="398" t="s">
        <v>297</v>
      </c>
      <c r="E83" s="398"/>
      <c r="F83" s="398"/>
    </row>
    <row r="84" spans="2:10" x14ac:dyDescent="0.2">
      <c r="C84" s="88" t="s">
        <v>270</v>
      </c>
      <c r="D84" s="88" t="s">
        <v>151</v>
      </c>
      <c r="E84" s="88" t="s">
        <v>152</v>
      </c>
      <c r="F84" s="88" t="s">
        <v>153</v>
      </c>
      <c r="G84" s="83" t="s">
        <v>298</v>
      </c>
    </row>
    <row r="85" spans="2:10" x14ac:dyDescent="0.2">
      <c r="C85" s="89">
        <f t="shared" ref="C85:C91" si="3">G59</f>
        <v>185000</v>
      </c>
      <c r="D85" s="89">
        <f>C85*55%</f>
        <v>101750.00000000001</v>
      </c>
      <c r="E85" s="89">
        <f>C85*45%</f>
        <v>83250</v>
      </c>
      <c r="F85" s="89"/>
      <c r="G85" s="86" t="s">
        <v>312</v>
      </c>
    </row>
    <row r="86" spans="2:10" x14ac:dyDescent="0.2">
      <c r="C86" s="89">
        <f t="shared" si="3"/>
        <v>200000</v>
      </c>
      <c r="D86" s="89">
        <f>C86*55%</f>
        <v>110000.00000000001</v>
      </c>
      <c r="E86" s="89">
        <f>C86*45%</f>
        <v>90000</v>
      </c>
      <c r="F86" s="89"/>
      <c r="G86" s="86" t="s">
        <v>312</v>
      </c>
    </row>
    <row r="87" spans="2:10" x14ac:dyDescent="0.2">
      <c r="C87" s="89">
        <f t="shared" si="3"/>
        <v>160000</v>
      </c>
      <c r="D87" s="89">
        <f>C87*55%</f>
        <v>88000</v>
      </c>
      <c r="E87" s="89">
        <f>C87*45%</f>
        <v>72000</v>
      </c>
      <c r="F87" s="89"/>
      <c r="G87" s="86" t="s">
        <v>312</v>
      </c>
    </row>
    <row r="88" spans="2:10" x14ac:dyDescent="0.2">
      <c r="C88" s="89">
        <f t="shared" si="3"/>
        <v>80000</v>
      </c>
      <c r="D88" s="89">
        <f>C88*100%</f>
        <v>80000</v>
      </c>
      <c r="E88" s="89"/>
      <c r="F88" s="89"/>
      <c r="G88" s="86" t="s">
        <v>313</v>
      </c>
    </row>
    <row r="89" spans="2:10" x14ac:dyDescent="0.2">
      <c r="C89" s="89">
        <f t="shared" si="3"/>
        <v>115000</v>
      </c>
      <c r="D89" s="89">
        <f>C89*100%</f>
        <v>115000</v>
      </c>
      <c r="E89" s="89"/>
      <c r="F89" s="89"/>
      <c r="G89" s="86" t="s">
        <v>313</v>
      </c>
    </row>
    <row r="90" spans="2:10" x14ac:dyDescent="0.2">
      <c r="C90" s="89">
        <f t="shared" si="3"/>
        <v>165000</v>
      </c>
      <c r="D90" s="89">
        <f>C90*100%</f>
        <v>165000</v>
      </c>
      <c r="E90" s="89"/>
      <c r="F90" s="89"/>
      <c r="G90" s="86" t="s">
        <v>313</v>
      </c>
    </row>
    <row r="91" spans="2:10" x14ac:dyDescent="0.2">
      <c r="C91" s="89">
        <f t="shared" si="3"/>
        <v>335000</v>
      </c>
      <c r="D91" s="89">
        <f>C91*55%</f>
        <v>184250.00000000003</v>
      </c>
      <c r="E91" s="89">
        <f>C91*45%</f>
        <v>150750</v>
      </c>
      <c r="F91" s="89"/>
      <c r="G91" s="86" t="s">
        <v>312</v>
      </c>
    </row>
    <row r="94" spans="2:10" x14ac:dyDescent="0.2">
      <c r="B94" s="90"/>
      <c r="C94" s="84"/>
      <c r="D94" s="84"/>
      <c r="E94" s="84"/>
      <c r="F94" s="84"/>
      <c r="G94" s="84"/>
      <c r="H94" s="90"/>
      <c r="I94" s="90"/>
      <c r="J94" s="90"/>
    </row>
  </sheetData>
  <mergeCells count="7">
    <mergeCell ref="B56:B57"/>
    <mergeCell ref="J56:K56"/>
    <mergeCell ref="D83:F83"/>
    <mergeCell ref="C55:D55"/>
    <mergeCell ref="E55:F55"/>
    <mergeCell ref="G55:G56"/>
    <mergeCell ref="H55:H56"/>
  </mergeCells>
  <pageMargins left="0.25" right="0.25" top="0.25" bottom="0.25" header="0.2" footer="0.15"/>
  <pageSetup scale="85" orientation="landscape" r:id="rId1"/>
  <rowBreaks count="2" manualBreakCount="2">
    <brk id="35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Skema Insentif GT</vt:lpstr>
      <vt:lpstr>Canvasser</vt:lpstr>
      <vt:lpstr>TO</vt:lpstr>
      <vt:lpstr>Mix</vt:lpstr>
      <vt:lpstr>ASS</vt:lpstr>
      <vt:lpstr>ASM</vt:lpstr>
      <vt:lpstr>RSM</vt:lpstr>
      <vt:lpstr>NSM</vt:lpstr>
      <vt:lpstr>Sales SPV (MT)</vt:lpstr>
      <vt:lpstr>Skema Insentif MT HRC DT</vt:lpstr>
      <vt:lpstr>Sales Team (MT)</vt:lpstr>
      <vt:lpstr>Sales Team (Horeca)</vt:lpstr>
      <vt:lpstr>Sales SPV (Horeca)</vt:lpstr>
      <vt:lpstr>Delivery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Agus Sugiman</cp:lastModifiedBy>
  <cp:lastPrinted>2026-01-18T18:11:56Z</cp:lastPrinted>
  <dcterms:created xsi:type="dcterms:W3CDTF">2015-06-05T18:17:20Z</dcterms:created>
  <dcterms:modified xsi:type="dcterms:W3CDTF">2026-06-08T02:10:56Z</dcterms:modified>
</cp:coreProperties>
</file>