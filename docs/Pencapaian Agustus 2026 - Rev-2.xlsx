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s/Projects/prototype/lahans-insentif/web/docs/"/>
    </mc:Choice>
  </mc:AlternateContent>
  <xr:revisionPtr revIDLastSave="0" documentId="13_ncr:1_{0FA15A70-B574-A545-9353-0CA4724B925E}" xr6:coauthVersionLast="47" xr6:coauthVersionMax="47" xr10:uidLastSave="{00000000-0000-0000-0000-000000000000}"/>
  <bookViews>
    <workbookView xWindow="0" yWindow="500" windowWidth="38400" windowHeight="19960" xr2:uid="{78239061-3560-4528-AB0E-E2AEB00EE6A1}"/>
  </bookViews>
  <sheets>
    <sheet name="Rekap Insentif Sales Copy" sheetId="32" r:id="rId1"/>
    <sheet name="Rekap Insentif ASM" sheetId="14" r:id="rId2"/>
    <sheet name="Pencapaian ASM" sheetId="13" r:id="rId3"/>
    <sheet name="Rekap Insentif Sales" sheetId="24" r:id="rId4"/>
    <sheet name="Pencapaian Sales Value" sheetId="2" r:id="rId5"/>
    <sheet name="Pencapaian Product Focus" sheetId="4" r:id="rId6"/>
    <sheet name="Pencapaian Effective Call" sheetId="19" r:id="rId7"/>
    <sheet name="Pencapaian New Open Outlet" sheetId="20" r:id="rId8"/>
    <sheet name="Pencapaian Active Outlet" sheetId="3" r:id="rId9"/>
    <sheet name="Pencapaian Item per Outlet" sheetId="21" r:id="rId10"/>
    <sheet name="Pencapaian Product Display" sheetId="26" r:id="rId11"/>
    <sheet name="Pencapaian Sales Contract" sheetId="27" r:id="rId12"/>
    <sheet name="Pencapaian Co-Branding" sheetId="28" r:id="rId13"/>
    <sheet name="Pencapaian Join Event Activity" sheetId="29" r:id="rId14"/>
    <sheet name="Pencapaian Loading &amp; Drop Point" sheetId="30" r:id="rId15"/>
    <sheet name="Pencairan JABAR-1" sheetId="5" r:id="rId16"/>
    <sheet name="Pencairan JABAR-2" sheetId="18" r:id="rId17"/>
    <sheet name="Pencairan JABAR-3" sheetId="25" r:id="rId18"/>
    <sheet name="Pencairan JATENG" sheetId="11" r:id="rId19"/>
    <sheet name="Pencairan JATIM" sheetId="12" r:id="rId20"/>
    <sheet name="Pencairan LP" sheetId="31" r:id="rId21"/>
    <sheet name="Pencairan ASM" sheetId="16" r:id="rId22"/>
    <sheet name="Sales Team" sheetId="8" r:id="rId23"/>
  </sheets>
  <externalReferences>
    <externalReference r:id="rId24"/>
  </externalReferences>
  <definedNames>
    <definedName name="_xlnm._FilterDatabase" localSheetId="8" hidden="1">'Pencapaian Active Outlet'!$B$3:$K$58</definedName>
    <definedName name="_xlnm._FilterDatabase" localSheetId="6" hidden="1">'Pencapaian Effective Call'!$B$3:$K$58</definedName>
    <definedName name="_xlnm._FilterDatabase" localSheetId="7" hidden="1">'Pencapaian New Open Outlet'!$B$3:$K$58</definedName>
    <definedName name="ASM_PP">'[1]Pencapaian ASM ALL Q2 '!$C$24:$Q$27</definedName>
    <definedName name="ASM_RO">'[1]Pencapaian ASM ALL Q2 '!$C$15:$K$18</definedName>
    <definedName name="ASM_SV">'[1]Pencapaian ASM ALL Q2 '!$C$6:$N$9</definedName>
    <definedName name="PP_JAB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44" i="32" l="1"/>
  <c r="AT343" i="32"/>
  <c r="AN338" i="32"/>
  <c r="AM338" i="32"/>
  <c r="AL338" i="32"/>
  <c r="AK338" i="32"/>
  <c r="AJ338" i="32"/>
  <c r="AI338" i="32"/>
  <c r="AH338" i="32"/>
  <c r="AG338" i="32"/>
  <c r="AF338" i="32"/>
  <c r="AE338" i="32"/>
  <c r="AD338" i="32"/>
  <c r="AC338" i="32"/>
  <c r="AB338" i="32"/>
  <c r="AA338" i="32"/>
  <c r="Z338" i="32"/>
  <c r="Y338" i="32"/>
  <c r="X338" i="32"/>
  <c r="W338" i="32"/>
  <c r="V338" i="32"/>
  <c r="U338" i="32"/>
  <c r="T338" i="32"/>
  <c r="AV337" i="32"/>
  <c r="AV338" i="32" s="1"/>
  <c r="AN337" i="32"/>
  <c r="AM337" i="32"/>
  <c r="AL337" i="32"/>
  <c r="AK337" i="32"/>
  <c r="AJ337" i="32"/>
  <c r="AI337" i="32"/>
  <c r="AH337" i="32"/>
  <c r="AG337" i="32"/>
  <c r="AF337" i="32"/>
  <c r="AE337" i="32"/>
  <c r="AD337" i="32"/>
  <c r="AC337" i="32"/>
  <c r="AB337" i="32"/>
  <c r="AA337" i="32"/>
  <c r="Z337" i="32"/>
  <c r="Y337" i="32"/>
  <c r="X337" i="32"/>
  <c r="W337" i="32"/>
  <c r="V337" i="32"/>
  <c r="U337" i="32"/>
  <c r="T337" i="32"/>
  <c r="AS336" i="32"/>
  <c r="AQ336" i="32"/>
  <c r="AO336" i="32"/>
  <c r="AN336" i="32"/>
  <c r="AM336" i="32"/>
  <c r="AL336" i="32"/>
  <c r="AK336" i="32"/>
  <c r="AJ336" i="32"/>
  <c r="AI336" i="32"/>
  <c r="AH336" i="32"/>
  <c r="AG336" i="32"/>
  <c r="AF336" i="32"/>
  <c r="AE336" i="32"/>
  <c r="AD336" i="32"/>
  <c r="AC336" i="32"/>
  <c r="AB336" i="32"/>
  <c r="AA336" i="32"/>
  <c r="Z336" i="32"/>
  <c r="Y336" i="32"/>
  <c r="X336" i="32"/>
  <c r="W336" i="32"/>
  <c r="V336" i="32"/>
  <c r="U336" i="32"/>
  <c r="T336" i="32"/>
  <c r="AS335" i="32"/>
  <c r="AQ335" i="32"/>
  <c r="AN335" i="32"/>
  <c r="AM335" i="32"/>
  <c r="AL335" i="32"/>
  <c r="AK335" i="32"/>
  <c r="AJ335" i="32"/>
  <c r="AI335" i="32"/>
  <c r="AH335" i="32"/>
  <c r="AG335" i="32"/>
  <c r="AF335" i="32"/>
  <c r="AE335" i="32"/>
  <c r="AD335" i="32"/>
  <c r="AC335" i="32"/>
  <c r="AB335" i="32"/>
  <c r="AA335" i="32"/>
  <c r="Z335" i="32"/>
  <c r="Y335" i="32"/>
  <c r="X335" i="32"/>
  <c r="W335" i="32"/>
  <c r="V335" i="32"/>
  <c r="U335" i="32"/>
  <c r="T335" i="32"/>
  <c r="AS334" i="32"/>
  <c r="AQ334" i="32"/>
  <c r="AN334" i="32"/>
  <c r="AM334" i="32"/>
  <c r="AL334" i="32"/>
  <c r="AK334" i="32"/>
  <c r="AJ334" i="32"/>
  <c r="AI334" i="32"/>
  <c r="AH334" i="32"/>
  <c r="AG334" i="32"/>
  <c r="AF334" i="32"/>
  <c r="AE334" i="32"/>
  <c r="AD334" i="32"/>
  <c r="AC334" i="32"/>
  <c r="AB334" i="32"/>
  <c r="AA334" i="32"/>
  <c r="Z334" i="32"/>
  <c r="Y334" i="32"/>
  <c r="X334" i="32"/>
  <c r="W334" i="32"/>
  <c r="V334" i="32"/>
  <c r="U334" i="32"/>
  <c r="T334" i="32"/>
  <c r="AS333" i="32"/>
  <c r="AQ333" i="32"/>
  <c r="AN333" i="32"/>
  <c r="AM333" i="32"/>
  <c r="AL333" i="32"/>
  <c r="AK333" i="32"/>
  <c r="AJ333" i="32"/>
  <c r="AI333" i="32"/>
  <c r="AH333" i="32"/>
  <c r="AG333" i="32"/>
  <c r="AF333" i="32"/>
  <c r="AE333" i="32"/>
  <c r="AD333" i="32"/>
  <c r="AC333" i="32"/>
  <c r="AB333" i="32"/>
  <c r="AA333" i="32"/>
  <c r="Z333" i="32"/>
  <c r="Y333" i="32"/>
  <c r="X333" i="32"/>
  <c r="W333" i="32"/>
  <c r="V333" i="32"/>
  <c r="U333" i="32"/>
  <c r="T333" i="32"/>
  <c r="AS332" i="32"/>
  <c r="AQ332" i="32"/>
  <c r="AN332" i="32"/>
  <c r="AM332" i="32"/>
  <c r="AL332" i="32"/>
  <c r="AK332" i="32"/>
  <c r="AJ332" i="32"/>
  <c r="AI332" i="32"/>
  <c r="AH332" i="32"/>
  <c r="AG332" i="32"/>
  <c r="AF332" i="32"/>
  <c r="AE332" i="32"/>
  <c r="AD332" i="32"/>
  <c r="AC332" i="32"/>
  <c r="AB332" i="32"/>
  <c r="AA332" i="32"/>
  <c r="Z332" i="32"/>
  <c r="Y332" i="32"/>
  <c r="X332" i="32"/>
  <c r="W332" i="32"/>
  <c r="V332" i="32"/>
  <c r="U332" i="32"/>
  <c r="T332" i="32"/>
  <c r="AS331" i="32"/>
  <c r="AQ331" i="32"/>
  <c r="AN331" i="32"/>
  <c r="AM331" i="32"/>
  <c r="AL331" i="32"/>
  <c r="AK331" i="32"/>
  <c r="AJ331" i="32"/>
  <c r="AI331" i="32"/>
  <c r="AH331" i="32"/>
  <c r="AG331" i="32"/>
  <c r="AF331" i="32"/>
  <c r="AE331" i="32"/>
  <c r="AD331" i="32"/>
  <c r="AC331" i="32"/>
  <c r="AB331" i="32"/>
  <c r="AA331" i="32"/>
  <c r="Z331" i="32"/>
  <c r="Y331" i="32"/>
  <c r="X331" i="32"/>
  <c r="W331" i="32"/>
  <c r="V331" i="32"/>
  <c r="U331" i="32"/>
  <c r="T331" i="32"/>
  <c r="AS330" i="32"/>
  <c r="AQ330" i="32"/>
  <c r="AN330" i="32"/>
  <c r="AM330" i="32"/>
  <c r="AL330" i="32"/>
  <c r="AK330" i="32"/>
  <c r="AJ330" i="32"/>
  <c r="AI330" i="32"/>
  <c r="AH330" i="32"/>
  <c r="AG330" i="32"/>
  <c r="AF330" i="32"/>
  <c r="AE330" i="32"/>
  <c r="AD330" i="32"/>
  <c r="AC330" i="32"/>
  <c r="AB330" i="32"/>
  <c r="AA330" i="32"/>
  <c r="Z330" i="32"/>
  <c r="Y330" i="32"/>
  <c r="X330" i="32"/>
  <c r="W330" i="32"/>
  <c r="V330" i="32"/>
  <c r="U330" i="32"/>
  <c r="T330" i="32"/>
  <c r="AS329" i="32"/>
  <c r="AQ329" i="32"/>
  <c r="AN329" i="32"/>
  <c r="AM329" i="32"/>
  <c r="AL329" i="32"/>
  <c r="AK329" i="32"/>
  <c r="AJ329" i="32"/>
  <c r="AI329" i="32"/>
  <c r="AH329" i="32"/>
  <c r="AG329" i="32"/>
  <c r="AF329" i="32"/>
  <c r="AE329" i="32"/>
  <c r="AD329" i="32"/>
  <c r="AC329" i="32"/>
  <c r="AB329" i="32"/>
  <c r="AA329" i="32"/>
  <c r="Z329" i="32"/>
  <c r="Y329" i="32"/>
  <c r="X329" i="32"/>
  <c r="W329" i="32"/>
  <c r="V329" i="32"/>
  <c r="U329" i="32"/>
  <c r="T329" i="32"/>
  <c r="AS328" i="32"/>
  <c r="AQ328" i="32"/>
  <c r="AN328" i="32"/>
  <c r="AM328" i="32"/>
  <c r="AL328" i="32"/>
  <c r="AO328" i="32" s="1"/>
  <c r="AK328" i="32"/>
  <c r="AJ328" i="32"/>
  <c r="AI328" i="32"/>
  <c r="AH328" i="32"/>
  <c r="AG328" i="32"/>
  <c r="AF328" i="32"/>
  <c r="AE328" i="32"/>
  <c r="AD328" i="32"/>
  <c r="AC328" i="32"/>
  <c r="AB328" i="32"/>
  <c r="AA328" i="32"/>
  <c r="Z328" i="32"/>
  <c r="Y328" i="32"/>
  <c r="X328" i="32"/>
  <c r="W328" i="32"/>
  <c r="V328" i="32"/>
  <c r="U328" i="32"/>
  <c r="T328" i="32"/>
  <c r="AS327" i="32"/>
  <c r="AQ327" i="32"/>
  <c r="AN327" i="32"/>
  <c r="AM327" i="32"/>
  <c r="AL327" i="32"/>
  <c r="AK327" i="32"/>
  <c r="AJ327" i="32"/>
  <c r="AI327" i="32"/>
  <c r="AH327" i="32"/>
  <c r="AG327" i="32"/>
  <c r="AF327" i="32"/>
  <c r="AE327" i="32"/>
  <c r="AD327" i="32"/>
  <c r="AC327" i="32"/>
  <c r="AB327" i="32"/>
  <c r="AA327" i="32"/>
  <c r="Z327" i="32"/>
  <c r="Y327" i="32"/>
  <c r="X327" i="32"/>
  <c r="W327" i="32"/>
  <c r="V327" i="32"/>
  <c r="U327" i="32"/>
  <c r="T327" i="32"/>
  <c r="AS326" i="32"/>
  <c r="AQ326" i="32"/>
  <c r="AN326" i="32"/>
  <c r="AM326" i="32"/>
  <c r="AL326" i="32"/>
  <c r="AK326" i="32"/>
  <c r="AJ326" i="32"/>
  <c r="AI326" i="32"/>
  <c r="AH326" i="32"/>
  <c r="AG326" i="32"/>
  <c r="AF326" i="32"/>
  <c r="AE326" i="32"/>
  <c r="AD326" i="32"/>
  <c r="AC326" i="32"/>
  <c r="AB326" i="32"/>
  <c r="AA326" i="32"/>
  <c r="Z326" i="32"/>
  <c r="Y326" i="32"/>
  <c r="X326" i="32"/>
  <c r="W326" i="32"/>
  <c r="V326" i="32"/>
  <c r="U326" i="32"/>
  <c r="T326" i="32"/>
  <c r="AS325" i="32"/>
  <c r="AQ325" i="32"/>
  <c r="AN325" i="32"/>
  <c r="AM325" i="32"/>
  <c r="AL325" i="32"/>
  <c r="AK325" i="32"/>
  <c r="AJ325" i="32"/>
  <c r="AI325" i="32"/>
  <c r="AH325" i="32"/>
  <c r="AG325" i="32"/>
  <c r="AF325" i="32"/>
  <c r="AE325" i="32"/>
  <c r="AD325" i="32"/>
  <c r="AC325" i="32"/>
  <c r="AB325" i="32"/>
  <c r="AA325" i="32"/>
  <c r="Z325" i="32"/>
  <c r="Y325" i="32"/>
  <c r="X325" i="32"/>
  <c r="W325" i="32"/>
  <c r="V325" i="32"/>
  <c r="U325" i="32"/>
  <c r="T325" i="32"/>
  <c r="AN315" i="32"/>
  <c r="AM315" i="32"/>
  <c r="AL315" i="32"/>
  <c r="AO315" i="32" s="1"/>
  <c r="AK315" i="32"/>
  <c r="AJ315" i="32"/>
  <c r="AI315" i="32"/>
  <c r="AH315" i="32"/>
  <c r="AG315" i="32"/>
  <c r="AF315" i="32"/>
  <c r="AE315" i="32"/>
  <c r="AD315" i="32"/>
  <c r="AC315" i="32"/>
  <c r="AB315" i="32"/>
  <c r="AA315" i="32"/>
  <c r="Z315" i="32"/>
  <c r="Y315" i="32"/>
  <c r="X315" i="32"/>
  <c r="W315" i="32"/>
  <c r="V315" i="32"/>
  <c r="U315" i="32"/>
  <c r="T315" i="32"/>
  <c r="AN314" i="32"/>
  <c r="AM314" i="32"/>
  <c r="AL314" i="32"/>
  <c r="AK314" i="32"/>
  <c r="AJ314" i="32"/>
  <c r="AI314" i="32"/>
  <c r="AH314" i="32"/>
  <c r="AG314" i="32"/>
  <c r="AF314" i="32"/>
  <c r="AE314" i="32"/>
  <c r="AD314" i="32"/>
  <c r="AC314" i="32"/>
  <c r="AB314" i="32"/>
  <c r="AA314" i="32"/>
  <c r="Z314" i="32"/>
  <c r="Y314" i="32"/>
  <c r="X314" i="32"/>
  <c r="W314" i="32"/>
  <c r="V314" i="32"/>
  <c r="U314" i="32"/>
  <c r="T314" i="32"/>
  <c r="AV313" i="32"/>
  <c r="AN313" i="32"/>
  <c r="AM313" i="32"/>
  <c r="AL313" i="32"/>
  <c r="AK313" i="32"/>
  <c r="AJ313" i="32"/>
  <c r="AI313" i="32"/>
  <c r="AH313" i="32"/>
  <c r="AG313" i="32"/>
  <c r="AF313" i="32"/>
  <c r="AE313" i="32"/>
  <c r="AD313" i="32"/>
  <c r="AC313" i="32"/>
  <c r="AB313" i="32"/>
  <c r="AA313" i="32"/>
  <c r="Z313" i="32"/>
  <c r="Y313" i="32"/>
  <c r="X313" i="32"/>
  <c r="W313" i="32"/>
  <c r="V313" i="32"/>
  <c r="U313" i="32"/>
  <c r="T313" i="32"/>
  <c r="AS312" i="32"/>
  <c r="AQ312" i="32"/>
  <c r="AN312" i="32"/>
  <c r="AM312" i="32"/>
  <c r="AL312" i="32"/>
  <c r="AK312" i="32"/>
  <c r="AJ312" i="32"/>
  <c r="AI312" i="32"/>
  <c r="AH312" i="32"/>
  <c r="AG312" i="32"/>
  <c r="AF312" i="32"/>
  <c r="AE312" i="32"/>
  <c r="AD312" i="32"/>
  <c r="AC312" i="32"/>
  <c r="AB312" i="32"/>
  <c r="AA312" i="32"/>
  <c r="Z312" i="32"/>
  <c r="Y312" i="32"/>
  <c r="X312" i="32"/>
  <c r="W312" i="32"/>
  <c r="V312" i="32"/>
  <c r="U312" i="32"/>
  <c r="T312" i="32"/>
  <c r="AS311" i="32"/>
  <c r="AQ311" i="32"/>
  <c r="AN311" i="32"/>
  <c r="AM311" i="32"/>
  <c r="AL311" i="32"/>
  <c r="AK311" i="32"/>
  <c r="AJ311" i="32"/>
  <c r="AI311" i="32"/>
  <c r="AH311" i="32"/>
  <c r="AG311" i="32"/>
  <c r="AF311" i="32"/>
  <c r="AE311" i="32"/>
  <c r="AD311" i="32"/>
  <c r="AC311" i="32"/>
  <c r="AB311" i="32"/>
  <c r="AA311" i="32"/>
  <c r="Z311" i="32"/>
  <c r="Y311" i="32"/>
  <c r="X311" i="32"/>
  <c r="W311" i="32"/>
  <c r="V311" i="32"/>
  <c r="U311" i="32"/>
  <c r="T311" i="32"/>
  <c r="AS310" i="32"/>
  <c r="AQ310" i="32"/>
  <c r="AN310" i="32"/>
  <c r="AM310" i="32"/>
  <c r="AL310" i="32"/>
  <c r="AK310" i="32"/>
  <c r="AJ310" i="32"/>
  <c r="AI310" i="32"/>
  <c r="AH310" i="32"/>
  <c r="AG310" i="32"/>
  <c r="AF310" i="32"/>
  <c r="AE310" i="32"/>
  <c r="AD310" i="32"/>
  <c r="AC310" i="32"/>
  <c r="AB310" i="32"/>
  <c r="AA310" i="32"/>
  <c r="Z310" i="32"/>
  <c r="Y310" i="32"/>
  <c r="X310" i="32"/>
  <c r="W310" i="32"/>
  <c r="V310" i="32"/>
  <c r="U310" i="32"/>
  <c r="T310" i="32"/>
  <c r="AS309" i="32"/>
  <c r="AQ309" i="32"/>
  <c r="AN309" i="32"/>
  <c r="AM309" i="32"/>
  <c r="AL309" i="32"/>
  <c r="AK309" i="32"/>
  <c r="AJ309" i="32"/>
  <c r="AI309" i="32"/>
  <c r="AH309" i="32"/>
  <c r="AG309" i="32"/>
  <c r="AF309" i="32"/>
  <c r="AE309" i="32"/>
  <c r="AD309" i="32"/>
  <c r="AC309" i="32"/>
  <c r="AB309" i="32"/>
  <c r="AA309" i="32"/>
  <c r="Z309" i="32"/>
  <c r="Y309" i="32"/>
  <c r="X309" i="32"/>
  <c r="W309" i="32"/>
  <c r="V309" i="32"/>
  <c r="U309" i="32"/>
  <c r="T309" i="32"/>
  <c r="AS308" i="32"/>
  <c r="AQ308" i="32"/>
  <c r="AN308" i="32"/>
  <c r="AM308" i="32"/>
  <c r="AL308" i="32"/>
  <c r="AO308" i="32" s="1"/>
  <c r="AK308" i="32"/>
  <c r="AJ308" i="32"/>
  <c r="AI308" i="32"/>
  <c r="AH308" i="32"/>
  <c r="AG308" i="32"/>
  <c r="AF308" i="32"/>
  <c r="AE308" i="32"/>
  <c r="AD308" i="32"/>
  <c r="AC308" i="32"/>
  <c r="AB308" i="32"/>
  <c r="AA308" i="32"/>
  <c r="Z308" i="32"/>
  <c r="Y308" i="32"/>
  <c r="X308" i="32"/>
  <c r="W308" i="32"/>
  <c r="V308" i="32"/>
  <c r="U308" i="32"/>
  <c r="T308" i="32"/>
  <c r="AV307" i="32"/>
  <c r="AN307" i="32"/>
  <c r="AM307" i="32"/>
  <c r="AL307" i="32"/>
  <c r="AK307" i="32"/>
  <c r="AJ307" i="32"/>
  <c r="AI307" i="32"/>
  <c r="AH307" i="32"/>
  <c r="AG307" i="32"/>
  <c r="AF307" i="32"/>
  <c r="AE307" i="32"/>
  <c r="AD307" i="32"/>
  <c r="AC307" i="32"/>
  <c r="AB307" i="32"/>
  <c r="AA307" i="32"/>
  <c r="Z307" i="32"/>
  <c r="Y307" i="32"/>
  <c r="X307" i="32"/>
  <c r="W307" i="32"/>
  <c r="V307" i="32"/>
  <c r="U307" i="32"/>
  <c r="T307" i="32"/>
  <c r="AS306" i="32"/>
  <c r="AQ306" i="32"/>
  <c r="AN306" i="32"/>
  <c r="AM306" i="32"/>
  <c r="AL306" i="32"/>
  <c r="AK306" i="32"/>
  <c r="AJ306" i="32"/>
  <c r="AI306" i="32"/>
  <c r="AH306" i="32"/>
  <c r="AG306" i="32"/>
  <c r="AF306" i="32"/>
  <c r="AE306" i="32"/>
  <c r="AD306" i="32"/>
  <c r="AC306" i="32"/>
  <c r="AB306" i="32"/>
  <c r="AA306" i="32"/>
  <c r="Z306" i="32"/>
  <c r="Y306" i="32"/>
  <c r="X306" i="32"/>
  <c r="W306" i="32"/>
  <c r="V306" i="32"/>
  <c r="U306" i="32"/>
  <c r="T306" i="32"/>
  <c r="AS305" i="32"/>
  <c r="AQ305" i="32"/>
  <c r="AN305" i="32"/>
  <c r="AM305" i="32"/>
  <c r="AL305" i="32"/>
  <c r="AK305" i="32"/>
  <c r="AJ305" i="32"/>
  <c r="AI305" i="32"/>
  <c r="AH305" i="32"/>
  <c r="AG305" i="32"/>
  <c r="AF305" i="32"/>
  <c r="AE305" i="32"/>
  <c r="AD305" i="32"/>
  <c r="AC305" i="32"/>
  <c r="AB305" i="32"/>
  <c r="AA305" i="32"/>
  <c r="Z305" i="32"/>
  <c r="Y305" i="32"/>
  <c r="X305" i="32"/>
  <c r="W305" i="32"/>
  <c r="V305" i="32"/>
  <c r="U305" i="32"/>
  <c r="T305" i="32"/>
  <c r="AS304" i="32"/>
  <c r="AQ304" i="32"/>
  <c r="AN304" i="32"/>
  <c r="AM304" i="32"/>
  <c r="AL304" i="32"/>
  <c r="AK304" i="32"/>
  <c r="AJ304" i="32"/>
  <c r="AI304" i="32"/>
  <c r="AH304" i="32"/>
  <c r="AG304" i="32"/>
  <c r="AF304" i="32"/>
  <c r="AE304" i="32"/>
  <c r="AD304" i="32"/>
  <c r="AC304" i="32"/>
  <c r="AB304" i="32"/>
  <c r="AA304" i="32"/>
  <c r="Z304" i="32"/>
  <c r="Y304" i="32"/>
  <c r="X304" i="32"/>
  <c r="W304" i="32"/>
  <c r="V304" i="32"/>
  <c r="U304" i="32"/>
  <c r="T304" i="32"/>
  <c r="AS303" i="32"/>
  <c r="AQ303" i="32"/>
  <c r="AT303" i="32" s="1"/>
  <c r="AU303" i="32" s="1"/>
  <c r="AN303" i="32"/>
  <c r="AO303" i="32" s="1"/>
  <c r="AM303" i="32"/>
  <c r="AL303" i="32"/>
  <c r="AK303" i="32"/>
  <c r="AJ303" i="32"/>
  <c r="AI303" i="32"/>
  <c r="AH303" i="32"/>
  <c r="AG303" i="32"/>
  <c r="AF303" i="32"/>
  <c r="AE303" i="32"/>
  <c r="AD303" i="32"/>
  <c r="AC303" i="32"/>
  <c r="AB303" i="32"/>
  <c r="AA303" i="32"/>
  <c r="Z303" i="32"/>
  <c r="Y303" i="32"/>
  <c r="X303" i="32"/>
  <c r="W303" i="32"/>
  <c r="V303" i="32"/>
  <c r="U303" i="32"/>
  <c r="T303" i="32"/>
  <c r="AS302" i="32"/>
  <c r="AQ302" i="32"/>
  <c r="AN302" i="32"/>
  <c r="AM302" i="32"/>
  <c r="AL302" i="32"/>
  <c r="AK302" i="32"/>
  <c r="AJ302" i="32"/>
  <c r="AI302" i="32"/>
  <c r="AH302" i="32"/>
  <c r="AG302" i="32"/>
  <c r="AF302" i="32"/>
  <c r="AE302" i="32"/>
  <c r="AD302" i="32"/>
  <c r="AC302" i="32"/>
  <c r="AB302" i="32"/>
  <c r="AA302" i="32"/>
  <c r="Z302" i="32"/>
  <c r="Y302" i="32"/>
  <c r="X302" i="32"/>
  <c r="W302" i="32"/>
  <c r="V302" i="32"/>
  <c r="U302" i="32"/>
  <c r="T302" i="32"/>
  <c r="AS301" i="32"/>
  <c r="AQ301" i="32"/>
  <c r="AN301" i="32"/>
  <c r="AO301" i="32" s="1"/>
  <c r="AM301" i="32"/>
  <c r="AL301" i="32"/>
  <c r="AK301" i="32"/>
  <c r="AJ301" i="32"/>
  <c r="AI301" i="32"/>
  <c r="AH301" i="32"/>
  <c r="AG301" i="32"/>
  <c r="AF301" i="32"/>
  <c r="AE301" i="32"/>
  <c r="AD301" i="32"/>
  <c r="AC301" i="32"/>
  <c r="AB301" i="32"/>
  <c r="AA301" i="32"/>
  <c r="Z301" i="32"/>
  <c r="Y301" i="32"/>
  <c r="X301" i="32"/>
  <c r="W301" i="32"/>
  <c r="V301" i="32"/>
  <c r="U301" i="32"/>
  <c r="T301" i="32"/>
  <c r="AS300" i="32"/>
  <c r="AQ300" i="32"/>
  <c r="AN300" i="32"/>
  <c r="AM300" i="32"/>
  <c r="AL300" i="32"/>
  <c r="AK300" i="32"/>
  <c r="AJ300" i="32"/>
  <c r="AI300" i="32"/>
  <c r="AH300" i="32"/>
  <c r="AG300" i="32"/>
  <c r="AF300" i="32"/>
  <c r="AE300" i="32"/>
  <c r="AD300" i="32"/>
  <c r="AC300" i="32"/>
  <c r="AB300" i="32"/>
  <c r="AA300" i="32"/>
  <c r="Z300" i="32"/>
  <c r="Y300" i="32"/>
  <c r="X300" i="32"/>
  <c r="W300" i="32"/>
  <c r="V300" i="32"/>
  <c r="U300" i="32"/>
  <c r="T300" i="32"/>
  <c r="AV299" i="32"/>
  <c r="AN299" i="32"/>
  <c r="AM299" i="32"/>
  <c r="AL299" i="32"/>
  <c r="AK299" i="32"/>
  <c r="AJ299" i="32"/>
  <c r="AI299" i="32"/>
  <c r="AH299" i="32"/>
  <c r="AG299" i="32"/>
  <c r="AF299" i="32"/>
  <c r="AE299" i="32"/>
  <c r="AD299" i="32"/>
  <c r="AC299" i="32"/>
  <c r="AB299" i="32"/>
  <c r="AA299" i="32"/>
  <c r="Z299" i="32"/>
  <c r="Y299" i="32"/>
  <c r="X299" i="32"/>
  <c r="W299" i="32"/>
  <c r="V299" i="32"/>
  <c r="U299" i="32"/>
  <c r="T299" i="32"/>
  <c r="AS298" i="32"/>
  <c r="AQ298" i="32"/>
  <c r="AN298" i="32"/>
  <c r="AM298" i="32"/>
  <c r="AL298" i="32"/>
  <c r="AK298" i="32"/>
  <c r="AJ298" i="32"/>
  <c r="AI298" i="32"/>
  <c r="AH298" i="32"/>
  <c r="AG298" i="32"/>
  <c r="AF298" i="32"/>
  <c r="AE298" i="32"/>
  <c r="AD298" i="32"/>
  <c r="AC298" i="32"/>
  <c r="AB298" i="32"/>
  <c r="AA298" i="32"/>
  <c r="Z298" i="32"/>
  <c r="Y298" i="32"/>
  <c r="X298" i="32"/>
  <c r="W298" i="32"/>
  <c r="V298" i="32"/>
  <c r="U298" i="32"/>
  <c r="T298" i="32"/>
  <c r="AS297" i="32"/>
  <c r="AQ297" i="32"/>
  <c r="AN297" i="32"/>
  <c r="AM297" i="32"/>
  <c r="AL297" i="32"/>
  <c r="AK297" i="32"/>
  <c r="AJ297" i="32"/>
  <c r="AI297" i="32"/>
  <c r="AH297" i="32"/>
  <c r="AO297" i="32" s="1"/>
  <c r="AG297" i="32"/>
  <c r="AF297" i="32"/>
  <c r="AE297" i="32"/>
  <c r="AD297" i="32"/>
  <c r="AC297" i="32"/>
  <c r="AB297" i="32"/>
  <c r="AA297" i="32"/>
  <c r="Z297" i="32"/>
  <c r="Y297" i="32"/>
  <c r="X297" i="32"/>
  <c r="W297" i="32"/>
  <c r="V297" i="32"/>
  <c r="U297" i="32"/>
  <c r="T297" i="32"/>
  <c r="AS296" i="32"/>
  <c r="AQ296" i="32"/>
  <c r="AN296" i="32"/>
  <c r="AM296" i="32"/>
  <c r="AL296" i="32"/>
  <c r="AK296" i="32"/>
  <c r="AJ296" i="32"/>
  <c r="AI296" i="32"/>
  <c r="AH296" i="32"/>
  <c r="AG296" i="32"/>
  <c r="AF296" i="32"/>
  <c r="AE296" i="32"/>
  <c r="AD296" i="32"/>
  <c r="AC296" i="32"/>
  <c r="AB296" i="32"/>
  <c r="AA296" i="32"/>
  <c r="Z296" i="32"/>
  <c r="Y296" i="32"/>
  <c r="X296" i="32"/>
  <c r="W296" i="32"/>
  <c r="V296" i="32"/>
  <c r="U296" i="32"/>
  <c r="T296" i="32"/>
  <c r="AS295" i="32"/>
  <c r="AQ295" i="32"/>
  <c r="AN295" i="32"/>
  <c r="AM295" i="32"/>
  <c r="AL295" i="32"/>
  <c r="AK295" i="32"/>
  <c r="AJ295" i="32"/>
  <c r="AI295" i="32"/>
  <c r="AH295" i="32"/>
  <c r="AG295" i="32"/>
  <c r="AF295" i="32"/>
  <c r="AE295" i="32"/>
  <c r="AD295" i="32"/>
  <c r="AC295" i="32"/>
  <c r="AB295" i="32"/>
  <c r="AA295" i="32"/>
  <c r="Z295" i="32"/>
  <c r="Y295" i="32"/>
  <c r="X295" i="32"/>
  <c r="W295" i="32"/>
  <c r="V295" i="32"/>
  <c r="U295" i="32"/>
  <c r="T295" i="32"/>
  <c r="AS294" i="32"/>
  <c r="AQ294" i="32"/>
  <c r="AN294" i="32"/>
  <c r="AM294" i="32"/>
  <c r="AL294" i="32"/>
  <c r="AK294" i="32"/>
  <c r="AJ294" i="32"/>
  <c r="AI294" i="32"/>
  <c r="AH294" i="32"/>
  <c r="AG294" i="32"/>
  <c r="AF294" i="32"/>
  <c r="AE294" i="32"/>
  <c r="AD294" i="32"/>
  <c r="AC294" i="32"/>
  <c r="AB294" i="32"/>
  <c r="AA294" i="32"/>
  <c r="Z294" i="32"/>
  <c r="Y294" i="32"/>
  <c r="X294" i="32"/>
  <c r="W294" i="32"/>
  <c r="V294" i="32"/>
  <c r="U294" i="32"/>
  <c r="T294" i="32"/>
  <c r="AS293" i="32"/>
  <c r="AQ293" i="32"/>
  <c r="AN293" i="32"/>
  <c r="AO293" i="32" s="1"/>
  <c r="AM293" i="32"/>
  <c r="AL293" i="32"/>
  <c r="AK293" i="32"/>
  <c r="AJ293" i="32"/>
  <c r="AI293" i="32"/>
  <c r="AH293" i="32"/>
  <c r="AG293" i="32"/>
  <c r="AF293" i="32"/>
  <c r="AE293" i="32"/>
  <c r="AD293" i="32"/>
  <c r="AC293" i="32"/>
  <c r="AB293" i="32"/>
  <c r="AA293" i="32"/>
  <c r="Z293" i="32"/>
  <c r="Y293" i="32"/>
  <c r="X293" i="32"/>
  <c r="W293" i="32"/>
  <c r="V293" i="32"/>
  <c r="U293" i="32"/>
  <c r="T293" i="32"/>
  <c r="AV292" i="32"/>
  <c r="AN292" i="32"/>
  <c r="AM292" i="32"/>
  <c r="AL292" i="32"/>
  <c r="AK292" i="32"/>
  <c r="AJ292" i="32"/>
  <c r="AI292" i="32"/>
  <c r="AH292" i="32"/>
  <c r="AG292" i="32"/>
  <c r="AF292" i="32"/>
  <c r="AE292" i="32"/>
  <c r="AD292" i="32"/>
  <c r="AC292" i="32"/>
  <c r="AB292" i="32"/>
  <c r="AA292" i="32"/>
  <c r="Z292" i="32"/>
  <c r="Y292" i="32"/>
  <c r="X292" i="32"/>
  <c r="W292" i="32"/>
  <c r="V292" i="32"/>
  <c r="U292" i="32"/>
  <c r="T292" i="32"/>
  <c r="AS291" i="32"/>
  <c r="AQ291" i="32"/>
  <c r="AN291" i="32"/>
  <c r="AM291" i="32"/>
  <c r="AL291" i="32"/>
  <c r="AK291" i="32"/>
  <c r="AJ291" i="32"/>
  <c r="AI291" i="32"/>
  <c r="AH291" i="32"/>
  <c r="AG291" i="32"/>
  <c r="AF291" i="32"/>
  <c r="AE291" i="32"/>
  <c r="AD291" i="32"/>
  <c r="AC291" i="32"/>
  <c r="AB291" i="32"/>
  <c r="AA291" i="32"/>
  <c r="Z291" i="32"/>
  <c r="Y291" i="32"/>
  <c r="X291" i="32"/>
  <c r="W291" i="32"/>
  <c r="V291" i="32"/>
  <c r="U291" i="32"/>
  <c r="T291" i="32"/>
  <c r="AS290" i="32"/>
  <c r="AQ290" i="32"/>
  <c r="AN290" i="32"/>
  <c r="AM290" i="32"/>
  <c r="AL290" i="32"/>
  <c r="AK290" i="32"/>
  <c r="AJ290" i="32"/>
  <c r="AI290" i="32"/>
  <c r="AH290" i="32"/>
  <c r="AG290" i="32"/>
  <c r="AF290" i="32"/>
  <c r="AE290" i="32"/>
  <c r="AD290" i="32"/>
  <c r="AC290" i="32"/>
  <c r="AB290" i="32"/>
  <c r="AA290" i="32"/>
  <c r="Z290" i="32"/>
  <c r="Y290" i="32"/>
  <c r="X290" i="32"/>
  <c r="W290" i="32"/>
  <c r="V290" i="32"/>
  <c r="U290" i="32"/>
  <c r="T290" i="32"/>
  <c r="AS289" i="32"/>
  <c r="AQ289" i="32"/>
  <c r="AN289" i="32"/>
  <c r="AM289" i="32"/>
  <c r="AL289" i="32"/>
  <c r="AK289" i="32"/>
  <c r="AJ289" i="32"/>
  <c r="AI289" i="32"/>
  <c r="AH289" i="32"/>
  <c r="AG289" i="32"/>
  <c r="AF289" i="32"/>
  <c r="AE289" i="32"/>
  <c r="AD289" i="32"/>
  <c r="AC289" i="32"/>
  <c r="AB289" i="32"/>
  <c r="AA289" i="32"/>
  <c r="Z289" i="32"/>
  <c r="Y289" i="32"/>
  <c r="X289" i="32"/>
  <c r="W289" i="32"/>
  <c r="V289" i="32"/>
  <c r="U289" i="32"/>
  <c r="T289" i="32"/>
  <c r="AV288" i="32"/>
  <c r="AN288" i="32"/>
  <c r="AO288" i="32" s="1"/>
  <c r="N49" i="32" s="1"/>
  <c r="AM288" i="32"/>
  <c r="AL288" i="32"/>
  <c r="AK288" i="32"/>
  <c r="AJ288" i="32"/>
  <c r="AI288" i="32"/>
  <c r="AH288" i="32"/>
  <c r="AG288" i="32"/>
  <c r="AF288" i="32"/>
  <c r="AE288" i="32"/>
  <c r="AD288" i="32"/>
  <c r="AC288" i="32"/>
  <c r="AB288" i="32"/>
  <c r="AA288" i="32"/>
  <c r="Z288" i="32"/>
  <c r="Y288" i="32"/>
  <c r="X288" i="32"/>
  <c r="W288" i="32"/>
  <c r="V288" i="32"/>
  <c r="U288" i="32"/>
  <c r="T288" i="32"/>
  <c r="AS287" i="32"/>
  <c r="AQ287" i="32"/>
  <c r="AN287" i="32"/>
  <c r="AM287" i="32"/>
  <c r="AL287" i="32"/>
  <c r="AK287" i="32"/>
  <c r="AJ287" i="32"/>
  <c r="AI287" i="32"/>
  <c r="AH287" i="32"/>
  <c r="AG287" i="32"/>
  <c r="AF287" i="32"/>
  <c r="AE287" i="32"/>
  <c r="AD287" i="32"/>
  <c r="AC287" i="32"/>
  <c r="AB287" i="32"/>
  <c r="AA287" i="32"/>
  <c r="Z287" i="32"/>
  <c r="Y287" i="32"/>
  <c r="X287" i="32"/>
  <c r="W287" i="32"/>
  <c r="V287" i="32"/>
  <c r="U287" i="32"/>
  <c r="T287" i="32"/>
  <c r="AS286" i="32"/>
  <c r="AQ286" i="32"/>
  <c r="AN286" i="32"/>
  <c r="AO286" i="32" s="1"/>
  <c r="AM286" i="32"/>
  <c r="AL286" i="32"/>
  <c r="AK286" i="32"/>
  <c r="AJ286" i="32"/>
  <c r="AI286" i="32"/>
  <c r="AH286" i="32"/>
  <c r="AG286" i="32"/>
  <c r="AF286" i="32"/>
  <c r="AE286" i="32"/>
  <c r="AD286" i="32"/>
  <c r="AC286" i="32"/>
  <c r="AB286" i="32"/>
  <c r="AA286" i="32"/>
  <c r="Z286" i="32"/>
  <c r="Y286" i="32"/>
  <c r="X286" i="32"/>
  <c r="W286" i="32"/>
  <c r="V286" i="32"/>
  <c r="U286" i="32"/>
  <c r="T286" i="32"/>
  <c r="AS285" i="32"/>
  <c r="AQ285" i="32"/>
  <c r="AN285" i="32"/>
  <c r="AM285" i="32"/>
  <c r="AL285" i="32"/>
  <c r="AK285" i="32"/>
  <c r="AJ285" i="32"/>
  <c r="AI285" i="32"/>
  <c r="AH285" i="32"/>
  <c r="AG285" i="32"/>
  <c r="AF285" i="32"/>
  <c r="AE285" i="32"/>
  <c r="AD285" i="32"/>
  <c r="AC285" i="32"/>
  <c r="AB285" i="32"/>
  <c r="AA285" i="32"/>
  <c r="Z285" i="32"/>
  <c r="Y285" i="32"/>
  <c r="X285" i="32"/>
  <c r="W285" i="32"/>
  <c r="V285" i="32"/>
  <c r="U285" i="32"/>
  <c r="T285" i="32"/>
  <c r="AS284" i="32"/>
  <c r="AQ284" i="32"/>
  <c r="AN284" i="32"/>
  <c r="AM284" i="32"/>
  <c r="AL284" i="32"/>
  <c r="AK284" i="32"/>
  <c r="AJ284" i="32"/>
  <c r="AI284" i="32"/>
  <c r="AH284" i="32"/>
  <c r="AG284" i="32"/>
  <c r="AF284" i="32"/>
  <c r="AE284" i="32"/>
  <c r="AD284" i="32"/>
  <c r="AC284" i="32"/>
  <c r="AB284" i="32"/>
  <c r="AA284" i="32"/>
  <c r="Z284" i="32"/>
  <c r="Y284" i="32"/>
  <c r="X284" i="32"/>
  <c r="W284" i="32"/>
  <c r="V284" i="32"/>
  <c r="U284" i="32"/>
  <c r="T284" i="32"/>
  <c r="AS283" i="32"/>
  <c r="AQ283" i="32"/>
  <c r="AN283" i="32"/>
  <c r="AM283" i="32"/>
  <c r="AL283" i="32"/>
  <c r="AK283" i="32"/>
  <c r="AJ283" i="32"/>
  <c r="AI283" i="32"/>
  <c r="AH283" i="32"/>
  <c r="AG283" i="32"/>
  <c r="AF283" i="32"/>
  <c r="AE283" i="32"/>
  <c r="AD283" i="32"/>
  <c r="AC283" i="32"/>
  <c r="AB283" i="32"/>
  <c r="AA283" i="32"/>
  <c r="Z283" i="32"/>
  <c r="Y283" i="32"/>
  <c r="X283" i="32"/>
  <c r="W283" i="32"/>
  <c r="V283" i="32"/>
  <c r="U283" i="32"/>
  <c r="T283" i="32"/>
  <c r="AS282" i="32"/>
  <c r="AQ282" i="32"/>
  <c r="AN282" i="32"/>
  <c r="AO282" i="32" s="1"/>
  <c r="AM282" i="32"/>
  <c r="AL282" i="32"/>
  <c r="AK282" i="32"/>
  <c r="AJ282" i="32"/>
  <c r="AI282" i="32"/>
  <c r="AH282" i="32"/>
  <c r="AG282" i="32"/>
  <c r="AF282" i="32"/>
  <c r="AE282" i="32"/>
  <c r="AD282" i="32"/>
  <c r="AC282" i="32"/>
  <c r="AB282" i="32"/>
  <c r="AA282" i="32"/>
  <c r="Z282" i="32"/>
  <c r="Y282" i="32"/>
  <c r="X282" i="32"/>
  <c r="W282" i="32"/>
  <c r="V282" i="32"/>
  <c r="U282" i="32"/>
  <c r="T282" i="32"/>
  <c r="AN281" i="32"/>
  <c r="AM281" i="32"/>
  <c r="AL281" i="32"/>
  <c r="AK281" i="32"/>
  <c r="AJ281" i="32"/>
  <c r="AI281" i="32"/>
  <c r="AH281" i="32"/>
  <c r="AG281" i="32"/>
  <c r="AF281" i="32"/>
  <c r="AE281" i="32"/>
  <c r="AD281" i="32"/>
  <c r="AC281" i="32"/>
  <c r="AB281" i="32"/>
  <c r="AA281" i="32"/>
  <c r="Z281" i="32"/>
  <c r="Y281" i="32"/>
  <c r="X281" i="32"/>
  <c r="W281" i="32"/>
  <c r="V281" i="32"/>
  <c r="U281" i="32"/>
  <c r="T281" i="32"/>
  <c r="AV280" i="32"/>
  <c r="AN280" i="32"/>
  <c r="AM280" i="32"/>
  <c r="AL280" i="32"/>
  <c r="AK280" i="32"/>
  <c r="AJ280" i="32"/>
  <c r="AI280" i="32"/>
  <c r="AH280" i="32"/>
  <c r="AG280" i="32"/>
  <c r="AF280" i="32"/>
  <c r="AE280" i="32"/>
  <c r="AD280" i="32"/>
  <c r="AC280" i="32"/>
  <c r="AB280" i="32"/>
  <c r="AA280" i="32"/>
  <c r="Z280" i="32"/>
  <c r="Y280" i="32"/>
  <c r="X280" i="32"/>
  <c r="W280" i="32"/>
  <c r="V280" i="32"/>
  <c r="U280" i="32"/>
  <c r="T280" i="32"/>
  <c r="AS279" i="32"/>
  <c r="AQ279" i="32"/>
  <c r="AN279" i="32"/>
  <c r="AO279" i="32" s="1"/>
  <c r="AM279" i="32"/>
  <c r="AL279" i="32"/>
  <c r="AK279" i="32"/>
  <c r="AJ279" i="32"/>
  <c r="AI279" i="32"/>
  <c r="AH279" i="32"/>
  <c r="AG279" i="32"/>
  <c r="AF279" i="32"/>
  <c r="AE279" i="32"/>
  <c r="AD279" i="32"/>
  <c r="AC279" i="32"/>
  <c r="AB279" i="32"/>
  <c r="AA279" i="32"/>
  <c r="Z279" i="32"/>
  <c r="Y279" i="32"/>
  <c r="X279" i="32"/>
  <c r="W279" i="32"/>
  <c r="V279" i="32"/>
  <c r="U279" i="32"/>
  <c r="T279" i="32"/>
  <c r="AS278" i="32"/>
  <c r="AQ278" i="32"/>
  <c r="AN278" i="32"/>
  <c r="AO278" i="32" s="1"/>
  <c r="AT278" i="32" s="1"/>
  <c r="AU278" i="32" s="1"/>
  <c r="AM278" i="32"/>
  <c r="AL278" i="32"/>
  <c r="AK278" i="32"/>
  <c r="AJ278" i="32"/>
  <c r="AI278" i="32"/>
  <c r="AH278" i="32"/>
  <c r="AG278" i="32"/>
  <c r="AF278" i="32"/>
  <c r="AE278" i="32"/>
  <c r="AD278" i="32"/>
  <c r="AC278" i="32"/>
  <c r="AB278" i="32"/>
  <c r="AA278" i="32"/>
  <c r="Z278" i="32"/>
  <c r="Y278" i="32"/>
  <c r="X278" i="32"/>
  <c r="W278" i="32"/>
  <c r="V278" i="32"/>
  <c r="U278" i="32"/>
  <c r="T278" i="32"/>
  <c r="AS277" i="32"/>
  <c r="AQ277" i="32"/>
  <c r="AN277" i="32"/>
  <c r="AM277" i="32"/>
  <c r="AL277" i="32"/>
  <c r="AK277" i="32"/>
  <c r="AJ277" i="32"/>
  <c r="AI277" i="32"/>
  <c r="AH277" i="32"/>
  <c r="AG277" i="32"/>
  <c r="AF277" i="32"/>
  <c r="AE277" i="32"/>
  <c r="AD277" i="32"/>
  <c r="AC277" i="32"/>
  <c r="AB277" i="32"/>
  <c r="AA277" i="32"/>
  <c r="Z277" i="32"/>
  <c r="Y277" i="32"/>
  <c r="X277" i="32"/>
  <c r="W277" i="32"/>
  <c r="V277" i="32"/>
  <c r="U277" i="32"/>
  <c r="T277" i="32"/>
  <c r="AS276" i="32"/>
  <c r="AQ276" i="32"/>
  <c r="AN276" i="32"/>
  <c r="AM276" i="32"/>
  <c r="AL276" i="32"/>
  <c r="AK276" i="32"/>
  <c r="AJ276" i="32"/>
  <c r="AI276" i="32"/>
  <c r="AH276" i="32"/>
  <c r="AG276" i="32"/>
  <c r="AF276" i="32"/>
  <c r="AE276" i="32"/>
  <c r="AD276" i="32"/>
  <c r="AC276" i="32"/>
  <c r="AB276" i="32"/>
  <c r="AA276" i="32"/>
  <c r="Z276" i="32"/>
  <c r="Y276" i="32"/>
  <c r="X276" i="32"/>
  <c r="W276" i="32"/>
  <c r="V276" i="32"/>
  <c r="U276" i="32"/>
  <c r="T276" i="32"/>
  <c r="AS275" i="32"/>
  <c r="AQ275" i="32"/>
  <c r="AN275" i="32"/>
  <c r="AM275" i="32"/>
  <c r="AL275" i="32"/>
  <c r="AK275" i="32"/>
  <c r="AJ275" i="32"/>
  <c r="AI275" i="32"/>
  <c r="AH275" i="32"/>
  <c r="AG275" i="32"/>
  <c r="AF275" i="32"/>
  <c r="AE275" i="32"/>
  <c r="AD275" i="32"/>
  <c r="AC275" i="32"/>
  <c r="AB275" i="32"/>
  <c r="AA275" i="32"/>
  <c r="Z275" i="32"/>
  <c r="Y275" i="32"/>
  <c r="X275" i="32"/>
  <c r="W275" i="32"/>
  <c r="V275" i="32"/>
  <c r="U275" i="32"/>
  <c r="T275" i="32"/>
  <c r="AV274" i="32"/>
  <c r="AN274" i="32"/>
  <c r="AM274" i="32"/>
  <c r="AL274" i="32"/>
  <c r="AK274" i="32"/>
  <c r="AJ274" i="32"/>
  <c r="AI274" i="32"/>
  <c r="AH274" i="32"/>
  <c r="AG274" i="32"/>
  <c r="AF274" i="32"/>
  <c r="AE274" i="32"/>
  <c r="AD274" i="32"/>
  <c r="AC274" i="32"/>
  <c r="AB274" i="32"/>
  <c r="AA274" i="32"/>
  <c r="Z274" i="32"/>
  <c r="Y274" i="32"/>
  <c r="X274" i="32"/>
  <c r="W274" i="32"/>
  <c r="V274" i="32"/>
  <c r="U274" i="32"/>
  <c r="T274" i="32"/>
  <c r="AS273" i="32"/>
  <c r="AQ273" i="32"/>
  <c r="AN273" i="32"/>
  <c r="AM273" i="32"/>
  <c r="AL273" i="32"/>
  <c r="AK273" i="32"/>
  <c r="AJ273" i="32"/>
  <c r="AI273" i="32"/>
  <c r="AH273" i="32"/>
  <c r="AG273" i="32"/>
  <c r="AF273" i="32"/>
  <c r="AE273" i="32"/>
  <c r="AD273" i="32"/>
  <c r="AC273" i="32"/>
  <c r="AB273" i="32"/>
  <c r="AA273" i="32"/>
  <c r="Z273" i="32"/>
  <c r="Y273" i="32"/>
  <c r="X273" i="32"/>
  <c r="W273" i="32"/>
  <c r="V273" i="32"/>
  <c r="U273" i="32"/>
  <c r="T273" i="32"/>
  <c r="AS272" i="32"/>
  <c r="AQ272" i="32"/>
  <c r="AO272" i="32"/>
  <c r="AN272" i="32"/>
  <c r="AM272" i="32"/>
  <c r="AL272" i="32"/>
  <c r="AK272" i="32"/>
  <c r="AJ272" i="32"/>
  <c r="AI272" i="32"/>
  <c r="AH272" i="32"/>
  <c r="AG272" i="32"/>
  <c r="AF272" i="32"/>
  <c r="AE272" i="32"/>
  <c r="AD272" i="32"/>
  <c r="AC272" i="32"/>
  <c r="AB272" i="32"/>
  <c r="AA272" i="32"/>
  <c r="Z272" i="32"/>
  <c r="Y272" i="32"/>
  <c r="X272" i="32"/>
  <c r="W272" i="32"/>
  <c r="V272" i="32"/>
  <c r="U272" i="32"/>
  <c r="T272" i="32"/>
  <c r="AS271" i="32"/>
  <c r="AQ271" i="32"/>
  <c r="AN271" i="32"/>
  <c r="AM271" i="32"/>
  <c r="AL271" i="32"/>
  <c r="AK271" i="32"/>
  <c r="AJ271" i="32"/>
  <c r="AI271" i="32"/>
  <c r="AH271" i="32"/>
  <c r="AG271" i="32"/>
  <c r="AF271" i="32"/>
  <c r="AE271" i="32"/>
  <c r="AD271" i="32"/>
  <c r="AC271" i="32"/>
  <c r="AB271" i="32"/>
  <c r="AA271" i="32"/>
  <c r="Z271" i="32"/>
  <c r="Y271" i="32"/>
  <c r="X271" i="32"/>
  <c r="W271" i="32"/>
  <c r="V271" i="32"/>
  <c r="U271" i="32"/>
  <c r="T271" i="32"/>
  <c r="AS270" i="32"/>
  <c r="AQ270" i="32"/>
  <c r="AN270" i="32"/>
  <c r="AM270" i="32"/>
  <c r="AL270" i="32"/>
  <c r="AK270" i="32"/>
  <c r="AJ270" i="32"/>
  <c r="AI270" i="32"/>
  <c r="AH270" i="32"/>
  <c r="AG270" i="32"/>
  <c r="AF270" i="32"/>
  <c r="AE270" i="32"/>
  <c r="AD270" i="32"/>
  <c r="AC270" i="32"/>
  <c r="AB270" i="32"/>
  <c r="AA270" i="32"/>
  <c r="Z270" i="32"/>
  <c r="Y270" i="32"/>
  <c r="X270" i="32"/>
  <c r="W270" i="32"/>
  <c r="V270" i="32"/>
  <c r="U270" i="32"/>
  <c r="T270" i="32"/>
  <c r="AS269" i="32"/>
  <c r="AQ269" i="32"/>
  <c r="AN269" i="32"/>
  <c r="AM269" i="32"/>
  <c r="AL269" i="32"/>
  <c r="AK269" i="32"/>
  <c r="AJ269" i="32"/>
  <c r="AI269" i="32"/>
  <c r="AH269" i="32"/>
  <c r="AG269" i="32"/>
  <c r="AF269" i="32"/>
  <c r="AE269" i="32"/>
  <c r="AD269" i="32"/>
  <c r="AC269" i="32"/>
  <c r="AB269" i="32"/>
  <c r="AA269" i="32"/>
  <c r="Z269" i="32"/>
  <c r="Y269" i="32"/>
  <c r="X269" i="32"/>
  <c r="W269" i="32"/>
  <c r="V269" i="32"/>
  <c r="U269" i="32"/>
  <c r="T269" i="32"/>
  <c r="AS268" i="32"/>
  <c r="AQ268" i="32"/>
  <c r="AN268" i="32"/>
  <c r="AM268" i="32"/>
  <c r="AL268" i="32"/>
  <c r="AK268" i="32"/>
  <c r="AJ268" i="32"/>
  <c r="AI268" i="32"/>
  <c r="AH268" i="32"/>
  <c r="AG268" i="32"/>
  <c r="AF268" i="32"/>
  <c r="AE268" i="32"/>
  <c r="AD268" i="32"/>
  <c r="AC268" i="32"/>
  <c r="AB268" i="32"/>
  <c r="AA268" i="32"/>
  <c r="Z268" i="32"/>
  <c r="Y268" i="32"/>
  <c r="X268" i="32"/>
  <c r="W268" i="32"/>
  <c r="V268" i="32"/>
  <c r="U268" i="32"/>
  <c r="T268" i="32"/>
  <c r="AS267" i="32"/>
  <c r="AQ267" i="32"/>
  <c r="AN267" i="32"/>
  <c r="AM267" i="32"/>
  <c r="AL267" i="32"/>
  <c r="AK267" i="32"/>
  <c r="AJ267" i="32"/>
  <c r="AI267" i="32"/>
  <c r="AH267" i="32"/>
  <c r="AG267" i="32"/>
  <c r="AF267" i="32"/>
  <c r="AE267" i="32"/>
  <c r="AD267" i="32"/>
  <c r="AC267" i="32"/>
  <c r="AB267" i="32"/>
  <c r="AA267" i="32"/>
  <c r="Z267" i="32"/>
  <c r="Y267" i="32"/>
  <c r="X267" i="32"/>
  <c r="W267" i="32"/>
  <c r="V267" i="32"/>
  <c r="U267" i="32"/>
  <c r="T267" i="32"/>
  <c r="AS266" i="32"/>
  <c r="AQ266" i="32"/>
  <c r="AN266" i="32"/>
  <c r="AM266" i="32"/>
  <c r="AL266" i="32"/>
  <c r="AK266" i="32"/>
  <c r="AJ266" i="32"/>
  <c r="AI266" i="32"/>
  <c r="AH266" i="32"/>
  <c r="AG266" i="32"/>
  <c r="AF266" i="32"/>
  <c r="AE266" i="32"/>
  <c r="AD266" i="32"/>
  <c r="AC266" i="32"/>
  <c r="AB266" i="32"/>
  <c r="AA266" i="32"/>
  <c r="Z266" i="32"/>
  <c r="Y266" i="32"/>
  <c r="X266" i="32"/>
  <c r="W266" i="32"/>
  <c r="V266" i="32"/>
  <c r="U266" i="32"/>
  <c r="T266" i="32"/>
  <c r="AS265" i="32"/>
  <c r="AQ265" i="32"/>
  <c r="AN265" i="32"/>
  <c r="AM265" i="32"/>
  <c r="AL265" i="32"/>
  <c r="AK265" i="32"/>
  <c r="AJ265" i="32"/>
  <c r="AI265" i="32"/>
  <c r="AH265" i="32"/>
  <c r="AG265" i="32"/>
  <c r="AF265" i="32"/>
  <c r="AE265" i="32"/>
  <c r="AD265" i="32"/>
  <c r="AC265" i="32"/>
  <c r="AB265" i="32"/>
  <c r="AA265" i="32"/>
  <c r="Z265" i="32"/>
  <c r="Y265" i="32"/>
  <c r="X265" i="32"/>
  <c r="W265" i="32"/>
  <c r="V265" i="32"/>
  <c r="U265" i="32"/>
  <c r="T265" i="32"/>
  <c r="AS264" i="32"/>
  <c r="AQ264" i="32"/>
  <c r="AN264" i="32"/>
  <c r="AO264" i="32" s="1"/>
  <c r="AM264" i="32"/>
  <c r="AL264" i="32"/>
  <c r="AK264" i="32"/>
  <c r="AJ264" i="32"/>
  <c r="AI264" i="32"/>
  <c r="AH264" i="32"/>
  <c r="AG264" i="32"/>
  <c r="AF264" i="32"/>
  <c r="AE264" i="32"/>
  <c r="AD264" i="32"/>
  <c r="AC264" i="32"/>
  <c r="AB264" i="32"/>
  <c r="AA264" i="32"/>
  <c r="Z264" i="32"/>
  <c r="Y264" i="32"/>
  <c r="X264" i="32"/>
  <c r="W264" i="32"/>
  <c r="V264" i="32"/>
  <c r="U264" i="32"/>
  <c r="T264" i="32"/>
  <c r="AS263" i="32"/>
  <c r="AQ263" i="32"/>
  <c r="AN263" i="32"/>
  <c r="AM263" i="32"/>
  <c r="AL263" i="32"/>
  <c r="AK263" i="32"/>
  <c r="AJ263" i="32"/>
  <c r="AI263" i="32"/>
  <c r="AH263" i="32"/>
  <c r="AG263" i="32"/>
  <c r="AF263" i="32"/>
  <c r="AE263" i="32"/>
  <c r="AD263" i="32"/>
  <c r="AC263" i="32"/>
  <c r="AB263" i="32"/>
  <c r="AA263" i="32"/>
  <c r="Z263" i="32"/>
  <c r="Y263" i="32"/>
  <c r="X263" i="32"/>
  <c r="W263" i="32"/>
  <c r="V263" i="32"/>
  <c r="U263" i="32"/>
  <c r="T263" i="32"/>
  <c r="AS262" i="32"/>
  <c r="AQ262" i="32"/>
  <c r="AN262" i="32"/>
  <c r="AM262" i="32"/>
  <c r="AL262" i="32"/>
  <c r="AK262" i="32"/>
  <c r="AJ262" i="32"/>
  <c r="AI262" i="32"/>
  <c r="AH262" i="32"/>
  <c r="AG262" i="32"/>
  <c r="AF262" i="32"/>
  <c r="AE262" i="32"/>
  <c r="AD262" i="32"/>
  <c r="AC262" i="32"/>
  <c r="AB262" i="32"/>
  <c r="AA262" i="32"/>
  <c r="Z262" i="32"/>
  <c r="Y262" i="32"/>
  <c r="X262" i="32"/>
  <c r="W262" i="32"/>
  <c r="V262" i="32"/>
  <c r="U262" i="32"/>
  <c r="T262" i="32"/>
  <c r="AS261" i="32"/>
  <c r="AQ261" i="32"/>
  <c r="AN261" i="32"/>
  <c r="AM261" i="32"/>
  <c r="AL261" i="32"/>
  <c r="AK261" i="32"/>
  <c r="AJ261" i="32"/>
  <c r="AI261" i="32"/>
  <c r="AH261" i="32"/>
  <c r="AG261" i="32"/>
  <c r="AF261" i="32"/>
  <c r="AE261" i="32"/>
  <c r="AD261" i="32"/>
  <c r="AC261" i="32"/>
  <c r="AB261" i="32"/>
  <c r="AA261" i="32"/>
  <c r="Z261" i="32"/>
  <c r="Y261" i="32"/>
  <c r="X261" i="32"/>
  <c r="W261" i="32"/>
  <c r="V261" i="32"/>
  <c r="U261" i="32"/>
  <c r="T261" i="32"/>
  <c r="AS260" i="32"/>
  <c r="AQ260" i="32"/>
  <c r="AN260" i="32"/>
  <c r="AO260" i="32" s="1"/>
  <c r="AM260" i="32"/>
  <c r="AL260" i="32"/>
  <c r="AK260" i="32"/>
  <c r="AJ260" i="32"/>
  <c r="AI260" i="32"/>
  <c r="AH260" i="32"/>
  <c r="AG260" i="32"/>
  <c r="AF260" i="32"/>
  <c r="AE260" i="32"/>
  <c r="AD260" i="32"/>
  <c r="AC260" i="32"/>
  <c r="AB260" i="32"/>
  <c r="AA260" i="32"/>
  <c r="Z260" i="32"/>
  <c r="Y260" i="32"/>
  <c r="X260" i="32"/>
  <c r="W260" i="32"/>
  <c r="V260" i="32"/>
  <c r="U260" i="32"/>
  <c r="T260" i="32"/>
  <c r="AN259" i="32"/>
  <c r="AM259" i="32"/>
  <c r="AL259" i="32"/>
  <c r="AK259" i="32"/>
  <c r="AJ259" i="32"/>
  <c r="AI259" i="32"/>
  <c r="AH259" i="32"/>
  <c r="AG259" i="32"/>
  <c r="AF259" i="32"/>
  <c r="AE259" i="32"/>
  <c r="AD259" i="32"/>
  <c r="AC259" i="32"/>
  <c r="AB259" i="32"/>
  <c r="AA259" i="32"/>
  <c r="Z259" i="32"/>
  <c r="Y259" i="32"/>
  <c r="X259" i="32"/>
  <c r="W259" i="32"/>
  <c r="V259" i="32"/>
  <c r="U259" i="32"/>
  <c r="T259" i="32"/>
  <c r="AV258" i="32"/>
  <c r="AN258" i="32"/>
  <c r="AM258" i="32"/>
  <c r="AL258" i="32"/>
  <c r="AK258" i="32"/>
  <c r="AJ258" i="32"/>
  <c r="AI258" i="32"/>
  <c r="AH258" i="32"/>
  <c r="AG258" i="32"/>
  <c r="AF258" i="32"/>
  <c r="AE258" i="32"/>
  <c r="AD258" i="32"/>
  <c r="AC258" i="32"/>
  <c r="AB258" i="32"/>
  <c r="AA258" i="32"/>
  <c r="Z258" i="32"/>
  <c r="Y258" i="32"/>
  <c r="X258" i="32"/>
  <c r="W258" i="32"/>
  <c r="V258" i="32"/>
  <c r="U258" i="32"/>
  <c r="T258" i="32"/>
  <c r="AS257" i="32"/>
  <c r="AQ257" i="32"/>
  <c r="AN257" i="32"/>
  <c r="AO257" i="32" s="1"/>
  <c r="AM257" i="32"/>
  <c r="AL257" i="32"/>
  <c r="AK257" i="32"/>
  <c r="AJ257" i="32"/>
  <c r="AI257" i="32"/>
  <c r="AH257" i="32"/>
  <c r="AG257" i="32"/>
  <c r="AF257" i="32"/>
  <c r="AE257" i="32"/>
  <c r="AD257" i="32"/>
  <c r="AC257" i="32"/>
  <c r="AB257" i="32"/>
  <c r="AA257" i="32"/>
  <c r="Z257" i="32"/>
  <c r="Y257" i="32"/>
  <c r="X257" i="32"/>
  <c r="W257" i="32"/>
  <c r="V257" i="32"/>
  <c r="U257" i="32"/>
  <c r="T257" i="32"/>
  <c r="AS256" i="32"/>
  <c r="AQ256" i="32"/>
  <c r="AN256" i="32"/>
  <c r="AM256" i="32"/>
  <c r="AL256" i="32"/>
  <c r="AK256" i="32"/>
  <c r="AJ256" i="32"/>
  <c r="AI256" i="32"/>
  <c r="AH256" i="32"/>
  <c r="AG256" i="32"/>
  <c r="AF256" i="32"/>
  <c r="AE256" i="32"/>
  <c r="AD256" i="32"/>
  <c r="AC256" i="32"/>
  <c r="AB256" i="32"/>
  <c r="AA256" i="32"/>
  <c r="Z256" i="32"/>
  <c r="Y256" i="32"/>
  <c r="X256" i="32"/>
  <c r="W256" i="32"/>
  <c r="V256" i="32"/>
  <c r="U256" i="32"/>
  <c r="T256" i="32"/>
  <c r="AS255" i="32"/>
  <c r="AQ255" i="32"/>
  <c r="AN255" i="32"/>
  <c r="AM255" i="32"/>
  <c r="AL255" i="32"/>
  <c r="AK255" i="32"/>
  <c r="AJ255" i="32"/>
  <c r="AI255" i="32"/>
  <c r="AH255" i="32"/>
  <c r="AG255" i="32"/>
  <c r="AF255" i="32"/>
  <c r="AE255" i="32"/>
  <c r="AD255" i="32"/>
  <c r="AC255" i="32"/>
  <c r="AB255" i="32"/>
  <c r="AA255" i="32"/>
  <c r="Z255" i="32"/>
  <c r="Y255" i="32"/>
  <c r="X255" i="32"/>
  <c r="W255" i="32"/>
  <c r="V255" i="32"/>
  <c r="U255" i="32"/>
  <c r="T255" i="32"/>
  <c r="AS254" i="32"/>
  <c r="AQ254" i="32"/>
  <c r="AN254" i="32"/>
  <c r="AM254" i="32"/>
  <c r="AL254" i="32"/>
  <c r="AK254" i="32"/>
  <c r="AJ254" i="32"/>
  <c r="AI254" i="32"/>
  <c r="AH254" i="32"/>
  <c r="AG254" i="32"/>
  <c r="AF254" i="32"/>
  <c r="AE254" i="32"/>
  <c r="AD254" i="32"/>
  <c r="AC254" i="32"/>
  <c r="AB254" i="32"/>
  <c r="AA254" i="32"/>
  <c r="Z254" i="32"/>
  <c r="Y254" i="32"/>
  <c r="X254" i="32"/>
  <c r="W254" i="32"/>
  <c r="V254" i="32"/>
  <c r="U254" i="32"/>
  <c r="T254" i="32"/>
  <c r="AS253" i="32"/>
  <c r="AQ253" i="32"/>
  <c r="AN253" i="32"/>
  <c r="AM253" i="32"/>
  <c r="AL253" i="32"/>
  <c r="AK253" i="32"/>
  <c r="AJ253" i="32"/>
  <c r="AI253" i="32"/>
  <c r="AH253" i="32"/>
  <c r="AG253" i="32"/>
  <c r="AF253" i="32"/>
  <c r="AE253" i="32"/>
  <c r="AD253" i="32"/>
  <c r="AC253" i="32"/>
  <c r="AB253" i="32"/>
  <c r="AA253" i="32"/>
  <c r="Z253" i="32"/>
  <c r="Y253" i="32"/>
  <c r="X253" i="32"/>
  <c r="W253" i="32"/>
  <c r="V253" i="32"/>
  <c r="U253" i="32"/>
  <c r="T253" i="32"/>
  <c r="AS252" i="32"/>
  <c r="AQ252" i="32"/>
  <c r="AN252" i="32"/>
  <c r="AM252" i="32"/>
  <c r="AL252" i="32"/>
  <c r="AK252" i="32"/>
  <c r="AJ252" i="32"/>
  <c r="AI252" i="32"/>
  <c r="AH252" i="32"/>
  <c r="AG252" i="32"/>
  <c r="AF252" i="32"/>
  <c r="AE252" i="32"/>
  <c r="AD252" i="32"/>
  <c r="AC252" i="32"/>
  <c r="AB252" i="32"/>
  <c r="AA252" i="32"/>
  <c r="Z252" i="32"/>
  <c r="Y252" i="32"/>
  <c r="X252" i="32"/>
  <c r="W252" i="32"/>
  <c r="V252" i="32"/>
  <c r="U252" i="32"/>
  <c r="T252" i="32"/>
  <c r="AS251" i="32"/>
  <c r="AQ251" i="32"/>
  <c r="AN251" i="32"/>
  <c r="AM251" i="32"/>
  <c r="AL251" i="32"/>
  <c r="AK251" i="32"/>
  <c r="AJ251" i="32"/>
  <c r="AI251" i="32"/>
  <c r="AH251" i="32"/>
  <c r="AG251" i="32"/>
  <c r="AF251" i="32"/>
  <c r="AE251" i="32"/>
  <c r="AD251" i="32"/>
  <c r="AC251" i="32"/>
  <c r="AB251" i="32"/>
  <c r="AA251" i="32"/>
  <c r="Z251" i="32"/>
  <c r="Y251" i="32"/>
  <c r="X251" i="32"/>
  <c r="W251" i="32"/>
  <c r="V251" i="32"/>
  <c r="U251" i="32"/>
  <c r="T251" i="32"/>
  <c r="AS250" i="32"/>
  <c r="AQ250" i="32"/>
  <c r="AN250" i="32"/>
  <c r="AM250" i="32"/>
  <c r="AL250" i="32"/>
  <c r="AK250" i="32"/>
  <c r="AJ250" i="32"/>
  <c r="AI250" i="32"/>
  <c r="AH250" i="32"/>
  <c r="AG250" i="32"/>
  <c r="AF250" i="32"/>
  <c r="AE250" i="32"/>
  <c r="AD250" i="32"/>
  <c r="AC250" i="32"/>
  <c r="AB250" i="32"/>
  <c r="AA250" i="32"/>
  <c r="Z250" i="32"/>
  <c r="Y250" i="32"/>
  <c r="X250" i="32"/>
  <c r="W250" i="32"/>
  <c r="V250" i="32"/>
  <c r="U250" i="32"/>
  <c r="T250" i="32"/>
  <c r="AV249" i="32"/>
  <c r="AN249" i="32"/>
  <c r="AO249" i="32" s="1"/>
  <c r="N45" i="32" s="1"/>
  <c r="AM249" i="32"/>
  <c r="AL249" i="32"/>
  <c r="AK249" i="32"/>
  <c r="AJ249" i="32"/>
  <c r="AI249" i="32"/>
  <c r="AH249" i="32"/>
  <c r="AG249" i="32"/>
  <c r="AF249" i="32"/>
  <c r="AE249" i="32"/>
  <c r="AD249" i="32"/>
  <c r="AC249" i="32"/>
  <c r="AB249" i="32"/>
  <c r="AA249" i="32"/>
  <c r="Z249" i="32"/>
  <c r="Y249" i="32"/>
  <c r="X249" i="32"/>
  <c r="W249" i="32"/>
  <c r="V249" i="32"/>
  <c r="U249" i="32"/>
  <c r="T249" i="32"/>
  <c r="AS248" i="32"/>
  <c r="AQ248" i="32"/>
  <c r="AN248" i="32"/>
  <c r="AM248" i="32"/>
  <c r="AL248" i="32"/>
  <c r="AK248" i="32"/>
  <c r="AJ248" i="32"/>
  <c r="AI248" i="32"/>
  <c r="AH248" i="32"/>
  <c r="AG248" i="32"/>
  <c r="AF248" i="32"/>
  <c r="AE248" i="32"/>
  <c r="AD248" i="32"/>
  <c r="AC248" i="32"/>
  <c r="AB248" i="32"/>
  <c r="AA248" i="32"/>
  <c r="Z248" i="32"/>
  <c r="Y248" i="32"/>
  <c r="X248" i="32"/>
  <c r="W248" i="32"/>
  <c r="V248" i="32"/>
  <c r="U248" i="32"/>
  <c r="T248" i="32"/>
  <c r="AS247" i="32"/>
  <c r="AQ247" i="32"/>
  <c r="AN247" i="32"/>
  <c r="AM247" i="32"/>
  <c r="AL247" i="32"/>
  <c r="AK247" i="32"/>
  <c r="AJ247" i="32"/>
  <c r="AI247" i="32"/>
  <c r="AH247" i="32"/>
  <c r="AG247" i="32"/>
  <c r="AF247" i="32"/>
  <c r="AE247" i="32"/>
  <c r="AD247" i="32"/>
  <c r="AC247" i="32"/>
  <c r="AB247" i="32"/>
  <c r="AA247" i="32"/>
  <c r="Z247" i="32"/>
  <c r="Y247" i="32"/>
  <c r="X247" i="32"/>
  <c r="W247" i="32"/>
  <c r="V247" i="32"/>
  <c r="U247" i="32"/>
  <c r="T247" i="32"/>
  <c r="AS246" i="32"/>
  <c r="AQ246" i="32"/>
  <c r="AN246" i="32"/>
  <c r="AM246" i="32"/>
  <c r="AL246" i="32"/>
  <c r="AK246" i="32"/>
  <c r="AJ246" i="32"/>
  <c r="AI246" i="32"/>
  <c r="AH246" i="32"/>
  <c r="AG246" i="32"/>
  <c r="AF246" i="32"/>
  <c r="AE246" i="32"/>
  <c r="AD246" i="32"/>
  <c r="AC246" i="32"/>
  <c r="AB246" i="32"/>
  <c r="AA246" i="32"/>
  <c r="Z246" i="32"/>
  <c r="Y246" i="32"/>
  <c r="X246" i="32"/>
  <c r="W246" i="32"/>
  <c r="V246" i="32"/>
  <c r="U246" i="32"/>
  <c r="T246" i="32"/>
  <c r="AS245" i="32"/>
  <c r="AQ245" i="32"/>
  <c r="AN245" i="32"/>
  <c r="AM245" i="32"/>
  <c r="AL245" i="32"/>
  <c r="AK245" i="32"/>
  <c r="AJ245" i="32"/>
  <c r="AI245" i="32"/>
  <c r="AH245" i="32"/>
  <c r="AG245" i="32"/>
  <c r="AF245" i="32"/>
  <c r="AE245" i="32"/>
  <c r="AD245" i="32"/>
  <c r="AC245" i="32"/>
  <c r="AB245" i="32"/>
  <c r="AA245" i="32"/>
  <c r="Z245" i="32"/>
  <c r="Y245" i="32"/>
  <c r="X245" i="32"/>
  <c r="W245" i="32"/>
  <c r="V245" i="32"/>
  <c r="U245" i="32"/>
  <c r="T245" i="32"/>
  <c r="AS244" i="32"/>
  <c r="AQ244" i="32"/>
  <c r="AN244" i="32"/>
  <c r="AM244" i="32"/>
  <c r="AL244" i="32"/>
  <c r="AK244" i="32"/>
  <c r="AJ244" i="32"/>
  <c r="AI244" i="32"/>
  <c r="AH244" i="32"/>
  <c r="AG244" i="32"/>
  <c r="AF244" i="32"/>
  <c r="AE244" i="32"/>
  <c r="AD244" i="32"/>
  <c r="AC244" i="32"/>
  <c r="AB244" i="32"/>
  <c r="AA244" i="32"/>
  <c r="Z244" i="32"/>
  <c r="Y244" i="32"/>
  <c r="X244" i="32"/>
  <c r="W244" i="32"/>
  <c r="V244" i="32"/>
  <c r="U244" i="32"/>
  <c r="T244" i="32"/>
  <c r="AS243" i="32"/>
  <c r="AQ243" i="32"/>
  <c r="AN243" i="32"/>
  <c r="AM243" i="32"/>
  <c r="AL243" i="32"/>
  <c r="AK243" i="32"/>
  <c r="AJ243" i="32"/>
  <c r="AI243" i="32"/>
  <c r="AH243" i="32"/>
  <c r="AG243" i="32"/>
  <c r="AF243" i="32"/>
  <c r="AE243" i="32"/>
  <c r="AD243" i="32"/>
  <c r="AC243" i="32"/>
  <c r="AB243" i="32"/>
  <c r="AA243" i="32"/>
  <c r="Z243" i="32"/>
  <c r="Y243" i="32"/>
  <c r="X243" i="32"/>
  <c r="W243" i="32"/>
  <c r="V243" i="32"/>
  <c r="U243" i="32"/>
  <c r="T243" i="32"/>
  <c r="AV242" i="32"/>
  <c r="AN242" i="32"/>
  <c r="AM242" i="32"/>
  <c r="AL242" i="32"/>
  <c r="AO242" i="32" s="1"/>
  <c r="N44" i="32" s="1"/>
  <c r="AK242" i="32"/>
  <c r="AJ242" i="32"/>
  <c r="AI242" i="32"/>
  <c r="AH242" i="32"/>
  <c r="AG242" i="32"/>
  <c r="AF242" i="32"/>
  <c r="AE242" i="32"/>
  <c r="AD242" i="32"/>
  <c r="AC242" i="32"/>
  <c r="AB242" i="32"/>
  <c r="AA242" i="32"/>
  <c r="Z242" i="32"/>
  <c r="Y242" i="32"/>
  <c r="X242" i="32"/>
  <c r="W242" i="32"/>
  <c r="V242" i="32"/>
  <c r="U242" i="32"/>
  <c r="T242" i="32"/>
  <c r="AS241" i="32"/>
  <c r="AQ241" i="32"/>
  <c r="AN241" i="32"/>
  <c r="AM241" i="32"/>
  <c r="AL241" i="32"/>
  <c r="AK241" i="32"/>
  <c r="AJ241" i="32"/>
  <c r="AI241" i="32"/>
  <c r="AH241" i="32"/>
  <c r="AG241" i="32"/>
  <c r="AF241" i="32"/>
  <c r="AE241" i="32"/>
  <c r="AD241" i="32"/>
  <c r="AC241" i="32"/>
  <c r="AB241" i="32"/>
  <c r="AA241" i="32"/>
  <c r="Z241" i="32"/>
  <c r="Y241" i="32"/>
  <c r="X241" i="32"/>
  <c r="W241" i="32"/>
  <c r="V241" i="32"/>
  <c r="U241" i="32"/>
  <c r="T241" i="32"/>
  <c r="AS240" i="32"/>
  <c r="AQ240" i="32"/>
  <c r="AN240" i="32"/>
  <c r="AM240" i="32"/>
  <c r="AL240" i="32"/>
  <c r="AK240" i="32"/>
  <c r="AJ240" i="32"/>
  <c r="AI240" i="32"/>
  <c r="AH240" i="32"/>
  <c r="AG240" i="32"/>
  <c r="AF240" i="32"/>
  <c r="AE240" i="32"/>
  <c r="AD240" i="32"/>
  <c r="AC240" i="32"/>
  <c r="AB240" i="32"/>
  <c r="AA240" i="32"/>
  <c r="Z240" i="32"/>
  <c r="Y240" i="32"/>
  <c r="X240" i="32"/>
  <c r="W240" i="32"/>
  <c r="V240" i="32"/>
  <c r="U240" i="32"/>
  <c r="T240" i="32"/>
  <c r="AS239" i="32"/>
  <c r="AQ239" i="32"/>
  <c r="AN239" i="32"/>
  <c r="AM239" i="32"/>
  <c r="AL239" i="32"/>
  <c r="AK239" i="32"/>
  <c r="AJ239" i="32"/>
  <c r="AI239" i="32"/>
  <c r="AH239" i="32"/>
  <c r="AG239" i="32"/>
  <c r="AF239" i="32"/>
  <c r="AE239" i="32"/>
  <c r="AD239" i="32"/>
  <c r="AC239" i="32"/>
  <c r="AB239" i="32"/>
  <c r="AA239" i="32"/>
  <c r="Z239" i="32"/>
  <c r="Y239" i="32"/>
  <c r="X239" i="32"/>
  <c r="W239" i="32"/>
  <c r="V239" i="32"/>
  <c r="U239" i="32"/>
  <c r="T239" i="32"/>
  <c r="AS238" i="32"/>
  <c r="AQ238" i="32"/>
  <c r="AN238" i="32"/>
  <c r="AO238" i="32" s="1"/>
  <c r="AM238" i="32"/>
  <c r="AL238" i="32"/>
  <c r="AK238" i="32"/>
  <c r="AJ238" i="32"/>
  <c r="AI238" i="32"/>
  <c r="AH238" i="32"/>
  <c r="AG238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AS237" i="32"/>
  <c r="AQ237" i="32"/>
  <c r="AN237" i="32"/>
  <c r="AM237" i="32"/>
  <c r="AL237" i="32"/>
  <c r="AK237" i="32"/>
  <c r="AJ237" i="32"/>
  <c r="AI237" i="32"/>
  <c r="AH237" i="32"/>
  <c r="AG237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AS236" i="32"/>
  <c r="AQ236" i="32"/>
  <c r="AN236" i="32"/>
  <c r="AM236" i="32"/>
  <c r="AL236" i="32"/>
  <c r="AK236" i="32"/>
  <c r="AJ236" i="32"/>
  <c r="AI236" i="32"/>
  <c r="AH236" i="32"/>
  <c r="AG236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AS235" i="32"/>
  <c r="AQ235" i="32"/>
  <c r="AN235" i="32"/>
  <c r="AM235" i="32"/>
  <c r="AL235" i="32"/>
  <c r="AK235" i="32"/>
  <c r="AJ235" i="32"/>
  <c r="AI235" i="32"/>
  <c r="AH235" i="32"/>
  <c r="AG235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AS234" i="32"/>
  <c r="AQ234" i="32"/>
  <c r="AN234" i="32"/>
  <c r="AM234" i="32"/>
  <c r="AL234" i="32"/>
  <c r="AK234" i="32"/>
  <c r="AJ234" i="32"/>
  <c r="AI234" i="32"/>
  <c r="AH234" i="32"/>
  <c r="AG234" i="32"/>
  <c r="AF234" i="32"/>
  <c r="AE234" i="32"/>
  <c r="AD234" i="32"/>
  <c r="AC234" i="32"/>
  <c r="AB234" i="32"/>
  <c r="AA234" i="32"/>
  <c r="Z234" i="32"/>
  <c r="Y234" i="32"/>
  <c r="X234" i="32"/>
  <c r="W234" i="32"/>
  <c r="V234" i="32"/>
  <c r="U234" i="32"/>
  <c r="T234" i="32"/>
  <c r="AS233" i="32"/>
  <c r="AQ233" i="32"/>
  <c r="AN233" i="32"/>
  <c r="AM233" i="32"/>
  <c r="AL233" i="32"/>
  <c r="AK233" i="32"/>
  <c r="AJ233" i="32"/>
  <c r="AI233" i="32"/>
  <c r="AH233" i="32"/>
  <c r="AG233" i="32"/>
  <c r="AF233" i="32"/>
  <c r="AE233" i="32"/>
  <c r="AD233" i="32"/>
  <c r="AC233" i="32"/>
  <c r="AB233" i="32"/>
  <c r="AA233" i="32"/>
  <c r="Z233" i="32"/>
  <c r="Y233" i="32"/>
  <c r="X233" i="32"/>
  <c r="W233" i="32"/>
  <c r="V233" i="32"/>
  <c r="U233" i="32"/>
  <c r="T233" i="32"/>
  <c r="AS232" i="32"/>
  <c r="AQ232" i="32"/>
  <c r="AN232" i="32"/>
  <c r="AM232" i="32"/>
  <c r="AL232" i="32"/>
  <c r="AK232" i="32"/>
  <c r="AJ232" i="32"/>
  <c r="AI232" i="32"/>
  <c r="AH232" i="32"/>
  <c r="AG232" i="32"/>
  <c r="AF232" i="32"/>
  <c r="AE232" i="32"/>
  <c r="AD232" i="32"/>
  <c r="AC232" i="32"/>
  <c r="AB232" i="32"/>
  <c r="AA232" i="32"/>
  <c r="Z232" i="32"/>
  <c r="Y232" i="32"/>
  <c r="X232" i="32"/>
  <c r="W232" i="32"/>
  <c r="V232" i="32"/>
  <c r="U232" i="32"/>
  <c r="T232" i="32"/>
  <c r="AS231" i="32"/>
  <c r="AQ231" i="32"/>
  <c r="AN231" i="32"/>
  <c r="AM231" i="32"/>
  <c r="AL231" i="32"/>
  <c r="AK231" i="32"/>
  <c r="AJ231" i="32"/>
  <c r="AI231" i="32"/>
  <c r="AH231" i="32"/>
  <c r="AG231" i="32"/>
  <c r="AF231" i="32"/>
  <c r="AE231" i="32"/>
  <c r="AD231" i="32"/>
  <c r="AC231" i="32"/>
  <c r="AB231" i="32"/>
  <c r="AA231" i="32"/>
  <c r="Z231" i="32"/>
  <c r="Y231" i="32"/>
  <c r="X231" i="32"/>
  <c r="W231" i="32"/>
  <c r="V231" i="32"/>
  <c r="U231" i="32"/>
  <c r="T231" i="32"/>
  <c r="AS230" i="32"/>
  <c r="AQ230" i="32"/>
  <c r="AN230" i="32"/>
  <c r="AO230" i="32" s="1"/>
  <c r="AM230" i="32"/>
  <c r="AL230" i="32"/>
  <c r="AK230" i="32"/>
  <c r="AJ230" i="32"/>
  <c r="AI230" i="32"/>
  <c r="AH230" i="32"/>
  <c r="AG230" i="32"/>
  <c r="AF230" i="32"/>
  <c r="AE230" i="32"/>
  <c r="AD230" i="32"/>
  <c r="AC230" i="32"/>
  <c r="AB230" i="32"/>
  <c r="AA230" i="32"/>
  <c r="Z230" i="32"/>
  <c r="Y230" i="32"/>
  <c r="X230" i="32"/>
  <c r="W230" i="32"/>
  <c r="V230" i="32"/>
  <c r="U230" i="32"/>
  <c r="T230" i="32"/>
  <c r="AS229" i="32"/>
  <c r="AQ229" i="32"/>
  <c r="AN229" i="32"/>
  <c r="AM229" i="32"/>
  <c r="AL229" i="32"/>
  <c r="AK229" i="32"/>
  <c r="AJ229" i="32"/>
  <c r="AI229" i="32"/>
  <c r="AH229" i="32"/>
  <c r="AG229" i="32"/>
  <c r="AF229" i="32"/>
  <c r="AE229" i="32"/>
  <c r="AD229" i="32"/>
  <c r="AC229" i="32"/>
  <c r="AB229" i="32"/>
  <c r="AA229" i="32"/>
  <c r="Z229" i="32"/>
  <c r="Y229" i="32"/>
  <c r="X229" i="32"/>
  <c r="W229" i="32"/>
  <c r="V229" i="32"/>
  <c r="U229" i="32"/>
  <c r="T229" i="32"/>
  <c r="AS228" i="32"/>
  <c r="AQ228" i="32"/>
  <c r="AN228" i="32"/>
  <c r="AM228" i="32"/>
  <c r="AL228" i="32"/>
  <c r="AK228" i="32"/>
  <c r="AJ228" i="32"/>
  <c r="AI228" i="32"/>
  <c r="AH228" i="32"/>
  <c r="AG228" i="32"/>
  <c r="AF228" i="32"/>
  <c r="AE228" i="32"/>
  <c r="AD228" i="32"/>
  <c r="AC228" i="32"/>
  <c r="AB228" i="32"/>
  <c r="AA228" i="32"/>
  <c r="Z228" i="32"/>
  <c r="Y228" i="32"/>
  <c r="X228" i="32"/>
  <c r="W228" i="32"/>
  <c r="V228" i="32"/>
  <c r="U228" i="32"/>
  <c r="T228" i="32"/>
  <c r="AS227" i="32"/>
  <c r="AQ227" i="32"/>
  <c r="AN227" i="32"/>
  <c r="AM227" i="32"/>
  <c r="AL227" i="32"/>
  <c r="AK227" i="32"/>
  <c r="AJ227" i="32"/>
  <c r="AI227" i="32"/>
  <c r="AH227" i="32"/>
  <c r="AG227" i="32"/>
  <c r="AF227" i="32"/>
  <c r="AE227" i="32"/>
  <c r="AD227" i="32"/>
  <c r="AC227" i="32"/>
  <c r="AB227" i="32"/>
  <c r="AA227" i="32"/>
  <c r="Z227" i="32"/>
  <c r="Y227" i="32"/>
  <c r="X227" i="32"/>
  <c r="W227" i="32"/>
  <c r="V227" i="32"/>
  <c r="U227" i="32"/>
  <c r="T227" i="32"/>
  <c r="AN226" i="32"/>
  <c r="AM226" i="32"/>
  <c r="AL226" i="32"/>
  <c r="AK226" i="32"/>
  <c r="AJ226" i="32"/>
  <c r="AI226" i="32"/>
  <c r="AH226" i="32"/>
  <c r="AO226" i="32" s="1"/>
  <c r="AG226" i="32"/>
  <c r="AF226" i="32"/>
  <c r="AE226" i="32"/>
  <c r="AD226" i="32"/>
  <c r="AC226" i="32"/>
  <c r="AB226" i="32"/>
  <c r="AA226" i="32"/>
  <c r="Z226" i="32"/>
  <c r="Y226" i="32"/>
  <c r="X226" i="32"/>
  <c r="W226" i="32"/>
  <c r="V226" i="32"/>
  <c r="U226" i="32"/>
  <c r="T226" i="32"/>
  <c r="AV225" i="32"/>
  <c r="AN225" i="32"/>
  <c r="AM225" i="32"/>
  <c r="AL225" i="32"/>
  <c r="AK225" i="32"/>
  <c r="AJ225" i="32"/>
  <c r="AI225" i="32"/>
  <c r="AH225" i="32"/>
  <c r="AG225" i="32"/>
  <c r="AF225" i="32"/>
  <c r="AE225" i="32"/>
  <c r="AD225" i="32"/>
  <c r="AC225" i="32"/>
  <c r="AB225" i="32"/>
  <c r="AA225" i="32"/>
  <c r="Z225" i="32"/>
  <c r="Y225" i="32"/>
  <c r="X225" i="32"/>
  <c r="W225" i="32"/>
  <c r="V225" i="32"/>
  <c r="U225" i="32"/>
  <c r="T225" i="32"/>
  <c r="AS224" i="32"/>
  <c r="AQ224" i="32"/>
  <c r="AN224" i="32"/>
  <c r="AM224" i="32"/>
  <c r="AL224" i="32"/>
  <c r="AK224" i="32"/>
  <c r="AJ224" i="32"/>
  <c r="AI224" i="32"/>
  <c r="AH224" i="32"/>
  <c r="AG224" i="32"/>
  <c r="AF224" i="32"/>
  <c r="AE224" i="32"/>
  <c r="AD224" i="32"/>
  <c r="AC224" i="32"/>
  <c r="AB224" i="32"/>
  <c r="AA224" i="32"/>
  <c r="Z224" i="32"/>
  <c r="Y224" i="32"/>
  <c r="X224" i="32"/>
  <c r="W224" i="32"/>
  <c r="V224" i="32"/>
  <c r="U224" i="32"/>
  <c r="T224" i="32"/>
  <c r="AS223" i="32"/>
  <c r="AQ223" i="32"/>
  <c r="AN223" i="32"/>
  <c r="AO223" i="32" s="1"/>
  <c r="AM223" i="32"/>
  <c r="AL223" i="32"/>
  <c r="AK223" i="32"/>
  <c r="AJ223" i="32"/>
  <c r="AI223" i="32"/>
  <c r="AH223" i="32"/>
  <c r="AG223" i="32"/>
  <c r="AF223" i="32"/>
  <c r="AE223" i="32"/>
  <c r="AD223" i="32"/>
  <c r="AC223" i="32"/>
  <c r="AB223" i="32"/>
  <c r="AA223" i="32"/>
  <c r="Z223" i="32"/>
  <c r="Y223" i="32"/>
  <c r="X223" i="32"/>
  <c r="W223" i="32"/>
  <c r="V223" i="32"/>
  <c r="U223" i="32"/>
  <c r="T223" i="32"/>
  <c r="AS222" i="32"/>
  <c r="AQ222" i="32"/>
  <c r="AN222" i="32"/>
  <c r="AM222" i="32"/>
  <c r="AL222" i="32"/>
  <c r="AK222" i="32"/>
  <c r="AJ222" i="32"/>
  <c r="AI222" i="32"/>
  <c r="AH222" i="32"/>
  <c r="AG222" i="32"/>
  <c r="AF222" i="32"/>
  <c r="AE222" i="32"/>
  <c r="AD222" i="32"/>
  <c r="AC222" i="32"/>
  <c r="AB222" i="32"/>
  <c r="AA222" i="32"/>
  <c r="Z222" i="32"/>
  <c r="Y222" i="32"/>
  <c r="X222" i="32"/>
  <c r="W222" i="32"/>
  <c r="V222" i="32"/>
  <c r="U222" i="32"/>
  <c r="T222" i="32"/>
  <c r="AS221" i="32"/>
  <c r="AQ221" i="32"/>
  <c r="AQ225" i="32" s="1"/>
  <c r="AN221" i="32"/>
  <c r="AM221" i="32"/>
  <c r="AL221" i="32"/>
  <c r="AK221" i="32"/>
  <c r="AJ221" i="32"/>
  <c r="AI221" i="32"/>
  <c r="AH221" i="32"/>
  <c r="AG221" i="32"/>
  <c r="AF221" i="32"/>
  <c r="AE221" i="32"/>
  <c r="AD221" i="32"/>
  <c r="AC221" i="32"/>
  <c r="AB221" i="32"/>
  <c r="AA221" i="32"/>
  <c r="Z221" i="32"/>
  <c r="Y221" i="32"/>
  <c r="X221" i="32"/>
  <c r="W221" i="32"/>
  <c r="V221" i="32"/>
  <c r="U221" i="32"/>
  <c r="T221" i="32"/>
  <c r="AV220" i="32"/>
  <c r="AN220" i="32"/>
  <c r="AM220" i="32"/>
  <c r="AL220" i="32"/>
  <c r="AK220" i="32"/>
  <c r="AJ220" i="32"/>
  <c r="AI220" i="32"/>
  <c r="AH220" i="32"/>
  <c r="AG220" i="32"/>
  <c r="AF220" i="32"/>
  <c r="AE220" i="32"/>
  <c r="AD220" i="32"/>
  <c r="AC220" i="32"/>
  <c r="AB220" i="32"/>
  <c r="AA220" i="32"/>
  <c r="Z220" i="32"/>
  <c r="Y220" i="32"/>
  <c r="X220" i="32"/>
  <c r="W220" i="32"/>
  <c r="V220" i="32"/>
  <c r="U220" i="32"/>
  <c r="T220" i="32"/>
  <c r="AS219" i="32"/>
  <c r="AQ219" i="32"/>
  <c r="AN219" i="32"/>
  <c r="AO219" i="32" s="1"/>
  <c r="AM219" i="32"/>
  <c r="AL219" i="32"/>
  <c r="AK219" i="32"/>
  <c r="AJ219" i="32"/>
  <c r="AI219" i="32"/>
  <c r="AH219" i="32"/>
  <c r="AG219" i="32"/>
  <c r="AF219" i="32"/>
  <c r="AE219" i="32"/>
  <c r="AD219" i="32"/>
  <c r="AC219" i="32"/>
  <c r="AB219" i="32"/>
  <c r="AA219" i="32"/>
  <c r="Z219" i="32"/>
  <c r="Y219" i="32"/>
  <c r="X219" i="32"/>
  <c r="W219" i="32"/>
  <c r="V219" i="32"/>
  <c r="U219" i="32"/>
  <c r="T219" i="32"/>
  <c r="AS218" i="32"/>
  <c r="AQ218" i="32"/>
  <c r="AN218" i="32"/>
  <c r="AM218" i="32"/>
  <c r="AL218" i="32"/>
  <c r="AK218" i="32"/>
  <c r="AJ218" i="32"/>
  <c r="AI218" i="32"/>
  <c r="AH218" i="32"/>
  <c r="AG218" i="32"/>
  <c r="AF218" i="32"/>
  <c r="AE218" i="32"/>
  <c r="AD218" i="32"/>
  <c r="AC218" i="32"/>
  <c r="AB218" i="32"/>
  <c r="AA218" i="32"/>
  <c r="Z218" i="32"/>
  <c r="Y218" i="32"/>
  <c r="X218" i="32"/>
  <c r="W218" i="32"/>
  <c r="V218" i="32"/>
  <c r="U218" i="32"/>
  <c r="T218" i="32"/>
  <c r="AS217" i="32"/>
  <c r="AQ217" i="32"/>
  <c r="AN217" i="32"/>
  <c r="AM217" i="32"/>
  <c r="AL217" i="32"/>
  <c r="AK217" i="32"/>
  <c r="AJ217" i="32"/>
  <c r="AI217" i="32"/>
  <c r="AH217" i="32"/>
  <c r="AG217" i="32"/>
  <c r="AF217" i="32"/>
  <c r="AE217" i="32"/>
  <c r="AD217" i="32"/>
  <c r="AC217" i="32"/>
  <c r="AB217" i="32"/>
  <c r="AA217" i="32"/>
  <c r="Z217" i="32"/>
  <c r="Y217" i="32"/>
  <c r="X217" i="32"/>
  <c r="W217" i="32"/>
  <c r="V217" i="32"/>
  <c r="U217" i="32"/>
  <c r="T217" i="32"/>
  <c r="AS216" i="32"/>
  <c r="AQ216" i="32"/>
  <c r="AN216" i="32"/>
  <c r="AM216" i="32"/>
  <c r="AL216" i="32"/>
  <c r="AK216" i="32"/>
  <c r="AJ216" i="32"/>
  <c r="AI216" i="32"/>
  <c r="AH216" i="32"/>
  <c r="AG216" i="32"/>
  <c r="AF216" i="32"/>
  <c r="AE216" i="32"/>
  <c r="AD216" i="32"/>
  <c r="AC216" i="32"/>
  <c r="AB216" i="32"/>
  <c r="AA216" i="32"/>
  <c r="Z216" i="32"/>
  <c r="Y216" i="32"/>
  <c r="X216" i="32"/>
  <c r="W216" i="32"/>
  <c r="V216" i="32"/>
  <c r="U216" i="32"/>
  <c r="T216" i="32"/>
  <c r="AV215" i="32"/>
  <c r="AN215" i="32"/>
  <c r="AM215" i="32"/>
  <c r="AL215" i="32"/>
  <c r="AK215" i="32"/>
  <c r="AJ215" i="32"/>
  <c r="AI215" i="32"/>
  <c r="AH215" i="32"/>
  <c r="AG215" i="32"/>
  <c r="AF215" i="32"/>
  <c r="AE215" i="32"/>
  <c r="AD215" i="32"/>
  <c r="AC215" i="32"/>
  <c r="AB215" i="32"/>
  <c r="AA215" i="32"/>
  <c r="Z215" i="32"/>
  <c r="Y215" i="32"/>
  <c r="X215" i="32"/>
  <c r="W215" i="32"/>
  <c r="V215" i="32"/>
  <c r="U215" i="32"/>
  <c r="T215" i="32"/>
  <c r="AS214" i="32"/>
  <c r="AQ214" i="32"/>
  <c r="AN214" i="32"/>
  <c r="AM214" i="32"/>
  <c r="AL214" i="32"/>
  <c r="AK214" i="32"/>
  <c r="AJ214" i="32"/>
  <c r="AI214" i="32"/>
  <c r="AH214" i="32"/>
  <c r="AG214" i="32"/>
  <c r="AF214" i="32"/>
  <c r="AE214" i="32"/>
  <c r="AD214" i="32"/>
  <c r="AC214" i="32"/>
  <c r="AB214" i="32"/>
  <c r="AA214" i="32"/>
  <c r="Z214" i="32"/>
  <c r="Y214" i="32"/>
  <c r="X214" i="32"/>
  <c r="W214" i="32"/>
  <c r="V214" i="32"/>
  <c r="U214" i="32"/>
  <c r="T214" i="32"/>
  <c r="AS213" i="32"/>
  <c r="AQ213" i="32"/>
  <c r="AN213" i="32"/>
  <c r="AM213" i="32"/>
  <c r="AL213" i="32"/>
  <c r="AK213" i="32"/>
  <c r="AJ213" i="32"/>
  <c r="AI213" i="32"/>
  <c r="AH213" i="32"/>
  <c r="AG213" i="32"/>
  <c r="AF213" i="32"/>
  <c r="AE213" i="32"/>
  <c r="AD213" i="32"/>
  <c r="AC213" i="32"/>
  <c r="AB213" i="32"/>
  <c r="AA213" i="32"/>
  <c r="Z213" i="32"/>
  <c r="Y213" i="32"/>
  <c r="X213" i="32"/>
  <c r="W213" i="32"/>
  <c r="V213" i="32"/>
  <c r="U213" i="32"/>
  <c r="T213" i="32"/>
  <c r="AS212" i="32"/>
  <c r="AQ212" i="32"/>
  <c r="AN212" i="32"/>
  <c r="AM212" i="32"/>
  <c r="AL212" i="32"/>
  <c r="AO212" i="32" s="1"/>
  <c r="AK212" i="32"/>
  <c r="AJ212" i="32"/>
  <c r="AI212" i="32"/>
  <c r="AH212" i="32"/>
  <c r="AG212" i="32"/>
  <c r="AF212" i="32"/>
  <c r="AE212" i="32"/>
  <c r="AD212" i="32"/>
  <c r="AC212" i="32"/>
  <c r="AB212" i="32"/>
  <c r="AA212" i="32"/>
  <c r="Z212" i="32"/>
  <c r="Y212" i="32"/>
  <c r="X212" i="32"/>
  <c r="W212" i="32"/>
  <c r="V212" i="32"/>
  <c r="U212" i="32"/>
  <c r="T212" i="32"/>
  <c r="AS211" i="32"/>
  <c r="AQ211" i="32"/>
  <c r="AN211" i="32"/>
  <c r="AM211" i="32"/>
  <c r="AL211" i="32"/>
  <c r="AK211" i="32"/>
  <c r="AJ211" i="32"/>
  <c r="AI211" i="32"/>
  <c r="AH211" i="32"/>
  <c r="AG211" i="32"/>
  <c r="AF211" i="32"/>
  <c r="AE211" i="32"/>
  <c r="AD211" i="32"/>
  <c r="AC211" i="32"/>
  <c r="AB211" i="32"/>
  <c r="AA211" i="32"/>
  <c r="Z211" i="32"/>
  <c r="Y211" i="32"/>
  <c r="X211" i="32"/>
  <c r="W211" i="32"/>
  <c r="V211" i="32"/>
  <c r="U211" i="32"/>
  <c r="T211" i="32"/>
  <c r="AS210" i="32"/>
  <c r="AQ210" i="32"/>
  <c r="AN210" i="32"/>
  <c r="AM210" i="32"/>
  <c r="AL210" i="32"/>
  <c r="AK210" i="32"/>
  <c r="AJ210" i="32"/>
  <c r="AI210" i="32"/>
  <c r="AH210" i="32"/>
  <c r="AG210" i="32"/>
  <c r="AF210" i="32"/>
  <c r="AE210" i="32"/>
  <c r="AD210" i="32"/>
  <c r="AC210" i="32"/>
  <c r="AB210" i="32"/>
  <c r="AA210" i="32"/>
  <c r="Z210" i="32"/>
  <c r="Y210" i="32"/>
  <c r="X210" i="32"/>
  <c r="W210" i="32"/>
  <c r="V210" i="32"/>
  <c r="U210" i="32"/>
  <c r="T210" i="32"/>
  <c r="AS209" i="32"/>
  <c r="AQ209" i="32"/>
  <c r="AN209" i="32"/>
  <c r="AM209" i="32"/>
  <c r="AL209" i="32"/>
  <c r="AK209" i="32"/>
  <c r="AJ209" i="32"/>
  <c r="AI209" i="32"/>
  <c r="AH209" i="32"/>
  <c r="AG209" i="32"/>
  <c r="AF209" i="32"/>
  <c r="AE209" i="32"/>
  <c r="AD209" i="32"/>
  <c r="AC209" i="32"/>
  <c r="AB209" i="32"/>
  <c r="AA209" i="32"/>
  <c r="Z209" i="32"/>
  <c r="Y209" i="32"/>
  <c r="X209" i="32"/>
  <c r="W209" i="32"/>
  <c r="V209" i="32"/>
  <c r="U209" i="32"/>
  <c r="T209" i="32"/>
  <c r="AS208" i="32"/>
  <c r="AQ208" i="32"/>
  <c r="AN208" i="32"/>
  <c r="AM208" i="32"/>
  <c r="AL208" i="32"/>
  <c r="AK208" i="32"/>
  <c r="AJ208" i="32"/>
  <c r="AI208" i="32"/>
  <c r="AH208" i="32"/>
  <c r="AG208" i="32"/>
  <c r="AF208" i="32"/>
  <c r="AE208" i="32"/>
  <c r="AD208" i="32"/>
  <c r="AC208" i="32"/>
  <c r="AB208" i="32"/>
  <c r="AA208" i="32"/>
  <c r="Z208" i="32"/>
  <c r="Y208" i="32"/>
  <c r="X208" i="32"/>
  <c r="W208" i="32"/>
  <c r="V208" i="32"/>
  <c r="U208" i="32"/>
  <c r="T208" i="32"/>
  <c r="AS207" i="32"/>
  <c r="AQ207" i="32"/>
  <c r="AN207" i="32"/>
  <c r="AM207" i="32"/>
  <c r="AL207" i="32"/>
  <c r="AK207" i="32"/>
  <c r="AJ207" i="32"/>
  <c r="AI207" i="32"/>
  <c r="AH207" i="32"/>
  <c r="AG207" i="32"/>
  <c r="AF207" i="32"/>
  <c r="AE207" i="32"/>
  <c r="AD207" i="32"/>
  <c r="AC207" i="32"/>
  <c r="AB207" i="32"/>
  <c r="AA207" i="32"/>
  <c r="Z207" i="32"/>
  <c r="Y207" i="32"/>
  <c r="X207" i="32"/>
  <c r="W207" i="32"/>
  <c r="V207" i="32"/>
  <c r="U207" i="32"/>
  <c r="T207" i="32"/>
  <c r="AS206" i="32"/>
  <c r="AQ206" i="32"/>
  <c r="AQ215" i="32" s="1"/>
  <c r="AN206" i="32"/>
  <c r="AM206" i="32"/>
  <c r="AL206" i="32"/>
  <c r="AK206" i="32"/>
  <c r="AJ206" i="32"/>
  <c r="AI206" i="32"/>
  <c r="AH206" i="32"/>
  <c r="AG206" i="32"/>
  <c r="AF206" i="32"/>
  <c r="AE206" i="32"/>
  <c r="AD206" i="32"/>
  <c r="AC206" i="32"/>
  <c r="AB206" i="32"/>
  <c r="AA206" i="32"/>
  <c r="Z206" i="32"/>
  <c r="Y206" i="32"/>
  <c r="X206" i="32"/>
  <c r="W206" i="32"/>
  <c r="V206" i="32"/>
  <c r="U206" i="32"/>
  <c r="T206" i="32"/>
  <c r="AS205" i="32"/>
  <c r="AQ205" i="32"/>
  <c r="AN205" i="32"/>
  <c r="AM205" i="32"/>
  <c r="AL205" i="32"/>
  <c r="AK205" i="32"/>
  <c r="AJ205" i="32"/>
  <c r="AI205" i="32"/>
  <c r="AH205" i="32"/>
  <c r="AG205" i="32"/>
  <c r="AF205" i="32"/>
  <c r="AE205" i="32"/>
  <c r="AD205" i="32"/>
  <c r="AC205" i="32"/>
  <c r="AB205" i="32"/>
  <c r="AA205" i="32"/>
  <c r="Z205" i="32"/>
  <c r="Y205" i="32"/>
  <c r="X205" i="32"/>
  <c r="W205" i="32"/>
  <c r="V205" i="32"/>
  <c r="U205" i="32"/>
  <c r="T205" i="32"/>
  <c r="AS204" i="32"/>
  <c r="AQ204" i="32"/>
  <c r="AN204" i="32"/>
  <c r="AM204" i="32"/>
  <c r="AL204" i="32"/>
  <c r="AK204" i="32"/>
  <c r="AJ204" i="32"/>
  <c r="AI204" i="32"/>
  <c r="AH204" i="32"/>
  <c r="AG204" i="32"/>
  <c r="AF204" i="32"/>
  <c r="AE204" i="32"/>
  <c r="AD204" i="32"/>
  <c r="AC204" i="32"/>
  <c r="AB204" i="32"/>
  <c r="AA204" i="32"/>
  <c r="Z204" i="32"/>
  <c r="Y204" i="32"/>
  <c r="X204" i="32"/>
  <c r="W204" i="32"/>
  <c r="V204" i="32"/>
  <c r="U204" i="32"/>
  <c r="T204" i="32"/>
  <c r="AS203" i="32"/>
  <c r="AQ203" i="32"/>
  <c r="AN203" i="32"/>
  <c r="AM203" i="32"/>
  <c r="AL203" i="32"/>
  <c r="AK203" i="32"/>
  <c r="AJ203" i="32"/>
  <c r="AI203" i="32"/>
  <c r="AH203" i="32"/>
  <c r="AG203" i="32"/>
  <c r="AF203" i="32"/>
  <c r="AE203" i="32"/>
  <c r="AD203" i="32"/>
  <c r="AC203" i="32"/>
  <c r="AB203" i="32"/>
  <c r="AA203" i="32"/>
  <c r="Z203" i="32"/>
  <c r="Y203" i="32"/>
  <c r="X203" i="32"/>
  <c r="W203" i="32"/>
  <c r="V203" i="32"/>
  <c r="U203" i="32"/>
  <c r="T203" i="32"/>
  <c r="AS202" i="32"/>
  <c r="AQ202" i="32"/>
  <c r="AN202" i="32"/>
  <c r="AM202" i="32"/>
  <c r="AL202" i="32"/>
  <c r="AK202" i="32"/>
  <c r="AJ202" i="32"/>
  <c r="AI202" i="32"/>
  <c r="AH202" i="32"/>
  <c r="AG202" i="32"/>
  <c r="AF202" i="32"/>
  <c r="AE202" i="32"/>
  <c r="AD202" i="32"/>
  <c r="AC202" i="32"/>
  <c r="AB202" i="32"/>
  <c r="AA202" i="32"/>
  <c r="Z202" i="32"/>
  <c r="Y202" i="32"/>
  <c r="X202" i="32"/>
  <c r="W202" i="32"/>
  <c r="V202" i="32"/>
  <c r="U202" i="32"/>
  <c r="T202" i="32"/>
  <c r="AS201" i="32"/>
  <c r="AQ201" i="32"/>
  <c r="AN201" i="32"/>
  <c r="AM201" i="32"/>
  <c r="AL201" i="32"/>
  <c r="AK201" i="32"/>
  <c r="AJ201" i="32"/>
  <c r="AI201" i="32"/>
  <c r="AH201" i="32"/>
  <c r="AG201" i="32"/>
  <c r="AF201" i="32"/>
  <c r="AE201" i="32"/>
  <c r="AD201" i="32"/>
  <c r="AC201" i="32"/>
  <c r="AB201" i="32"/>
  <c r="AA201" i="32"/>
  <c r="Z201" i="32"/>
  <c r="Y201" i="32"/>
  <c r="X201" i="32"/>
  <c r="W201" i="32"/>
  <c r="V201" i="32"/>
  <c r="U201" i="32"/>
  <c r="T201" i="32"/>
  <c r="AS200" i="32"/>
  <c r="AS215" i="32" s="1"/>
  <c r="AQ200" i="32"/>
  <c r="AN200" i="32"/>
  <c r="AM200" i="32"/>
  <c r="AL200" i="32"/>
  <c r="AK200" i="32"/>
  <c r="AJ200" i="32"/>
  <c r="AI200" i="32"/>
  <c r="AH200" i="32"/>
  <c r="AG200" i="32"/>
  <c r="AF200" i="32"/>
  <c r="AE200" i="32"/>
  <c r="AD200" i="32"/>
  <c r="AC200" i="32"/>
  <c r="AB200" i="32"/>
  <c r="AA200" i="32"/>
  <c r="Z200" i="32"/>
  <c r="Y200" i="32"/>
  <c r="X200" i="32"/>
  <c r="W200" i="32"/>
  <c r="V200" i="32"/>
  <c r="U200" i="32"/>
  <c r="T200" i="32"/>
  <c r="AV199" i="32"/>
  <c r="AN199" i="32"/>
  <c r="AM199" i="32"/>
  <c r="AL199" i="32"/>
  <c r="AK199" i="32"/>
  <c r="AJ199" i="32"/>
  <c r="AI199" i="32"/>
  <c r="AH199" i="32"/>
  <c r="AG199" i="32"/>
  <c r="AF199" i="32"/>
  <c r="AE199" i="32"/>
  <c r="AD199" i="32"/>
  <c r="AC199" i="32"/>
  <c r="AB199" i="32"/>
  <c r="AA199" i="32"/>
  <c r="Z199" i="32"/>
  <c r="Y199" i="32"/>
  <c r="X199" i="32"/>
  <c r="W199" i="32"/>
  <c r="V199" i="32"/>
  <c r="U199" i="32"/>
  <c r="T199" i="32"/>
  <c r="AS198" i="32"/>
  <c r="AQ198" i="32"/>
  <c r="AN198" i="32"/>
  <c r="AM198" i="32"/>
  <c r="AL198" i="32"/>
  <c r="AK198" i="32"/>
  <c r="AJ198" i="32"/>
  <c r="AI198" i="32"/>
  <c r="AH198" i="32"/>
  <c r="AG198" i="32"/>
  <c r="AF198" i="32"/>
  <c r="AE198" i="32"/>
  <c r="AD198" i="32"/>
  <c r="AC198" i="32"/>
  <c r="AB198" i="32"/>
  <c r="AA198" i="32"/>
  <c r="Z198" i="32"/>
  <c r="Y198" i="32"/>
  <c r="X198" i="32"/>
  <c r="W198" i="32"/>
  <c r="V198" i="32"/>
  <c r="U198" i="32"/>
  <c r="T198" i="32"/>
  <c r="AS197" i="32"/>
  <c r="AQ197" i="32"/>
  <c r="AN197" i="32"/>
  <c r="AM197" i="32"/>
  <c r="AL197" i="32"/>
  <c r="AK197" i="32"/>
  <c r="AJ197" i="32"/>
  <c r="AI197" i="32"/>
  <c r="AH197" i="32"/>
  <c r="AG197" i="32"/>
  <c r="AF197" i="32"/>
  <c r="AE197" i="32"/>
  <c r="AD197" i="32"/>
  <c r="AC197" i="32"/>
  <c r="AB197" i="32"/>
  <c r="AA197" i="32"/>
  <c r="Z197" i="32"/>
  <c r="Y197" i="32"/>
  <c r="X197" i="32"/>
  <c r="W197" i="32"/>
  <c r="V197" i="32"/>
  <c r="U197" i="32"/>
  <c r="T197" i="32"/>
  <c r="AS196" i="32"/>
  <c r="AQ196" i="32"/>
  <c r="AN196" i="32"/>
  <c r="AM196" i="32"/>
  <c r="AL196" i="32"/>
  <c r="AO196" i="32" s="1"/>
  <c r="AK196" i="32"/>
  <c r="AJ196" i="32"/>
  <c r="AI196" i="32"/>
  <c r="AH196" i="32"/>
  <c r="AG196" i="32"/>
  <c r="AF196" i="32"/>
  <c r="AE196" i="32"/>
  <c r="AD196" i="32"/>
  <c r="AC196" i="32"/>
  <c r="AB196" i="32"/>
  <c r="AA196" i="32"/>
  <c r="Z196" i="32"/>
  <c r="Y196" i="32"/>
  <c r="X196" i="32"/>
  <c r="W196" i="32"/>
  <c r="V196" i="32"/>
  <c r="U196" i="32"/>
  <c r="T196" i="32"/>
  <c r="AS195" i="32"/>
  <c r="AQ195" i="32"/>
  <c r="AN195" i="32"/>
  <c r="AM195" i="32"/>
  <c r="AL195" i="32"/>
  <c r="AK195" i="32"/>
  <c r="AJ195" i="32"/>
  <c r="AI195" i="32"/>
  <c r="AH195" i="32"/>
  <c r="AG195" i="32"/>
  <c r="AF195" i="32"/>
  <c r="AE195" i="32"/>
  <c r="AD195" i="32"/>
  <c r="AC195" i="32"/>
  <c r="AB195" i="32"/>
  <c r="AA195" i="32"/>
  <c r="Z195" i="32"/>
  <c r="Y195" i="32"/>
  <c r="X195" i="32"/>
  <c r="W195" i="32"/>
  <c r="V195" i="32"/>
  <c r="U195" i="32"/>
  <c r="T195" i="32"/>
  <c r="AS194" i="32"/>
  <c r="AQ194" i="32"/>
  <c r="AN194" i="32"/>
  <c r="AM194" i="32"/>
  <c r="AL194" i="32"/>
  <c r="AK194" i="32"/>
  <c r="AJ194" i="32"/>
  <c r="AI194" i="32"/>
  <c r="AH194" i="32"/>
  <c r="AG194" i="32"/>
  <c r="AF194" i="32"/>
  <c r="AE194" i="32"/>
  <c r="AD194" i="32"/>
  <c r="AC194" i="32"/>
  <c r="AB194" i="32"/>
  <c r="AA194" i="32"/>
  <c r="Z194" i="32"/>
  <c r="Y194" i="32"/>
  <c r="X194" i="32"/>
  <c r="W194" i="32"/>
  <c r="V194" i="32"/>
  <c r="U194" i="32"/>
  <c r="T194" i="32"/>
  <c r="AS193" i="32"/>
  <c r="AQ193" i="32"/>
  <c r="AN193" i="32"/>
  <c r="AM193" i="32"/>
  <c r="AL193" i="32"/>
  <c r="AK193" i="32"/>
  <c r="AJ193" i="32"/>
  <c r="AI193" i="32"/>
  <c r="AH193" i="32"/>
  <c r="AG193" i="32"/>
  <c r="AF193" i="32"/>
  <c r="AE193" i="32"/>
  <c r="AD193" i="32"/>
  <c r="AC193" i="32"/>
  <c r="AB193" i="32"/>
  <c r="AA193" i="32"/>
  <c r="Z193" i="32"/>
  <c r="Y193" i="32"/>
  <c r="X193" i="32"/>
  <c r="W193" i="32"/>
  <c r="V193" i="32"/>
  <c r="U193" i="32"/>
  <c r="T193" i="32"/>
  <c r="AT192" i="32"/>
  <c r="AU192" i="32" s="1"/>
  <c r="AS192" i="32"/>
  <c r="AQ192" i="32"/>
  <c r="AN192" i="32"/>
  <c r="AM192" i="32"/>
  <c r="AL192" i="32"/>
  <c r="AK192" i="32"/>
  <c r="AJ192" i="32"/>
  <c r="AO192" i="32" s="1"/>
  <c r="AI192" i="32"/>
  <c r="AH192" i="32"/>
  <c r="AG192" i="32"/>
  <c r="AF192" i="32"/>
  <c r="AE192" i="32"/>
  <c r="AD192" i="32"/>
  <c r="AC192" i="32"/>
  <c r="AB192" i="32"/>
  <c r="AA192" i="32"/>
  <c r="Z192" i="32"/>
  <c r="Y192" i="32"/>
  <c r="X192" i="32"/>
  <c r="W192" i="32"/>
  <c r="V192" i="32"/>
  <c r="U192" i="32"/>
  <c r="T192" i="32"/>
  <c r="AS191" i="32"/>
  <c r="AQ191" i="32"/>
  <c r="AN191" i="32"/>
  <c r="AM191" i="32"/>
  <c r="AL191" i="32"/>
  <c r="AK191" i="32"/>
  <c r="AJ191" i="32"/>
  <c r="AI191" i="32"/>
  <c r="AH191" i="32"/>
  <c r="AG191" i="32"/>
  <c r="AF191" i="32"/>
  <c r="AE191" i="32"/>
  <c r="AD191" i="32"/>
  <c r="AC191" i="32"/>
  <c r="AB191" i="32"/>
  <c r="AA191" i="32"/>
  <c r="Z191" i="32"/>
  <c r="Y191" i="32"/>
  <c r="X191" i="32"/>
  <c r="W191" i="32"/>
  <c r="V191" i="32"/>
  <c r="U191" i="32"/>
  <c r="T191" i="32"/>
  <c r="AN190" i="32"/>
  <c r="AO190" i="32" s="1"/>
  <c r="AM190" i="32"/>
  <c r="AL190" i="32"/>
  <c r="AK190" i="32"/>
  <c r="AJ190" i="32"/>
  <c r="AI190" i="32"/>
  <c r="AH190" i="32"/>
  <c r="AG190" i="32"/>
  <c r="AF190" i="32"/>
  <c r="AE190" i="32"/>
  <c r="AD190" i="32"/>
  <c r="AC190" i="32"/>
  <c r="AB190" i="32"/>
  <c r="AA190" i="32"/>
  <c r="Z190" i="32"/>
  <c r="Y190" i="32"/>
  <c r="X190" i="32"/>
  <c r="W190" i="32"/>
  <c r="V190" i="32"/>
  <c r="U190" i="32"/>
  <c r="T190" i="32"/>
  <c r="AS189" i="32"/>
  <c r="AQ189" i="32"/>
  <c r="AN189" i="32"/>
  <c r="AO189" i="32" s="1"/>
  <c r="AM189" i="32"/>
  <c r="AL189" i="32"/>
  <c r="AK189" i="32"/>
  <c r="AJ189" i="32"/>
  <c r="AI189" i="32"/>
  <c r="AH189" i="32"/>
  <c r="AG189" i="32"/>
  <c r="AF189" i="32"/>
  <c r="AE189" i="32"/>
  <c r="AD189" i="32"/>
  <c r="AC189" i="32"/>
  <c r="AB189" i="32"/>
  <c r="AA189" i="32"/>
  <c r="Z189" i="32"/>
  <c r="Y189" i="32"/>
  <c r="X189" i="32"/>
  <c r="W189" i="32"/>
  <c r="V189" i="32"/>
  <c r="U189" i="32"/>
  <c r="T189" i="32"/>
  <c r="AS188" i="32"/>
  <c r="AQ188" i="32"/>
  <c r="AN188" i="32"/>
  <c r="AM188" i="32"/>
  <c r="AL188" i="32"/>
  <c r="AK188" i="32"/>
  <c r="AJ188" i="32"/>
  <c r="AI188" i="32"/>
  <c r="AH188" i="32"/>
  <c r="AG188" i="32"/>
  <c r="AF188" i="32"/>
  <c r="AE188" i="32"/>
  <c r="AD188" i="32"/>
  <c r="AC188" i="32"/>
  <c r="AB188" i="32"/>
  <c r="AA188" i="32"/>
  <c r="Z188" i="32"/>
  <c r="Y188" i="32"/>
  <c r="X188" i="32"/>
  <c r="W188" i="32"/>
  <c r="V188" i="32"/>
  <c r="U188" i="32"/>
  <c r="T188" i="32"/>
  <c r="AS187" i="32"/>
  <c r="AQ187" i="32"/>
  <c r="AN187" i="32"/>
  <c r="AM187" i="32"/>
  <c r="AL187" i="32"/>
  <c r="AK187" i="32"/>
  <c r="AJ187" i="32"/>
  <c r="AI187" i="32"/>
  <c r="AH187" i="32"/>
  <c r="AG187" i="32"/>
  <c r="AF187" i="32"/>
  <c r="AE187" i="32"/>
  <c r="AD187" i="32"/>
  <c r="AC187" i="32"/>
  <c r="AB187" i="32"/>
  <c r="AA187" i="32"/>
  <c r="Z187" i="32"/>
  <c r="Y187" i="32"/>
  <c r="X187" i="32"/>
  <c r="W187" i="32"/>
  <c r="V187" i="32"/>
  <c r="U187" i="32"/>
  <c r="T187" i="32"/>
  <c r="AS186" i="32"/>
  <c r="AQ186" i="32"/>
  <c r="AN186" i="32"/>
  <c r="AM186" i="32"/>
  <c r="AL186" i="32"/>
  <c r="AK186" i="32"/>
  <c r="AJ186" i="32"/>
  <c r="AI186" i="32"/>
  <c r="AH186" i="32"/>
  <c r="AG186" i="32"/>
  <c r="AF186" i="32"/>
  <c r="AE186" i="32"/>
  <c r="AD186" i="32"/>
  <c r="AC186" i="32"/>
  <c r="AB186" i="32"/>
  <c r="AA186" i="32"/>
  <c r="Z186" i="32"/>
  <c r="Y186" i="32"/>
  <c r="X186" i="32"/>
  <c r="W186" i="32"/>
  <c r="V186" i="32"/>
  <c r="U186" i="32"/>
  <c r="T186" i="32"/>
  <c r="AS185" i="32"/>
  <c r="AQ185" i="32"/>
  <c r="AN185" i="32"/>
  <c r="AM185" i="32"/>
  <c r="AL185" i="32"/>
  <c r="AO185" i="32" s="1"/>
  <c r="AK185" i="32"/>
  <c r="AJ185" i="32"/>
  <c r="AI185" i="32"/>
  <c r="AH185" i="32"/>
  <c r="AG185" i="32"/>
  <c r="AF185" i="32"/>
  <c r="AE185" i="32"/>
  <c r="AD185" i="32"/>
  <c r="AC185" i="32"/>
  <c r="AB185" i="32"/>
  <c r="AA185" i="32"/>
  <c r="Z185" i="32"/>
  <c r="Y185" i="32"/>
  <c r="X185" i="32"/>
  <c r="W185" i="32"/>
  <c r="V185" i="32"/>
  <c r="U185" i="32"/>
  <c r="T185" i="32"/>
  <c r="AS184" i="32"/>
  <c r="AQ184" i="32"/>
  <c r="AN184" i="32"/>
  <c r="AM184" i="32"/>
  <c r="AL184" i="32"/>
  <c r="AK184" i="32"/>
  <c r="AJ184" i="32"/>
  <c r="AI184" i="32"/>
  <c r="AH184" i="32"/>
  <c r="AG184" i="32"/>
  <c r="AF184" i="32"/>
  <c r="AE184" i="32"/>
  <c r="AD184" i="32"/>
  <c r="AC184" i="32"/>
  <c r="AB184" i="32"/>
  <c r="AA184" i="32"/>
  <c r="Z184" i="32"/>
  <c r="Y184" i="32"/>
  <c r="X184" i="32"/>
  <c r="W184" i="32"/>
  <c r="V184" i="32"/>
  <c r="U184" i="32"/>
  <c r="T184" i="32"/>
  <c r="AS183" i="32"/>
  <c r="AQ183" i="32"/>
  <c r="AN183" i="32"/>
  <c r="AM183" i="32"/>
  <c r="AL183" i="32"/>
  <c r="AK183" i="32"/>
  <c r="AJ183" i="32"/>
  <c r="AI183" i="32"/>
  <c r="AH183" i="32"/>
  <c r="AG183" i="32"/>
  <c r="AF183" i="32"/>
  <c r="AE183" i="32"/>
  <c r="AD183" i="32"/>
  <c r="AC183" i="32"/>
  <c r="AB183" i="32"/>
  <c r="AA183" i="32"/>
  <c r="Z183" i="32"/>
  <c r="Y183" i="32"/>
  <c r="X183" i="32"/>
  <c r="W183" i="32"/>
  <c r="V183" i="32"/>
  <c r="U183" i="32"/>
  <c r="T183" i="32"/>
  <c r="AS182" i="32"/>
  <c r="AQ182" i="32"/>
  <c r="AN182" i="32"/>
  <c r="AM182" i="32"/>
  <c r="AL182" i="32"/>
  <c r="AK182" i="32"/>
  <c r="AJ182" i="32"/>
  <c r="AI182" i="32"/>
  <c r="AH182" i="32"/>
  <c r="AG182" i="32"/>
  <c r="AF182" i="32"/>
  <c r="AE182" i="32"/>
  <c r="AD182" i="32"/>
  <c r="AC182" i="32"/>
  <c r="AB182" i="32"/>
  <c r="AA182" i="32"/>
  <c r="Z182" i="32"/>
  <c r="Y182" i="32"/>
  <c r="X182" i="32"/>
  <c r="W182" i="32"/>
  <c r="V182" i="32"/>
  <c r="U182" i="32"/>
  <c r="T182" i="32"/>
  <c r="AV181" i="32"/>
  <c r="AO181" i="32"/>
  <c r="AN181" i="32"/>
  <c r="AM181" i="32"/>
  <c r="AL181" i="32"/>
  <c r="AK181" i="32"/>
  <c r="AJ181" i="32"/>
  <c r="AI181" i="32"/>
  <c r="AH181" i="32"/>
  <c r="AG181" i="32"/>
  <c r="AF181" i="32"/>
  <c r="AE181" i="32"/>
  <c r="AD181" i="32"/>
  <c r="AC181" i="32"/>
  <c r="AB181" i="32"/>
  <c r="AA181" i="32"/>
  <c r="Z181" i="32"/>
  <c r="Y181" i="32"/>
  <c r="X181" i="32"/>
  <c r="W181" i="32"/>
  <c r="V181" i="32"/>
  <c r="U181" i="32"/>
  <c r="T181" i="32"/>
  <c r="AS180" i="32"/>
  <c r="AQ180" i="32"/>
  <c r="AN180" i="32"/>
  <c r="AM180" i="32"/>
  <c r="AL180" i="32"/>
  <c r="AK180" i="32"/>
  <c r="AJ180" i="32"/>
  <c r="AI180" i="32"/>
  <c r="AH180" i="32"/>
  <c r="AG180" i="32"/>
  <c r="AF180" i="32"/>
  <c r="AE180" i="32"/>
  <c r="AD180" i="32"/>
  <c r="AC180" i="32"/>
  <c r="AB180" i="32"/>
  <c r="AA180" i="32"/>
  <c r="Z180" i="32"/>
  <c r="Y180" i="32"/>
  <c r="X180" i="32"/>
  <c r="W180" i="32"/>
  <c r="V180" i="32"/>
  <c r="U180" i="32"/>
  <c r="T180" i="32"/>
  <c r="AS179" i="32"/>
  <c r="AQ179" i="32"/>
  <c r="AN179" i="32"/>
  <c r="AM179" i="32"/>
  <c r="AL179" i="32"/>
  <c r="AK179" i="32"/>
  <c r="AJ179" i="32"/>
  <c r="AI179" i="32"/>
  <c r="AH179" i="32"/>
  <c r="AG179" i="32"/>
  <c r="AF179" i="32"/>
  <c r="AE179" i="32"/>
  <c r="AD179" i="32"/>
  <c r="AC179" i="32"/>
  <c r="AB179" i="32"/>
  <c r="AA179" i="32"/>
  <c r="Z179" i="32"/>
  <c r="Y179" i="32"/>
  <c r="X179" i="32"/>
  <c r="W179" i="32"/>
  <c r="V179" i="32"/>
  <c r="U179" i="32"/>
  <c r="T179" i="32"/>
  <c r="AS178" i="32"/>
  <c r="AQ178" i="32"/>
  <c r="AN178" i="32"/>
  <c r="AO178" i="32" s="1"/>
  <c r="AM178" i="32"/>
  <c r="AL178" i="32"/>
  <c r="AK178" i="32"/>
  <c r="AJ178" i="32"/>
  <c r="AI178" i="32"/>
  <c r="AH178" i="32"/>
  <c r="AG178" i="32"/>
  <c r="AF178" i="32"/>
  <c r="AE178" i="32"/>
  <c r="AD178" i="32"/>
  <c r="AC178" i="32"/>
  <c r="AB178" i="32"/>
  <c r="AA178" i="32"/>
  <c r="Z178" i="32"/>
  <c r="Y178" i="32"/>
  <c r="X178" i="32"/>
  <c r="W178" i="32"/>
  <c r="V178" i="32"/>
  <c r="U178" i="32"/>
  <c r="T178" i="32"/>
  <c r="AS177" i="32"/>
  <c r="AQ177" i="32"/>
  <c r="AN177" i="32"/>
  <c r="AM177" i="32"/>
  <c r="AL177" i="32"/>
  <c r="AK177" i="32"/>
  <c r="AJ177" i="32"/>
  <c r="AI177" i="32"/>
  <c r="AH177" i="32"/>
  <c r="AG177" i="32"/>
  <c r="AF177" i="32"/>
  <c r="AE177" i="32"/>
  <c r="AD177" i="32"/>
  <c r="AC177" i="32"/>
  <c r="AB177" i="32"/>
  <c r="AA177" i="32"/>
  <c r="Z177" i="32"/>
  <c r="Y177" i="32"/>
  <c r="X177" i="32"/>
  <c r="W177" i="32"/>
  <c r="V177" i="32"/>
  <c r="U177" i="32"/>
  <c r="T177" i="32"/>
  <c r="AS176" i="32"/>
  <c r="AQ176" i="32"/>
  <c r="AN176" i="32"/>
  <c r="AM176" i="32"/>
  <c r="AL176" i="32"/>
  <c r="AK176" i="32"/>
  <c r="AJ176" i="32"/>
  <c r="AI176" i="32"/>
  <c r="AH176" i="32"/>
  <c r="AG176" i="32"/>
  <c r="AF176" i="32"/>
  <c r="AE176" i="32"/>
  <c r="AD176" i="32"/>
  <c r="AC176" i="32"/>
  <c r="AB176" i="32"/>
  <c r="AA176" i="32"/>
  <c r="Z176" i="32"/>
  <c r="Y176" i="32"/>
  <c r="X176" i="32"/>
  <c r="W176" i="32"/>
  <c r="V176" i="32"/>
  <c r="U176" i="32"/>
  <c r="T176" i="32"/>
  <c r="AS175" i="32"/>
  <c r="AQ175" i="32"/>
  <c r="AN175" i="32"/>
  <c r="AM175" i="32"/>
  <c r="AL175" i="32"/>
  <c r="AK175" i="32"/>
  <c r="AJ175" i="32"/>
  <c r="AI175" i="32"/>
  <c r="AH175" i="32"/>
  <c r="AG175" i="32"/>
  <c r="AF175" i="32"/>
  <c r="AE175" i="32"/>
  <c r="AD175" i="32"/>
  <c r="AC175" i="32"/>
  <c r="AB175" i="32"/>
  <c r="AA175" i="32"/>
  <c r="Z175" i="32"/>
  <c r="Y175" i="32"/>
  <c r="X175" i="32"/>
  <c r="W175" i="32"/>
  <c r="V175" i="32"/>
  <c r="U175" i="32"/>
  <c r="T175" i="32"/>
  <c r="AS174" i="32"/>
  <c r="AQ174" i="32"/>
  <c r="AN174" i="32"/>
  <c r="AM174" i="32"/>
  <c r="AL174" i="32"/>
  <c r="AK174" i="32"/>
  <c r="AJ174" i="32"/>
  <c r="AI174" i="32"/>
  <c r="AH174" i="32"/>
  <c r="AG174" i="32"/>
  <c r="AF174" i="32"/>
  <c r="AE174" i="32"/>
  <c r="AD174" i="32"/>
  <c r="AC174" i="32"/>
  <c r="AB174" i="32"/>
  <c r="AA174" i="32"/>
  <c r="Z174" i="32"/>
  <c r="Y174" i="32"/>
  <c r="X174" i="32"/>
  <c r="W174" i="32"/>
  <c r="V174" i="32"/>
  <c r="U174" i="32"/>
  <c r="T174" i="32"/>
  <c r="AS173" i="32"/>
  <c r="AQ173" i="32"/>
  <c r="AN173" i="32"/>
  <c r="AO173" i="32" s="1"/>
  <c r="AM173" i="32"/>
  <c r="AL173" i="32"/>
  <c r="AK173" i="32"/>
  <c r="AJ173" i="32"/>
  <c r="AI173" i="32"/>
  <c r="AH173" i="32"/>
  <c r="AG173" i="32"/>
  <c r="AF173" i="32"/>
  <c r="AE173" i="32"/>
  <c r="AD173" i="32"/>
  <c r="AC173" i="32"/>
  <c r="AB173" i="32"/>
  <c r="AA173" i="32"/>
  <c r="Z173" i="32"/>
  <c r="Y173" i="32"/>
  <c r="X173" i="32"/>
  <c r="W173" i="32"/>
  <c r="V173" i="32"/>
  <c r="U173" i="32"/>
  <c r="T173" i="32"/>
  <c r="AS172" i="32"/>
  <c r="AQ172" i="32"/>
  <c r="AN172" i="32"/>
  <c r="AM172" i="32"/>
  <c r="AL172" i="32"/>
  <c r="AK172" i="32"/>
  <c r="AJ172" i="32"/>
  <c r="AI172" i="32"/>
  <c r="AH172" i="32"/>
  <c r="AG172" i="32"/>
  <c r="AF172" i="32"/>
  <c r="AE172" i="32"/>
  <c r="AD172" i="32"/>
  <c r="AC172" i="32"/>
  <c r="AB172" i="32"/>
  <c r="AA172" i="32"/>
  <c r="Z172" i="32"/>
  <c r="Y172" i="32"/>
  <c r="X172" i="32"/>
  <c r="W172" i="32"/>
  <c r="V172" i="32"/>
  <c r="U172" i="32"/>
  <c r="T172" i="32"/>
  <c r="AS171" i="32"/>
  <c r="AQ171" i="32"/>
  <c r="AN171" i="32"/>
  <c r="AM171" i="32"/>
  <c r="AL171" i="32"/>
  <c r="AK171" i="32"/>
  <c r="AJ171" i="32"/>
  <c r="AI171" i="32"/>
  <c r="AH171" i="32"/>
  <c r="AG171" i="32"/>
  <c r="AF171" i="32"/>
  <c r="AE171" i="32"/>
  <c r="AD171" i="32"/>
  <c r="AC171" i="32"/>
  <c r="AB171" i="32"/>
  <c r="AA171" i="32"/>
  <c r="Z171" i="32"/>
  <c r="Y171" i="32"/>
  <c r="X171" i="32"/>
  <c r="W171" i="32"/>
  <c r="V171" i="32"/>
  <c r="U171" i="32"/>
  <c r="T171" i="32"/>
  <c r="AS170" i="32"/>
  <c r="AQ170" i="32"/>
  <c r="AN170" i="32"/>
  <c r="AM170" i="32"/>
  <c r="AL170" i="32"/>
  <c r="AK170" i="32"/>
  <c r="AJ170" i="32"/>
  <c r="AI170" i="32"/>
  <c r="AH170" i="32"/>
  <c r="AG170" i="32"/>
  <c r="AF170" i="32"/>
  <c r="AE170" i="32"/>
  <c r="AD170" i="32"/>
  <c r="AC170" i="32"/>
  <c r="AB170" i="32"/>
  <c r="AA170" i="32"/>
  <c r="Z170" i="32"/>
  <c r="Y170" i="32"/>
  <c r="X170" i="32"/>
  <c r="W170" i="32"/>
  <c r="V170" i="32"/>
  <c r="U170" i="32"/>
  <c r="T170" i="32"/>
  <c r="AS169" i="32"/>
  <c r="AQ169" i="32"/>
  <c r="AO169" i="32"/>
  <c r="AN169" i="32"/>
  <c r="AM169" i="32"/>
  <c r="AL169" i="32"/>
  <c r="AK169" i="32"/>
  <c r="AJ169" i="32"/>
  <c r="AI169" i="32"/>
  <c r="AH169" i="32"/>
  <c r="AG169" i="32"/>
  <c r="AF169" i="32"/>
  <c r="AE169" i="32"/>
  <c r="AD169" i="32"/>
  <c r="AC169" i="32"/>
  <c r="AB169" i="32"/>
  <c r="AA169" i="32"/>
  <c r="Z169" i="32"/>
  <c r="Y169" i="32"/>
  <c r="X169" i="32"/>
  <c r="W169" i="32"/>
  <c r="V169" i="32"/>
  <c r="U169" i="32"/>
  <c r="T169" i="32"/>
  <c r="AS168" i="32"/>
  <c r="AQ168" i="32"/>
  <c r="AN168" i="32"/>
  <c r="AM168" i="32"/>
  <c r="AL168" i="32"/>
  <c r="AK168" i="32"/>
  <c r="AJ168" i="32"/>
  <c r="AI168" i="32"/>
  <c r="AH168" i="32"/>
  <c r="AG168" i="32"/>
  <c r="AF168" i="32"/>
  <c r="AE168" i="32"/>
  <c r="AD168" i="32"/>
  <c r="AC168" i="32"/>
  <c r="AB168" i="32"/>
  <c r="AA168" i="32"/>
  <c r="Z168" i="32"/>
  <c r="Y168" i="32"/>
  <c r="X168" i="32"/>
  <c r="W168" i="32"/>
  <c r="V168" i="32"/>
  <c r="U168" i="32"/>
  <c r="T168" i="32"/>
  <c r="AS167" i="32"/>
  <c r="AQ167" i="32"/>
  <c r="AN167" i="32"/>
  <c r="AO167" i="32" s="1"/>
  <c r="AM167" i="32"/>
  <c r="AL167" i="32"/>
  <c r="AK167" i="32"/>
  <c r="AJ167" i="32"/>
  <c r="AI167" i="32"/>
  <c r="AH167" i="32"/>
  <c r="AG167" i="32"/>
  <c r="AF167" i="32"/>
  <c r="AE167" i="32"/>
  <c r="AD167" i="32"/>
  <c r="AC167" i="32"/>
  <c r="AB167" i="32"/>
  <c r="AA167" i="32"/>
  <c r="Z167" i="32"/>
  <c r="Y167" i="32"/>
  <c r="X167" i="32"/>
  <c r="W167" i="32"/>
  <c r="V167" i="32"/>
  <c r="U167" i="32"/>
  <c r="T167" i="32"/>
  <c r="AS166" i="32"/>
  <c r="AQ166" i="32"/>
  <c r="AN166" i="32"/>
  <c r="AM166" i="32"/>
  <c r="AL166" i="32"/>
  <c r="AK166" i="32"/>
  <c r="AJ166" i="32"/>
  <c r="AI166" i="32"/>
  <c r="AH166" i="32"/>
  <c r="AG166" i="32"/>
  <c r="AF166" i="32"/>
  <c r="AE166" i="32"/>
  <c r="AD166" i="32"/>
  <c r="AC166" i="32"/>
  <c r="AB166" i="32"/>
  <c r="AA166" i="32"/>
  <c r="Z166" i="32"/>
  <c r="Y166" i="32"/>
  <c r="X166" i="32"/>
  <c r="W166" i="32"/>
  <c r="V166" i="32"/>
  <c r="U166" i="32"/>
  <c r="T166" i="32"/>
  <c r="AV165" i="32"/>
  <c r="AN165" i="32"/>
  <c r="AM165" i="32"/>
  <c r="AL165" i="32"/>
  <c r="AK165" i="32"/>
  <c r="AJ165" i="32"/>
  <c r="AI165" i="32"/>
  <c r="AH165" i="32"/>
  <c r="AG165" i="32"/>
  <c r="AF165" i="32"/>
  <c r="AE165" i="32"/>
  <c r="AD165" i="32"/>
  <c r="AC165" i="32"/>
  <c r="AB165" i="32"/>
  <c r="AA165" i="32"/>
  <c r="Z165" i="32"/>
  <c r="Y165" i="32"/>
  <c r="X165" i="32"/>
  <c r="W165" i="32"/>
  <c r="V165" i="32"/>
  <c r="U165" i="32"/>
  <c r="T165" i="32"/>
  <c r="AS164" i="32"/>
  <c r="AQ164" i="32"/>
  <c r="AN164" i="32"/>
  <c r="AM164" i="32"/>
  <c r="AL164" i="32"/>
  <c r="AK164" i="32"/>
  <c r="AJ164" i="32"/>
  <c r="AI164" i="32"/>
  <c r="AH164" i="32"/>
  <c r="AG164" i="32"/>
  <c r="AF164" i="32"/>
  <c r="AE164" i="32"/>
  <c r="AD164" i="32"/>
  <c r="AC164" i="32"/>
  <c r="AB164" i="32"/>
  <c r="AA164" i="32"/>
  <c r="Z164" i="32"/>
  <c r="Y164" i="32"/>
  <c r="X164" i="32"/>
  <c r="W164" i="32"/>
  <c r="V164" i="32"/>
  <c r="U164" i="32"/>
  <c r="T164" i="32"/>
  <c r="AS163" i="32"/>
  <c r="AQ163" i="32"/>
  <c r="AN163" i="32"/>
  <c r="AM163" i="32"/>
  <c r="AL163" i="32"/>
  <c r="AK163" i="32"/>
  <c r="AJ163" i="32"/>
  <c r="AI163" i="32"/>
  <c r="AH163" i="32"/>
  <c r="AG163" i="32"/>
  <c r="AF163" i="32"/>
  <c r="AE163" i="32"/>
  <c r="AD163" i="32"/>
  <c r="AC163" i="32"/>
  <c r="AB163" i="32"/>
  <c r="AA163" i="32"/>
  <c r="Z163" i="32"/>
  <c r="Y163" i="32"/>
  <c r="X163" i="32"/>
  <c r="W163" i="32"/>
  <c r="V163" i="32"/>
  <c r="U163" i="32"/>
  <c r="T163" i="32"/>
  <c r="AS162" i="32"/>
  <c r="AQ162" i="32"/>
  <c r="AN162" i="32"/>
  <c r="AM162" i="32"/>
  <c r="AL162" i="32"/>
  <c r="AK162" i="32"/>
  <c r="AJ162" i="32"/>
  <c r="AI162" i="32"/>
  <c r="AH162" i="32"/>
  <c r="AG162" i="32"/>
  <c r="AF162" i="32"/>
  <c r="AE162" i="32"/>
  <c r="AD162" i="32"/>
  <c r="AC162" i="32"/>
  <c r="AB162" i="32"/>
  <c r="AA162" i="32"/>
  <c r="Z162" i="32"/>
  <c r="Y162" i="32"/>
  <c r="X162" i="32"/>
  <c r="W162" i="32"/>
  <c r="V162" i="32"/>
  <c r="U162" i="32"/>
  <c r="T162" i="32"/>
  <c r="AS161" i="32"/>
  <c r="AQ161" i="32"/>
  <c r="AN161" i="32"/>
  <c r="AO161" i="32" s="1"/>
  <c r="AM161" i="32"/>
  <c r="AL161" i="32"/>
  <c r="AK161" i="32"/>
  <c r="AJ161" i="32"/>
  <c r="AI161" i="32"/>
  <c r="AH161" i="32"/>
  <c r="AG161" i="32"/>
  <c r="AF161" i="32"/>
  <c r="AE161" i="32"/>
  <c r="AD161" i="32"/>
  <c r="AC161" i="32"/>
  <c r="AB161" i="32"/>
  <c r="AA161" i="32"/>
  <c r="Z161" i="32"/>
  <c r="Y161" i="32"/>
  <c r="X161" i="32"/>
  <c r="W161" i="32"/>
  <c r="V161" i="32"/>
  <c r="U161" i="32"/>
  <c r="T161" i="32"/>
  <c r="AS160" i="32"/>
  <c r="AQ160" i="32"/>
  <c r="AN160" i="32"/>
  <c r="AM160" i="32"/>
  <c r="AL160" i="32"/>
  <c r="AK160" i="32"/>
  <c r="AJ160" i="32"/>
  <c r="AI160" i="32"/>
  <c r="AH160" i="32"/>
  <c r="AG160" i="32"/>
  <c r="AF160" i="32"/>
  <c r="AE160" i="32"/>
  <c r="AD160" i="32"/>
  <c r="AC160" i="32"/>
  <c r="AB160" i="32"/>
  <c r="AA160" i="32"/>
  <c r="Z160" i="32"/>
  <c r="Y160" i="32"/>
  <c r="X160" i="32"/>
  <c r="W160" i="32"/>
  <c r="V160" i="32"/>
  <c r="U160" i="32"/>
  <c r="T160" i="32"/>
  <c r="AS159" i="32"/>
  <c r="AQ159" i="32"/>
  <c r="AN159" i="32"/>
  <c r="AO159" i="32" s="1"/>
  <c r="AM159" i="32"/>
  <c r="AL159" i="32"/>
  <c r="AK159" i="32"/>
  <c r="AJ159" i="32"/>
  <c r="AI159" i="32"/>
  <c r="AH159" i="32"/>
  <c r="AG159" i="32"/>
  <c r="AF159" i="32"/>
  <c r="AE159" i="32"/>
  <c r="AD159" i="32"/>
  <c r="AC159" i="32"/>
  <c r="AB159" i="32"/>
  <c r="AA159" i="32"/>
  <c r="Z159" i="32"/>
  <c r="Y159" i="32"/>
  <c r="X159" i="32"/>
  <c r="W159" i="32"/>
  <c r="V159" i="32"/>
  <c r="U159" i="32"/>
  <c r="T159" i="32"/>
  <c r="AS158" i="32"/>
  <c r="AQ158" i="32"/>
  <c r="AN158" i="32"/>
  <c r="AO158" i="32" s="1"/>
  <c r="AM158" i="32"/>
  <c r="AL158" i="32"/>
  <c r="AK158" i="32"/>
  <c r="AJ158" i="32"/>
  <c r="AI158" i="32"/>
  <c r="AH158" i="32"/>
  <c r="AG158" i="32"/>
  <c r="AF158" i="32"/>
  <c r="AE158" i="32"/>
  <c r="AD158" i="32"/>
  <c r="AC158" i="32"/>
  <c r="AB158" i="32"/>
  <c r="AA158" i="32"/>
  <c r="Z158" i="32"/>
  <c r="Y158" i="32"/>
  <c r="X158" i="32"/>
  <c r="W158" i="32"/>
  <c r="V158" i="32"/>
  <c r="U158" i="32"/>
  <c r="T158" i="32"/>
  <c r="AS157" i="32"/>
  <c r="AQ157" i="32"/>
  <c r="AN157" i="32"/>
  <c r="AM157" i="32"/>
  <c r="AL157" i="32"/>
  <c r="AK157" i="32"/>
  <c r="AJ157" i="32"/>
  <c r="AI157" i="32"/>
  <c r="AH157" i="32"/>
  <c r="AG157" i="32"/>
  <c r="AF157" i="32"/>
  <c r="AE157" i="32"/>
  <c r="AD157" i="32"/>
  <c r="AC157" i="32"/>
  <c r="AB157" i="32"/>
  <c r="AA157" i="32"/>
  <c r="Z157" i="32"/>
  <c r="Y157" i="32"/>
  <c r="X157" i="32"/>
  <c r="W157" i="32"/>
  <c r="V157" i="32"/>
  <c r="U157" i="32"/>
  <c r="T157" i="32"/>
  <c r="AN147" i="32"/>
  <c r="AM147" i="32"/>
  <c r="AL147" i="32"/>
  <c r="AK147" i="32"/>
  <c r="AJ147" i="32"/>
  <c r="AI147" i="32"/>
  <c r="AH147" i="32"/>
  <c r="AG147" i="32"/>
  <c r="AF147" i="32"/>
  <c r="AE147" i="32"/>
  <c r="AD147" i="32"/>
  <c r="AC147" i="32"/>
  <c r="AB147" i="32"/>
  <c r="AA147" i="32"/>
  <c r="Z147" i="32"/>
  <c r="Y147" i="32"/>
  <c r="X147" i="32"/>
  <c r="W147" i="32"/>
  <c r="V147" i="32"/>
  <c r="U147" i="32"/>
  <c r="T147" i="32"/>
  <c r="AV146" i="32"/>
  <c r="AN146" i="32"/>
  <c r="AM146" i="32"/>
  <c r="AL146" i="32"/>
  <c r="AK146" i="32"/>
  <c r="AJ146" i="32"/>
  <c r="AI146" i="32"/>
  <c r="AH146" i="32"/>
  <c r="AG146" i="32"/>
  <c r="AF146" i="32"/>
  <c r="AE146" i="32"/>
  <c r="AD146" i="32"/>
  <c r="AC146" i="32"/>
  <c r="AB146" i="32"/>
  <c r="AA146" i="32"/>
  <c r="Z146" i="32"/>
  <c r="Y146" i="32"/>
  <c r="X146" i="32"/>
  <c r="W146" i="32"/>
  <c r="V146" i="32"/>
  <c r="U146" i="32"/>
  <c r="T146" i="32"/>
  <c r="AS145" i="32"/>
  <c r="AQ145" i="32"/>
  <c r="AN145" i="32"/>
  <c r="AM145" i="32"/>
  <c r="AL145" i="32"/>
  <c r="AK145" i="32"/>
  <c r="AJ145" i="32"/>
  <c r="AI145" i="32"/>
  <c r="AH145" i="32"/>
  <c r="AG145" i="32"/>
  <c r="AF145" i="32"/>
  <c r="AE145" i="32"/>
  <c r="AD145" i="32"/>
  <c r="AC145" i="32"/>
  <c r="AB145" i="32"/>
  <c r="AA145" i="32"/>
  <c r="Z145" i="32"/>
  <c r="Y145" i="32"/>
  <c r="X145" i="32"/>
  <c r="W145" i="32"/>
  <c r="V145" i="32"/>
  <c r="U145" i="32"/>
  <c r="T145" i="32"/>
  <c r="AS144" i="32"/>
  <c r="AQ144" i="32"/>
  <c r="AN144" i="32"/>
  <c r="AM144" i="32"/>
  <c r="AL144" i="32"/>
  <c r="AK144" i="32"/>
  <c r="AJ144" i="32"/>
  <c r="AI144" i="32"/>
  <c r="AH144" i="32"/>
  <c r="AG144" i="32"/>
  <c r="AF144" i="32"/>
  <c r="AE144" i="32"/>
  <c r="AD144" i="32"/>
  <c r="AC144" i="32"/>
  <c r="AB144" i="32"/>
  <c r="AA144" i="32"/>
  <c r="Z144" i="32"/>
  <c r="Y144" i="32"/>
  <c r="X144" i="32"/>
  <c r="W144" i="32"/>
  <c r="V144" i="32"/>
  <c r="U144" i="32"/>
  <c r="T144" i="32"/>
  <c r="AS143" i="32"/>
  <c r="AQ143" i="32"/>
  <c r="AN143" i="32"/>
  <c r="AM143" i="32"/>
  <c r="AL143" i="32"/>
  <c r="AK143" i="32"/>
  <c r="AJ143" i="32"/>
  <c r="AI143" i="32"/>
  <c r="AH143" i="32"/>
  <c r="AG143" i="32"/>
  <c r="AF143" i="32"/>
  <c r="AE143" i="32"/>
  <c r="AD143" i="32"/>
  <c r="AC143" i="32"/>
  <c r="AB143" i="32"/>
  <c r="AA143" i="32"/>
  <c r="Z143" i="32"/>
  <c r="Y143" i="32"/>
  <c r="X143" i="32"/>
  <c r="W143" i="32"/>
  <c r="V143" i="32"/>
  <c r="U143" i="32"/>
  <c r="T143" i="32"/>
  <c r="AS142" i="32"/>
  <c r="AQ142" i="32"/>
  <c r="AN142" i="32"/>
  <c r="AM142" i="32"/>
  <c r="AL142" i="32"/>
  <c r="AK142" i="32"/>
  <c r="AJ142" i="32"/>
  <c r="AI142" i="32"/>
  <c r="AH142" i="32"/>
  <c r="AG142" i="32"/>
  <c r="AF142" i="32"/>
  <c r="AE142" i="32"/>
  <c r="AD142" i="32"/>
  <c r="AC142" i="32"/>
  <c r="AB142" i="32"/>
  <c r="AA142" i="32"/>
  <c r="Z142" i="32"/>
  <c r="Y142" i="32"/>
  <c r="X142" i="32"/>
  <c r="W142" i="32"/>
  <c r="V142" i="32"/>
  <c r="U142" i="32"/>
  <c r="T142" i="32"/>
  <c r="AS141" i="32"/>
  <c r="AQ141" i="32"/>
  <c r="AN141" i="32"/>
  <c r="AM141" i="32"/>
  <c r="AL141" i="32"/>
  <c r="AK141" i="32"/>
  <c r="AJ141" i="32"/>
  <c r="AI141" i="32"/>
  <c r="AH141" i="32"/>
  <c r="AG141" i="32"/>
  <c r="AF141" i="32"/>
  <c r="AE141" i="32"/>
  <c r="AD141" i="32"/>
  <c r="AC141" i="32"/>
  <c r="AB141" i="32"/>
  <c r="AA141" i="32"/>
  <c r="Z141" i="32"/>
  <c r="Y141" i="32"/>
  <c r="X141" i="32"/>
  <c r="W141" i="32"/>
  <c r="V141" i="32"/>
  <c r="U141" i="32"/>
  <c r="T141" i="32"/>
  <c r="AS140" i="32"/>
  <c r="AQ140" i="32"/>
  <c r="AN140" i="32"/>
  <c r="AM140" i="32"/>
  <c r="AL140" i="32"/>
  <c r="AK140" i="32"/>
  <c r="AJ140" i="32"/>
  <c r="AI140" i="32"/>
  <c r="AH140" i="32"/>
  <c r="AG140" i="32"/>
  <c r="AF140" i="32"/>
  <c r="AE140" i="32"/>
  <c r="AD140" i="32"/>
  <c r="AC140" i="32"/>
  <c r="AB140" i="32"/>
  <c r="AA140" i="32"/>
  <c r="Z140" i="32"/>
  <c r="Y140" i="32"/>
  <c r="X140" i="32"/>
  <c r="W140" i="32"/>
  <c r="V140" i="32"/>
  <c r="U140" i="32"/>
  <c r="T140" i="32"/>
  <c r="AS139" i="32"/>
  <c r="AQ139" i="32"/>
  <c r="AN139" i="32"/>
  <c r="AM139" i="32"/>
  <c r="AL139" i="32"/>
  <c r="AK139" i="32"/>
  <c r="AJ139" i="32"/>
  <c r="AI139" i="32"/>
  <c r="AH139" i="32"/>
  <c r="AG139" i="32"/>
  <c r="AF139" i="32"/>
  <c r="AE139" i="32"/>
  <c r="AD139" i="32"/>
  <c r="AC139" i="32"/>
  <c r="AB139" i="32"/>
  <c r="AA139" i="32"/>
  <c r="Z139" i="32"/>
  <c r="Y139" i="32"/>
  <c r="X139" i="32"/>
  <c r="W139" i="32"/>
  <c r="V139" i="32"/>
  <c r="U139" i="32"/>
  <c r="T139" i="32"/>
  <c r="AS138" i="32"/>
  <c r="AQ138" i="32"/>
  <c r="AN138" i="32"/>
  <c r="AM138" i="32"/>
  <c r="AL138" i="32"/>
  <c r="AK138" i="32"/>
  <c r="AJ138" i="32"/>
  <c r="AI138" i="32"/>
  <c r="AH138" i="32"/>
  <c r="AG138" i="32"/>
  <c r="AF138" i="32"/>
  <c r="AE138" i="32"/>
  <c r="AD138" i="32"/>
  <c r="AC138" i="32"/>
  <c r="AB138" i="32"/>
  <c r="AA138" i="32"/>
  <c r="Z138" i="32"/>
  <c r="Y138" i="32"/>
  <c r="X138" i="32"/>
  <c r="W138" i="32"/>
  <c r="V138" i="32"/>
  <c r="U138" i="32"/>
  <c r="T138" i="32"/>
  <c r="AS137" i="32"/>
  <c r="AQ137" i="32"/>
  <c r="AN137" i="32"/>
  <c r="AM137" i="32"/>
  <c r="AL137" i="32"/>
  <c r="AK137" i="32"/>
  <c r="AJ137" i="32"/>
  <c r="AI137" i="32"/>
  <c r="AH137" i="32"/>
  <c r="AG137" i="32"/>
  <c r="AF137" i="32"/>
  <c r="AE137" i="32"/>
  <c r="AD137" i="32"/>
  <c r="AC137" i="32"/>
  <c r="AB137" i="32"/>
  <c r="AA137" i="32"/>
  <c r="Z137" i="32"/>
  <c r="Y137" i="32"/>
  <c r="X137" i="32"/>
  <c r="W137" i="32"/>
  <c r="V137" i="32"/>
  <c r="U137" i="32"/>
  <c r="T137" i="32"/>
  <c r="AS136" i="32"/>
  <c r="AQ136" i="32"/>
  <c r="AN136" i="32"/>
  <c r="AM136" i="32"/>
  <c r="AL136" i="32"/>
  <c r="AK136" i="32"/>
  <c r="AJ136" i="32"/>
  <c r="AI136" i="32"/>
  <c r="AH136" i="32"/>
  <c r="AG136" i="32"/>
  <c r="AF136" i="32"/>
  <c r="AE136" i="32"/>
  <c r="AD136" i="32"/>
  <c r="AC136" i="32"/>
  <c r="AB136" i="32"/>
  <c r="AA136" i="32"/>
  <c r="Z136" i="32"/>
  <c r="Y136" i="32"/>
  <c r="X136" i="32"/>
  <c r="W136" i="32"/>
  <c r="V136" i="32"/>
  <c r="U136" i="32"/>
  <c r="T136" i="32"/>
  <c r="AS135" i="32"/>
  <c r="AQ135" i="32"/>
  <c r="AN135" i="32"/>
  <c r="AO135" i="32" s="1"/>
  <c r="AM135" i="32"/>
  <c r="AL135" i="32"/>
  <c r="AK135" i="32"/>
  <c r="AJ135" i="32"/>
  <c r="AI135" i="32"/>
  <c r="AH135" i="32"/>
  <c r="AG135" i="32"/>
  <c r="AF135" i="32"/>
  <c r="AE135" i="32"/>
  <c r="AD135" i="32"/>
  <c r="AC135" i="32"/>
  <c r="AB135" i="32"/>
  <c r="AA135" i="32"/>
  <c r="Z135" i="32"/>
  <c r="Y135" i="32"/>
  <c r="X135" i="32"/>
  <c r="W135" i="32"/>
  <c r="V135" i="32"/>
  <c r="U135" i="32"/>
  <c r="T135" i="32"/>
  <c r="AS134" i="32"/>
  <c r="AQ134" i="32"/>
  <c r="AN134" i="32"/>
  <c r="AM134" i="32"/>
  <c r="AL134" i="32"/>
  <c r="AK134" i="32"/>
  <c r="AJ134" i="32"/>
  <c r="AI134" i="32"/>
  <c r="AH134" i="32"/>
  <c r="AG134" i="32"/>
  <c r="AF134" i="32"/>
  <c r="AE134" i="32"/>
  <c r="AD134" i="32"/>
  <c r="AC134" i="32"/>
  <c r="AB134" i="32"/>
  <c r="AA134" i="32"/>
  <c r="Z134" i="32"/>
  <c r="Y134" i="32"/>
  <c r="X134" i="32"/>
  <c r="W134" i="32"/>
  <c r="V134" i="32"/>
  <c r="U134" i="32"/>
  <c r="T134" i="32"/>
  <c r="AN133" i="32"/>
  <c r="AM133" i="32"/>
  <c r="AL133" i="32"/>
  <c r="AK133" i="32"/>
  <c r="AJ133" i="32"/>
  <c r="AI133" i="32"/>
  <c r="AH133" i="32"/>
  <c r="AG133" i="32"/>
  <c r="AF133" i="32"/>
  <c r="AE133" i="32"/>
  <c r="AD133" i="32"/>
  <c r="AC133" i="32"/>
  <c r="AB133" i="32"/>
  <c r="AA133" i="32"/>
  <c r="Z133" i="32"/>
  <c r="Y133" i="32"/>
  <c r="X133" i="32"/>
  <c r="W133" i="32"/>
  <c r="V133" i="32"/>
  <c r="U133" i="32"/>
  <c r="T133" i="32"/>
  <c r="AS132" i="32"/>
  <c r="AN132" i="32"/>
  <c r="AM132" i="32"/>
  <c r="AL132" i="32"/>
  <c r="AK132" i="32"/>
  <c r="AJ132" i="32"/>
  <c r="AI132" i="32"/>
  <c r="AH132" i="32"/>
  <c r="AG132" i="32"/>
  <c r="AF132" i="32"/>
  <c r="AE132" i="32"/>
  <c r="AD132" i="32"/>
  <c r="AC132" i="32"/>
  <c r="AB132" i="32"/>
  <c r="AA132" i="32"/>
  <c r="Z132" i="32"/>
  <c r="Y132" i="32"/>
  <c r="X132" i="32"/>
  <c r="W132" i="32"/>
  <c r="V132" i="32"/>
  <c r="U132" i="32"/>
  <c r="T132" i="32"/>
  <c r="AS131" i="32"/>
  <c r="AQ131" i="32"/>
  <c r="AN131" i="32"/>
  <c r="AO131" i="32" s="1"/>
  <c r="AM131" i="32"/>
  <c r="AL131" i="32"/>
  <c r="AK131" i="32"/>
  <c r="AJ131" i="32"/>
  <c r="AI131" i="32"/>
  <c r="AH131" i="32"/>
  <c r="AG131" i="32"/>
  <c r="AF131" i="32"/>
  <c r="AE131" i="32"/>
  <c r="AD131" i="32"/>
  <c r="AC131" i="32"/>
  <c r="AB131" i="32"/>
  <c r="AA131" i="32"/>
  <c r="Z131" i="32"/>
  <c r="Y131" i="32"/>
  <c r="X131" i="32"/>
  <c r="W131" i="32"/>
  <c r="V131" i="32"/>
  <c r="U131" i="32"/>
  <c r="T131" i="32"/>
  <c r="AS130" i="32"/>
  <c r="AN130" i="32"/>
  <c r="AM130" i="32"/>
  <c r="AL130" i="32"/>
  <c r="AK130" i="32"/>
  <c r="AJ130" i="32"/>
  <c r="AI130" i="32"/>
  <c r="AH130" i="32"/>
  <c r="AG130" i="32"/>
  <c r="AF130" i="32"/>
  <c r="AE130" i="32"/>
  <c r="AD130" i="32"/>
  <c r="AC130" i="32"/>
  <c r="AB130" i="32"/>
  <c r="AA130" i="32"/>
  <c r="Z130" i="32"/>
  <c r="Y130" i="32"/>
  <c r="X130" i="32"/>
  <c r="W130" i="32"/>
  <c r="V130" i="32"/>
  <c r="U130" i="32"/>
  <c r="T130" i="32"/>
  <c r="AS129" i="32"/>
  <c r="AQ129" i="32"/>
  <c r="AN129" i="32"/>
  <c r="AM129" i="32"/>
  <c r="AL129" i="32"/>
  <c r="AK129" i="32"/>
  <c r="AJ129" i="32"/>
  <c r="AI129" i="32"/>
  <c r="AH129" i="32"/>
  <c r="AG129" i="32"/>
  <c r="AF129" i="32"/>
  <c r="AE129" i="32"/>
  <c r="AD129" i="32"/>
  <c r="AC129" i="32"/>
  <c r="AB129" i="32"/>
  <c r="AA129" i="32"/>
  <c r="Z129" i="32"/>
  <c r="Y129" i="32"/>
  <c r="X129" i="32"/>
  <c r="W129" i="32"/>
  <c r="V129" i="32"/>
  <c r="U129" i="32"/>
  <c r="T129" i="32"/>
  <c r="AV128" i="32"/>
  <c r="AN128" i="32"/>
  <c r="AO128" i="32" s="1"/>
  <c r="N30" i="32" s="1"/>
  <c r="AM128" i="32"/>
  <c r="AL128" i="32"/>
  <c r="AK128" i="32"/>
  <c r="AJ128" i="32"/>
  <c r="AI128" i="32"/>
  <c r="AH128" i="32"/>
  <c r="AG128" i="32"/>
  <c r="AF128" i="32"/>
  <c r="AE128" i="32"/>
  <c r="AD128" i="32"/>
  <c r="AC128" i="32"/>
  <c r="AB128" i="32"/>
  <c r="AA128" i="32"/>
  <c r="Z128" i="32"/>
  <c r="Y128" i="32"/>
  <c r="X128" i="32"/>
  <c r="W128" i="32"/>
  <c r="V128" i="32"/>
  <c r="U128" i="32"/>
  <c r="T128" i="32"/>
  <c r="AS127" i="32"/>
  <c r="AQ127" i="32"/>
  <c r="AN127" i="32"/>
  <c r="AM127" i="32"/>
  <c r="AL127" i="32"/>
  <c r="AK127" i="32"/>
  <c r="AJ127" i="32"/>
  <c r="AI127" i="32"/>
  <c r="AH127" i="32"/>
  <c r="AG127" i="32"/>
  <c r="AF127" i="32"/>
  <c r="AE127" i="32"/>
  <c r="AD127" i="32"/>
  <c r="AC127" i="32"/>
  <c r="AB127" i="32"/>
  <c r="AA127" i="32"/>
  <c r="Z127" i="32"/>
  <c r="Y127" i="32"/>
  <c r="X127" i="32"/>
  <c r="W127" i="32"/>
  <c r="V127" i="32"/>
  <c r="U127" i="32"/>
  <c r="T127" i="32"/>
  <c r="AS126" i="32"/>
  <c r="AQ126" i="32"/>
  <c r="AN126" i="32"/>
  <c r="AM126" i="32"/>
  <c r="AL126" i="32"/>
  <c r="AK126" i="32"/>
  <c r="AJ126" i="32"/>
  <c r="AI126" i="32"/>
  <c r="AH126" i="32"/>
  <c r="AG126" i="32"/>
  <c r="AF126" i="32"/>
  <c r="AE126" i="32"/>
  <c r="AD126" i="32"/>
  <c r="AC126" i="32"/>
  <c r="AB126" i="32"/>
  <c r="AA126" i="32"/>
  <c r="Z126" i="32"/>
  <c r="Y126" i="32"/>
  <c r="X126" i="32"/>
  <c r="W126" i="32"/>
  <c r="V126" i="32"/>
  <c r="U126" i="32"/>
  <c r="T126" i="32"/>
  <c r="AS125" i="32"/>
  <c r="AQ125" i="32"/>
  <c r="AN125" i="32"/>
  <c r="AM125" i="32"/>
  <c r="AL125" i="32"/>
  <c r="AK125" i="32"/>
  <c r="AJ125" i="32"/>
  <c r="AI125" i="32"/>
  <c r="AH125" i="32"/>
  <c r="AG125" i="32"/>
  <c r="AF125" i="32"/>
  <c r="AE125" i="32"/>
  <c r="AD125" i="32"/>
  <c r="AC125" i="32"/>
  <c r="AB125" i="32"/>
  <c r="AA125" i="32"/>
  <c r="Z125" i="32"/>
  <c r="Y125" i="32"/>
  <c r="X125" i="32"/>
  <c r="W125" i="32"/>
  <c r="V125" i="32"/>
  <c r="U125" i="32"/>
  <c r="T125" i="32"/>
  <c r="AS124" i="32"/>
  <c r="AQ124" i="32"/>
  <c r="AN124" i="32"/>
  <c r="AM124" i="32"/>
  <c r="AL124" i="32"/>
  <c r="AK124" i="32"/>
  <c r="AJ124" i="32"/>
  <c r="AI124" i="32"/>
  <c r="AH124" i="32"/>
  <c r="AG124" i="32"/>
  <c r="AF124" i="32"/>
  <c r="AE124" i="32"/>
  <c r="AD124" i="32"/>
  <c r="AC124" i="32"/>
  <c r="AB124" i="32"/>
  <c r="AA124" i="32"/>
  <c r="Z124" i="32"/>
  <c r="Y124" i="32"/>
  <c r="X124" i="32"/>
  <c r="W124" i="32"/>
  <c r="V124" i="32"/>
  <c r="U124" i="32"/>
  <c r="T124" i="32"/>
  <c r="AS123" i="32"/>
  <c r="AQ123" i="32"/>
  <c r="AN123" i="32"/>
  <c r="AM123" i="32"/>
  <c r="AL123" i="32"/>
  <c r="AK123" i="32"/>
  <c r="AJ123" i="32"/>
  <c r="AI123" i="32"/>
  <c r="AH123" i="32"/>
  <c r="AG123" i="32"/>
  <c r="AF123" i="32"/>
  <c r="AE123" i="32"/>
  <c r="AD123" i="32"/>
  <c r="AC123" i="32"/>
  <c r="AB123" i="32"/>
  <c r="AA123" i="32"/>
  <c r="Z123" i="32"/>
  <c r="Y123" i="32"/>
  <c r="X123" i="32"/>
  <c r="W123" i="32"/>
  <c r="V123" i="32"/>
  <c r="U123" i="32"/>
  <c r="T123" i="32"/>
  <c r="AS122" i="32"/>
  <c r="AQ122" i="32"/>
  <c r="AN122" i="32"/>
  <c r="AM122" i="32"/>
  <c r="AL122" i="32"/>
  <c r="AO122" i="32" s="1"/>
  <c r="AK122" i="32"/>
  <c r="AJ122" i="32"/>
  <c r="AI122" i="32"/>
  <c r="AH122" i="32"/>
  <c r="AG122" i="32"/>
  <c r="AF122" i="32"/>
  <c r="AE122" i="32"/>
  <c r="AD122" i="32"/>
  <c r="AC122" i="32"/>
  <c r="AB122" i="32"/>
  <c r="AA122" i="32"/>
  <c r="Z122" i="32"/>
  <c r="Y122" i="32"/>
  <c r="X122" i="32"/>
  <c r="W122" i="32"/>
  <c r="V122" i="32"/>
  <c r="U122" i="32"/>
  <c r="T122" i="32"/>
  <c r="AS121" i="32"/>
  <c r="AQ121" i="32"/>
  <c r="AN121" i="32"/>
  <c r="AM121" i="32"/>
  <c r="AL121" i="32"/>
  <c r="AK121" i="32"/>
  <c r="AJ121" i="32"/>
  <c r="AI121" i="32"/>
  <c r="AH121" i="32"/>
  <c r="AG121" i="32"/>
  <c r="AF121" i="32"/>
  <c r="AE121" i="32"/>
  <c r="AD121" i="32"/>
  <c r="AC121" i="32"/>
  <c r="AB121" i="32"/>
  <c r="AA121" i="32"/>
  <c r="Z121" i="32"/>
  <c r="Y121" i="32"/>
  <c r="X121" i="32"/>
  <c r="W121" i="32"/>
  <c r="V121" i="32"/>
  <c r="U121" i="32"/>
  <c r="T121" i="32"/>
  <c r="AS120" i="32"/>
  <c r="AQ120" i="32"/>
  <c r="AN120" i="32"/>
  <c r="AM120" i="32"/>
  <c r="AL120" i="32"/>
  <c r="AK120" i="32"/>
  <c r="AJ120" i="32"/>
  <c r="AI120" i="32"/>
  <c r="AH120" i="32"/>
  <c r="AG120" i="32"/>
  <c r="AF120" i="32"/>
  <c r="AE120" i="32"/>
  <c r="AD120" i="32"/>
  <c r="AC120" i="32"/>
  <c r="AB120" i="32"/>
  <c r="AA120" i="32"/>
  <c r="Z120" i="32"/>
  <c r="Y120" i="32"/>
  <c r="X120" i="32"/>
  <c r="W120" i="32"/>
  <c r="V120" i="32"/>
  <c r="U120" i="32"/>
  <c r="T120" i="32"/>
  <c r="AS119" i="32"/>
  <c r="AQ119" i="32"/>
  <c r="AN119" i="32"/>
  <c r="AM119" i="32"/>
  <c r="AL119" i="32"/>
  <c r="AK119" i="32"/>
  <c r="AJ119" i="32"/>
  <c r="AI119" i="32"/>
  <c r="AH119" i="32"/>
  <c r="AG119" i="32"/>
  <c r="AF119" i="32"/>
  <c r="AE119" i="32"/>
  <c r="AD119" i="32"/>
  <c r="AC119" i="32"/>
  <c r="AB119" i="32"/>
  <c r="AA119" i="32"/>
  <c r="Z119" i="32"/>
  <c r="Y119" i="32"/>
  <c r="X119" i="32"/>
  <c r="W119" i="32"/>
  <c r="V119" i="32"/>
  <c r="U119" i="32"/>
  <c r="T119" i="32"/>
  <c r="AS118" i="32"/>
  <c r="AQ118" i="32"/>
  <c r="AN118" i="32"/>
  <c r="AO118" i="32" s="1"/>
  <c r="AM118" i="32"/>
  <c r="AL118" i="32"/>
  <c r="AK118" i="32"/>
  <c r="AJ118" i="32"/>
  <c r="AI118" i="32"/>
  <c r="AH118" i="32"/>
  <c r="AG118" i="32"/>
  <c r="AF118" i="32"/>
  <c r="AE118" i="32"/>
  <c r="AD118" i="32"/>
  <c r="AC118" i="32"/>
  <c r="AB118" i="32"/>
  <c r="AA118" i="32"/>
  <c r="Z118" i="32"/>
  <c r="Y118" i="32"/>
  <c r="X118" i="32"/>
  <c r="W118" i="32"/>
  <c r="V118" i="32"/>
  <c r="U118" i="32"/>
  <c r="T118" i="32"/>
  <c r="AS117" i="32"/>
  <c r="AQ117" i="32"/>
  <c r="AN117" i="32"/>
  <c r="AM117" i="32"/>
  <c r="AL117" i="32"/>
  <c r="AK117" i="32"/>
  <c r="AJ117" i="32"/>
  <c r="AI117" i="32"/>
  <c r="AH117" i="32"/>
  <c r="AG117" i="32"/>
  <c r="AF117" i="32"/>
  <c r="AE117" i="32"/>
  <c r="AD117" i="32"/>
  <c r="AC117" i="32"/>
  <c r="AB117" i="32"/>
  <c r="AA117" i="32"/>
  <c r="Z117" i="32"/>
  <c r="Y117" i="32"/>
  <c r="X117" i="32"/>
  <c r="W117" i="32"/>
  <c r="V117" i="32"/>
  <c r="U117" i="32"/>
  <c r="T117" i="32"/>
  <c r="AS116" i="32"/>
  <c r="AQ116" i="32"/>
  <c r="AN116" i="32"/>
  <c r="AM116" i="32"/>
  <c r="AL116" i="32"/>
  <c r="AK116" i="32"/>
  <c r="AJ116" i="32"/>
  <c r="AI116" i="32"/>
  <c r="AH116" i="32"/>
  <c r="AG116" i="32"/>
  <c r="AF116" i="32"/>
  <c r="AE116" i="32"/>
  <c r="AD116" i="32"/>
  <c r="AC116" i="32"/>
  <c r="AB116" i="32"/>
  <c r="AA116" i="32"/>
  <c r="Z116" i="32"/>
  <c r="Y116" i="32"/>
  <c r="X116" i="32"/>
  <c r="W116" i="32"/>
  <c r="V116" i="32"/>
  <c r="U116" i="32"/>
  <c r="T116" i="32"/>
  <c r="AV115" i="32"/>
  <c r="AN115" i="32"/>
  <c r="AM115" i="32"/>
  <c r="AL115" i="32"/>
  <c r="AK115" i="32"/>
  <c r="AJ115" i="32"/>
  <c r="AI115" i="32"/>
  <c r="AH115" i="32"/>
  <c r="AG115" i="32"/>
  <c r="AF115" i="32"/>
  <c r="AE115" i="32"/>
  <c r="AD115" i="32"/>
  <c r="AC115" i="32"/>
  <c r="AB115" i="32"/>
  <c r="AA115" i="32"/>
  <c r="Z115" i="32"/>
  <c r="Y115" i="32"/>
  <c r="X115" i="32"/>
  <c r="W115" i="32"/>
  <c r="V115" i="32"/>
  <c r="U115" i="32"/>
  <c r="T115" i="32"/>
  <c r="AS114" i="32"/>
  <c r="AQ114" i="32"/>
  <c r="AN114" i="32"/>
  <c r="AM114" i="32"/>
  <c r="AL114" i="32"/>
  <c r="AK114" i="32"/>
  <c r="AJ114" i="32"/>
  <c r="AI114" i="32"/>
  <c r="AH114" i="32"/>
  <c r="AG114" i="32"/>
  <c r="AF114" i="32"/>
  <c r="AE114" i="32"/>
  <c r="AD114" i="32"/>
  <c r="AC114" i="32"/>
  <c r="AB114" i="32"/>
  <c r="AA114" i="32"/>
  <c r="Z114" i="32"/>
  <c r="Y114" i="32"/>
  <c r="X114" i="32"/>
  <c r="W114" i="32"/>
  <c r="V114" i="32"/>
  <c r="U114" i="32"/>
  <c r="T114" i="32"/>
  <c r="AS113" i="32"/>
  <c r="AQ113" i="32"/>
  <c r="AN113" i="32"/>
  <c r="AM113" i="32"/>
  <c r="AL113" i="32"/>
  <c r="AK113" i="32"/>
  <c r="AJ113" i="32"/>
  <c r="AI113" i="32"/>
  <c r="AH113" i="32"/>
  <c r="AG113" i="32"/>
  <c r="AF113" i="32"/>
  <c r="AE113" i="32"/>
  <c r="AD113" i="32"/>
  <c r="AC113" i="32"/>
  <c r="AB113" i="32"/>
  <c r="AA113" i="32"/>
  <c r="Z113" i="32"/>
  <c r="Y113" i="32"/>
  <c r="X113" i="32"/>
  <c r="W113" i="32"/>
  <c r="V113" i="32"/>
  <c r="U113" i="32"/>
  <c r="T113" i="32"/>
  <c r="AS112" i="32"/>
  <c r="AQ112" i="32"/>
  <c r="AN112" i="32"/>
  <c r="AM112" i="32"/>
  <c r="AL112" i="32"/>
  <c r="AK112" i="32"/>
  <c r="AJ112" i="32"/>
  <c r="AI112" i="32"/>
  <c r="AH112" i="32"/>
  <c r="AG112" i="32"/>
  <c r="AF112" i="32"/>
  <c r="AE112" i="32"/>
  <c r="AD112" i="32"/>
  <c r="AC112" i="32"/>
  <c r="AB112" i="32"/>
  <c r="AA112" i="32"/>
  <c r="Z112" i="32"/>
  <c r="Y112" i="32"/>
  <c r="X112" i="32"/>
  <c r="W112" i="32"/>
  <c r="V112" i="32"/>
  <c r="U112" i="32"/>
  <c r="T112" i="32"/>
  <c r="AS111" i="32"/>
  <c r="AQ111" i="32"/>
  <c r="AN111" i="32"/>
  <c r="AM111" i="32"/>
  <c r="AL111" i="32"/>
  <c r="AK111" i="32"/>
  <c r="AJ111" i="32"/>
  <c r="AI111" i="32"/>
  <c r="AH111" i="32"/>
  <c r="AG111" i="32"/>
  <c r="AF111" i="32"/>
  <c r="AE111" i="32"/>
  <c r="AD111" i="32"/>
  <c r="AC111" i="32"/>
  <c r="AB111" i="32"/>
  <c r="AA111" i="32"/>
  <c r="Z111" i="32"/>
  <c r="Y111" i="32"/>
  <c r="X111" i="32"/>
  <c r="W111" i="32"/>
  <c r="V111" i="32"/>
  <c r="U111" i="32"/>
  <c r="T111" i="32"/>
  <c r="AS110" i="32"/>
  <c r="AS115" i="32" s="1"/>
  <c r="AQ110" i="32"/>
  <c r="AN110" i="32"/>
  <c r="AM110" i="32"/>
  <c r="AL110" i="32"/>
  <c r="AO110" i="32" s="1"/>
  <c r="AK110" i="32"/>
  <c r="AJ110" i="32"/>
  <c r="AI110" i="32"/>
  <c r="AH110" i="32"/>
  <c r="AG110" i="32"/>
  <c r="AF110" i="32"/>
  <c r="AE110" i="32"/>
  <c r="AD110" i="32"/>
  <c r="AC110" i="32"/>
  <c r="AB110" i="32"/>
  <c r="AA110" i="32"/>
  <c r="Z110" i="32"/>
  <c r="Y110" i="32"/>
  <c r="X110" i="32"/>
  <c r="W110" i="32"/>
  <c r="V110" i="32"/>
  <c r="U110" i="32"/>
  <c r="T110" i="32"/>
  <c r="AN109" i="32"/>
  <c r="AM109" i="32"/>
  <c r="AL109" i="32"/>
  <c r="AK109" i="32"/>
  <c r="AJ109" i="32"/>
  <c r="AI109" i="32"/>
  <c r="AH109" i="32"/>
  <c r="AG109" i="32"/>
  <c r="AF109" i="32"/>
  <c r="AE109" i="32"/>
  <c r="AD109" i="32"/>
  <c r="AC109" i="32"/>
  <c r="AB109" i="32"/>
  <c r="AA109" i="32"/>
  <c r="Z109" i="32"/>
  <c r="Y109" i="32"/>
  <c r="X109" i="32"/>
  <c r="W109" i="32"/>
  <c r="V109" i="32"/>
  <c r="U109" i="32"/>
  <c r="T109" i="32"/>
  <c r="AN108" i="32"/>
  <c r="AM108" i="32"/>
  <c r="AL108" i="32"/>
  <c r="AK108" i="32"/>
  <c r="AJ108" i="32"/>
  <c r="AI108" i="32"/>
  <c r="AH108" i="32"/>
  <c r="AG108" i="32"/>
  <c r="AF108" i="32"/>
  <c r="AE108" i="32"/>
  <c r="AD108" i="32"/>
  <c r="AC108" i="32"/>
  <c r="AB108" i="32"/>
  <c r="AA108" i="32"/>
  <c r="Z108" i="32"/>
  <c r="Y108" i="32"/>
  <c r="X108" i="32"/>
  <c r="W108" i="32"/>
  <c r="V108" i="32"/>
  <c r="U108" i="32"/>
  <c r="T108" i="32"/>
  <c r="AS107" i="32"/>
  <c r="AQ107" i="32"/>
  <c r="AN107" i="32"/>
  <c r="AM107" i="32"/>
  <c r="AL107" i="32"/>
  <c r="AK107" i="32"/>
  <c r="AJ107" i="32"/>
  <c r="AI107" i="32"/>
  <c r="AH107" i="32"/>
  <c r="AG107" i="32"/>
  <c r="AF107" i="32"/>
  <c r="AE107" i="32"/>
  <c r="AD107" i="32"/>
  <c r="AC107" i="32"/>
  <c r="AB107" i="32"/>
  <c r="AA107" i="32"/>
  <c r="Z107" i="32"/>
  <c r="Y107" i="32"/>
  <c r="X107" i="32"/>
  <c r="W107" i="32"/>
  <c r="V107" i="32"/>
  <c r="U107" i="32"/>
  <c r="T107" i="32"/>
  <c r="AS106" i="32"/>
  <c r="AQ106" i="32"/>
  <c r="AN106" i="32"/>
  <c r="AM106" i="32"/>
  <c r="AL106" i="32"/>
  <c r="AK106" i="32"/>
  <c r="AJ106" i="32"/>
  <c r="AI106" i="32"/>
  <c r="AH106" i="32"/>
  <c r="AG106" i="32"/>
  <c r="AF106" i="32"/>
  <c r="AE106" i="32"/>
  <c r="AD106" i="32"/>
  <c r="AC106" i="32"/>
  <c r="AB106" i="32"/>
  <c r="AA106" i="32"/>
  <c r="Z106" i="32"/>
  <c r="Y106" i="32"/>
  <c r="X106" i="32"/>
  <c r="W106" i="32"/>
  <c r="V106" i="32"/>
  <c r="U106" i="32"/>
  <c r="T106" i="32"/>
  <c r="AN105" i="32"/>
  <c r="AM105" i="32"/>
  <c r="AL105" i="32"/>
  <c r="AK105" i="32"/>
  <c r="AJ105" i="32"/>
  <c r="AI105" i="32"/>
  <c r="AH105" i="32"/>
  <c r="AG105" i="32"/>
  <c r="AF105" i="32"/>
  <c r="AE105" i="32"/>
  <c r="AD105" i="32"/>
  <c r="AC105" i="32"/>
  <c r="AB105" i="32"/>
  <c r="AA105" i="32"/>
  <c r="Z105" i="32"/>
  <c r="Y105" i="32"/>
  <c r="X105" i="32"/>
  <c r="W105" i="32"/>
  <c r="V105" i="32"/>
  <c r="U105" i="32"/>
  <c r="T105" i="32"/>
  <c r="AN95" i="32"/>
  <c r="AM95" i="32"/>
  <c r="AL95" i="32"/>
  <c r="AK95" i="32"/>
  <c r="AJ95" i="32"/>
  <c r="AI95" i="32"/>
  <c r="AH95" i="32"/>
  <c r="AG95" i="32"/>
  <c r="AF95" i="32"/>
  <c r="AE95" i="32"/>
  <c r="AD95" i="32"/>
  <c r="AC95" i="32"/>
  <c r="AB95" i="32"/>
  <c r="AA95" i="32"/>
  <c r="Z95" i="32"/>
  <c r="Y95" i="32"/>
  <c r="X95" i="32"/>
  <c r="W95" i="32"/>
  <c r="V95" i="32"/>
  <c r="U95" i="32"/>
  <c r="T95" i="32"/>
  <c r="AN94" i="32"/>
  <c r="AO94" i="32" s="1"/>
  <c r="N22" i="32" s="1"/>
  <c r="AM94" i="32"/>
  <c r="AL94" i="32"/>
  <c r="AK94" i="32"/>
  <c r="AJ94" i="32"/>
  <c r="AI94" i="32"/>
  <c r="AH94" i="32"/>
  <c r="AG94" i="32"/>
  <c r="AF94" i="32"/>
  <c r="AE94" i="32"/>
  <c r="AD94" i="32"/>
  <c r="AC94" i="32"/>
  <c r="AB94" i="32"/>
  <c r="AA94" i="32"/>
  <c r="Z94" i="32"/>
  <c r="Y94" i="32"/>
  <c r="X94" i="32"/>
  <c r="W94" i="32"/>
  <c r="V94" i="32"/>
  <c r="U94" i="32"/>
  <c r="T94" i="32"/>
  <c r="AS93" i="32"/>
  <c r="AQ93" i="32"/>
  <c r="AN93" i="32"/>
  <c r="AM93" i="32"/>
  <c r="AL93" i="32"/>
  <c r="AK93" i="32"/>
  <c r="AJ93" i="32"/>
  <c r="AI93" i="32"/>
  <c r="AH93" i="32"/>
  <c r="AG93" i="32"/>
  <c r="AF93" i="32"/>
  <c r="AE93" i="32"/>
  <c r="AD93" i="32"/>
  <c r="AC93" i="32"/>
  <c r="AB93" i="32"/>
  <c r="AA93" i="32"/>
  <c r="Z93" i="32"/>
  <c r="Y93" i="32"/>
  <c r="X93" i="32"/>
  <c r="W93" i="32"/>
  <c r="V93" i="32"/>
  <c r="U93" i="32"/>
  <c r="T93" i="32"/>
  <c r="AS92" i="32"/>
  <c r="AN92" i="32"/>
  <c r="AO92" i="32" s="1"/>
  <c r="AQ92" i="32" s="1"/>
  <c r="AT92" i="32" s="1"/>
  <c r="AM92" i="32"/>
  <c r="AL92" i="32"/>
  <c r="AK92" i="32"/>
  <c r="AJ92" i="32"/>
  <c r="AI92" i="32"/>
  <c r="AH92" i="32"/>
  <c r="AG92" i="32"/>
  <c r="AF92" i="32"/>
  <c r="AE92" i="32"/>
  <c r="AD92" i="32"/>
  <c r="AC92" i="32"/>
  <c r="AB92" i="32"/>
  <c r="AA92" i="32"/>
  <c r="Z92" i="32"/>
  <c r="Y92" i="32"/>
  <c r="X92" i="32"/>
  <c r="W92" i="32"/>
  <c r="V92" i="32"/>
  <c r="U92" i="32"/>
  <c r="T92" i="32"/>
  <c r="AS91" i="32"/>
  <c r="AQ91" i="32"/>
  <c r="AN91" i="32"/>
  <c r="AO91" i="32" s="1"/>
  <c r="AT91" i="32" s="1"/>
  <c r="AM91" i="32"/>
  <c r="AL91" i="32"/>
  <c r="AK91" i="32"/>
  <c r="AJ91" i="32"/>
  <c r="AI91" i="32"/>
  <c r="AH91" i="32"/>
  <c r="AG91" i="32"/>
  <c r="AF91" i="32"/>
  <c r="AE91" i="32"/>
  <c r="AD91" i="32"/>
  <c r="AC91" i="32"/>
  <c r="AB91" i="32"/>
  <c r="AA91" i="32"/>
  <c r="Z91" i="32"/>
  <c r="Y91" i="32"/>
  <c r="X91" i="32"/>
  <c r="W91" i="32"/>
  <c r="V91" i="32"/>
  <c r="U91" i="32"/>
  <c r="T91" i="32"/>
  <c r="AN90" i="32"/>
  <c r="AM90" i="32"/>
  <c r="AL90" i="32"/>
  <c r="AK90" i="32"/>
  <c r="AJ90" i="32"/>
  <c r="AI90" i="32"/>
  <c r="AH90" i="32"/>
  <c r="AG90" i="32"/>
  <c r="AF90" i="32"/>
  <c r="AE90" i="32"/>
  <c r="AD90" i="32"/>
  <c r="AC90" i="32"/>
  <c r="AB90" i="32"/>
  <c r="AA90" i="32"/>
  <c r="Z90" i="32"/>
  <c r="Y90" i="32"/>
  <c r="X90" i="32"/>
  <c r="W90" i="32"/>
  <c r="V90" i="32"/>
  <c r="U90" i="32"/>
  <c r="T90" i="32"/>
  <c r="AS89" i="32"/>
  <c r="AQ89" i="32"/>
  <c r="AN89" i="32"/>
  <c r="AM89" i="32"/>
  <c r="AL89" i="32"/>
  <c r="AK89" i="32"/>
  <c r="AJ89" i="32"/>
  <c r="AI89" i="32"/>
  <c r="AH89" i="32"/>
  <c r="AG89" i="32"/>
  <c r="AF89" i="32"/>
  <c r="AE89" i="32"/>
  <c r="AD89" i="32"/>
  <c r="AC89" i="32"/>
  <c r="AB89" i="32"/>
  <c r="AA89" i="32"/>
  <c r="Z89" i="32"/>
  <c r="Y89" i="32"/>
  <c r="X89" i="32"/>
  <c r="W89" i="32"/>
  <c r="V89" i="32"/>
  <c r="U89" i="32"/>
  <c r="T89" i="32"/>
  <c r="AS88" i="32"/>
  <c r="AQ88" i="32"/>
  <c r="AN88" i="32"/>
  <c r="AO88" i="32" s="1"/>
  <c r="AT88" i="32" s="1"/>
  <c r="AM88" i="32"/>
  <c r="AL88" i="32"/>
  <c r="AK88" i="32"/>
  <c r="AJ88" i="32"/>
  <c r="AI88" i="32"/>
  <c r="AH88" i="32"/>
  <c r="AG88" i="32"/>
  <c r="AF88" i="32"/>
  <c r="AE88" i="32"/>
  <c r="AD88" i="32"/>
  <c r="AC88" i="32"/>
  <c r="AB88" i="32"/>
  <c r="AA88" i="32"/>
  <c r="Z88" i="32"/>
  <c r="Y88" i="32"/>
  <c r="X88" i="32"/>
  <c r="W88" i="32"/>
  <c r="V88" i="32"/>
  <c r="U88" i="32"/>
  <c r="T88" i="32"/>
  <c r="AS87" i="32"/>
  <c r="AQ87" i="32"/>
  <c r="AQ90" i="32" s="1"/>
  <c r="AN87" i="32"/>
  <c r="AM87" i="32"/>
  <c r="AL87" i="32"/>
  <c r="AK87" i="32"/>
  <c r="AJ87" i="32"/>
  <c r="AI87" i="32"/>
  <c r="AH87" i="32"/>
  <c r="AG87" i="32"/>
  <c r="AF87" i="32"/>
  <c r="AE87" i="32"/>
  <c r="AD87" i="32"/>
  <c r="AC87" i="32"/>
  <c r="AB87" i="32"/>
  <c r="AA87" i="32"/>
  <c r="Z87" i="32"/>
  <c r="Y87" i="32"/>
  <c r="X87" i="32"/>
  <c r="W87" i="32"/>
  <c r="V87" i="32"/>
  <c r="U87" i="32"/>
  <c r="T87" i="32"/>
  <c r="AO77" i="32"/>
  <c r="AN77" i="32"/>
  <c r="AM77" i="32"/>
  <c r="AL77" i="32"/>
  <c r="AK77" i="32"/>
  <c r="AJ77" i="32"/>
  <c r="AI77" i="32"/>
  <c r="AH77" i="32"/>
  <c r="AG77" i="32"/>
  <c r="AF77" i="32"/>
  <c r="AE77" i="32"/>
  <c r="AD77" i="32"/>
  <c r="AC77" i="32"/>
  <c r="AB77" i="32"/>
  <c r="AA77" i="32"/>
  <c r="Z77" i="32"/>
  <c r="Y77" i="32"/>
  <c r="X77" i="32"/>
  <c r="W77" i="32"/>
  <c r="V77" i="32"/>
  <c r="U77" i="32"/>
  <c r="T77" i="32"/>
  <c r="M77" i="32"/>
  <c r="AN76" i="32"/>
  <c r="AO76" i="32" s="1"/>
  <c r="N15" i="32" s="1"/>
  <c r="AM76" i="32"/>
  <c r="AL76" i="32"/>
  <c r="AK76" i="32"/>
  <c r="AJ76" i="32"/>
  <c r="AI76" i="32"/>
  <c r="AH76" i="32"/>
  <c r="AG76" i="32"/>
  <c r="AF76" i="32"/>
  <c r="AE76" i="32"/>
  <c r="AD76" i="32"/>
  <c r="AC76" i="32"/>
  <c r="AB76" i="32"/>
  <c r="AA76" i="32"/>
  <c r="Z76" i="32"/>
  <c r="Y76" i="32"/>
  <c r="X76" i="32"/>
  <c r="W76" i="32"/>
  <c r="V76" i="32"/>
  <c r="U76" i="32"/>
  <c r="T76" i="32"/>
  <c r="M76" i="32"/>
  <c r="AS75" i="32"/>
  <c r="AQ75" i="32"/>
  <c r="AN75" i="32"/>
  <c r="AM75" i="32"/>
  <c r="AL75" i="32"/>
  <c r="AK75" i="32"/>
  <c r="AJ75" i="32"/>
  <c r="AI75" i="32"/>
  <c r="AH75" i="32"/>
  <c r="AG75" i="32"/>
  <c r="AF75" i="32"/>
  <c r="AE75" i="32"/>
  <c r="AD75" i="32"/>
  <c r="AC75" i="32"/>
  <c r="AB75" i="32"/>
  <c r="AA75" i="32"/>
  <c r="Z75" i="32"/>
  <c r="Y75" i="32"/>
  <c r="X75" i="32"/>
  <c r="W75" i="32"/>
  <c r="V75" i="32"/>
  <c r="U75" i="32"/>
  <c r="T75" i="32"/>
  <c r="M75" i="32"/>
  <c r="AS74" i="32"/>
  <c r="AN74" i="32"/>
  <c r="AM74" i="32"/>
  <c r="AL74" i="32"/>
  <c r="AK74" i="32"/>
  <c r="AJ74" i="32"/>
  <c r="AI74" i="32"/>
  <c r="AH74" i="32"/>
  <c r="AG74" i="32"/>
  <c r="AF74" i="32"/>
  <c r="AE74" i="32"/>
  <c r="AD74" i="32"/>
  <c r="AC74" i="32"/>
  <c r="AB74" i="32"/>
  <c r="AA74" i="32"/>
  <c r="Z74" i="32"/>
  <c r="Y74" i="32"/>
  <c r="X74" i="32"/>
  <c r="W74" i="32"/>
  <c r="V74" i="32"/>
  <c r="U74" i="32"/>
  <c r="T74" i="32"/>
  <c r="M74" i="32"/>
  <c r="AN73" i="32"/>
  <c r="AM73" i="32"/>
  <c r="AL73" i="32"/>
  <c r="AK73" i="32"/>
  <c r="AJ73" i="32"/>
  <c r="AI73" i="32"/>
  <c r="AH73" i="32"/>
  <c r="AG73" i="32"/>
  <c r="AF73" i="32"/>
  <c r="AE73" i="32"/>
  <c r="AD73" i="32"/>
  <c r="AC73" i="32"/>
  <c r="AB73" i="32"/>
  <c r="AA73" i="32"/>
  <c r="Z73" i="32"/>
  <c r="Y73" i="32"/>
  <c r="X73" i="32"/>
  <c r="W73" i="32"/>
  <c r="V73" i="32"/>
  <c r="U73" i="32"/>
  <c r="T73" i="32"/>
  <c r="M73" i="32"/>
  <c r="AN72" i="32"/>
  <c r="AM72" i="32"/>
  <c r="AL72" i="32"/>
  <c r="AK72" i="32"/>
  <c r="AJ72" i="32"/>
  <c r="AI72" i="32"/>
  <c r="AH72" i="32"/>
  <c r="AG72" i="32"/>
  <c r="AF72" i="32"/>
  <c r="AE72" i="32"/>
  <c r="AD72" i="32"/>
  <c r="AC72" i="32"/>
  <c r="AB72" i="32"/>
  <c r="AA72" i="32"/>
  <c r="Z72" i="32"/>
  <c r="Y72" i="32"/>
  <c r="X72" i="32"/>
  <c r="W72" i="32"/>
  <c r="V72" i="32"/>
  <c r="U72" i="32"/>
  <c r="T72" i="32"/>
  <c r="M72" i="32"/>
  <c r="AN71" i="32"/>
  <c r="AM71" i="32"/>
  <c r="AL71" i="32"/>
  <c r="AK71" i="32"/>
  <c r="AJ71" i="32"/>
  <c r="AI71" i="32"/>
  <c r="AH71" i="32"/>
  <c r="AG71" i="32"/>
  <c r="AF71" i="32"/>
  <c r="AE71" i="32"/>
  <c r="AD71" i="32"/>
  <c r="AC71" i="32"/>
  <c r="AB71" i="32"/>
  <c r="AA71" i="32"/>
  <c r="Z71" i="32"/>
  <c r="Y71" i="32"/>
  <c r="X71" i="32"/>
  <c r="W71" i="32"/>
  <c r="V71" i="32"/>
  <c r="U71" i="32"/>
  <c r="T71" i="32"/>
  <c r="M71" i="32"/>
  <c r="AN70" i="32"/>
  <c r="AM70" i="32"/>
  <c r="AL70" i="32"/>
  <c r="AK70" i="32"/>
  <c r="AJ70" i="32"/>
  <c r="AI70" i="32"/>
  <c r="AH70" i="32"/>
  <c r="AG70" i="32"/>
  <c r="AF70" i="32"/>
  <c r="AE70" i="32"/>
  <c r="AD70" i="32"/>
  <c r="AC70" i="32"/>
  <c r="AB70" i="32"/>
  <c r="AA70" i="32"/>
  <c r="Z70" i="32"/>
  <c r="Y70" i="32"/>
  <c r="X70" i="32"/>
  <c r="W70" i="32"/>
  <c r="V70" i="32"/>
  <c r="U70" i="32"/>
  <c r="T70" i="32"/>
  <c r="M70" i="32"/>
  <c r="AS69" i="32"/>
  <c r="AQ69" i="32"/>
  <c r="AN69" i="32"/>
  <c r="AM69" i="32"/>
  <c r="AL69" i="32"/>
  <c r="AK69" i="32"/>
  <c r="AJ69" i="32"/>
  <c r="AI69" i="32"/>
  <c r="AH69" i="32"/>
  <c r="AG69" i="32"/>
  <c r="AF69" i="32"/>
  <c r="AE69" i="32"/>
  <c r="AD69" i="32"/>
  <c r="AC69" i="32"/>
  <c r="AB69" i="32"/>
  <c r="AA69" i="32"/>
  <c r="Z69" i="32"/>
  <c r="Y69" i="32"/>
  <c r="X69" i="32"/>
  <c r="W69" i="32"/>
  <c r="V69" i="32"/>
  <c r="U69" i="32"/>
  <c r="T69" i="32"/>
  <c r="M69" i="32"/>
  <c r="AN68" i="32"/>
  <c r="AM68" i="32"/>
  <c r="AL68" i="32"/>
  <c r="AK68" i="32"/>
  <c r="AJ68" i="32"/>
  <c r="AI68" i="32"/>
  <c r="AH68" i="32"/>
  <c r="AG68" i="32"/>
  <c r="AF68" i="32"/>
  <c r="AE68" i="32"/>
  <c r="AD68" i="32"/>
  <c r="AC68" i="32"/>
  <c r="AB68" i="32"/>
  <c r="AA68" i="32"/>
  <c r="Z68" i="32"/>
  <c r="Y68" i="32"/>
  <c r="X68" i="32"/>
  <c r="W68" i="32"/>
  <c r="V68" i="32"/>
  <c r="U68" i="32"/>
  <c r="T68" i="32"/>
  <c r="M68" i="32"/>
  <c r="AN67" i="32"/>
  <c r="AM67" i="32"/>
  <c r="AL67" i="32"/>
  <c r="AK67" i="32"/>
  <c r="AJ67" i="32"/>
  <c r="AI67" i="32"/>
  <c r="AH67" i="32"/>
  <c r="AG67" i="32"/>
  <c r="AF67" i="32"/>
  <c r="AE67" i="32"/>
  <c r="AD67" i="32"/>
  <c r="AC67" i="32"/>
  <c r="AB67" i="32"/>
  <c r="AA67" i="32"/>
  <c r="Z67" i="32"/>
  <c r="Y67" i="32"/>
  <c r="X67" i="32"/>
  <c r="W67" i="32"/>
  <c r="V67" i="32"/>
  <c r="U67" i="32"/>
  <c r="T67" i="32"/>
  <c r="M67" i="32"/>
  <c r="AS66" i="32"/>
  <c r="AQ66" i="32"/>
  <c r="AN66" i="32"/>
  <c r="AM66" i="32"/>
  <c r="AL66" i="32"/>
  <c r="AK66" i="32"/>
  <c r="AJ66" i="32"/>
  <c r="AI66" i="32"/>
  <c r="AH66" i="32"/>
  <c r="AG66" i="32"/>
  <c r="AF66" i="32"/>
  <c r="AE66" i="32"/>
  <c r="AD66" i="32"/>
  <c r="AC66" i="32"/>
  <c r="AB66" i="32"/>
  <c r="AA66" i="32"/>
  <c r="Z66" i="32"/>
  <c r="Y66" i="32"/>
  <c r="X66" i="32"/>
  <c r="W66" i="32"/>
  <c r="V66" i="32"/>
  <c r="U66" i="32"/>
  <c r="T66" i="32"/>
  <c r="AS65" i="32"/>
  <c r="AQ65" i="32"/>
  <c r="AN65" i="32"/>
  <c r="AM65" i="32"/>
  <c r="AL65" i="32"/>
  <c r="AK65" i="32"/>
  <c r="AJ65" i="32"/>
  <c r="AI65" i="32"/>
  <c r="AH65" i="32"/>
  <c r="AG65" i="32"/>
  <c r="AF65" i="32"/>
  <c r="AE65" i="32"/>
  <c r="AD65" i="32"/>
  <c r="AC65" i="32"/>
  <c r="AB65" i="32"/>
  <c r="AA65" i="32"/>
  <c r="Z65" i="32"/>
  <c r="Y65" i="32"/>
  <c r="X65" i="32"/>
  <c r="W65" i="32"/>
  <c r="V65" i="32"/>
  <c r="U65" i="32"/>
  <c r="T65" i="32"/>
  <c r="AN64" i="32"/>
  <c r="AO64" i="32" s="1"/>
  <c r="N13" i="32" s="1"/>
  <c r="AM64" i="32"/>
  <c r="AL64" i="32"/>
  <c r="AK64" i="32"/>
  <c r="AJ64" i="32"/>
  <c r="AI64" i="32"/>
  <c r="AH64" i="32"/>
  <c r="AG64" i="32"/>
  <c r="AF64" i="32"/>
  <c r="AE64" i="32"/>
  <c r="AD64" i="32"/>
  <c r="AC64" i="32"/>
  <c r="AB64" i="32"/>
  <c r="AA64" i="32"/>
  <c r="Z64" i="32"/>
  <c r="Y64" i="32"/>
  <c r="X64" i="32"/>
  <c r="W64" i="32"/>
  <c r="V64" i="32"/>
  <c r="U64" i="32"/>
  <c r="T64" i="32"/>
  <c r="L64" i="32"/>
  <c r="AS63" i="32"/>
  <c r="AQ63" i="32"/>
  <c r="AN63" i="32"/>
  <c r="AM63" i="32"/>
  <c r="AL63" i="32"/>
  <c r="AK63" i="32"/>
  <c r="AJ63" i="32"/>
  <c r="AI63" i="32"/>
  <c r="AH63" i="32"/>
  <c r="AG63" i="32"/>
  <c r="AF63" i="32"/>
  <c r="AE63" i="32"/>
  <c r="AD63" i="32"/>
  <c r="AC63" i="32"/>
  <c r="AB63" i="32"/>
  <c r="AA63" i="32"/>
  <c r="Z63" i="32"/>
  <c r="Y63" i="32"/>
  <c r="X63" i="32"/>
  <c r="W63" i="32"/>
  <c r="V63" i="32"/>
  <c r="U63" i="32"/>
  <c r="T63" i="32"/>
  <c r="AS62" i="32"/>
  <c r="AQ62" i="32"/>
  <c r="AN62" i="32"/>
  <c r="AM62" i="32"/>
  <c r="AL62" i="32"/>
  <c r="AO62" i="32" s="1"/>
  <c r="AK62" i="32"/>
  <c r="AJ62" i="32"/>
  <c r="AI62" i="32"/>
  <c r="AH62" i="32"/>
  <c r="AG62" i="32"/>
  <c r="AF62" i="32"/>
  <c r="AE62" i="32"/>
  <c r="AD62" i="32"/>
  <c r="AC62" i="32"/>
  <c r="AB62" i="32"/>
  <c r="AA62" i="32"/>
  <c r="Z62" i="32"/>
  <c r="Y62" i="32"/>
  <c r="X62" i="32"/>
  <c r="W62" i="32"/>
  <c r="V62" i="32"/>
  <c r="U62" i="32"/>
  <c r="T62" i="32"/>
  <c r="AS61" i="32"/>
  <c r="AQ61" i="32"/>
  <c r="AN61" i="32"/>
  <c r="AM61" i="32"/>
  <c r="AL61" i="32"/>
  <c r="AK61" i="32"/>
  <c r="AJ61" i="32"/>
  <c r="AI61" i="32"/>
  <c r="AH61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AS60" i="32"/>
  <c r="AQ60" i="32"/>
  <c r="AN60" i="32"/>
  <c r="AM60" i="32"/>
  <c r="AL60" i="32"/>
  <c r="AK60" i="32"/>
  <c r="AJ60" i="32"/>
  <c r="AI60" i="32"/>
  <c r="AH60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H60" i="32"/>
  <c r="C60" i="32"/>
  <c r="AS59" i="32"/>
  <c r="AQ59" i="32"/>
  <c r="AN59" i="32"/>
  <c r="AM59" i="32"/>
  <c r="AL59" i="32"/>
  <c r="AK59" i="32"/>
  <c r="AJ59" i="32"/>
  <c r="AI59" i="32"/>
  <c r="AH59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H59" i="32"/>
  <c r="C59" i="32"/>
  <c r="AS58" i="32"/>
  <c r="AQ58" i="32"/>
  <c r="AN58" i="32"/>
  <c r="AM58" i="32"/>
  <c r="AL58" i="32"/>
  <c r="AO58" i="32" s="1"/>
  <c r="AT58" i="32" s="1"/>
  <c r="AK58" i="32"/>
  <c r="AJ58" i="32"/>
  <c r="AI58" i="32"/>
  <c r="AH58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AS57" i="32"/>
  <c r="AQ57" i="32"/>
  <c r="AN57" i="32"/>
  <c r="AM57" i="32"/>
  <c r="AL57" i="32"/>
  <c r="AK57" i="32"/>
  <c r="AJ57" i="32"/>
  <c r="AI57" i="32"/>
  <c r="AH57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AS56" i="32"/>
  <c r="AQ56" i="32"/>
  <c r="AN56" i="32"/>
  <c r="AM56" i="32"/>
  <c r="AL56" i="32"/>
  <c r="AK56" i="32"/>
  <c r="AJ56" i="32"/>
  <c r="AI56" i="32"/>
  <c r="AH56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AS55" i="32"/>
  <c r="AQ55" i="32"/>
  <c r="AN55" i="32"/>
  <c r="AM55" i="32"/>
  <c r="AL55" i="32"/>
  <c r="AK55" i="32"/>
  <c r="AJ55" i="32"/>
  <c r="AI55" i="32"/>
  <c r="AH55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AS54" i="32"/>
  <c r="AQ54" i="32"/>
  <c r="AN54" i="32"/>
  <c r="AM54" i="32"/>
  <c r="AL54" i="32"/>
  <c r="AK54" i="32"/>
  <c r="AJ54" i="32"/>
  <c r="AI54" i="32"/>
  <c r="AH54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H54" i="32"/>
  <c r="C54" i="32"/>
  <c r="AS53" i="32"/>
  <c r="AQ53" i="32"/>
  <c r="AN53" i="32"/>
  <c r="AM53" i="32"/>
  <c r="AL53" i="32"/>
  <c r="AK53" i="32"/>
  <c r="AJ53" i="32"/>
  <c r="AI53" i="32"/>
  <c r="AH53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H53" i="32"/>
  <c r="C53" i="32"/>
  <c r="AS52" i="32"/>
  <c r="AQ52" i="32"/>
  <c r="AN52" i="32"/>
  <c r="AM52" i="32"/>
  <c r="AL52" i="32"/>
  <c r="AK52" i="32"/>
  <c r="AJ52" i="32"/>
  <c r="AI52" i="32"/>
  <c r="AH52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H52" i="32"/>
  <c r="C52" i="32"/>
  <c r="AS51" i="32"/>
  <c r="AQ51" i="32"/>
  <c r="AN51" i="32"/>
  <c r="AM51" i="32"/>
  <c r="AL51" i="32"/>
  <c r="AO51" i="32" s="1"/>
  <c r="AK51" i="32"/>
  <c r="AJ51" i="32"/>
  <c r="AI51" i="32"/>
  <c r="AH51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H51" i="32"/>
  <c r="C51" i="32"/>
  <c r="AS50" i="32"/>
  <c r="AQ50" i="32"/>
  <c r="AN50" i="32"/>
  <c r="AM50" i="32"/>
  <c r="AL50" i="32"/>
  <c r="AK50" i="32"/>
  <c r="AJ50" i="32"/>
  <c r="AI50" i="32"/>
  <c r="AH50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H50" i="32"/>
  <c r="C50" i="32"/>
  <c r="H49" i="32"/>
  <c r="C49" i="32"/>
  <c r="H48" i="32"/>
  <c r="C48" i="32"/>
  <c r="H47" i="32"/>
  <c r="C47" i="32"/>
  <c r="H46" i="32"/>
  <c r="C46" i="32"/>
  <c r="H45" i="32"/>
  <c r="C45" i="32"/>
  <c r="H44" i="32"/>
  <c r="C44" i="32"/>
  <c r="H43" i="32"/>
  <c r="C43" i="32"/>
  <c r="H42" i="32"/>
  <c r="C42" i="32"/>
  <c r="H41" i="32"/>
  <c r="C41" i="32"/>
  <c r="AN40" i="32"/>
  <c r="AM40" i="32"/>
  <c r="AL40" i="32"/>
  <c r="AK40" i="32"/>
  <c r="AJ40" i="32"/>
  <c r="AI40" i="32"/>
  <c r="AH40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H40" i="32"/>
  <c r="C40" i="32"/>
  <c r="AN39" i="32"/>
  <c r="AM39" i="32"/>
  <c r="AL39" i="32"/>
  <c r="AK39" i="32"/>
  <c r="AJ39" i="32"/>
  <c r="AI39" i="32"/>
  <c r="AH39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N39" i="32"/>
  <c r="H39" i="32"/>
  <c r="C39" i="32"/>
  <c r="AS38" i="32"/>
  <c r="AQ38" i="32"/>
  <c r="AN38" i="32"/>
  <c r="AM38" i="32"/>
  <c r="AL38" i="32"/>
  <c r="AO38" i="32" s="1"/>
  <c r="AK38" i="32"/>
  <c r="AJ38" i="32"/>
  <c r="AI38" i="32"/>
  <c r="AH38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H38" i="32"/>
  <c r="C38" i="32"/>
  <c r="AS37" i="32"/>
  <c r="AQ37" i="32"/>
  <c r="AN37" i="32"/>
  <c r="AO37" i="32" s="1"/>
  <c r="AT37" i="32" s="1"/>
  <c r="AM37" i="32"/>
  <c r="AL37" i="32"/>
  <c r="AK37" i="32"/>
  <c r="AJ37" i="32"/>
  <c r="AI37" i="32"/>
  <c r="AH37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AS36" i="32"/>
  <c r="AQ36" i="32"/>
  <c r="AN36" i="32"/>
  <c r="AM36" i="32"/>
  <c r="AL36" i="32"/>
  <c r="AK36" i="32"/>
  <c r="AJ36" i="32"/>
  <c r="AI36" i="32"/>
  <c r="AH36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AS35" i="32"/>
  <c r="AQ35" i="32"/>
  <c r="AN35" i="32"/>
  <c r="AM35" i="32"/>
  <c r="AL35" i="32"/>
  <c r="AK35" i="32"/>
  <c r="AJ35" i="32"/>
  <c r="AI35" i="32"/>
  <c r="AH35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AN34" i="32"/>
  <c r="AM34" i="32"/>
  <c r="AL34" i="32"/>
  <c r="AK34" i="32"/>
  <c r="AJ34" i="32"/>
  <c r="AI34" i="32"/>
  <c r="AH34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AS33" i="32"/>
  <c r="AQ33" i="32"/>
  <c r="AN33" i="32"/>
  <c r="AM33" i="32"/>
  <c r="AL33" i="32"/>
  <c r="AK33" i="32"/>
  <c r="AJ33" i="32"/>
  <c r="AI33" i="32"/>
  <c r="AH33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H33" i="32"/>
  <c r="G33" i="32"/>
  <c r="F33" i="32"/>
  <c r="E33" i="32"/>
  <c r="D33" i="32"/>
  <c r="C33" i="32"/>
  <c r="AS32" i="32"/>
  <c r="AQ32" i="32"/>
  <c r="AN32" i="32"/>
  <c r="AM32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H32" i="32"/>
  <c r="C32" i="32"/>
  <c r="AS31" i="32"/>
  <c r="AQ31" i="32"/>
  <c r="AN31" i="32"/>
  <c r="AO31" i="32" s="1"/>
  <c r="AM31" i="32"/>
  <c r="AL31" i="32"/>
  <c r="AK31" i="32"/>
  <c r="AJ31" i="32"/>
  <c r="AI31" i="32"/>
  <c r="AH31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H31" i="32"/>
  <c r="G31" i="32"/>
  <c r="F31" i="32"/>
  <c r="C31" i="32"/>
  <c r="AS30" i="32"/>
  <c r="AQ30" i="32"/>
  <c r="AN30" i="32"/>
  <c r="AM30" i="32"/>
  <c r="AL30" i="32"/>
  <c r="AK30" i="32"/>
  <c r="AJ30" i="32"/>
  <c r="AI30" i="32"/>
  <c r="AH30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H30" i="32"/>
  <c r="G30" i="32"/>
  <c r="F30" i="32"/>
  <c r="E30" i="32"/>
  <c r="D30" i="32"/>
  <c r="C30" i="32"/>
  <c r="AS29" i="32"/>
  <c r="AQ29" i="32"/>
  <c r="AN29" i="32"/>
  <c r="AM29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H29" i="32"/>
  <c r="G29" i="32"/>
  <c r="F29" i="32"/>
  <c r="E29" i="32"/>
  <c r="D29" i="32"/>
  <c r="C29" i="32"/>
  <c r="AN28" i="32"/>
  <c r="AM28" i="32"/>
  <c r="AL28" i="32"/>
  <c r="AK28" i="32"/>
  <c r="AJ28" i="32"/>
  <c r="AI28" i="32"/>
  <c r="AH28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H28" i="32"/>
  <c r="G28" i="32"/>
  <c r="F28" i="32"/>
  <c r="E28" i="32"/>
  <c r="D28" i="32"/>
  <c r="C28" i="32"/>
  <c r="AN27" i="32"/>
  <c r="AM27" i="32"/>
  <c r="AL27" i="32"/>
  <c r="AO27" i="32" s="1"/>
  <c r="AK27" i="32"/>
  <c r="AJ27" i="32"/>
  <c r="AI27" i="32"/>
  <c r="AH27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AN26" i="32"/>
  <c r="AM26" i="32"/>
  <c r="AL26" i="32"/>
  <c r="AK26" i="32"/>
  <c r="AJ26" i="32"/>
  <c r="AI26" i="32"/>
  <c r="AH26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AS25" i="32"/>
  <c r="AN25" i="32"/>
  <c r="AO25" i="32" s="1"/>
  <c r="AQ25" i="32" s="1"/>
  <c r="AM25" i="32"/>
  <c r="AL25" i="32"/>
  <c r="AK25" i="32"/>
  <c r="AJ25" i="32"/>
  <c r="AI25" i="32"/>
  <c r="AH25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AS24" i="32"/>
  <c r="AN24" i="32"/>
  <c r="AO24" i="32" s="1"/>
  <c r="AQ24" i="32" s="1"/>
  <c r="AM24" i="32"/>
  <c r="AL24" i="32"/>
  <c r="AK24" i="32"/>
  <c r="AJ24" i="32"/>
  <c r="AI24" i="32"/>
  <c r="AH24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AS23" i="32"/>
  <c r="AN23" i="32"/>
  <c r="AM23" i="32"/>
  <c r="AL23" i="32"/>
  <c r="AO23" i="32" s="1"/>
  <c r="AQ23" i="32" s="1"/>
  <c r="AT23" i="32" s="1"/>
  <c r="AU23" i="32" s="1"/>
  <c r="AK23" i="32"/>
  <c r="AJ23" i="32"/>
  <c r="AI23" i="32"/>
  <c r="AH23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H23" i="32"/>
  <c r="G23" i="32"/>
  <c r="F23" i="32"/>
  <c r="C23" i="32"/>
  <c r="AS22" i="32"/>
  <c r="AQ22" i="32"/>
  <c r="AN22" i="32"/>
  <c r="AM22" i="32"/>
  <c r="AL22" i="32"/>
  <c r="AK22" i="32"/>
  <c r="AJ22" i="32"/>
  <c r="AI22" i="32"/>
  <c r="AH22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H22" i="32"/>
  <c r="G22" i="32"/>
  <c r="F22" i="32"/>
  <c r="C22" i="32"/>
  <c r="AQ21" i="32"/>
  <c r="AN21" i="32"/>
  <c r="AM21" i="32"/>
  <c r="AL21" i="32"/>
  <c r="AK21" i="32"/>
  <c r="AJ21" i="32"/>
  <c r="AI21" i="32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H21" i="32"/>
  <c r="G21" i="32"/>
  <c r="F21" i="32"/>
  <c r="C21" i="32"/>
  <c r="AS20" i="32"/>
  <c r="AQ20" i="32"/>
  <c r="AN20" i="32"/>
  <c r="AO20" i="32" s="1"/>
  <c r="AM20" i="32"/>
  <c r="AL20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AQ19" i="32"/>
  <c r="AN19" i="32"/>
  <c r="AM19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AS18" i="32"/>
  <c r="AQ18" i="32"/>
  <c r="AN18" i="32"/>
  <c r="AM18" i="32"/>
  <c r="AL18" i="32"/>
  <c r="AO18" i="32" s="1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AS17" i="32"/>
  <c r="AQ17" i="32"/>
  <c r="AN17" i="32"/>
  <c r="AM17" i="32"/>
  <c r="AL17" i="32"/>
  <c r="AK17" i="32"/>
  <c r="AJ17" i="32"/>
  <c r="AI17" i="32"/>
  <c r="AH17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AS16" i="32"/>
  <c r="AQ16" i="32"/>
  <c r="AN16" i="32"/>
  <c r="AM16" i="32"/>
  <c r="AL16" i="32"/>
  <c r="AK16" i="32"/>
  <c r="AJ16" i="32"/>
  <c r="AI16" i="32"/>
  <c r="AH16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L16" i="32"/>
  <c r="K16" i="32"/>
  <c r="I16" i="32"/>
  <c r="H16" i="32"/>
  <c r="G16" i="32"/>
  <c r="F16" i="32"/>
  <c r="E16" i="32"/>
  <c r="D16" i="32"/>
  <c r="C16" i="32"/>
  <c r="AS15" i="32"/>
  <c r="AQ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H15" i="32"/>
  <c r="G15" i="32"/>
  <c r="F15" i="32"/>
  <c r="C15" i="32"/>
  <c r="AS14" i="32"/>
  <c r="AQ14" i="32"/>
  <c r="AN14" i="32"/>
  <c r="AM14" i="32"/>
  <c r="AL14" i="32"/>
  <c r="AK14" i="32"/>
  <c r="AJ14" i="32"/>
  <c r="AI14" i="32"/>
  <c r="AH14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I14" i="32"/>
  <c r="H14" i="32"/>
  <c r="G14" i="32"/>
  <c r="F14" i="32"/>
  <c r="E14" i="32"/>
  <c r="D14" i="32"/>
  <c r="C14" i="32"/>
  <c r="AS13" i="32"/>
  <c r="AN13" i="32"/>
  <c r="AM13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L13" i="32"/>
  <c r="K13" i="32"/>
  <c r="I13" i="32"/>
  <c r="H13" i="32"/>
  <c r="G13" i="32"/>
  <c r="F13" i="32"/>
  <c r="E13" i="32"/>
  <c r="D13" i="32"/>
  <c r="C13" i="32"/>
  <c r="AS12" i="32"/>
  <c r="AQ12" i="32"/>
  <c r="AN12" i="32"/>
  <c r="AM12" i="32"/>
  <c r="AL12" i="32"/>
  <c r="AK12" i="32"/>
  <c r="AJ12" i="32"/>
  <c r="AI12" i="32"/>
  <c r="AH12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AS11" i="32"/>
  <c r="AQ11" i="32"/>
  <c r="AN11" i="32"/>
  <c r="AM11" i="32"/>
  <c r="AL11" i="32"/>
  <c r="AK11" i="32"/>
  <c r="AJ11" i="32"/>
  <c r="AI11" i="32"/>
  <c r="AH11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AS10" i="32"/>
  <c r="AQ10" i="32"/>
  <c r="AN10" i="32"/>
  <c r="AO10" i="32" s="1"/>
  <c r="AM10" i="32"/>
  <c r="AL10" i="32"/>
  <c r="AK10" i="32"/>
  <c r="AJ10" i="32"/>
  <c r="AI10" i="32"/>
  <c r="AH10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AS9" i="32"/>
  <c r="AQ9" i="32"/>
  <c r="AN9" i="32"/>
  <c r="AM9" i="32"/>
  <c r="AL9" i="32"/>
  <c r="AK9" i="32"/>
  <c r="AJ9" i="32"/>
  <c r="AI9" i="32"/>
  <c r="AH9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AS8" i="32"/>
  <c r="AQ8" i="32"/>
  <c r="AN8" i="32"/>
  <c r="AM8" i="32"/>
  <c r="AL8" i="32"/>
  <c r="AK8" i="32"/>
  <c r="AJ8" i="32"/>
  <c r="AI8" i="32"/>
  <c r="AH8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M8" i="32"/>
  <c r="L8" i="32"/>
  <c r="K8" i="32"/>
  <c r="J8" i="32"/>
  <c r="I8" i="32"/>
  <c r="H8" i="32"/>
  <c r="G8" i="32"/>
  <c r="F8" i="32"/>
  <c r="E8" i="32"/>
  <c r="D8" i="32"/>
  <c r="C8" i="32"/>
  <c r="AS7" i="32"/>
  <c r="AQ7" i="32"/>
  <c r="AN7" i="32"/>
  <c r="AM7" i="32"/>
  <c r="AL7" i="32"/>
  <c r="AK7" i="32"/>
  <c r="AJ7" i="32"/>
  <c r="AI7" i="32"/>
  <c r="AH7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H7" i="32"/>
  <c r="G7" i="32"/>
  <c r="F7" i="32"/>
  <c r="C7" i="32"/>
  <c r="AS6" i="32"/>
  <c r="AQ6" i="32"/>
  <c r="AN6" i="32"/>
  <c r="AM6" i="32"/>
  <c r="AL6" i="32"/>
  <c r="AK6" i="32"/>
  <c r="AJ6" i="32"/>
  <c r="AI6" i="32"/>
  <c r="AH6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H6" i="32"/>
  <c r="G6" i="32"/>
  <c r="F6" i="32"/>
  <c r="E6" i="32"/>
  <c r="D6" i="32"/>
  <c r="C6" i="32"/>
  <c r="AS5" i="32"/>
  <c r="AN5" i="32"/>
  <c r="AM5" i="32"/>
  <c r="AL5" i="32"/>
  <c r="AK5" i="32"/>
  <c r="AJ5" i="32"/>
  <c r="AI5" i="32"/>
  <c r="AH5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M5" i="32"/>
  <c r="L5" i="32"/>
  <c r="K5" i="32"/>
  <c r="J5" i="32"/>
  <c r="I5" i="32"/>
  <c r="H5" i="32"/>
  <c r="G5" i="32"/>
  <c r="F5" i="32"/>
  <c r="E5" i="32"/>
  <c r="D5" i="32"/>
  <c r="C5" i="32"/>
  <c r="U40" i="24"/>
  <c r="B7" i="14"/>
  <c r="C7" i="14"/>
  <c r="D7" i="14"/>
  <c r="F7" i="14"/>
  <c r="I7" i="14" s="1"/>
  <c r="H7" i="14"/>
  <c r="B8" i="14"/>
  <c r="C8" i="14"/>
  <c r="D8" i="14"/>
  <c r="F8" i="14"/>
  <c r="H8" i="14"/>
  <c r="I8" i="14"/>
  <c r="B9" i="14"/>
  <c r="C9" i="14"/>
  <c r="D9" i="14"/>
  <c r="F9" i="14"/>
  <c r="H9" i="14"/>
  <c r="I9" i="14"/>
  <c r="B10" i="14"/>
  <c r="C10" i="14"/>
  <c r="D10" i="14"/>
  <c r="F10" i="14"/>
  <c r="H10" i="14"/>
  <c r="I10" i="14"/>
  <c r="B11" i="14"/>
  <c r="C11" i="14"/>
  <c r="D11" i="14"/>
  <c r="F11" i="14"/>
  <c r="H11" i="14"/>
  <c r="I11" i="14"/>
  <c r="B12" i="14"/>
  <c r="C12" i="14"/>
  <c r="D12" i="14"/>
  <c r="F12" i="14"/>
  <c r="H12" i="14"/>
  <c r="I12" i="14"/>
  <c r="B13" i="14"/>
  <c r="C13" i="14"/>
  <c r="D13" i="14"/>
  <c r="F13" i="14"/>
  <c r="H13" i="14"/>
  <c r="I13" i="14"/>
  <c r="B14" i="14"/>
  <c r="C14" i="14"/>
  <c r="D14" i="14"/>
  <c r="F14" i="14"/>
  <c r="H14" i="14"/>
  <c r="I14" i="14"/>
  <c r="B15" i="14"/>
  <c r="C15" i="14"/>
  <c r="D15" i="14"/>
  <c r="F15" i="14"/>
  <c r="I15" i="14" s="1"/>
  <c r="H15" i="14"/>
  <c r="B16" i="14"/>
  <c r="C16" i="14"/>
  <c r="D16" i="14"/>
  <c r="F16" i="14"/>
  <c r="I16" i="14" s="1"/>
  <c r="H16" i="14"/>
  <c r="B17" i="14"/>
  <c r="C17" i="14"/>
  <c r="D17" i="14"/>
  <c r="F17" i="14"/>
  <c r="H17" i="14"/>
  <c r="I17" i="14" s="1"/>
  <c r="B18" i="14"/>
  <c r="C18" i="14"/>
  <c r="D18" i="14"/>
  <c r="F18" i="14"/>
  <c r="H18" i="14"/>
  <c r="I18" i="14" s="1"/>
  <c r="H6" i="14"/>
  <c r="F6" i="14"/>
  <c r="D6" i="14"/>
  <c r="C6" i="14"/>
  <c r="B6" i="14"/>
  <c r="L11" i="14"/>
  <c r="M11" i="14" s="1"/>
  <c r="J11" i="14"/>
  <c r="K11" i="14" s="1"/>
  <c r="L12" i="14"/>
  <c r="M12" i="14" s="1"/>
  <c r="J12" i="14"/>
  <c r="K12" i="14" s="1"/>
  <c r="AT180" i="32" l="1"/>
  <c r="AU180" i="32" s="1"/>
  <c r="AO32" i="32"/>
  <c r="AT32" i="32" s="1"/>
  <c r="AO36" i="32"/>
  <c r="AO35" i="32"/>
  <c r="AT169" i="32"/>
  <c r="AU169" i="32" s="1"/>
  <c r="AO6" i="32"/>
  <c r="AT6" i="32" s="1"/>
  <c r="AO15" i="32"/>
  <c r="AT15" i="32" s="1"/>
  <c r="AO19" i="32"/>
  <c r="AS19" i="32" s="1"/>
  <c r="AT19" i="32" s="1"/>
  <c r="AU19" i="32" s="1"/>
  <c r="AS34" i="32"/>
  <c r="AO56" i="32"/>
  <c r="AO60" i="32"/>
  <c r="AO124" i="32"/>
  <c r="AT124" i="32" s="1"/>
  <c r="AU124" i="32" s="1"/>
  <c r="AO134" i="32"/>
  <c r="AT134" i="32" s="1"/>
  <c r="AU134" i="32" s="1"/>
  <c r="AO143" i="32"/>
  <c r="AO197" i="32"/>
  <c r="AO236" i="32"/>
  <c r="AT236" i="32" s="1"/>
  <c r="AU236" i="32" s="1"/>
  <c r="AO253" i="32"/>
  <c r="AO259" i="32"/>
  <c r="AT272" i="32"/>
  <c r="AU272" i="32" s="1"/>
  <c r="AO300" i="32"/>
  <c r="AT300" i="32" s="1"/>
  <c r="AU300" i="32" s="1"/>
  <c r="AO312" i="32"/>
  <c r="AT312" i="32" s="1"/>
  <c r="AU312" i="32" s="1"/>
  <c r="AT336" i="32"/>
  <c r="AU336" i="32" s="1"/>
  <c r="AQ220" i="32"/>
  <c r="AO252" i="32"/>
  <c r="AO28" i="32"/>
  <c r="N5" i="32" s="1"/>
  <c r="AO39" i="32"/>
  <c r="N7" i="32" s="1"/>
  <c r="AO53" i="32"/>
  <c r="AT53" i="32" s="1"/>
  <c r="AO55" i="32"/>
  <c r="AT55" i="32" s="1"/>
  <c r="AU55" i="32" s="1"/>
  <c r="AO57" i="32"/>
  <c r="AT57" i="32" s="1"/>
  <c r="AV57" i="32" s="1"/>
  <c r="AO59" i="32"/>
  <c r="AO61" i="32"/>
  <c r="AT61" i="32" s="1"/>
  <c r="AU61" i="32" s="1"/>
  <c r="AO68" i="32"/>
  <c r="AO90" i="32"/>
  <c r="N21" i="32" s="1"/>
  <c r="N23" i="32" s="1"/>
  <c r="AS94" i="32"/>
  <c r="AO95" i="32"/>
  <c r="AO129" i="32"/>
  <c r="AT129" i="32" s="1"/>
  <c r="AO142" i="32"/>
  <c r="AQ165" i="32"/>
  <c r="AQ181" i="32"/>
  <c r="AT189" i="32"/>
  <c r="AU189" i="32" s="1"/>
  <c r="AO233" i="32"/>
  <c r="AQ249" i="32"/>
  <c r="AO268" i="32"/>
  <c r="AT268" i="32" s="1"/>
  <c r="AU268" i="32" s="1"/>
  <c r="AQ307" i="32"/>
  <c r="AO332" i="32"/>
  <c r="AO338" i="32"/>
  <c r="AT10" i="32"/>
  <c r="AT25" i="32"/>
  <c r="AU25" i="32" s="1"/>
  <c r="AQ34" i="32"/>
  <c r="AO13" i="32"/>
  <c r="AQ13" i="32" s="1"/>
  <c r="AO16" i="32"/>
  <c r="AT16" i="32" s="1"/>
  <c r="AU16" i="32" s="1"/>
  <c r="AO21" i="32"/>
  <c r="AS21" i="32" s="1"/>
  <c r="AT21" i="32" s="1"/>
  <c r="AU21" i="32" s="1"/>
  <c r="AS39" i="32"/>
  <c r="AO40" i="32"/>
  <c r="AO52" i="32"/>
  <c r="AO65" i="32"/>
  <c r="AO89" i="32"/>
  <c r="AO114" i="32"/>
  <c r="AT114" i="32" s="1"/>
  <c r="AU114" i="32" s="1"/>
  <c r="AO120" i="32"/>
  <c r="AT120" i="32" s="1"/>
  <c r="AS165" i="32"/>
  <c r="AO174" i="32"/>
  <c r="AT223" i="32"/>
  <c r="AU223" i="32" s="1"/>
  <c r="AO243" i="32"/>
  <c r="AO263" i="32"/>
  <c r="AO266" i="32"/>
  <c r="AT266" i="32" s="1"/>
  <c r="AU266" i="32" s="1"/>
  <c r="AO289" i="32"/>
  <c r="AT289" i="32" s="1"/>
  <c r="AU289" i="32" s="1"/>
  <c r="AS299" i="32"/>
  <c r="AT299" i="32" s="1"/>
  <c r="AO299" i="32"/>
  <c r="N51" i="32" s="1"/>
  <c r="AO330" i="32"/>
  <c r="AT330" i="32" s="1"/>
  <c r="AU330" i="32" s="1"/>
  <c r="AO17" i="32"/>
  <c r="AT17" i="32" s="1"/>
  <c r="AT33" i="32"/>
  <c r="AU33" i="32" s="1"/>
  <c r="AT257" i="32"/>
  <c r="AU257" i="32" s="1"/>
  <c r="AO9" i="32"/>
  <c r="AT9" i="32" s="1"/>
  <c r="AU9" i="32" s="1"/>
  <c r="AO11" i="32"/>
  <c r="AT18" i="32"/>
  <c r="AU18" i="32" s="1"/>
  <c r="AO22" i="32"/>
  <c r="AT22" i="32" s="1"/>
  <c r="AU22" i="32" s="1"/>
  <c r="AO26" i="32"/>
  <c r="AO33" i="32"/>
  <c r="AT38" i="32"/>
  <c r="AU38" i="32" s="1"/>
  <c r="AS64" i="32"/>
  <c r="AO66" i="32"/>
  <c r="AO67" i="32"/>
  <c r="AO72" i="32"/>
  <c r="AQ72" i="32" s="1"/>
  <c r="AO106" i="32"/>
  <c r="AT106" i="32" s="1"/>
  <c r="AO147" i="32"/>
  <c r="AV190" i="32"/>
  <c r="AO177" i="32"/>
  <c r="AT177" i="32" s="1"/>
  <c r="AU177" i="32" s="1"/>
  <c r="AO193" i="32"/>
  <c r="AO201" i="32"/>
  <c r="AO209" i="32"/>
  <c r="AT209" i="32" s="1"/>
  <c r="AU209" i="32" s="1"/>
  <c r="AO229" i="32"/>
  <c r="AS249" i="32"/>
  <c r="AT249" i="32" s="1"/>
  <c r="AQ280" i="32"/>
  <c r="AO290" i="32"/>
  <c r="AO7" i="32"/>
  <c r="AO5" i="32"/>
  <c r="AQ5" i="32" s="1"/>
  <c r="AO29" i="32"/>
  <c r="AO30" i="32"/>
  <c r="AO34" i="32"/>
  <c r="N6" i="32" s="1"/>
  <c r="AO50" i="32"/>
  <c r="AT50" i="32" s="1"/>
  <c r="AO54" i="32"/>
  <c r="AT54" i="32" s="1"/>
  <c r="AO117" i="32"/>
  <c r="AT185" i="32"/>
  <c r="AU185" i="32" s="1"/>
  <c r="AO232" i="32"/>
  <c r="AT232" i="32" s="1"/>
  <c r="AU232" i="32" s="1"/>
  <c r="AO241" i="32"/>
  <c r="AT243" i="32"/>
  <c r="AU243" i="32" s="1"/>
  <c r="AO275" i="32"/>
  <c r="AS280" i="32"/>
  <c r="AS313" i="32"/>
  <c r="AO327" i="32"/>
  <c r="AO12" i="32"/>
  <c r="AO8" i="32"/>
  <c r="AT8" i="32" s="1"/>
  <c r="AO14" i="32"/>
  <c r="AT14" i="32" s="1"/>
  <c r="AU14" i="32" s="1"/>
  <c r="AT30" i="32"/>
  <c r="AV30" i="32" s="1"/>
  <c r="AO63" i="32"/>
  <c r="AT63" i="32" s="1"/>
  <c r="AO69" i="32"/>
  <c r="AT69" i="32" s="1"/>
  <c r="AU69" i="32" s="1"/>
  <c r="AO70" i="32"/>
  <c r="AS90" i="32"/>
  <c r="AT90" i="32" s="1"/>
  <c r="AO113" i="32"/>
  <c r="AT113" i="32" s="1"/>
  <c r="AU113" i="32" s="1"/>
  <c r="AQ128" i="32"/>
  <c r="AO138" i="32"/>
  <c r="AT138" i="32" s="1"/>
  <c r="AU138" i="32" s="1"/>
  <c r="AO162" i="32"/>
  <c r="AT162" i="32" s="1"/>
  <c r="AU162" i="32" s="1"/>
  <c r="AO170" i="32"/>
  <c r="AT173" i="32"/>
  <c r="AU173" i="32" s="1"/>
  <c r="AO180" i="32"/>
  <c r="AV259" i="32"/>
  <c r="AV281" i="32"/>
  <c r="AO281" i="32"/>
  <c r="AQ292" i="32"/>
  <c r="AO305" i="32"/>
  <c r="AT305" i="32" s="1"/>
  <c r="AU305" i="32" s="1"/>
  <c r="AV15" i="32"/>
  <c r="AU15" i="32"/>
  <c r="AT20" i="32"/>
  <c r="AT34" i="32"/>
  <c r="AT31" i="32"/>
  <c r="AV10" i="32"/>
  <c r="AU10" i="32"/>
  <c r="AV17" i="32"/>
  <c r="AU17" i="32"/>
  <c r="AT62" i="32"/>
  <c r="AU62" i="32" s="1"/>
  <c r="AQ68" i="32"/>
  <c r="AS68" i="32" s="1"/>
  <c r="AT68" i="32" s="1"/>
  <c r="AU68" i="32" s="1"/>
  <c r="AS95" i="32"/>
  <c r="AV32" i="32"/>
  <c r="AU32" i="32"/>
  <c r="AT24" i="32"/>
  <c r="AU24" i="32" s="1"/>
  <c r="AT35" i="32"/>
  <c r="AT59" i="32"/>
  <c r="AQ27" i="32"/>
  <c r="AS27" i="32" s="1"/>
  <c r="AT27" i="32" s="1"/>
  <c r="AU27" i="32" s="1"/>
  <c r="AV37" i="32"/>
  <c r="AU37" i="32"/>
  <c r="AQ26" i="32"/>
  <c r="AQ28" i="32" s="1"/>
  <c r="AQ67" i="32"/>
  <c r="AS67" i="32" s="1"/>
  <c r="AV88" i="32"/>
  <c r="AU88" i="32"/>
  <c r="AU92" i="32"/>
  <c r="AV92" i="32"/>
  <c r="AV91" i="32"/>
  <c r="AU91" i="32"/>
  <c r="AT13" i="32"/>
  <c r="AU13" i="32" s="1"/>
  <c r="AV18" i="32"/>
  <c r="AT5" i="32"/>
  <c r="AT12" i="32"/>
  <c r="AT52" i="32"/>
  <c r="AV54" i="32"/>
  <c r="AU54" i="32"/>
  <c r="AT56" i="32"/>
  <c r="AT60" i="32"/>
  <c r="AT66" i="32"/>
  <c r="AT7" i="32"/>
  <c r="AV8" i="32"/>
  <c r="AU8" i="32"/>
  <c r="AT11" i="32"/>
  <c r="AQ70" i="32"/>
  <c r="AS70" i="32"/>
  <c r="AT70" i="32" s="1"/>
  <c r="AU70" i="32" s="1"/>
  <c r="AT29" i="32"/>
  <c r="AT36" i="32"/>
  <c r="AT65" i="32"/>
  <c r="AU65" i="32" s="1"/>
  <c r="AO73" i="32"/>
  <c r="AQ94" i="32"/>
  <c r="AQ95" i="32" s="1"/>
  <c r="AO112" i="32"/>
  <c r="AT112" i="32" s="1"/>
  <c r="AU112" i="32" s="1"/>
  <c r="AO125" i="32"/>
  <c r="AT125" i="32" s="1"/>
  <c r="AU125" i="32" s="1"/>
  <c r="AT131" i="32"/>
  <c r="AT142" i="32"/>
  <c r="AU142" i="32" s="1"/>
  <c r="AO200" i="32"/>
  <c r="AT200" i="32" s="1"/>
  <c r="AU200" i="32" s="1"/>
  <c r="AO208" i="32"/>
  <c r="AO234" i="32"/>
  <c r="AO283" i="32"/>
  <c r="AT143" i="32"/>
  <c r="AU143" i="32" s="1"/>
  <c r="AT51" i="32"/>
  <c r="AT89" i="32"/>
  <c r="AU89" i="32" s="1"/>
  <c r="AO116" i="32"/>
  <c r="AT116" i="32" s="1"/>
  <c r="AU116" i="32" s="1"/>
  <c r="AO121" i="32"/>
  <c r="AO133" i="32"/>
  <c r="N31" i="32" s="1"/>
  <c r="AO136" i="32"/>
  <c r="AT136" i="32" s="1"/>
  <c r="AU136" i="32" s="1"/>
  <c r="AO160" i="32"/>
  <c r="AT160" i="32" s="1"/>
  <c r="AU160" i="32" s="1"/>
  <c r="AT161" i="32"/>
  <c r="AU161" i="32" s="1"/>
  <c r="AO188" i="32"/>
  <c r="AO231" i="32"/>
  <c r="AT332" i="32"/>
  <c r="AU332" i="32" s="1"/>
  <c r="AT188" i="32"/>
  <c r="AU188" i="32" s="1"/>
  <c r="AT286" i="32"/>
  <c r="AU286" i="32" s="1"/>
  <c r="AQ64" i="32"/>
  <c r="AT64" i="32" s="1"/>
  <c r="AO74" i="32"/>
  <c r="AQ74" i="32" s="1"/>
  <c r="AT74" i="32" s="1"/>
  <c r="AO109" i="32"/>
  <c r="N28" i="32" s="1"/>
  <c r="AO111" i="32"/>
  <c r="AT122" i="32"/>
  <c r="AU122" i="32" s="1"/>
  <c r="AO182" i="32"/>
  <c r="AT182" i="32" s="1"/>
  <c r="AU182" i="32" s="1"/>
  <c r="AO198" i="32"/>
  <c r="AT198" i="32" s="1"/>
  <c r="AU198" i="32" s="1"/>
  <c r="AS199" i="32"/>
  <c r="AO216" i="32"/>
  <c r="AT216" i="32" s="1"/>
  <c r="AU216" i="32" s="1"/>
  <c r="AO245" i="32"/>
  <c r="AT245" i="32"/>
  <c r="AU245" i="32" s="1"/>
  <c r="AV314" i="32"/>
  <c r="AO119" i="32"/>
  <c r="AT119" i="32" s="1"/>
  <c r="AO115" i="32"/>
  <c r="N29" i="32" s="1"/>
  <c r="AT118" i="32"/>
  <c r="AT121" i="32"/>
  <c r="AU121" i="32" s="1"/>
  <c r="AO127" i="32"/>
  <c r="AT127" i="32" s="1"/>
  <c r="AU127" i="32" s="1"/>
  <c r="AQ146" i="32"/>
  <c r="AT135" i="32"/>
  <c r="AU135" i="32" s="1"/>
  <c r="AO139" i="32"/>
  <c r="AT139" i="32" s="1"/>
  <c r="AU139" i="32" s="1"/>
  <c r="AO146" i="32"/>
  <c r="N32" i="32" s="1"/>
  <c r="AO166" i="32"/>
  <c r="AT166" i="32" s="1"/>
  <c r="AU166" i="32" s="1"/>
  <c r="AT167" i="32"/>
  <c r="AU167" i="32" s="1"/>
  <c r="AO205" i="32"/>
  <c r="AQ39" i="32"/>
  <c r="AT39" i="32" s="1"/>
  <c r="AO75" i="32"/>
  <c r="AT75" i="32" s="1"/>
  <c r="AU75" i="32" s="1"/>
  <c r="AO105" i="32"/>
  <c r="AO108" i="32"/>
  <c r="AQ115" i="32"/>
  <c r="AT111" i="32"/>
  <c r="AU111" i="32" s="1"/>
  <c r="AS128" i="32"/>
  <c r="AT128" i="32" s="1"/>
  <c r="AT117" i="32"/>
  <c r="AU117" i="32" s="1"/>
  <c r="AO123" i="32"/>
  <c r="AT123" i="32" s="1"/>
  <c r="AU123" i="32" s="1"/>
  <c r="AO130" i="32"/>
  <c r="AQ130" i="32" s="1"/>
  <c r="AQ133" i="32" s="1"/>
  <c r="AS146" i="32"/>
  <c r="AT158" i="32"/>
  <c r="AU158" i="32" s="1"/>
  <c r="AO163" i="32"/>
  <c r="AO187" i="32"/>
  <c r="AT187" i="32" s="1"/>
  <c r="AU187" i="32" s="1"/>
  <c r="AO204" i="32"/>
  <c r="AT204" i="32" s="1"/>
  <c r="AU204" i="32" s="1"/>
  <c r="M79" i="32"/>
  <c r="AO71" i="32"/>
  <c r="N14" i="32" s="1"/>
  <c r="N16" i="32" s="1"/>
  <c r="AO87" i="32"/>
  <c r="AT87" i="32" s="1"/>
  <c r="AO93" i="32"/>
  <c r="AT93" i="32" s="1"/>
  <c r="AU93" i="32" s="1"/>
  <c r="AO107" i="32"/>
  <c r="AT107" i="32" s="1"/>
  <c r="AO126" i="32"/>
  <c r="AT126" i="32" s="1"/>
  <c r="AU126" i="32" s="1"/>
  <c r="AO132" i="32"/>
  <c r="AQ132" i="32" s="1"/>
  <c r="AT132" i="32" s="1"/>
  <c r="AU132" i="32" s="1"/>
  <c r="AS181" i="32"/>
  <c r="AT178" i="32"/>
  <c r="AU178" i="32" s="1"/>
  <c r="AO186" i="32"/>
  <c r="AT193" i="32"/>
  <c r="AU193" i="32" s="1"/>
  <c r="AT196" i="32"/>
  <c r="AU196" i="32" s="1"/>
  <c r="AO227" i="32"/>
  <c r="AT227" i="32" s="1"/>
  <c r="AU227" i="32" s="1"/>
  <c r="AO258" i="32"/>
  <c r="N46" i="32" s="1"/>
  <c r="AO144" i="32"/>
  <c r="AT144" i="32" s="1"/>
  <c r="AU144" i="32" s="1"/>
  <c r="AT159" i="32"/>
  <c r="AU159" i="32" s="1"/>
  <c r="AO165" i="32"/>
  <c r="N38" i="32" s="1"/>
  <c r="AO171" i="32"/>
  <c r="AT171" i="32" s="1"/>
  <c r="AU171" i="32" s="1"/>
  <c r="AO172" i="32"/>
  <c r="AT172" i="32" s="1"/>
  <c r="AU172" i="32" s="1"/>
  <c r="AO176" i="32"/>
  <c r="AT176" i="32" s="1"/>
  <c r="AU176" i="32" s="1"/>
  <c r="AO191" i="32"/>
  <c r="AT191" i="32" s="1"/>
  <c r="AU191" i="32" s="1"/>
  <c r="AT219" i="32"/>
  <c r="AU219" i="32" s="1"/>
  <c r="AO222" i="32"/>
  <c r="AT222" i="32" s="1"/>
  <c r="AU222" i="32" s="1"/>
  <c r="AO225" i="32"/>
  <c r="N43" i="32" s="1"/>
  <c r="AO228" i="32"/>
  <c r="AT228" i="32" s="1"/>
  <c r="AU228" i="32" s="1"/>
  <c r="AT241" i="32"/>
  <c r="AU241" i="32" s="1"/>
  <c r="AO254" i="32"/>
  <c r="AT254" i="32" s="1"/>
  <c r="AU254" i="32" s="1"/>
  <c r="AQ274" i="32"/>
  <c r="AT263" i="32"/>
  <c r="AU263" i="32" s="1"/>
  <c r="AT264" i="32"/>
  <c r="AU264" i="32" s="1"/>
  <c r="AQ288" i="32"/>
  <c r="AT283" i="32"/>
  <c r="AU283" i="32" s="1"/>
  <c r="AO291" i="32"/>
  <c r="AT291" i="32" s="1"/>
  <c r="AU291" i="32" s="1"/>
  <c r="AO295" i="32"/>
  <c r="AT295" i="32" s="1"/>
  <c r="AU295" i="32" s="1"/>
  <c r="AO296" i="32"/>
  <c r="AT296" i="32" s="1"/>
  <c r="AU296" i="32" s="1"/>
  <c r="AO298" i="32"/>
  <c r="AT298" i="32" s="1"/>
  <c r="AU298" i="32" s="1"/>
  <c r="AS307" i="32"/>
  <c r="AT301" i="32"/>
  <c r="AU301" i="32" s="1"/>
  <c r="AO311" i="32"/>
  <c r="AT311" i="32" s="1"/>
  <c r="AU311" i="32" s="1"/>
  <c r="AO314" i="32"/>
  <c r="AS337" i="32"/>
  <c r="AT327" i="32"/>
  <c r="AU327" i="32" s="1"/>
  <c r="AT328" i="32"/>
  <c r="AU328" i="32" s="1"/>
  <c r="AT110" i="32"/>
  <c r="AU110" i="32" s="1"/>
  <c r="AO137" i="32"/>
  <c r="AT137" i="32" s="1"/>
  <c r="AU137" i="32" s="1"/>
  <c r="AO145" i="32"/>
  <c r="AT145" i="32" s="1"/>
  <c r="AU145" i="32" s="1"/>
  <c r="AO164" i="32"/>
  <c r="AT164" i="32" s="1"/>
  <c r="AU164" i="32" s="1"/>
  <c r="AT197" i="32"/>
  <c r="AU197" i="32" s="1"/>
  <c r="AT201" i="32"/>
  <c r="AU201" i="32" s="1"/>
  <c r="AT205" i="32"/>
  <c r="AU205" i="32" s="1"/>
  <c r="AT212" i="32"/>
  <c r="AU212" i="32" s="1"/>
  <c r="AO221" i="32"/>
  <c r="AT221" i="32" s="1"/>
  <c r="AU221" i="32" s="1"/>
  <c r="AO224" i="32"/>
  <c r="AT231" i="32"/>
  <c r="AU231" i="32" s="1"/>
  <c r="AT238" i="32"/>
  <c r="AU238" i="32" s="1"/>
  <c r="AO248" i="32"/>
  <c r="AT248" i="32" s="1"/>
  <c r="AU248" i="32" s="1"/>
  <c r="AO250" i="32"/>
  <c r="AT250" i="32" s="1"/>
  <c r="AU250" i="32" s="1"/>
  <c r="AO255" i="32"/>
  <c r="AT255" i="32" s="1"/>
  <c r="AU255" i="32" s="1"/>
  <c r="AS274" i="32"/>
  <c r="AO273" i="32"/>
  <c r="AO277" i="32"/>
  <c r="AT277" i="32" s="1"/>
  <c r="AU277" i="32" s="1"/>
  <c r="AO280" i="32"/>
  <c r="N48" i="32" s="1"/>
  <c r="AS288" i="32"/>
  <c r="AT288" i="32" s="1"/>
  <c r="AO292" i="32"/>
  <c r="N50" i="32" s="1"/>
  <c r="AO294" i="32"/>
  <c r="AO337" i="32"/>
  <c r="N59" i="32" s="1"/>
  <c r="N60" i="32" s="1"/>
  <c r="AO175" i="32"/>
  <c r="AT175" i="32" s="1"/>
  <c r="AU175" i="32" s="1"/>
  <c r="AO195" i="32"/>
  <c r="AT195" i="32" s="1"/>
  <c r="AU195" i="32" s="1"/>
  <c r="AT208" i="32"/>
  <c r="AU208" i="32" s="1"/>
  <c r="AO215" i="32"/>
  <c r="N41" i="32" s="1"/>
  <c r="AQ242" i="32"/>
  <c r="AT233" i="32"/>
  <c r="AU233" i="32" s="1"/>
  <c r="AT234" i="32"/>
  <c r="AU234" i="32" s="1"/>
  <c r="AO244" i="32"/>
  <c r="AT244" i="32" s="1"/>
  <c r="AU244" i="32" s="1"/>
  <c r="AO251" i="32"/>
  <c r="AT251" i="32" s="1"/>
  <c r="AU251" i="32" s="1"/>
  <c r="AO256" i="32"/>
  <c r="AT256" i="32" s="1"/>
  <c r="AU256" i="32" s="1"/>
  <c r="AO269" i="32"/>
  <c r="AT269" i="32" s="1"/>
  <c r="AU269" i="32" s="1"/>
  <c r="AO271" i="32"/>
  <c r="AT271" i="32" s="1"/>
  <c r="AU271" i="32" s="1"/>
  <c r="AO274" i="32"/>
  <c r="N47" i="32" s="1"/>
  <c r="AO276" i="32"/>
  <c r="AT276" i="32" s="1"/>
  <c r="AU276" i="32" s="1"/>
  <c r="AT297" i="32"/>
  <c r="AU297" i="32" s="1"/>
  <c r="AO306" i="32"/>
  <c r="AO310" i="32"/>
  <c r="AT310" i="32" s="1"/>
  <c r="AU310" i="32" s="1"/>
  <c r="AO313" i="32"/>
  <c r="N53" i="32" s="1"/>
  <c r="AO333" i="32"/>
  <c r="AT333" i="32" s="1"/>
  <c r="AU333" i="32" s="1"/>
  <c r="AT170" i="32"/>
  <c r="AU170" i="32" s="1"/>
  <c r="AQ199" i="32"/>
  <c r="AQ226" i="32" s="1"/>
  <c r="AO203" i="32"/>
  <c r="AT203" i="32" s="1"/>
  <c r="AU203" i="32" s="1"/>
  <c r="AO207" i="32"/>
  <c r="AT207" i="32" s="1"/>
  <c r="AU207" i="32" s="1"/>
  <c r="AO211" i="32"/>
  <c r="AT211" i="32" s="1"/>
  <c r="AU211" i="32" s="1"/>
  <c r="AO218" i="32"/>
  <c r="AT218" i="32" s="1"/>
  <c r="AU218" i="32" s="1"/>
  <c r="AS242" i="32"/>
  <c r="AT242" i="32" s="1"/>
  <c r="AT229" i="32"/>
  <c r="AU229" i="32" s="1"/>
  <c r="AT230" i="32"/>
  <c r="AU230" i="32" s="1"/>
  <c r="AO247" i="32"/>
  <c r="AT247" i="32" s="1"/>
  <c r="AU247" i="32" s="1"/>
  <c r="AO265" i="32"/>
  <c r="AT265" i="32" s="1"/>
  <c r="AU265" i="32" s="1"/>
  <c r="AO267" i="32"/>
  <c r="AT267" i="32" s="1"/>
  <c r="AU267" i="32" s="1"/>
  <c r="AO270" i="32"/>
  <c r="AT270" i="32" s="1"/>
  <c r="AU270" i="32" s="1"/>
  <c r="AT279" i="32"/>
  <c r="AU279" i="32" s="1"/>
  <c r="AQ299" i="32"/>
  <c r="AT293" i="32"/>
  <c r="AU293" i="32" s="1"/>
  <c r="AT294" i="32"/>
  <c r="AU294" i="32" s="1"/>
  <c r="AO302" i="32"/>
  <c r="AT302" i="32" s="1"/>
  <c r="AU302" i="32" s="1"/>
  <c r="AO307" i="32"/>
  <c r="N52" i="32" s="1"/>
  <c r="AO309" i="32"/>
  <c r="AT309" i="32" s="1"/>
  <c r="AU309" i="32" s="1"/>
  <c r="AO329" i="32"/>
  <c r="AT329" i="32" s="1"/>
  <c r="AU329" i="32" s="1"/>
  <c r="AO334" i="32"/>
  <c r="AT334" i="32" s="1"/>
  <c r="AU334" i="32" s="1"/>
  <c r="AS133" i="32"/>
  <c r="AO140" i="32"/>
  <c r="AT140" i="32" s="1"/>
  <c r="AU140" i="32" s="1"/>
  <c r="AO157" i="32"/>
  <c r="AT157" i="32" s="1"/>
  <c r="AU157" i="32" s="1"/>
  <c r="AU165" i="32" s="1"/>
  <c r="AT163" i="32"/>
  <c r="AU163" i="32" s="1"/>
  <c r="AO179" i="32"/>
  <c r="AT179" i="32" s="1"/>
  <c r="AU179" i="32" s="1"/>
  <c r="AO184" i="32"/>
  <c r="AT184" i="32" s="1"/>
  <c r="AU184" i="32" s="1"/>
  <c r="AT186" i="32"/>
  <c r="AU186" i="32" s="1"/>
  <c r="AO194" i="32"/>
  <c r="AT194" i="32" s="1"/>
  <c r="AU194" i="32" s="1"/>
  <c r="AO199" i="32"/>
  <c r="N40" i="32" s="1"/>
  <c r="AO202" i="32"/>
  <c r="AT202" i="32" s="1"/>
  <c r="AU202" i="32" s="1"/>
  <c r="AO206" i="32"/>
  <c r="AT206" i="32" s="1"/>
  <c r="AU206" i="32" s="1"/>
  <c r="AO210" i="32"/>
  <c r="AT210" i="32" s="1"/>
  <c r="AU210" i="32" s="1"/>
  <c r="AO213" i="32"/>
  <c r="AT213" i="32" s="1"/>
  <c r="AU213" i="32" s="1"/>
  <c r="AO239" i="32"/>
  <c r="AT239" i="32" s="1"/>
  <c r="AU239" i="32" s="1"/>
  <c r="AO246" i="32"/>
  <c r="AT246" i="32" s="1"/>
  <c r="AU246" i="32" s="1"/>
  <c r="AO261" i="32"/>
  <c r="AT261" i="32" s="1"/>
  <c r="AU261" i="32" s="1"/>
  <c r="AQ281" i="32"/>
  <c r="AO325" i="32"/>
  <c r="AT325" i="32" s="1"/>
  <c r="AU325" i="32" s="1"/>
  <c r="AO335" i="32"/>
  <c r="AT335" i="32" s="1"/>
  <c r="AU335" i="32" s="1"/>
  <c r="AO141" i="32"/>
  <c r="AT141" i="32" s="1"/>
  <c r="AU141" i="32" s="1"/>
  <c r="AO168" i="32"/>
  <c r="AT168" i="32" s="1"/>
  <c r="AU168" i="32" s="1"/>
  <c r="AT174" i="32"/>
  <c r="AU174" i="32" s="1"/>
  <c r="AO183" i="32"/>
  <c r="AT183" i="32" s="1"/>
  <c r="AU183" i="32" s="1"/>
  <c r="AO214" i="32"/>
  <c r="AT214" i="32" s="1"/>
  <c r="AU214" i="32" s="1"/>
  <c r="AO217" i="32"/>
  <c r="AT217" i="32" s="1"/>
  <c r="AU217" i="32" s="1"/>
  <c r="AO220" i="32"/>
  <c r="N42" i="32" s="1"/>
  <c r="AS225" i="32"/>
  <c r="AT224" i="32"/>
  <c r="AU224" i="32" s="1"/>
  <c r="AV226" i="32"/>
  <c r="AO235" i="32"/>
  <c r="AT235" i="32" s="1"/>
  <c r="AU235" i="32" s="1"/>
  <c r="AO237" i="32"/>
  <c r="AT237" i="32" s="1"/>
  <c r="AU237" i="32" s="1"/>
  <c r="AO240" i="32"/>
  <c r="AT240" i="32" s="1"/>
  <c r="AU240" i="32" s="1"/>
  <c r="AS258" i="32"/>
  <c r="AT252" i="32"/>
  <c r="AU252" i="32" s="1"/>
  <c r="AT253" i="32"/>
  <c r="AU253" i="32" s="1"/>
  <c r="AO262" i="32"/>
  <c r="AT262" i="32" s="1"/>
  <c r="AU262" i="32" s="1"/>
  <c r="AT273" i="32"/>
  <c r="AU273" i="32" s="1"/>
  <c r="AS281" i="32"/>
  <c r="AT281" i="32" s="1"/>
  <c r="AO284" i="32"/>
  <c r="AT284" i="32" s="1"/>
  <c r="AU284" i="32" s="1"/>
  <c r="AO285" i="32"/>
  <c r="AT285" i="32" s="1"/>
  <c r="AU285" i="32" s="1"/>
  <c r="AO287" i="32"/>
  <c r="AT287" i="32" s="1"/>
  <c r="AU287" i="32" s="1"/>
  <c r="AS292" i="32"/>
  <c r="AT290" i="32"/>
  <c r="AU290" i="32" s="1"/>
  <c r="AO304" i="32"/>
  <c r="AT304" i="32" s="1"/>
  <c r="AU304" i="32" s="1"/>
  <c r="AT306" i="32"/>
  <c r="AU306" i="32" s="1"/>
  <c r="AQ313" i="32"/>
  <c r="AO326" i="32"/>
  <c r="AT326" i="32" s="1"/>
  <c r="AU326" i="32" s="1"/>
  <c r="AO331" i="32"/>
  <c r="AT331" i="32" s="1"/>
  <c r="AU331" i="32" s="1"/>
  <c r="AT275" i="32"/>
  <c r="AU275" i="32" s="1"/>
  <c r="AT282" i="32"/>
  <c r="AU282" i="32" s="1"/>
  <c r="AT308" i="32"/>
  <c r="AU308" i="32" s="1"/>
  <c r="AS220" i="32"/>
  <c r="AQ258" i="32"/>
  <c r="AQ259" i="32" s="1"/>
  <c r="AT260" i="32"/>
  <c r="AU260" i="32" s="1"/>
  <c r="AQ337" i="32"/>
  <c r="AQ338" i="32" s="1"/>
  <c r="N11" i="14"/>
  <c r="N12" i="14"/>
  <c r="AU63" i="32" l="1"/>
  <c r="AV63" i="32"/>
  <c r="AS72" i="32"/>
  <c r="AV16" i="32"/>
  <c r="AQ71" i="32"/>
  <c r="AU57" i="32"/>
  <c r="AT274" i="32"/>
  <c r="AU30" i="32"/>
  <c r="AV9" i="32"/>
  <c r="AV19" i="32"/>
  <c r="N8" i="32"/>
  <c r="AU115" i="32"/>
  <c r="AT307" i="32"/>
  <c r="AQ190" i="32"/>
  <c r="AQ314" i="32"/>
  <c r="AQ315" i="32" s="1"/>
  <c r="AU258" i="32"/>
  <c r="AT215" i="32"/>
  <c r="AV14" i="32"/>
  <c r="AT280" i="32"/>
  <c r="AT67" i="32"/>
  <c r="AS71" i="32"/>
  <c r="AT71" i="32" s="1"/>
  <c r="AV119" i="32"/>
  <c r="AU119" i="32"/>
  <c r="AU249" i="32"/>
  <c r="AU220" i="32"/>
  <c r="AU215" i="32"/>
  <c r="AU288" i="32"/>
  <c r="AS190" i="32"/>
  <c r="AT181" i="32"/>
  <c r="N54" i="32"/>
  <c r="L63" i="32" s="1"/>
  <c r="AU313" i="32"/>
  <c r="AU307" i="32"/>
  <c r="AU87" i="32"/>
  <c r="AU90" i="32" s="1"/>
  <c r="AV87" i="32"/>
  <c r="AV90" i="32" s="1"/>
  <c r="AV118" i="32"/>
  <c r="AU118" i="32"/>
  <c r="AV315" i="32"/>
  <c r="AT130" i="32"/>
  <c r="AV52" i="32"/>
  <c r="AU52" i="32"/>
  <c r="AV94" i="32"/>
  <c r="AV59" i="32"/>
  <c r="AU59" i="32"/>
  <c r="AU280" i="32"/>
  <c r="AU181" i="32"/>
  <c r="AU190" i="32" s="1"/>
  <c r="AU146" i="32"/>
  <c r="AV66" i="32"/>
  <c r="AU66" i="32"/>
  <c r="AU5" i="32"/>
  <c r="AV5" i="32"/>
  <c r="AS26" i="32"/>
  <c r="AU292" i="32"/>
  <c r="AT146" i="32"/>
  <c r="AV51" i="32"/>
  <c r="AU51" i="32"/>
  <c r="AS73" i="32"/>
  <c r="AT73" i="32" s="1"/>
  <c r="AQ73" i="32"/>
  <c r="AQ76" i="32" s="1"/>
  <c r="AV60" i="32"/>
  <c r="AU60" i="32"/>
  <c r="AU6" i="32"/>
  <c r="AV6" i="32"/>
  <c r="AV35" i="32"/>
  <c r="AV39" i="32" s="1"/>
  <c r="AU35" i="32"/>
  <c r="AU39" i="32" s="1"/>
  <c r="AT94" i="32"/>
  <c r="AV20" i="32"/>
  <c r="AU20" i="32"/>
  <c r="AV106" i="32"/>
  <c r="AU106" i="32"/>
  <c r="AT292" i="32"/>
  <c r="AT337" i="32"/>
  <c r="AS338" i="32"/>
  <c r="AT338" i="32" s="1"/>
  <c r="AS108" i="32"/>
  <c r="AT108" i="32" s="1"/>
  <c r="AU108" i="32" s="1"/>
  <c r="AQ108" i="32"/>
  <c r="AU7" i="32"/>
  <c r="AV7" i="32"/>
  <c r="AV56" i="32"/>
  <c r="AU56" i="32"/>
  <c r="AT95" i="32"/>
  <c r="AU242" i="32"/>
  <c r="AU11" i="32"/>
  <c r="AV11" i="32"/>
  <c r="AU274" i="32"/>
  <c r="AS226" i="32"/>
  <c r="AT226" i="32" s="1"/>
  <c r="AT225" i="32"/>
  <c r="AU337" i="32"/>
  <c r="AU338" i="32" s="1"/>
  <c r="AT115" i="32"/>
  <c r="AQ105" i="32"/>
  <c r="AQ109" i="32" s="1"/>
  <c r="AQ147" i="32" s="1"/>
  <c r="AT258" i="32"/>
  <c r="AS259" i="32"/>
  <c r="AT259" i="32" s="1"/>
  <c r="AU299" i="32"/>
  <c r="AU225" i="32"/>
  <c r="AV120" i="32"/>
  <c r="AU120" i="32"/>
  <c r="AU128" i="32"/>
  <c r="AT313" i="32"/>
  <c r="AT199" i="32"/>
  <c r="N33" i="32"/>
  <c r="AV29" i="32"/>
  <c r="AV34" i="32" s="1"/>
  <c r="AU29" i="32"/>
  <c r="AV12" i="32"/>
  <c r="AU12" i="32"/>
  <c r="AU199" i="32"/>
  <c r="AT72" i="32"/>
  <c r="AV131" i="32"/>
  <c r="AU131" i="32"/>
  <c r="AV36" i="32"/>
  <c r="AU36" i="32"/>
  <c r="AT220" i="32"/>
  <c r="AT133" i="32"/>
  <c r="AQ40" i="32"/>
  <c r="AT165" i="32"/>
  <c r="AS314" i="32"/>
  <c r="AU74" i="32"/>
  <c r="AV74" i="32"/>
  <c r="AV53" i="32"/>
  <c r="AU53" i="32"/>
  <c r="AU94" i="32"/>
  <c r="E32" i="13"/>
  <c r="D32" i="13"/>
  <c r="E13" i="13"/>
  <c r="D13" i="13"/>
  <c r="AT190" i="32" l="1"/>
  <c r="AU34" i="32"/>
  <c r="AV28" i="32"/>
  <c r="AV95" i="32"/>
  <c r="AQ77" i="32"/>
  <c r="AU95" i="32"/>
  <c r="L65" i="32"/>
  <c r="N79" i="32"/>
  <c r="AU73" i="32"/>
  <c r="AV73" i="32"/>
  <c r="AU28" i="32"/>
  <c r="AU40" i="32" s="1"/>
  <c r="AV40" i="32"/>
  <c r="AS315" i="32"/>
  <c r="AT315" i="32" s="1"/>
  <c r="AT314" i="32"/>
  <c r="AU64" i="32"/>
  <c r="AV64" i="32"/>
  <c r="AU226" i="32"/>
  <c r="AU259" i="32"/>
  <c r="AU314" i="32"/>
  <c r="AV130" i="32"/>
  <c r="AV133" i="32" s="1"/>
  <c r="AU130" i="32"/>
  <c r="AU133" i="32" s="1"/>
  <c r="AU72" i="32"/>
  <c r="AV72" i="32"/>
  <c r="AV76" i="32" s="1"/>
  <c r="AS76" i="32"/>
  <c r="AS105" i="32"/>
  <c r="AT26" i="32"/>
  <c r="AU26" i="32" s="1"/>
  <c r="AS28" i="32"/>
  <c r="AU281" i="32"/>
  <c r="AU67" i="32"/>
  <c r="AU71" i="32" s="1"/>
  <c r="AV67" i="32"/>
  <c r="AV71" i="32" s="1"/>
  <c r="F32" i="13"/>
  <c r="G12" i="14" s="1"/>
  <c r="F13" i="13"/>
  <c r="E12" i="14" s="1"/>
  <c r="AU76" i="32" l="1"/>
  <c r="AS109" i="32"/>
  <c r="AT105" i="32"/>
  <c r="AT76" i="32"/>
  <c r="AS77" i="32"/>
  <c r="AT77" i="32" s="1"/>
  <c r="AV77" i="32"/>
  <c r="AU77" i="32"/>
  <c r="AT28" i="32"/>
  <c r="AS40" i="32"/>
  <c r="AT40" i="32" s="1"/>
  <c r="AU315" i="32"/>
  <c r="D15" i="16"/>
  <c r="E14" i="31"/>
  <c r="E100" i="12"/>
  <c r="E92" i="12"/>
  <c r="E82" i="12"/>
  <c r="E74" i="12"/>
  <c r="E66" i="12"/>
  <c r="E56" i="12"/>
  <c r="E36" i="12"/>
  <c r="E20" i="12"/>
  <c r="E84" i="11"/>
  <c r="E76" i="11"/>
  <c r="E62" i="11"/>
  <c r="E41" i="11"/>
  <c r="E16" i="11"/>
  <c r="E30" i="25"/>
  <c r="E16" i="25"/>
  <c r="N10" i="25"/>
  <c r="E64" i="18"/>
  <c r="E55" i="18"/>
  <c r="E36" i="18"/>
  <c r="N10" i="18"/>
  <c r="E111" i="5"/>
  <c r="E93" i="5"/>
  <c r="E75" i="5"/>
  <c r="AV105" i="32" l="1"/>
  <c r="AV109" i="32" s="1"/>
  <c r="AV147" i="32" s="1"/>
  <c r="AU105" i="32"/>
  <c r="AU109" i="32" s="1"/>
  <c r="AU147" i="32" s="1"/>
  <c r="AT109" i="32"/>
  <c r="AS147" i="32"/>
  <c r="AT147" i="32" s="1"/>
  <c r="AT342" i="32" s="1"/>
  <c r="AT346" i="32" s="1"/>
  <c r="AQ21" i="24"/>
  <c r="AS248" i="24"/>
  <c r="AQ248" i="24"/>
  <c r="AS247" i="24"/>
  <c r="AQ247" i="24"/>
  <c r="AS246" i="24"/>
  <c r="AQ246" i="24"/>
  <c r="AS245" i="24"/>
  <c r="AQ245" i="24"/>
  <c r="AS244" i="24"/>
  <c r="AQ244" i="24"/>
  <c r="AS243" i="24"/>
  <c r="AQ243" i="24"/>
  <c r="AS241" i="24"/>
  <c r="AQ241" i="24"/>
  <c r="AS240" i="24"/>
  <c r="AQ240" i="24"/>
  <c r="AS239" i="24"/>
  <c r="AQ239" i="24"/>
  <c r="AS238" i="24"/>
  <c r="AQ238" i="24"/>
  <c r="AS237" i="24"/>
  <c r="AQ237" i="24"/>
  <c r="AS236" i="24"/>
  <c r="AQ236" i="24"/>
  <c r="AS235" i="24"/>
  <c r="AQ235" i="24"/>
  <c r="AS234" i="24"/>
  <c r="AQ234" i="24"/>
  <c r="AS233" i="24"/>
  <c r="AQ233" i="24"/>
  <c r="AS232" i="24"/>
  <c r="AQ232" i="24"/>
  <c r="AS231" i="24"/>
  <c r="AQ231" i="24"/>
  <c r="AS230" i="24"/>
  <c r="AQ230" i="24"/>
  <c r="AS229" i="24"/>
  <c r="AQ229" i="24"/>
  <c r="AS228" i="24"/>
  <c r="AQ228" i="24"/>
  <c r="AS227" i="24"/>
  <c r="AQ227" i="24"/>
  <c r="AS224" i="24"/>
  <c r="AQ224" i="24"/>
  <c r="AS223" i="24"/>
  <c r="AQ223" i="24"/>
  <c r="AS222" i="24"/>
  <c r="AQ222" i="24"/>
  <c r="AS221" i="24"/>
  <c r="AQ221" i="24"/>
  <c r="AS219" i="24"/>
  <c r="AQ219" i="24"/>
  <c r="AS218" i="24"/>
  <c r="AQ218" i="24"/>
  <c r="AS217" i="24"/>
  <c r="AQ217" i="24"/>
  <c r="AS216" i="24"/>
  <c r="AQ216" i="24"/>
  <c r="AS214" i="24"/>
  <c r="AQ214" i="24"/>
  <c r="AS213" i="24"/>
  <c r="AQ213" i="24"/>
  <c r="AS212" i="24"/>
  <c r="AQ212" i="24"/>
  <c r="AS211" i="24"/>
  <c r="AQ211" i="24"/>
  <c r="AS210" i="24"/>
  <c r="AQ210" i="24"/>
  <c r="AS209" i="24"/>
  <c r="AQ209" i="24"/>
  <c r="AS208" i="24"/>
  <c r="AQ208" i="24"/>
  <c r="AS207" i="24"/>
  <c r="AQ207" i="24"/>
  <c r="AS206" i="24"/>
  <c r="AQ206" i="24"/>
  <c r="AS205" i="24"/>
  <c r="AQ205" i="24"/>
  <c r="AS204" i="24"/>
  <c r="AQ204" i="24"/>
  <c r="AS203" i="24"/>
  <c r="AQ203" i="24"/>
  <c r="AS202" i="24"/>
  <c r="AQ202" i="24"/>
  <c r="AS201" i="24"/>
  <c r="AQ201" i="24"/>
  <c r="AS200" i="24"/>
  <c r="AQ200" i="24"/>
  <c r="AS198" i="24"/>
  <c r="AQ198" i="24"/>
  <c r="AS197" i="24"/>
  <c r="AQ197" i="24"/>
  <c r="AS196" i="24"/>
  <c r="AQ196" i="24"/>
  <c r="AS195" i="24"/>
  <c r="AQ195" i="24"/>
  <c r="AS194" i="24"/>
  <c r="AQ194" i="24"/>
  <c r="AS193" i="24"/>
  <c r="AQ193" i="24"/>
  <c r="AS192" i="24"/>
  <c r="AQ192" i="24"/>
  <c r="AS191" i="24"/>
  <c r="AQ191" i="24"/>
  <c r="AS189" i="24"/>
  <c r="AQ189" i="24"/>
  <c r="AS188" i="24"/>
  <c r="AQ188" i="24"/>
  <c r="AS187" i="24"/>
  <c r="AQ187" i="24"/>
  <c r="AS186" i="24"/>
  <c r="AQ186" i="24"/>
  <c r="AS185" i="24"/>
  <c r="AQ185" i="24"/>
  <c r="AS184" i="24"/>
  <c r="AQ184" i="24"/>
  <c r="AS183" i="24"/>
  <c r="AQ183" i="24"/>
  <c r="AS182" i="24"/>
  <c r="AQ182" i="24"/>
  <c r="AS180" i="24"/>
  <c r="AQ180" i="24"/>
  <c r="AS179" i="24"/>
  <c r="AQ179" i="24"/>
  <c r="AS178" i="24"/>
  <c r="AQ178" i="24"/>
  <c r="AS177" i="24"/>
  <c r="AQ177" i="24"/>
  <c r="AS176" i="24"/>
  <c r="AQ176" i="24"/>
  <c r="AS175" i="24"/>
  <c r="AQ175" i="24"/>
  <c r="AS174" i="24"/>
  <c r="AQ174" i="24"/>
  <c r="AS173" i="24"/>
  <c r="AQ173" i="24"/>
  <c r="AS172" i="24"/>
  <c r="AQ172" i="24"/>
  <c r="AS171" i="24"/>
  <c r="AQ171" i="24"/>
  <c r="AS170" i="24"/>
  <c r="AQ170" i="24"/>
  <c r="AS169" i="24"/>
  <c r="AQ169" i="24"/>
  <c r="AS168" i="24"/>
  <c r="AQ168" i="24"/>
  <c r="AS167" i="24"/>
  <c r="AQ167" i="24"/>
  <c r="AS166" i="24"/>
  <c r="AQ166" i="24"/>
  <c r="AS164" i="24"/>
  <c r="AQ164" i="24"/>
  <c r="AS163" i="24"/>
  <c r="AQ163" i="24"/>
  <c r="AS162" i="24"/>
  <c r="AQ162" i="24"/>
  <c r="AS161" i="24"/>
  <c r="AQ161" i="24"/>
  <c r="AS160" i="24"/>
  <c r="AQ160" i="24"/>
  <c r="AS159" i="24"/>
  <c r="AQ159" i="24"/>
  <c r="AS158" i="24"/>
  <c r="AQ158" i="24"/>
  <c r="AS157" i="24"/>
  <c r="AQ157" i="24"/>
  <c r="AS145" i="24"/>
  <c r="AQ145" i="24"/>
  <c r="AS144" i="24"/>
  <c r="AQ144" i="24"/>
  <c r="AS143" i="24"/>
  <c r="AQ143" i="24"/>
  <c r="AS142" i="24"/>
  <c r="AQ142" i="24"/>
  <c r="AS141" i="24"/>
  <c r="AQ141" i="24"/>
  <c r="AS140" i="24"/>
  <c r="AQ140" i="24"/>
  <c r="AS139" i="24"/>
  <c r="AQ139" i="24"/>
  <c r="AS138" i="24"/>
  <c r="AQ138" i="24"/>
  <c r="AS137" i="24"/>
  <c r="AQ137" i="24"/>
  <c r="AS136" i="24"/>
  <c r="AQ136" i="24"/>
  <c r="AS135" i="24"/>
  <c r="AQ135" i="24"/>
  <c r="AS134" i="24"/>
  <c r="AQ134" i="24"/>
  <c r="AS132" i="24"/>
  <c r="AS131" i="24"/>
  <c r="AQ131" i="24"/>
  <c r="AS130" i="24"/>
  <c r="AS129" i="24"/>
  <c r="AQ129" i="24"/>
  <c r="AS127" i="24"/>
  <c r="AQ127" i="24"/>
  <c r="AS126" i="24"/>
  <c r="AQ126" i="24"/>
  <c r="AS125" i="24"/>
  <c r="AQ125" i="24"/>
  <c r="AS124" i="24"/>
  <c r="AQ124" i="24"/>
  <c r="AS123" i="24"/>
  <c r="AQ123" i="24"/>
  <c r="AS122" i="24"/>
  <c r="AQ122" i="24"/>
  <c r="AS121" i="24"/>
  <c r="AQ121" i="24"/>
  <c r="AS120" i="24"/>
  <c r="AQ120" i="24"/>
  <c r="AS119" i="24"/>
  <c r="AQ119" i="24"/>
  <c r="AS118" i="24"/>
  <c r="AQ118" i="24"/>
  <c r="AS117" i="24"/>
  <c r="AQ117" i="24"/>
  <c r="AS116" i="24"/>
  <c r="AS128" i="24" s="1"/>
  <c r="AQ116" i="24"/>
  <c r="AQ128" i="24" s="1"/>
  <c r="AS114" i="24"/>
  <c r="AQ114" i="24"/>
  <c r="AS113" i="24"/>
  <c r="AQ113" i="24"/>
  <c r="AS112" i="24"/>
  <c r="AQ112" i="24"/>
  <c r="AS111" i="24"/>
  <c r="AQ111" i="24"/>
  <c r="AS110" i="24"/>
  <c r="AQ110" i="24"/>
  <c r="AS107" i="24"/>
  <c r="AQ107" i="24"/>
  <c r="AS106" i="24"/>
  <c r="AQ106" i="24"/>
  <c r="AS93" i="24"/>
  <c r="AQ93" i="24"/>
  <c r="AS92" i="24"/>
  <c r="AS91" i="24"/>
  <c r="AQ91" i="24"/>
  <c r="AS89" i="24"/>
  <c r="AQ89" i="24"/>
  <c r="AS88" i="24"/>
  <c r="AQ88" i="24"/>
  <c r="AS87" i="24"/>
  <c r="AQ87" i="24"/>
  <c r="AS75" i="24"/>
  <c r="AQ75" i="24"/>
  <c r="AS74" i="24"/>
  <c r="AS69" i="24"/>
  <c r="AQ69" i="24"/>
  <c r="AS66" i="24"/>
  <c r="AQ66" i="24"/>
  <c r="AS65" i="24"/>
  <c r="AQ65" i="24"/>
  <c r="AS63" i="24"/>
  <c r="AQ63" i="24"/>
  <c r="AS62" i="24"/>
  <c r="AQ62" i="24"/>
  <c r="AS61" i="24"/>
  <c r="AQ61" i="24"/>
  <c r="AS60" i="24"/>
  <c r="AQ60" i="24"/>
  <c r="AS59" i="24"/>
  <c r="AQ59" i="24"/>
  <c r="AS58" i="24"/>
  <c r="AQ58" i="24"/>
  <c r="AS57" i="24"/>
  <c r="AQ57" i="24"/>
  <c r="AS56" i="24"/>
  <c r="AQ56" i="24"/>
  <c r="AS55" i="24"/>
  <c r="AQ55" i="24"/>
  <c r="AS54" i="24"/>
  <c r="AQ54" i="24"/>
  <c r="AS53" i="24"/>
  <c r="AQ53" i="24"/>
  <c r="AS52" i="24"/>
  <c r="AQ52" i="24"/>
  <c r="AS51" i="24"/>
  <c r="AQ51" i="24"/>
  <c r="AS50" i="24"/>
  <c r="AQ50" i="24"/>
  <c r="AS38" i="24"/>
  <c r="AQ38" i="24"/>
  <c r="AS37" i="24"/>
  <c r="AQ37" i="24"/>
  <c r="AS36" i="24"/>
  <c r="AQ36" i="24"/>
  <c r="AS35" i="24"/>
  <c r="AQ35" i="24"/>
  <c r="AS33" i="24"/>
  <c r="AQ33" i="24"/>
  <c r="AS32" i="24"/>
  <c r="AQ32" i="24"/>
  <c r="AS31" i="24"/>
  <c r="AQ31" i="24"/>
  <c r="AS30" i="24"/>
  <c r="AQ30" i="24"/>
  <c r="AS29" i="24"/>
  <c r="AQ29" i="24"/>
  <c r="AS25" i="24"/>
  <c r="AS24" i="24"/>
  <c r="AS23" i="24"/>
  <c r="AS22" i="24"/>
  <c r="AQ22" i="24"/>
  <c r="AS20" i="24"/>
  <c r="AQ20" i="24"/>
  <c r="AQ19" i="24"/>
  <c r="AS18" i="24"/>
  <c r="AQ18" i="24"/>
  <c r="AS17" i="24"/>
  <c r="AQ17" i="24"/>
  <c r="AS16" i="24"/>
  <c r="AQ16" i="24"/>
  <c r="AS15" i="24"/>
  <c r="AQ15" i="24"/>
  <c r="AS14" i="24"/>
  <c r="AQ14" i="24"/>
  <c r="AS13" i="24"/>
  <c r="AS12" i="24"/>
  <c r="AQ12" i="24"/>
  <c r="AS11" i="24"/>
  <c r="AQ11" i="24"/>
  <c r="AS10" i="24"/>
  <c r="AQ10" i="24"/>
  <c r="AS9" i="24"/>
  <c r="AQ9" i="24"/>
  <c r="AS8" i="24"/>
  <c r="AQ8" i="24"/>
  <c r="AS7" i="24"/>
  <c r="AQ7" i="24"/>
  <c r="AS5" i="24"/>
  <c r="AN147" i="24" l="1"/>
  <c r="AM147" i="24"/>
  <c r="AL147" i="24"/>
  <c r="AK147" i="24"/>
  <c r="AJ147" i="24"/>
  <c r="AI147" i="24"/>
  <c r="AH147" i="24"/>
  <c r="AG147" i="24"/>
  <c r="AF147" i="24"/>
  <c r="AE147" i="24"/>
  <c r="AN146" i="24"/>
  <c r="AM146" i="24"/>
  <c r="AL146" i="24"/>
  <c r="AK146" i="24"/>
  <c r="AJ146" i="24"/>
  <c r="AI146" i="24"/>
  <c r="AH146" i="24"/>
  <c r="AG146" i="24"/>
  <c r="AF146" i="24"/>
  <c r="AE146" i="24"/>
  <c r="AB146" i="24"/>
  <c r="AA146" i="24"/>
  <c r="Z146" i="24"/>
  <c r="Y146" i="24"/>
  <c r="X146" i="24"/>
  <c r="W146" i="24"/>
  <c r="V146" i="24"/>
  <c r="AN145" i="24"/>
  <c r="AM145" i="24"/>
  <c r="AL145" i="24"/>
  <c r="AK145" i="24"/>
  <c r="AJ145" i="24"/>
  <c r="AI145" i="24"/>
  <c r="AH145" i="24"/>
  <c r="AG145" i="24"/>
  <c r="AF145" i="24"/>
  <c r="AE145" i="24"/>
  <c r="AD145" i="24"/>
  <c r="AB145" i="24"/>
  <c r="AA145" i="24"/>
  <c r="Z145" i="24"/>
  <c r="Y145" i="24"/>
  <c r="X145" i="24"/>
  <c r="W145" i="24"/>
  <c r="V145" i="24"/>
  <c r="U145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B144" i="24"/>
  <c r="AA144" i="24"/>
  <c r="Z144" i="24"/>
  <c r="Y144" i="24"/>
  <c r="X144" i="24"/>
  <c r="W144" i="24"/>
  <c r="V144" i="24"/>
  <c r="U144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B143" i="24"/>
  <c r="AA143" i="24"/>
  <c r="Z143" i="24"/>
  <c r="Y143" i="24"/>
  <c r="X143" i="24"/>
  <c r="W143" i="24"/>
  <c r="V143" i="24"/>
  <c r="U143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B142" i="24"/>
  <c r="AA142" i="24"/>
  <c r="Z142" i="24"/>
  <c r="Y142" i="24"/>
  <c r="X142" i="24"/>
  <c r="W142" i="24"/>
  <c r="V142" i="24"/>
  <c r="U142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B141" i="24"/>
  <c r="AA141" i="24"/>
  <c r="Z141" i="24"/>
  <c r="Y141" i="24"/>
  <c r="X141" i="24"/>
  <c r="W141" i="24"/>
  <c r="V141" i="24"/>
  <c r="U141" i="24"/>
  <c r="AN140" i="24"/>
  <c r="AO140" i="24" s="1"/>
  <c r="AM140" i="24"/>
  <c r="AL140" i="24"/>
  <c r="AK140" i="24"/>
  <c r="AJ140" i="24"/>
  <c r="AI140" i="24"/>
  <c r="AH140" i="24"/>
  <c r="AG140" i="24"/>
  <c r="AF140" i="24"/>
  <c r="AE140" i="24"/>
  <c r="AD140" i="24"/>
  <c r="AB140" i="24"/>
  <c r="AA140" i="24"/>
  <c r="Z140" i="24"/>
  <c r="Y140" i="24"/>
  <c r="X140" i="24"/>
  <c r="W140" i="24"/>
  <c r="V140" i="24"/>
  <c r="U140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B139" i="24"/>
  <c r="AA139" i="24"/>
  <c r="Z139" i="24"/>
  <c r="Y139" i="24"/>
  <c r="X139" i="24"/>
  <c r="W139" i="24"/>
  <c r="V139" i="24"/>
  <c r="U139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B138" i="24"/>
  <c r="AA138" i="24"/>
  <c r="Z138" i="24"/>
  <c r="Y138" i="24"/>
  <c r="X138" i="24"/>
  <c r="W138" i="24"/>
  <c r="V138" i="24"/>
  <c r="U138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B137" i="24"/>
  <c r="AA137" i="24"/>
  <c r="Z137" i="24"/>
  <c r="Y137" i="24"/>
  <c r="X137" i="24"/>
  <c r="W137" i="24"/>
  <c r="V137" i="24"/>
  <c r="U137" i="24"/>
  <c r="AN136" i="24"/>
  <c r="AM136" i="24"/>
  <c r="AL136" i="24"/>
  <c r="AK136" i="24"/>
  <c r="AJ136" i="24"/>
  <c r="AI136" i="24"/>
  <c r="AH136" i="24"/>
  <c r="AG136" i="24"/>
  <c r="AF136" i="24"/>
  <c r="AE136" i="24"/>
  <c r="AD136" i="24"/>
  <c r="AB136" i="24"/>
  <c r="AA136" i="24"/>
  <c r="Z136" i="24"/>
  <c r="Y136" i="24"/>
  <c r="X136" i="24"/>
  <c r="W136" i="24"/>
  <c r="V136" i="24"/>
  <c r="U136" i="24"/>
  <c r="AN135" i="24"/>
  <c r="AM135" i="24"/>
  <c r="AL135" i="24"/>
  <c r="AK135" i="24"/>
  <c r="AJ135" i="24"/>
  <c r="AI135" i="24"/>
  <c r="AH135" i="24"/>
  <c r="AG135" i="24"/>
  <c r="AF135" i="24"/>
  <c r="AE135" i="24"/>
  <c r="AD135" i="24"/>
  <c r="AB135" i="24"/>
  <c r="AA135" i="24"/>
  <c r="Z135" i="24"/>
  <c r="Y135" i="24"/>
  <c r="X135" i="24"/>
  <c r="W135" i="24"/>
  <c r="V135" i="24"/>
  <c r="U135" i="24"/>
  <c r="AN134" i="24"/>
  <c r="AM134" i="24"/>
  <c r="AL134" i="24"/>
  <c r="AK134" i="24"/>
  <c r="AJ134" i="24"/>
  <c r="AI134" i="24"/>
  <c r="AH134" i="24"/>
  <c r="AG134" i="24"/>
  <c r="AF134" i="24"/>
  <c r="AE134" i="24"/>
  <c r="AD134" i="24"/>
  <c r="AB134" i="24"/>
  <c r="AA134" i="24"/>
  <c r="Z134" i="24"/>
  <c r="Y134" i="24"/>
  <c r="X134" i="24"/>
  <c r="W134" i="24"/>
  <c r="V134" i="24"/>
  <c r="U134" i="24"/>
  <c r="AN133" i="24"/>
  <c r="AM133" i="24"/>
  <c r="AL133" i="24"/>
  <c r="AK133" i="24"/>
  <c r="AJ133" i="24"/>
  <c r="AI133" i="24"/>
  <c r="AH133" i="24"/>
  <c r="AG133" i="24"/>
  <c r="AF133" i="24"/>
  <c r="AE133" i="24"/>
  <c r="X133" i="24"/>
  <c r="W133" i="24"/>
  <c r="V133" i="24"/>
  <c r="AN132" i="24"/>
  <c r="AO132" i="24" s="1"/>
  <c r="AQ132" i="24" s="1"/>
  <c r="AM132" i="24"/>
  <c r="AL132" i="24"/>
  <c r="AK132" i="24"/>
  <c r="AJ132" i="24"/>
  <c r="AI132" i="24"/>
  <c r="AH132" i="24"/>
  <c r="AG132" i="24"/>
  <c r="AF132" i="24"/>
  <c r="AE132" i="24"/>
  <c r="AD132" i="24"/>
  <c r="AB132" i="24"/>
  <c r="Z132" i="24"/>
  <c r="X132" i="24"/>
  <c r="W132" i="24"/>
  <c r="V132" i="24"/>
  <c r="U132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B131" i="24"/>
  <c r="Z131" i="24"/>
  <c r="X131" i="24"/>
  <c r="W131" i="24"/>
  <c r="V131" i="24"/>
  <c r="U131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B130" i="24"/>
  <c r="Z130" i="24"/>
  <c r="X130" i="24"/>
  <c r="W130" i="24"/>
  <c r="V130" i="24"/>
  <c r="U130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AN128" i="24"/>
  <c r="AM128" i="24"/>
  <c r="AL128" i="24"/>
  <c r="AK128" i="24"/>
  <c r="AJ128" i="24"/>
  <c r="AI128" i="24"/>
  <c r="AH128" i="24"/>
  <c r="AG128" i="24"/>
  <c r="AF128" i="24"/>
  <c r="AE128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B127" i="24"/>
  <c r="Z127" i="24"/>
  <c r="X127" i="24"/>
  <c r="U127" i="24"/>
  <c r="AN126" i="24"/>
  <c r="AO126" i="24" s="1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AN125" i="24"/>
  <c r="AM125" i="24"/>
  <c r="AL125" i="24"/>
  <c r="AK125" i="24"/>
  <c r="AJ125" i="24"/>
  <c r="AI125" i="24"/>
  <c r="AH125" i="24"/>
  <c r="AG125" i="24"/>
  <c r="AF125" i="24"/>
  <c r="AE125" i="24"/>
  <c r="AD125" i="24"/>
  <c r="AC125" i="24"/>
  <c r="AB125" i="24"/>
  <c r="AA125" i="24"/>
  <c r="Z125" i="24"/>
  <c r="Y125" i="24"/>
  <c r="X125" i="24"/>
  <c r="W125" i="24"/>
  <c r="V125" i="24"/>
  <c r="U125" i="24"/>
  <c r="T125" i="24"/>
  <c r="AN124" i="24"/>
  <c r="AM124" i="24"/>
  <c r="AL124" i="24"/>
  <c r="AK124" i="24"/>
  <c r="AJ124" i="24"/>
  <c r="AI124" i="24"/>
  <c r="AH124" i="24"/>
  <c r="AG124" i="24"/>
  <c r="AF124" i="24"/>
  <c r="AE124" i="24"/>
  <c r="AD124" i="24"/>
  <c r="AB124" i="24"/>
  <c r="AA124" i="24"/>
  <c r="Z124" i="24"/>
  <c r="Y124" i="24"/>
  <c r="X124" i="24"/>
  <c r="W124" i="24"/>
  <c r="V124" i="24"/>
  <c r="U124" i="24"/>
  <c r="AN123" i="24"/>
  <c r="AM123" i="24"/>
  <c r="AL123" i="24"/>
  <c r="AK123" i="24"/>
  <c r="AJ123" i="24"/>
  <c r="AI123" i="24"/>
  <c r="AH123" i="24"/>
  <c r="AG123" i="24"/>
  <c r="AF123" i="24"/>
  <c r="AE123" i="24"/>
  <c r="AD123" i="24"/>
  <c r="AC123" i="24"/>
  <c r="AB123" i="24"/>
  <c r="AA123" i="24"/>
  <c r="Z123" i="24"/>
  <c r="Y123" i="24"/>
  <c r="X123" i="24"/>
  <c r="W123" i="24"/>
  <c r="V123" i="24"/>
  <c r="U123" i="24"/>
  <c r="T123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B119" i="24"/>
  <c r="Z119" i="24"/>
  <c r="X119" i="24"/>
  <c r="U119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B118" i="24"/>
  <c r="Z118" i="24"/>
  <c r="X118" i="24"/>
  <c r="U118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B117" i="24"/>
  <c r="Z117" i="24"/>
  <c r="X117" i="24"/>
  <c r="U117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B116" i="24"/>
  <c r="Z116" i="24"/>
  <c r="X116" i="24"/>
  <c r="U116" i="24"/>
  <c r="AN115" i="24"/>
  <c r="AM115" i="24"/>
  <c r="AL115" i="24"/>
  <c r="AK115" i="24"/>
  <c r="AJ115" i="24"/>
  <c r="AI115" i="24"/>
  <c r="AH115" i="24"/>
  <c r="AG115" i="24"/>
  <c r="AF115" i="24"/>
  <c r="AE115" i="24"/>
  <c r="AN114" i="24"/>
  <c r="AM114" i="24"/>
  <c r="AL114" i="24"/>
  <c r="AK114" i="24"/>
  <c r="AJ114" i="24"/>
  <c r="AI114" i="24"/>
  <c r="AH114" i="24"/>
  <c r="AG114" i="24"/>
  <c r="AF114" i="24"/>
  <c r="AE114" i="24"/>
  <c r="AD114" i="24"/>
  <c r="AB114" i="24"/>
  <c r="Z114" i="24"/>
  <c r="X114" i="24"/>
  <c r="U114" i="24"/>
  <c r="AN113" i="24"/>
  <c r="AM113" i="24"/>
  <c r="AL113" i="24"/>
  <c r="AK113" i="24"/>
  <c r="AJ113" i="24"/>
  <c r="AI113" i="24"/>
  <c r="AH113" i="24"/>
  <c r="AG113" i="24"/>
  <c r="AF113" i="24"/>
  <c r="AE113" i="24"/>
  <c r="AD113" i="24"/>
  <c r="AB113" i="24"/>
  <c r="Z113" i="24"/>
  <c r="X113" i="24"/>
  <c r="U113" i="24"/>
  <c r="AN112" i="24"/>
  <c r="AM112" i="24"/>
  <c r="AL112" i="24"/>
  <c r="AK112" i="24"/>
  <c r="AJ112" i="24"/>
  <c r="AI112" i="24"/>
  <c r="AH112" i="24"/>
  <c r="AG112" i="24"/>
  <c r="AF112" i="24"/>
  <c r="AE112" i="24"/>
  <c r="AD112" i="24"/>
  <c r="AB112" i="24"/>
  <c r="Z112" i="24"/>
  <c r="X112" i="24"/>
  <c r="U112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B111" i="24"/>
  <c r="Z111" i="24"/>
  <c r="X111" i="24"/>
  <c r="U111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B110" i="24"/>
  <c r="Z110" i="24"/>
  <c r="X110" i="24"/>
  <c r="U110" i="24"/>
  <c r="AN109" i="24"/>
  <c r="AM109" i="24"/>
  <c r="AL109" i="24"/>
  <c r="AK109" i="24"/>
  <c r="AJ109" i="24"/>
  <c r="AI109" i="24"/>
  <c r="AH109" i="24"/>
  <c r="AG109" i="24"/>
  <c r="AF109" i="24"/>
  <c r="AE109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B108" i="24"/>
  <c r="Z108" i="24"/>
  <c r="X108" i="24"/>
  <c r="U108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B106" i="24"/>
  <c r="Z106" i="24"/>
  <c r="X106" i="24"/>
  <c r="U106" i="24"/>
  <c r="F127" i="3"/>
  <c r="F128" i="3" s="1"/>
  <c r="E127" i="3"/>
  <c r="E128" i="3" s="1"/>
  <c r="J127" i="3"/>
  <c r="F127" i="20"/>
  <c r="F128" i="20" s="1"/>
  <c r="E128" i="20"/>
  <c r="E127" i="20"/>
  <c r="J127" i="20"/>
  <c r="F127" i="19"/>
  <c r="F128" i="19" s="1"/>
  <c r="E128" i="19"/>
  <c r="E127" i="19"/>
  <c r="N128" i="4"/>
  <c r="X128" i="24" s="1"/>
  <c r="O127" i="4"/>
  <c r="K127" i="4"/>
  <c r="K128" i="4" s="1"/>
  <c r="J127" i="4"/>
  <c r="L127" i="4" s="1"/>
  <c r="W127" i="24" s="1"/>
  <c r="G127" i="4"/>
  <c r="G128" i="4" s="1"/>
  <c r="F127" i="4"/>
  <c r="F128" i="4" s="1"/>
  <c r="F127" i="2"/>
  <c r="F128" i="2" s="1"/>
  <c r="E127" i="2"/>
  <c r="E128" i="2" s="1"/>
  <c r="AO114" i="24" l="1"/>
  <c r="G127" i="19"/>
  <c r="Y127" i="24" s="1"/>
  <c r="AO136" i="24"/>
  <c r="G127" i="20"/>
  <c r="AA127" i="24" s="1"/>
  <c r="AO110" i="24"/>
  <c r="AO122" i="24"/>
  <c r="AO106" i="24"/>
  <c r="AO118" i="24"/>
  <c r="AO144" i="24"/>
  <c r="AO113" i="24"/>
  <c r="AO119" i="24"/>
  <c r="AO123" i="24"/>
  <c r="AO131" i="24"/>
  <c r="AO135" i="24"/>
  <c r="AO139" i="24"/>
  <c r="AO143" i="24"/>
  <c r="AO108" i="24"/>
  <c r="AO112" i="24"/>
  <c r="AO116" i="24"/>
  <c r="AO120" i="24"/>
  <c r="AO124" i="24"/>
  <c r="AO130" i="24"/>
  <c r="AQ130" i="24" s="1"/>
  <c r="AO134" i="24"/>
  <c r="AO138" i="24"/>
  <c r="AO142" i="24"/>
  <c r="AO107" i="24"/>
  <c r="AO111" i="24"/>
  <c r="AO117" i="24"/>
  <c r="AO121" i="24"/>
  <c r="AO125" i="24"/>
  <c r="AO129" i="24"/>
  <c r="AO137" i="24"/>
  <c r="AO141" i="24"/>
  <c r="AO145" i="24"/>
  <c r="AO127" i="24"/>
  <c r="AT127" i="24" s="1"/>
  <c r="AU127" i="24" s="1"/>
  <c r="J128" i="4"/>
  <c r="H127" i="4"/>
  <c r="V127" i="24" s="1"/>
  <c r="AQ108" i="24" l="1"/>
  <c r="AS108" i="24" s="1"/>
  <c r="I128" i="3"/>
  <c r="AD128" i="24" s="1"/>
  <c r="I128" i="20"/>
  <c r="AB128" i="24" s="1"/>
  <c r="I128" i="19"/>
  <c r="Z128" i="24" s="1"/>
  <c r="G128" i="19"/>
  <c r="Y128" i="24" s="1"/>
  <c r="L128" i="4"/>
  <c r="I128" i="2"/>
  <c r="U128" i="24" s="1"/>
  <c r="K119" i="3"/>
  <c r="J119" i="3"/>
  <c r="G119" i="3"/>
  <c r="AC119" i="24" s="1"/>
  <c r="K119" i="20"/>
  <c r="J119" i="20"/>
  <c r="G119" i="20"/>
  <c r="AA119" i="24" s="1"/>
  <c r="K119" i="19"/>
  <c r="J119" i="19"/>
  <c r="G119" i="19"/>
  <c r="Y119" i="24" s="1"/>
  <c r="P119" i="4"/>
  <c r="O119" i="4"/>
  <c r="L119" i="4"/>
  <c r="W119" i="24" s="1"/>
  <c r="H119" i="4"/>
  <c r="V119" i="24" s="1"/>
  <c r="K119" i="2"/>
  <c r="J119" i="2"/>
  <c r="G119" i="2"/>
  <c r="T119" i="24" s="1"/>
  <c r="E335" i="2"/>
  <c r="E336" i="2"/>
  <c r="E337" i="2" s="1"/>
  <c r="E338" i="2" s="1"/>
  <c r="D19" i="13" s="1"/>
  <c r="F163" i="2"/>
  <c r="F164" i="2"/>
  <c r="F165" i="2" s="1"/>
  <c r="F145" i="2"/>
  <c r="F146" i="2" s="1"/>
  <c r="F132" i="2"/>
  <c r="F133" i="2" s="1"/>
  <c r="F114" i="2"/>
  <c r="F115" i="2" s="1"/>
  <c r="F108" i="2"/>
  <c r="F109" i="2" s="1"/>
  <c r="F147" i="2" l="1"/>
  <c r="E10" i="13" s="1"/>
  <c r="E12" i="13"/>
  <c r="W128" i="24"/>
  <c r="E30" i="24"/>
  <c r="AO128" i="24"/>
  <c r="N30" i="24" s="1"/>
  <c r="G128" i="20"/>
  <c r="H128" i="4"/>
  <c r="AT119" i="24"/>
  <c r="V128" i="24" l="1"/>
  <c r="D30" i="24"/>
  <c r="AA128" i="24"/>
  <c r="G30" i="24"/>
  <c r="AV119" i="24"/>
  <c r="AU119" i="24"/>
  <c r="L7" i="30" l="1"/>
  <c r="H7" i="30"/>
  <c r="G7" i="30"/>
  <c r="F7" i="30"/>
  <c r="E7" i="30"/>
  <c r="J5" i="30"/>
  <c r="K5" i="30" s="1"/>
  <c r="L18" i="14" l="1"/>
  <c r="M18" i="14" s="1"/>
  <c r="J18" i="14"/>
  <c r="K18" i="14" s="1"/>
  <c r="L17" i="14"/>
  <c r="M17" i="14" s="1"/>
  <c r="J17" i="14"/>
  <c r="K17" i="14" s="1"/>
  <c r="L16" i="14"/>
  <c r="M16" i="14" s="1"/>
  <c r="J16" i="14"/>
  <c r="K16" i="14" s="1"/>
  <c r="L15" i="14"/>
  <c r="M15" i="14" s="1"/>
  <c r="J15" i="14"/>
  <c r="K15" i="14" s="1"/>
  <c r="L14" i="14"/>
  <c r="M14" i="14" s="1"/>
  <c r="J14" i="14"/>
  <c r="K14" i="14" s="1"/>
  <c r="L13" i="14"/>
  <c r="M13" i="14" s="1"/>
  <c r="J13" i="14"/>
  <c r="K13" i="14" s="1"/>
  <c r="L10" i="14"/>
  <c r="M10" i="14" s="1"/>
  <c r="J10" i="14"/>
  <c r="K10" i="14" s="1"/>
  <c r="L9" i="14"/>
  <c r="J9" i="14"/>
  <c r="K9" i="14" s="1"/>
  <c r="L8" i="14"/>
  <c r="M8" i="14" s="1"/>
  <c r="J8" i="14"/>
  <c r="K8" i="14" s="1"/>
  <c r="L7" i="14"/>
  <c r="J7" i="14"/>
  <c r="L6" i="14"/>
  <c r="J6" i="14"/>
  <c r="N13" i="14" l="1"/>
  <c r="N17" i="14"/>
  <c r="N18" i="14"/>
  <c r="N8" i="14"/>
  <c r="N16" i="14"/>
  <c r="K7" i="14"/>
  <c r="N15" i="14"/>
  <c r="N14" i="14"/>
  <c r="N10" i="14"/>
  <c r="M9" i="14"/>
  <c r="N9" i="14" s="1"/>
  <c r="AV337" i="24"/>
  <c r="AV338" i="24" s="1"/>
  <c r="AV313" i="24"/>
  <c r="AV307" i="24"/>
  <c r="AV299" i="24"/>
  <c r="AV292" i="24"/>
  <c r="AV288" i="24"/>
  <c r="AV280" i="24"/>
  <c r="AV274" i="24"/>
  <c r="AV258" i="24"/>
  <c r="AV249" i="24"/>
  <c r="AV242" i="24"/>
  <c r="AV225" i="24"/>
  <c r="AV220" i="24"/>
  <c r="AV215" i="24"/>
  <c r="AV199" i="24"/>
  <c r="AV181" i="24"/>
  <c r="AV165" i="24"/>
  <c r="AV128" i="24"/>
  <c r="AV146" i="24"/>
  <c r="AV115" i="24"/>
  <c r="AS336" i="24"/>
  <c r="AQ336" i="24"/>
  <c r="AS335" i="24"/>
  <c r="AQ335" i="24"/>
  <c r="AS334" i="24"/>
  <c r="AQ334" i="24"/>
  <c r="AS333" i="24"/>
  <c r="AQ333" i="24"/>
  <c r="AS332" i="24"/>
  <c r="AQ332" i="24"/>
  <c r="AS331" i="24"/>
  <c r="AQ331" i="24"/>
  <c r="AS330" i="24"/>
  <c r="AQ330" i="24"/>
  <c r="AS329" i="24"/>
  <c r="AQ329" i="24"/>
  <c r="AS328" i="24"/>
  <c r="AQ328" i="24"/>
  <c r="AS327" i="24"/>
  <c r="AQ327" i="24"/>
  <c r="AS326" i="24"/>
  <c r="AQ326" i="24"/>
  <c r="AS325" i="24"/>
  <c r="AQ325" i="24"/>
  <c r="AS312" i="24"/>
  <c r="AQ312" i="24"/>
  <c r="AS311" i="24"/>
  <c r="AQ311" i="24"/>
  <c r="AS310" i="24"/>
  <c r="AQ310" i="24"/>
  <c r="AS309" i="24"/>
  <c r="AQ309" i="24"/>
  <c r="AS308" i="24"/>
  <c r="AQ308" i="24"/>
  <c r="AS306" i="24"/>
  <c r="AQ306" i="24"/>
  <c r="AS305" i="24"/>
  <c r="AQ305" i="24"/>
  <c r="AS304" i="24"/>
  <c r="AQ304" i="24"/>
  <c r="AS303" i="24"/>
  <c r="AQ303" i="24"/>
  <c r="AS302" i="24"/>
  <c r="AQ302" i="24"/>
  <c r="AS301" i="24"/>
  <c r="AQ301" i="24"/>
  <c r="AS300" i="24"/>
  <c r="AQ300" i="24"/>
  <c r="AS298" i="24"/>
  <c r="AQ298" i="24"/>
  <c r="AS297" i="24"/>
  <c r="AQ297" i="24"/>
  <c r="AS296" i="24"/>
  <c r="AQ296" i="24"/>
  <c r="AS295" i="24"/>
  <c r="AQ295" i="24"/>
  <c r="AS294" i="24"/>
  <c r="AQ294" i="24"/>
  <c r="AS293" i="24"/>
  <c r="AQ293" i="24"/>
  <c r="AS291" i="24"/>
  <c r="AQ291" i="24"/>
  <c r="AS290" i="24"/>
  <c r="AQ290" i="24"/>
  <c r="AS289" i="24"/>
  <c r="AQ289" i="24"/>
  <c r="AS287" i="24"/>
  <c r="AQ287" i="24"/>
  <c r="AS286" i="24"/>
  <c r="AQ286" i="24"/>
  <c r="AS285" i="24"/>
  <c r="AQ285" i="24"/>
  <c r="AS284" i="24"/>
  <c r="AQ284" i="24"/>
  <c r="AS283" i="24"/>
  <c r="AQ283" i="24"/>
  <c r="AS282" i="24"/>
  <c r="AQ282" i="24"/>
  <c r="AS279" i="24"/>
  <c r="AQ279" i="24"/>
  <c r="AS278" i="24"/>
  <c r="AQ278" i="24"/>
  <c r="AS277" i="24"/>
  <c r="AQ277" i="24"/>
  <c r="AS276" i="24"/>
  <c r="AQ276" i="24"/>
  <c r="AS275" i="24"/>
  <c r="AQ275" i="24"/>
  <c r="AS273" i="24"/>
  <c r="AQ273" i="24"/>
  <c r="AS272" i="24"/>
  <c r="AQ272" i="24"/>
  <c r="AS271" i="24"/>
  <c r="AQ271" i="24"/>
  <c r="AS270" i="24"/>
  <c r="AQ270" i="24"/>
  <c r="AS269" i="24"/>
  <c r="AQ269" i="24"/>
  <c r="AS268" i="24"/>
  <c r="AQ268" i="24"/>
  <c r="AS267" i="24"/>
  <c r="AQ267" i="24"/>
  <c r="AS266" i="24"/>
  <c r="AQ266" i="24"/>
  <c r="AS265" i="24"/>
  <c r="AQ265" i="24"/>
  <c r="AS264" i="24"/>
  <c r="AQ264" i="24"/>
  <c r="AS263" i="24"/>
  <c r="AQ263" i="24"/>
  <c r="AS262" i="24"/>
  <c r="AQ262" i="24"/>
  <c r="AS261" i="24"/>
  <c r="AQ261" i="24"/>
  <c r="AS260" i="24"/>
  <c r="AQ260" i="24"/>
  <c r="AS257" i="24"/>
  <c r="AQ257" i="24"/>
  <c r="AS256" i="24"/>
  <c r="AQ256" i="24"/>
  <c r="AS255" i="24"/>
  <c r="AQ255" i="24"/>
  <c r="AS254" i="24"/>
  <c r="AQ254" i="24"/>
  <c r="AS253" i="24"/>
  <c r="AQ253" i="24"/>
  <c r="AS252" i="24"/>
  <c r="AQ252" i="24"/>
  <c r="AS251" i="24"/>
  <c r="AQ251" i="24"/>
  <c r="AS250" i="24"/>
  <c r="AQ250" i="24"/>
  <c r="AN338" i="24"/>
  <c r="AM338" i="24"/>
  <c r="AL338" i="24"/>
  <c r="AK338" i="24"/>
  <c r="AJ338" i="24"/>
  <c r="AI338" i="24"/>
  <c r="AH338" i="24"/>
  <c r="AG338" i="24"/>
  <c r="AF338" i="24"/>
  <c r="AE338" i="24"/>
  <c r="AB338" i="24"/>
  <c r="AA338" i="24"/>
  <c r="Z338" i="24"/>
  <c r="Y338" i="24"/>
  <c r="X338" i="24"/>
  <c r="W338" i="24"/>
  <c r="V338" i="24"/>
  <c r="AN337" i="24"/>
  <c r="AM337" i="24"/>
  <c r="AL337" i="24"/>
  <c r="AK337" i="24"/>
  <c r="AJ337" i="24"/>
  <c r="AI337" i="24"/>
  <c r="AH337" i="24"/>
  <c r="AG337" i="24"/>
  <c r="AF337" i="24"/>
  <c r="AE337" i="24"/>
  <c r="AB337" i="24"/>
  <c r="AA337" i="24"/>
  <c r="Z337" i="24"/>
  <c r="Y337" i="24"/>
  <c r="X337" i="24"/>
  <c r="W337" i="24"/>
  <c r="V337" i="24"/>
  <c r="AN336" i="24"/>
  <c r="AM336" i="24"/>
  <c r="AL336" i="24"/>
  <c r="AK336" i="24"/>
  <c r="AJ336" i="24"/>
  <c r="AI336" i="24"/>
  <c r="AH336" i="24"/>
  <c r="AG336" i="24"/>
  <c r="AF336" i="24"/>
  <c r="AE336" i="24"/>
  <c r="AD336" i="24"/>
  <c r="AB336" i="24"/>
  <c r="AA336" i="24"/>
  <c r="Z336" i="24"/>
  <c r="Y336" i="24"/>
  <c r="X336" i="24"/>
  <c r="W336" i="24"/>
  <c r="V336" i="24"/>
  <c r="U336" i="24"/>
  <c r="AN335" i="24"/>
  <c r="AM335" i="24"/>
  <c r="AL335" i="24"/>
  <c r="AK335" i="24"/>
  <c r="AJ335" i="24"/>
  <c r="AI335" i="24"/>
  <c r="AH335" i="24"/>
  <c r="AG335" i="24"/>
  <c r="AF335" i="24"/>
  <c r="AE335" i="24"/>
  <c r="AD335" i="24"/>
  <c r="AB335" i="24"/>
  <c r="AA335" i="24"/>
  <c r="Z335" i="24"/>
  <c r="Y335" i="24"/>
  <c r="X335" i="24"/>
  <c r="W335" i="24"/>
  <c r="V335" i="24"/>
  <c r="U335" i="24"/>
  <c r="AN334" i="24"/>
  <c r="AM334" i="24"/>
  <c r="AL334" i="24"/>
  <c r="AK334" i="24"/>
  <c r="AJ334" i="24"/>
  <c r="AI334" i="24"/>
  <c r="AH334" i="24"/>
  <c r="AG334" i="24"/>
  <c r="AF334" i="24"/>
  <c r="AE334" i="24"/>
  <c r="AD334" i="24"/>
  <c r="AC334" i="24"/>
  <c r="AB334" i="24"/>
  <c r="AA334" i="24"/>
  <c r="Z334" i="24"/>
  <c r="Y334" i="24"/>
  <c r="X334" i="24"/>
  <c r="W334" i="24"/>
  <c r="V334" i="24"/>
  <c r="U334" i="24"/>
  <c r="T334" i="24"/>
  <c r="AN333" i="24"/>
  <c r="AM333" i="24"/>
  <c r="AL333" i="24"/>
  <c r="AK333" i="24"/>
  <c r="AJ333" i="24"/>
  <c r="AI333" i="24"/>
  <c r="AH333" i="24"/>
  <c r="AG333" i="24"/>
  <c r="AF333" i="24"/>
  <c r="AE333" i="24"/>
  <c r="AD333" i="24"/>
  <c r="AC333" i="24"/>
  <c r="AB333" i="24"/>
  <c r="AA333" i="24"/>
  <c r="Z333" i="24"/>
  <c r="Y333" i="24"/>
  <c r="X333" i="24"/>
  <c r="W333" i="24"/>
  <c r="V333" i="24"/>
  <c r="U333" i="24"/>
  <c r="T333" i="24"/>
  <c r="AN332" i="24"/>
  <c r="AM332" i="24"/>
  <c r="AL332" i="24"/>
  <c r="AK332" i="24"/>
  <c r="AJ332" i="24"/>
  <c r="AI332" i="24"/>
  <c r="AH332" i="24"/>
  <c r="AG332" i="24"/>
  <c r="AF332" i="24"/>
  <c r="AE332" i="24"/>
  <c r="AD332" i="24"/>
  <c r="AC332" i="24"/>
  <c r="AB332" i="24"/>
  <c r="AA332" i="24"/>
  <c r="Z332" i="24"/>
  <c r="Y332" i="24"/>
  <c r="X332" i="24"/>
  <c r="W332" i="24"/>
  <c r="V332" i="24"/>
  <c r="U332" i="24"/>
  <c r="T332" i="24"/>
  <c r="AN331" i="24"/>
  <c r="AM331" i="24"/>
  <c r="AL331" i="24"/>
  <c r="AK331" i="24"/>
  <c r="AJ331" i="24"/>
  <c r="AI331" i="24"/>
  <c r="AH331" i="24"/>
  <c r="AG331" i="24"/>
  <c r="AF331" i="24"/>
  <c r="AE331" i="24"/>
  <c r="AD331" i="24"/>
  <c r="AC331" i="24"/>
  <c r="AB331" i="24"/>
  <c r="AA331" i="24"/>
  <c r="Z331" i="24"/>
  <c r="Y331" i="24"/>
  <c r="X331" i="24"/>
  <c r="W331" i="24"/>
  <c r="V331" i="24"/>
  <c r="U331" i="24"/>
  <c r="T331" i="24"/>
  <c r="AN330" i="24"/>
  <c r="AM330" i="24"/>
  <c r="AL330" i="24"/>
  <c r="AK330" i="24"/>
  <c r="AJ330" i="24"/>
  <c r="AI330" i="24"/>
  <c r="AH330" i="24"/>
  <c r="AG330" i="24"/>
  <c r="AF330" i="24"/>
  <c r="AE330" i="24"/>
  <c r="AD330" i="24"/>
  <c r="AC330" i="24"/>
  <c r="AB330" i="24"/>
  <c r="AA330" i="24"/>
  <c r="Z330" i="24"/>
  <c r="Y330" i="24"/>
  <c r="X330" i="24"/>
  <c r="W330" i="24"/>
  <c r="V330" i="24"/>
  <c r="U330" i="24"/>
  <c r="T330" i="24"/>
  <c r="AN329" i="24"/>
  <c r="AM329" i="24"/>
  <c r="AL329" i="24"/>
  <c r="AK329" i="24"/>
  <c r="AJ329" i="24"/>
  <c r="AI329" i="24"/>
  <c r="AH329" i="24"/>
  <c r="AG329" i="24"/>
  <c r="AF329" i="24"/>
  <c r="AE329" i="24"/>
  <c r="AD329" i="24"/>
  <c r="AC329" i="24"/>
  <c r="AB329" i="24"/>
  <c r="AA329" i="24"/>
  <c r="Z329" i="24"/>
  <c r="Y329" i="24"/>
  <c r="X329" i="24"/>
  <c r="W329" i="24"/>
  <c r="V329" i="24"/>
  <c r="U329" i="24"/>
  <c r="T329" i="24"/>
  <c r="AN328" i="24"/>
  <c r="AM328" i="24"/>
  <c r="AL328" i="24"/>
  <c r="AK328" i="24"/>
  <c r="AJ328" i="24"/>
  <c r="AI328" i="24"/>
  <c r="AH328" i="24"/>
  <c r="AG328" i="24"/>
  <c r="AF328" i="24"/>
  <c r="AE328" i="24"/>
  <c r="AD328" i="24"/>
  <c r="AC328" i="24"/>
  <c r="AB328" i="24"/>
  <c r="AA328" i="24"/>
  <c r="Z328" i="24"/>
  <c r="Y328" i="24"/>
  <c r="X328" i="24"/>
  <c r="W328" i="24"/>
  <c r="V328" i="24"/>
  <c r="U328" i="24"/>
  <c r="T328" i="24"/>
  <c r="AN327" i="24"/>
  <c r="AM327" i="24"/>
  <c r="AL327" i="24"/>
  <c r="AK327" i="24"/>
  <c r="AJ327" i="24"/>
  <c r="AI327" i="24"/>
  <c r="AH327" i="24"/>
  <c r="AG327" i="24"/>
  <c r="AF327" i="24"/>
  <c r="AE327" i="24"/>
  <c r="AD327" i="24"/>
  <c r="AB327" i="24"/>
  <c r="AA327" i="24"/>
  <c r="Z327" i="24"/>
  <c r="Y327" i="24"/>
  <c r="X327" i="24"/>
  <c r="W327" i="24"/>
  <c r="V327" i="24"/>
  <c r="U327" i="24"/>
  <c r="AN326" i="24"/>
  <c r="AM326" i="24"/>
  <c r="AL326" i="24"/>
  <c r="AK326" i="24"/>
  <c r="AJ326" i="24"/>
  <c r="AI326" i="24"/>
  <c r="AH326" i="24"/>
  <c r="AG326" i="24"/>
  <c r="AF326" i="24"/>
  <c r="AE326" i="24"/>
  <c r="AD326" i="24"/>
  <c r="AC326" i="24"/>
  <c r="AB326" i="24"/>
  <c r="AA326" i="24"/>
  <c r="Z326" i="24"/>
  <c r="Y326" i="24"/>
  <c r="X326" i="24"/>
  <c r="W326" i="24"/>
  <c r="V326" i="24"/>
  <c r="U326" i="24"/>
  <c r="T326" i="24"/>
  <c r="AN325" i="24"/>
  <c r="AM325" i="24"/>
  <c r="AL325" i="24"/>
  <c r="AK325" i="24"/>
  <c r="AJ325" i="24"/>
  <c r="AI325" i="24"/>
  <c r="AH325" i="24"/>
  <c r="AG325" i="24"/>
  <c r="AF325" i="24"/>
  <c r="AE325" i="24"/>
  <c r="AD325" i="24"/>
  <c r="AC325" i="24"/>
  <c r="AB325" i="24"/>
  <c r="AA325" i="24"/>
  <c r="Z325" i="24"/>
  <c r="Y325" i="24"/>
  <c r="X325" i="24"/>
  <c r="W325" i="24"/>
  <c r="V325" i="24"/>
  <c r="U325" i="24"/>
  <c r="T325" i="24"/>
  <c r="AN315" i="24"/>
  <c r="AM315" i="24"/>
  <c r="AL315" i="24"/>
  <c r="AK315" i="24"/>
  <c r="AJ315" i="24"/>
  <c r="AI315" i="24"/>
  <c r="AH315" i="24"/>
  <c r="AG315" i="24"/>
  <c r="AF315" i="24"/>
  <c r="AE315" i="24"/>
  <c r="AB315" i="24"/>
  <c r="AA315" i="24"/>
  <c r="Z315" i="24"/>
  <c r="Y315" i="24"/>
  <c r="X315" i="24"/>
  <c r="W315" i="24"/>
  <c r="V315" i="24"/>
  <c r="AN314" i="24"/>
  <c r="AM314" i="24"/>
  <c r="AL314" i="24"/>
  <c r="AK314" i="24"/>
  <c r="AJ314" i="24"/>
  <c r="AI314" i="24"/>
  <c r="AH314" i="24"/>
  <c r="AG314" i="24"/>
  <c r="AF314" i="24"/>
  <c r="AE314" i="24"/>
  <c r="AB314" i="24"/>
  <c r="AA314" i="24"/>
  <c r="Z314" i="24"/>
  <c r="Y314" i="24"/>
  <c r="X314" i="24"/>
  <c r="W314" i="24"/>
  <c r="V314" i="24"/>
  <c r="AN313" i="24"/>
  <c r="AM313" i="24"/>
  <c r="AL313" i="24"/>
  <c r="AK313" i="24"/>
  <c r="AJ313" i="24"/>
  <c r="AI313" i="24"/>
  <c r="AH313" i="24"/>
  <c r="AG313" i="24"/>
  <c r="AF313" i="24"/>
  <c r="AE313" i="24"/>
  <c r="AB313" i="24"/>
  <c r="AA313" i="24"/>
  <c r="Z313" i="24"/>
  <c r="Y313" i="24"/>
  <c r="X313" i="24"/>
  <c r="W313" i="24"/>
  <c r="V313" i="24"/>
  <c r="AN312" i="24"/>
  <c r="AM312" i="24"/>
  <c r="AL312" i="24"/>
  <c r="AK312" i="24"/>
  <c r="AJ312" i="24"/>
  <c r="AI312" i="24"/>
  <c r="AH312" i="24"/>
  <c r="AG312" i="24"/>
  <c r="AF312" i="24"/>
  <c r="AE312" i="24"/>
  <c r="AD312" i="24"/>
  <c r="AB312" i="24"/>
  <c r="AA312" i="24"/>
  <c r="Z312" i="24"/>
  <c r="Y312" i="24"/>
  <c r="X312" i="24"/>
  <c r="W312" i="24"/>
  <c r="V312" i="24"/>
  <c r="U312" i="24"/>
  <c r="AN311" i="24"/>
  <c r="AM311" i="24"/>
  <c r="AL311" i="24"/>
  <c r="AK311" i="24"/>
  <c r="AJ311" i="24"/>
  <c r="AI311" i="24"/>
  <c r="AH311" i="24"/>
  <c r="AG311" i="24"/>
  <c r="AF311" i="24"/>
  <c r="AE311" i="24"/>
  <c r="AD311" i="24"/>
  <c r="AB311" i="24"/>
  <c r="AA311" i="24"/>
  <c r="Z311" i="24"/>
  <c r="Y311" i="24"/>
  <c r="X311" i="24"/>
  <c r="W311" i="24"/>
  <c r="V311" i="24"/>
  <c r="U311" i="24"/>
  <c r="AN310" i="24"/>
  <c r="AM310" i="24"/>
  <c r="AL310" i="24"/>
  <c r="AK310" i="24"/>
  <c r="AJ310" i="24"/>
  <c r="AI310" i="24"/>
  <c r="AH310" i="24"/>
  <c r="AG310" i="24"/>
  <c r="AF310" i="24"/>
  <c r="AE310" i="24"/>
  <c r="AD310" i="24"/>
  <c r="AB310" i="24"/>
  <c r="AA310" i="24"/>
  <c r="Z310" i="24"/>
  <c r="Y310" i="24"/>
  <c r="X310" i="24"/>
  <c r="W310" i="24"/>
  <c r="V310" i="24"/>
  <c r="U310" i="24"/>
  <c r="AN309" i="24"/>
  <c r="AM309" i="24"/>
  <c r="AL309" i="24"/>
  <c r="AK309" i="24"/>
  <c r="AJ309" i="24"/>
  <c r="AI309" i="24"/>
  <c r="AH309" i="24"/>
  <c r="AG309" i="24"/>
  <c r="AF309" i="24"/>
  <c r="AE309" i="24"/>
  <c r="AD309" i="24"/>
  <c r="AB309" i="24"/>
  <c r="AA309" i="24"/>
  <c r="Z309" i="24"/>
  <c r="Y309" i="24"/>
  <c r="X309" i="24"/>
  <c r="W309" i="24"/>
  <c r="V309" i="24"/>
  <c r="U309" i="24"/>
  <c r="AN308" i="24"/>
  <c r="AM308" i="24"/>
  <c r="AL308" i="24"/>
  <c r="AK308" i="24"/>
  <c r="AJ308" i="24"/>
  <c r="AI308" i="24"/>
  <c r="AH308" i="24"/>
  <c r="AG308" i="24"/>
  <c r="AF308" i="24"/>
  <c r="AE308" i="24"/>
  <c r="AD308" i="24"/>
  <c r="AB308" i="24"/>
  <c r="AA308" i="24"/>
  <c r="Z308" i="24"/>
  <c r="Y308" i="24"/>
  <c r="X308" i="24"/>
  <c r="W308" i="24"/>
  <c r="V308" i="24"/>
  <c r="U308" i="24"/>
  <c r="AN307" i="24"/>
  <c r="AM307" i="24"/>
  <c r="AL307" i="24"/>
  <c r="AK307" i="24"/>
  <c r="AJ307" i="24"/>
  <c r="AI307" i="24"/>
  <c r="AH307" i="24"/>
  <c r="AG307" i="24"/>
  <c r="AF307" i="24"/>
  <c r="AE307" i="24"/>
  <c r="AB307" i="24"/>
  <c r="AA307" i="24"/>
  <c r="Z307" i="24"/>
  <c r="Y307" i="24"/>
  <c r="X307" i="24"/>
  <c r="W307" i="24"/>
  <c r="V307" i="24"/>
  <c r="AN306" i="24"/>
  <c r="AM306" i="24"/>
  <c r="AL306" i="24"/>
  <c r="AK306" i="24"/>
  <c r="AJ306" i="24"/>
  <c r="AI306" i="24"/>
  <c r="AH306" i="24"/>
  <c r="AG306" i="24"/>
  <c r="AF306" i="24"/>
  <c r="AE306" i="24"/>
  <c r="AD306" i="24"/>
  <c r="AB306" i="24"/>
  <c r="AA306" i="24"/>
  <c r="Z306" i="24"/>
  <c r="Y306" i="24"/>
  <c r="X306" i="24"/>
  <c r="W306" i="24"/>
  <c r="V306" i="24"/>
  <c r="U306" i="24"/>
  <c r="AN305" i="24"/>
  <c r="AM305" i="24"/>
  <c r="AL305" i="24"/>
  <c r="AK305" i="24"/>
  <c r="AJ305" i="24"/>
  <c r="AI305" i="24"/>
  <c r="AH305" i="24"/>
  <c r="AG305" i="24"/>
  <c r="AF305" i="24"/>
  <c r="AE305" i="24"/>
  <c r="AD305" i="24"/>
  <c r="AB305" i="24"/>
  <c r="AA305" i="24"/>
  <c r="Z305" i="24"/>
  <c r="Y305" i="24"/>
  <c r="X305" i="24"/>
  <c r="W305" i="24"/>
  <c r="V305" i="24"/>
  <c r="U305" i="24"/>
  <c r="AN304" i="24"/>
  <c r="AM304" i="24"/>
  <c r="AL304" i="24"/>
  <c r="AK304" i="24"/>
  <c r="AJ304" i="24"/>
  <c r="AI304" i="24"/>
  <c r="AH304" i="24"/>
  <c r="AG304" i="24"/>
  <c r="AF304" i="24"/>
  <c r="AE304" i="24"/>
  <c r="AD304" i="24"/>
  <c r="AB304" i="24"/>
  <c r="AA304" i="24"/>
  <c r="Z304" i="24"/>
  <c r="Y304" i="24"/>
  <c r="X304" i="24"/>
  <c r="W304" i="24"/>
  <c r="V304" i="24"/>
  <c r="U304" i="24"/>
  <c r="AN303" i="24"/>
  <c r="AM303" i="24"/>
  <c r="AL303" i="24"/>
  <c r="AK303" i="24"/>
  <c r="AJ303" i="24"/>
  <c r="AI303" i="24"/>
  <c r="AH303" i="24"/>
  <c r="AG303" i="24"/>
  <c r="AF303" i="24"/>
  <c r="AE303" i="24"/>
  <c r="AD303" i="24"/>
  <c r="AB303" i="24"/>
  <c r="AA303" i="24"/>
  <c r="Z303" i="24"/>
  <c r="Y303" i="24"/>
  <c r="X303" i="24"/>
  <c r="W303" i="24"/>
  <c r="V303" i="24"/>
  <c r="U303" i="24"/>
  <c r="AN302" i="24"/>
  <c r="AM302" i="24"/>
  <c r="AL302" i="24"/>
  <c r="AK302" i="24"/>
  <c r="AJ302" i="24"/>
  <c r="AI302" i="24"/>
  <c r="AH302" i="24"/>
  <c r="AG302" i="24"/>
  <c r="AF302" i="24"/>
  <c r="AE302" i="24"/>
  <c r="AD302" i="24"/>
  <c r="AB302" i="24"/>
  <c r="AA302" i="24"/>
  <c r="Z302" i="24"/>
  <c r="Y302" i="24"/>
  <c r="X302" i="24"/>
  <c r="W302" i="24"/>
  <c r="V302" i="24"/>
  <c r="U302" i="24"/>
  <c r="AN301" i="24"/>
  <c r="AM301" i="24"/>
  <c r="AL301" i="24"/>
  <c r="AK301" i="24"/>
  <c r="AJ301" i="24"/>
  <c r="AI301" i="24"/>
  <c r="AH301" i="24"/>
  <c r="AG301" i="24"/>
  <c r="AF301" i="24"/>
  <c r="AE301" i="24"/>
  <c r="AD301" i="24"/>
  <c r="AB301" i="24"/>
  <c r="AA301" i="24"/>
  <c r="Z301" i="24"/>
  <c r="Y301" i="24"/>
  <c r="X301" i="24"/>
  <c r="W301" i="24"/>
  <c r="V301" i="24"/>
  <c r="U301" i="24"/>
  <c r="AN300" i="24"/>
  <c r="AM300" i="24"/>
  <c r="AL300" i="24"/>
  <c r="AK300" i="24"/>
  <c r="AJ300" i="24"/>
  <c r="AI300" i="24"/>
  <c r="AH300" i="24"/>
  <c r="AG300" i="24"/>
  <c r="AF300" i="24"/>
  <c r="AE300" i="24"/>
  <c r="AD300" i="24"/>
  <c r="AB300" i="24"/>
  <c r="AA300" i="24"/>
  <c r="Z300" i="24"/>
  <c r="Y300" i="24"/>
  <c r="X300" i="24"/>
  <c r="W300" i="24"/>
  <c r="V300" i="24"/>
  <c r="U300" i="24"/>
  <c r="AN299" i="24"/>
  <c r="AM299" i="24"/>
  <c r="AL299" i="24"/>
  <c r="AK299" i="24"/>
  <c r="AJ299" i="24"/>
  <c r="AI299" i="24"/>
  <c r="AH299" i="24"/>
  <c r="AG299" i="24"/>
  <c r="AF299" i="24"/>
  <c r="AE299" i="24"/>
  <c r="AB299" i="24"/>
  <c r="AA299" i="24"/>
  <c r="Z299" i="24"/>
  <c r="Y299" i="24"/>
  <c r="X299" i="24"/>
  <c r="W299" i="24"/>
  <c r="V299" i="24"/>
  <c r="AN298" i="24"/>
  <c r="AM298" i="24"/>
  <c r="AL298" i="24"/>
  <c r="AK298" i="24"/>
  <c r="AJ298" i="24"/>
  <c r="AI298" i="24"/>
  <c r="AH298" i="24"/>
  <c r="AG298" i="24"/>
  <c r="AF298" i="24"/>
  <c r="AE298" i="24"/>
  <c r="AD298" i="24"/>
  <c r="AB298" i="24"/>
  <c r="AA298" i="24"/>
  <c r="Z298" i="24"/>
  <c r="Y298" i="24"/>
  <c r="X298" i="24"/>
  <c r="W298" i="24"/>
  <c r="V298" i="24"/>
  <c r="U298" i="24"/>
  <c r="AN297" i="24"/>
  <c r="AM297" i="24"/>
  <c r="AL297" i="24"/>
  <c r="AK297" i="24"/>
  <c r="AJ297" i="24"/>
  <c r="AI297" i="24"/>
  <c r="AH297" i="24"/>
  <c r="AG297" i="24"/>
  <c r="AF297" i="24"/>
  <c r="AE297" i="24"/>
  <c r="AD297" i="24"/>
  <c r="AB297" i="24"/>
  <c r="AA297" i="24"/>
  <c r="Z297" i="24"/>
  <c r="Y297" i="24"/>
  <c r="X297" i="24"/>
  <c r="W297" i="24"/>
  <c r="V297" i="24"/>
  <c r="U297" i="24"/>
  <c r="AN296" i="24"/>
  <c r="AM296" i="24"/>
  <c r="AL296" i="24"/>
  <c r="AK296" i="24"/>
  <c r="AJ296" i="24"/>
  <c r="AI296" i="24"/>
  <c r="AH296" i="24"/>
  <c r="AG296" i="24"/>
  <c r="AF296" i="24"/>
  <c r="AE296" i="24"/>
  <c r="AD296" i="24"/>
  <c r="AB296" i="24"/>
  <c r="AA296" i="24"/>
  <c r="Z296" i="24"/>
  <c r="Y296" i="24"/>
  <c r="X296" i="24"/>
  <c r="W296" i="24"/>
  <c r="V296" i="24"/>
  <c r="U296" i="24"/>
  <c r="AN295" i="24"/>
  <c r="AM295" i="24"/>
  <c r="AL295" i="24"/>
  <c r="AK295" i="24"/>
  <c r="AJ295" i="24"/>
  <c r="AI295" i="24"/>
  <c r="AH295" i="24"/>
  <c r="AG295" i="24"/>
  <c r="AF295" i="24"/>
  <c r="AE295" i="24"/>
  <c r="AD295" i="24"/>
  <c r="AB295" i="24"/>
  <c r="AA295" i="24"/>
  <c r="Z295" i="24"/>
  <c r="Y295" i="24"/>
  <c r="X295" i="24"/>
  <c r="W295" i="24"/>
  <c r="V295" i="24"/>
  <c r="U295" i="24"/>
  <c r="AN294" i="24"/>
  <c r="AM294" i="24"/>
  <c r="AL294" i="24"/>
  <c r="AK294" i="24"/>
  <c r="AJ294" i="24"/>
  <c r="AI294" i="24"/>
  <c r="AH294" i="24"/>
  <c r="AG294" i="24"/>
  <c r="AF294" i="24"/>
  <c r="AE294" i="24"/>
  <c r="AD294" i="24"/>
  <c r="AB294" i="24"/>
  <c r="AA294" i="24"/>
  <c r="Z294" i="24"/>
  <c r="Y294" i="24"/>
  <c r="X294" i="24"/>
  <c r="W294" i="24"/>
  <c r="V294" i="24"/>
  <c r="U294" i="24"/>
  <c r="AN293" i="24"/>
  <c r="AM293" i="24"/>
  <c r="AL293" i="24"/>
  <c r="AK293" i="24"/>
  <c r="AJ293" i="24"/>
  <c r="AI293" i="24"/>
  <c r="AH293" i="24"/>
  <c r="AG293" i="24"/>
  <c r="AF293" i="24"/>
  <c r="AE293" i="24"/>
  <c r="AD293" i="24"/>
  <c r="AB293" i="24"/>
  <c r="AA293" i="24"/>
  <c r="Z293" i="24"/>
  <c r="Y293" i="24"/>
  <c r="X293" i="24"/>
  <c r="W293" i="24"/>
  <c r="V293" i="24"/>
  <c r="U293" i="24"/>
  <c r="AN292" i="24"/>
  <c r="AM292" i="24"/>
  <c r="AL292" i="24"/>
  <c r="AK292" i="24"/>
  <c r="AJ292" i="24"/>
  <c r="AI292" i="24"/>
  <c r="AH292" i="24"/>
  <c r="AG292" i="24"/>
  <c r="AF292" i="24"/>
  <c r="AE292" i="24"/>
  <c r="AB292" i="24"/>
  <c r="AA292" i="24"/>
  <c r="Z292" i="24"/>
  <c r="Y292" i="24"/>
  <c r="X292" i="24"/>
  <c r="W292" i="24"/>
  <c r="V292" i="24"/>
  <c r="AN291" i="24"/>
  <c r="AM291" i="24"/>
  <c r="AL291" i="24"/>
  <c r="AK291" i="24"/>
  <c r="AJ291" i="24"/>
  <c r="AI291" i="24"/>
  <c r="AH291" i="24"/>
  <c r="AG291" i="24"/>
  <c r="AF291" i="24"/>
  <c r="AE291" i="24"/>
  <c r="AD291" i="24"/>
  <c r="AB291" i="24"/>
  <c r="AA291" i="24"/>
  <c r="Z291" i="24"/>
  <c r="Y291" i="24"/>
  <c r="X291" i="24"/>
  <c r="W291" i="24"/>
  <c r="V291" i="24"/>
  <c r="U291" i="24"/>
  <c r="AN290" i="24"/>
  <c r="AM290" i="24"/>
  <c r="AL290" i="24"/>
  <c r="AK290" i="24"/>
  <c r="AJ290" i="24"/>
  <c r="AI290" i="24"/>
  <c r="AH290" i="24"/>
  <c r="AG290" i="24"/>
  <c r="AF290" i="24"/>
  <c r="AE290" i="24"/>
  <c r="AD290" i="24"/>
  <c r="AB290" i="24"/>
  <c r="AA290" i="24"/>
  <c r="Z290" i="24"/>
  <c r="Y290" i="24"/>
  <c r="X290" i="24"/>
  <c r="W290" i="24"/>
  <c r="V290" i="24"/>
  <c r="U290" i="24"/>
  <c r="AN289" i="24"/>
  <c r="AM289" i="24"/>
  <c r="AL289" i="24"/>
  <c r="AK289" i="24"/>
  <c r="AJ289" i="24"/>
  <c r="AI289" i="24"/>
  <c r="AH289" i="24"/>
  <c r="AG289" i="24"/>
  <c r="AF289" i="24"/>
  <c r="AE289" i="24"/>
  <c r="AD289" i="24"/>
  <c r="AB289" i="24"/>
  <c r="AA289" i="24"/>
  <c r="Z289" i="24"/>
  <c r="Y289" i="24"/>
  <c r="X289" i="24"/>
  <c r="W289" i="24"/>
  <c r="V289" i="24"/>
  <c r="U289" i="24"/>
  <c r="AN288" i="24"/>
  <c r="AM288" i="24"/>
  <c r="AL288" i="24"/>
  <c r="AK288" i="24"/>
  <c r="AJ288" i="24"/>
  <c r="AI288" i="24"/>
  <c r="AH288" i="24"/>
  <c r="AG288" i="24"/>
  <c r="AF288" i="24"/>
  <c r="AE288" i="24"/>
  <c r="AB288" i="24"/>
  <c r="AA288" i="24"/>
  <c r="Z288" i="24"/>
  <c r="Y288" i="24"/>
  <c r="X288" i="24"/>
  <c r="W288" i="24"/>
  <c r="V288" i="24"/>
  <c r="AN287" i="24"/>
  <c r="AM287" i="24"/>
  <c r="AL287" i="24"/>
  <c r="AK287" i="24"/>
  <c r="AJ287" i="24"/>
  <c r="AI287" i="24"/>
  <c r="AH287" i="24"/>
  <c r="AG287" i="24"/>
  <c r="AF287" i="24"/>
  <c r="AE287" i="24"/>
  <c r="AD287" i="24"/>
  <c r="AB287" i="24"/>
  <c r="AA287" i="24"/>
  <c r="Z287" i="24"/>
  <c r="Y287" i="24"/>
  <c r="X287" i="24"/>
  <c r="W287" i="24"/>
  <c r="V287" i="24"/>
  <c r="U287" i="24"/>
  <c r="AN286" i="24"/>
  <c r="AM286" i="24"/>
  <c r="AL286" i="24"/>
  <c r="AK286" i="24"/>
  <c r="AJ286" i="24"/>
  <c r="AI286" i="24"/>
  <c r="AH286" i="24"/>
  <c r="AG286" i="24"/>
  <c r="AF286" i="24"/>
  <c r="AE286" i="24"/>
  <c r="AD286" i="24"/>
  <c r="AB286" i="24"/>
  <c r="AA286" i="24"/>
  <c r="Z286" i="24"/>
  <c r="Y286" i="24"/>
  <c r="X286" i="24"/>
  <c r="W286" i="24"/>
  <c r="V286" i="24"/>
  <c r="U286" i="24"/>
  <c r="AN285" i="24"/>
  <c r="AM285" i="24"/>
  <c r="AL285" i="24"/>
  <c r="AK285" i="24"/>
  <c r="AJ285" i="24"/>
  <c r="AI285" i="24"/>
  <c r="AH285" i="24"/>
  <c r="AG285" i="24"/>
  <c r="AF285" i="24"/>
  <c r="AE285" i="24"/>
  <c r="AD285" i="24"/>
  <c r="AB285" i="24"/>
  <c r="AA285" i="24"/>
  <c r="Z285" i="24"/>
  <c r="Y285" i="24"/>
  <c r="X285" i="24"/>
  <c r="W285" i="24"/>
  <c r="V285" i="24"/>
  <c r="U285" i="24"/>
  <c r="AN284" i="24"/>
  <c r="AM284" i="24"/>
  <c r="AL284" i="24"/>
  <c r="AK284" i="24"/>
  <c r="AJ284" i="24"/>
  <c r="AI284" i="24"/>
  <c r="AH284" i="24"/>
  <c r="AG284" i="24"/>
  <c r="AF284" i="24"/>
  <c r="AE284" i="24"/>
  <c r="AD284" i="24"/>
  <c r="AB284" i="24"/>
  <c r="AA284" i="24"/>
  <c r="Z284" i="24"/>
  <c r="Y284" i="24"/>
  <c r="X284" i="24"/>
  <c r="W284" i="24"/>
  <c r="V284" i="24"/>
  <c r="U284" i="24"/>
  <c r="AN283" i="24"/>
  <c r="AM283" i="24"/>
  <c r="AL283" i="24"/>
  <c r="AK283" i="24"/>
  <c r="AJ283" i="24"/>
  <c r="AI283" i="24"/>
  <c r="AH283" i="24"/>
  <c r="AG283" i="24"/>
  <c r="AF283" i="24"/>
  <c r="AE283" i="24"/>
  <c r="AD283" i="24"/>
  <c r="AB283" i="24"/>
  <c r="AA283" i="24"/>
  <c r="Z283" i="24"/>
  <c r="Y283" i="24"/>
  <c r="X283" i="24"/>
  <c r="W283" i="24"/>
  <c r="V283" i="24"/>
  <c r="U283" i="24"/>
  <c r="AN282" i="24"/>
  <c r="AM282" i="24"/>
  <c r="AL282" i="24"/>
  <c r="AK282" i="24"/>
  <c r="AJ282" i="24"/>
  <c r="AI282" i="24"/>
  <c r="AH282" i="24"/>
  <c r="AG282" i="24"/>
  <c r="AF282" i="24"/>
  <c r="AE282" i="24"/>
  <c r="AD282" i="24"/>
  <c r="AB282" i="24"/>
  <c r="AA282" i="24"/>
  <c r="Z282" i="24"/>
  <c r="Y282" i="24"/>
  <c r="X282" i="24"/>
  <c r="W282" i="24"/>
  <c r="V282" i="24"/>
  <c r="U282" i="24"/>
  <c r="AN281" i="24"/>
  <c r="AM281" i="24"/>
  <c r="AL281" i="24"/>
  <c r="AK281" i="24"/>
  <c r="AJ281" i="24"/>
  <c r="AI281" i="24"/>
  <c r="AH281" i="24"/>
  <c r="AG281" i="24"/>
  <c r="AF281" i="24"/>
  <c r="AE281" i="24"/>
  <c r="AB281" i="24"/>
  <c r="AA281" i="24"/>
  <c r="Z281" i="24"/>
  <c r="Y281" i="24"/>
  <c r="X281" i="24"/>
  <c r="W281" i="24"/>
  <c r="V281" i="24"/>
  <c r="AN280" i="24"/>
  <c r="AM280" i="24"/>
  <c r="AL280" i="24"/>
  <c r="AK280" i="24"/>
  <c r="AJ280" i="24"/>
  <c r="AI280" i="24"/>
  <c r="AH280" i="24"/>
  <c r="AG280" i="24"/>
  <c r="AF280" i="24"/>
  <c r="AE280" i="24"/>
  <c r="AB280" i="24"/>
  <c r="AA280" i="24"/>
  <c r="Z280" i="24"/>
  <c r="Y280" i="24"/>
  <c r="X280" i="24"/>
  <c r="W280" i="24"/>
  <c r="V280" i="24"/>
  <c r="AN279" i="24"/>
  <c r="AM279" i="24"/>
  <c r="AL279" i="24"/>
  <c r="AK279" i="24"/>
  <c r="AJ279" i="24"/>
  <c r="AI279" i="24"/>
  <c r="AH279" i="24"/>
  <c r="AG279" i="24"/>
  <c r="AF279" i="24"/>
  <c r="AE279" i="24"/>
  <c r="AD279" i="24"/>
  <c r="AB279" i="24"/>
  <c r="AA279" i="24"/>
  <c r="Z279" i="24"/>
  <c r="Y279" i="24"/>
  <c r="X279" i="24"/>
  <c r="W279" i="24"/>
  <c r="V279" i="24"/>
  <c r="U279" i="24"/>
  <c r="AN278" i="24"/>
  <c r="AM278" i="24"/>
  <c r="AL278" i="24"/>
  <c r="AK278" i="24"/>
  <c r="AJ278" i="24"/>
  <c r="AI278" i="24"/>
  <c r="AH278" i="24"/>
  <c r="AG278" i="24"/>
  <c r="AF278" i="24"/>
  <c r="AE278" i="24"/>
  <c r="AD278" i="24"/>
  <c r="AB278" i="24"/>
  <c r="AA278" i="24"/>
  <c r="Z278" i="24"/>
  <c r="Y278" i="24"/>
  <c r="X278" i="24"/>
  <c r="W278" i="24"/>
  <c r="V278" i="24"/>
  <c r="U278" i="24"/>
  <c r="AN277" i="24"/>
  <c r="AM277" i="24"/>
  <c r="AL277" i="24"/>
  <c r="AK277" i="24"/>
  <c r="AJ277" i="24"/>
  <c r="AI277" i="24"/>
  <c r="AH277" i="24"/>
  <c r="AG277" i="24"/>
  <c r="AF277" i="24"/>
  <c r="AE277" i="24"/>
  <c r="AD277" i="24"/>
  <c r="AB277" i="24"/>
  <c r="AA277" i="24"/>
  <c r="Z277" i="24"/>
  <c r="Y277" i="24"/>
  <c r="X277" i="24"/>
  <c r="W277" i="24"/>
  <c r="V277" i="24"/>
  <c r="U277" i="24"/>
  <c r="AN276" i="24"/>
  <c r="AM276" i="24"/>
  <c r="AL276" i="24"/>
  <c r="AK276" i="24"/>
  <c r="AJ276" i="24"/>
  <c r="AI276" i="24"/>
  <c r="AH276" i="24"/>
  <c r="AG276" i="24"/>
  <c r="AF276" i="24"/>
  <c r="AE276" i="24"/>
  <c r="AD276" i="24"/>
  <c r="AB276" i="24"/>
  <c r="AA276" i="24"/>
  <c r="Z276" i="24"/>
  <c r="Y276" i="24"/>
  <c r="X276" i="24"/>
  <c r="W276" i="24"/>
  <c r="V276" i="24"/>
  <c r="U276" i="24"/>
  <c r="AN275" i="24"/>
  <c r="AM275" i="24"/>
  <c r="AL275" i="24"/>
  <c r="AK275" i="24"/>
  <c r="AJ275" i="24"/>
  <c r="AI275" i="24"/>
  <c r="AH275" i="24"/>
  <c r="AG275" i="24"/>
  <c r="AF275" i="24"/>
  <c r="AE275" i="24"/>
  <c r="AD275" i="24"/>
  <c r="AB275" i="24"/>
  <c r="AA275" i="24"/>
  <c r="Z275" i="24"/>
  <c r="Y275" i="24"/>
  <c r="X275" i="24"/>
  <c r="W275" i="24"/>
  <c r="V275" i="24"/>
  <c r="U275" i="24"/>
  <c r="AN274" i="24"/>
  <c r="AM274" i="24"/>
  <c r="AL274" i="24"/>
  <c r="AK274" i="24"/>
  <c r="AJ274" i="24"/>
  <c r="AI274" i="24"/>
  <c r="AH274" i="24"/>
  <c r="AG274" i="24"/>
  <c r="AF274" i="24"/>
  <c r="AE274" i="24"/>
  <c r="AB274" i="24"/>
  <c r="AA274" i="24"/>
  <c r="Z274" i="24"/>
  <c r="Y274" i="24"/>
  <c r="X274" i="24"/>
  <c r="W274" i="24"/>
  <c r="V274" i="24"/>
  <c r="AN273" i="24"/>
  <c r="AM273" i="24"/>
  <c r="AL273" i="24"/>
  <c r="AK273" i="24"/>
  <c r="AJ273" i="24"/>
  <c r="AI273" i="24"/>
  <c r="AH273" i="24"/>
  <c r="AG273" i="24"/>
  <c r="AF273" i="24"/>
  <c r="AE273" i="24"/>
  <c r="AD273" i="24"/>
  <c r="AB273" i="24"/>
  <c r="AA273" i="24"/>
  <c r="Z273" i="24"/>
  <c r="Y273" i="24"/>
  <c r="X273" i="24"/>
  <c r="W273" i="24"/>
  <c r="V273" i="24"/>
  <c r="U273" i="24"/>
  <c r="AN272" i="24"/>
  <c r="AM272" i="24"/>
  <c r="AL272" i="24"/>
  <c r="AK272" i="24"/>
  <c r="AJ272" i="24"/>
  <c r="AI272" i="24"/>
  <c r="AH272" i="24"/>
  <c r="AG272" i="24"/>
  <c r="AF272" i="24"/>
  <c r="AE272" i="24"/>
  <c r="AD272" i="24"/>
  <c r="AB272" i="24"/>
  <c r="AA272" i="24"/>
  <c r="Z272" i="24"/>
  <c r="Y272" i="24"/>
  <c r="X272" i="24"/>
  <c r="W272" i="24"/>
  <c r="V272" i="24"/>
  <c r="U272" i="24"/>
  <c r="AN271" i="24"/>
  <c r="AM271" i="24"/>
  <c r="AL271" i="24"/>
  <c r="AK271" i="24"/>
  <c r="AJ271" i="24"/>
  <c r="AI271" i="24"/>
  <c r="AH271" i="24"/>
  <c r="AG271" i="24"/>
  <c r="AF271" i="24"/>
  <c r="AE271" i="24"/>
  <c r="AD271" i="24"/>
  <c r="AB271" i="24"/>
  <c r="AA271" i="24"/>
  <c r="Z271" i="24"/>
  <c r="Y271" i="24"/>
  <c r="X271" i="24"/>
  <c r="W271" i="24"/>
  <c r="V271" i="24"/>
  <c r="U271" i="24"/>
  <c r="AN270" i="24"/>
  <c r="AM270" i="24"/>
  <c r="AL270" i="24"/>
  <c r="AK270" i="24"/>
  <c r="AJ270" i="24"/>
  <c r="AI270" i="24"/>
  <c r="AH270" i="24"/>
  <c r="AG270" i="24"/>
  <c r="AF270" i="24"/>
  <c r="AE270" i="24"/>
  <c r="AD270" i="24"/>
  <c r="AB270" i="24"/>
  <c r="AA270" i="24"/>
  <c r="Z270" i="24"/>
  <c r="Y270" i="24"/>
  <c r="X270" i="24"/>
  <c r="W270" i="24"/>
  <c r="V270" i="24"/>
  <c r="U270" i="24"/>
  <c r="AN269" i="24"/>
  <c r="AM269" i="24"/>
  <c r="AL269" i="24"/>
  <c r="AK269" i="24"/>
  <c r="AJ269" i="24"/>
  <c r="AI269" i="24"/>
  <c r="AH269" i="24"/>
  <c r="AG269" i="24"/>
  <c r="AF269" i="24"/>
  <c r="AE269" i="24"/>
  <c r="AD269" i="24"/>
  <c r="AB269" i="24"/>
  <c r="AA269" i="24"/>
  <c r="Z269" i="24"/>
  <c r="Y269" i="24"/>
  <c r="X269" i="24"/>
  <c r="W269" i="24"/>
  <c r="V269" i="24"/>
  <c r="U269" i="24"/>
  <c r="AN268" i="24"/>
  <c r="AM268" i="24"/>
  <c r="AL268" i="24"/>
  <c r="AK268" i="24"/>
  <c r="AJ268" i="24"/>
  <c r="AI268" i="24"/>
  <c r="AH268" i="24"/>
  <c r="AG268" i="24"/>
  <c r="AF268" i="24"/>
  <c r="AE268" i="24"/>
  <c r="AD268" i="24"/>
  <c r="AB268" i="24"/>
  <c r="AA268" i="24"/>
  <c r="Z268" i="24"/>
  <c r="Y268" i="24"/>
  <c r="X268" i="24"/>
  <c r="W268" i="24"/>
  <c r="V268" i="24"/>
  <c r="U268" i="24"/>
  <c r="AN267" i="24"/>
  <c r="AM267" i="24"/>
  <c r="AL267" i="24"/>
  <c r="AK267" i="24"/>
  <c r="AJ267" i="24"/>
  <c r="AI267" i="24"/>
  <c r="AH267" i="24"/>
  <c r="AG267" i="24"/>
  <c r="AF267" i="24"/>
  <c r="AE267" i="24"/>
  <c r="AD267" i="24"/>
  <c r="AB267" i="24"/>
  <c r="AA267" i="24"/>
  <c r="Z267" i="24"/>
  <c r="Y267" i="24"/>
  <c r="X267" i="24"/>
  <c r="W267" i="24"/>
  <c r="V267" i="24"/>
  <c r="U267" i="24"/>
  <c r="AN266" i="24"/>
  <c r="AM266" i="24"/>
  <c r="AL266" i="24"/>
  <c r="AK266" i="24"/>
  <c r="AJ266" i="24"/>
  <c r="AI266" i="24"/>
  <c r="AH266" i="24"/>
  <c r="AG266" i="24"/>
  <c r="AF266" i="24"/>
  <c r="AE266" i="24"/>
  <c r="AD266" i="24"/>
  <c r="AB266" i="24"/>
  <c r="AA266" i="24"/>
  <c r="Z266" i="24"/>
  <c r="Y266" i="24"/>
  <c r="X266" i="24"/>
  <c r="W266" i="24"/>
  <c r="V266" i="24"/>
  <c r="U266" i="24"/>
  <c r="AN265" i="24"/>
  <c r="AM265" i="24"/>
  <c r="AL265" i="24"/>
  <c r="AK265" i="24"/>
  <c r="AJ265" i="24"/>
  <c r="AI265" i="24"/>
  <c r="AH265" i="24"/>
  <c r="AG265" i="24"/>
  <c r="AF265" i="24"/>
  <c r="AE265" i="24"/>
  <c r="AD265" i="24"/>
  <c r="AB265" i="24"/>
  <c r="AA265" i="24"/>
  <c r="Z265" i="24"/>
  <c r="Y265" i="24"/>
  <c r="X265" i="24"/>
  <c r="W265" i="24"/>
  <c r="V265" i="24"/>
  <c r="U265" i="24"/>
  <c r="AN264" i="24"/>
  <c r="AM264" i="24"/>
  <c r="AL264" i="24"/>
  <c r="AK264" i="24"/>
  <c r="AJ264" i="24"/>
  <c r="AI264" i="24"/>
  <c r="AH264" i="24"/>
  <c r="AG264" i="24"/>
  <c r="AF264" i="24"/>
  <c r="AE264" i="24"/>
  <c r="AD264" i="24"/>
  <c r="AB264" i="24"/>
  <c r="AA264" i="24"/>
  <c r="Z264" i="24"/>
  <c r="Y264" i="24"/>
  <c r="X264" i="24"/>
  <c r="W264" i="24"/>
  <c r="V264" i="24"/>
  <c r="U264" i="24"/>
  <c r="AN263" i="24"/>
  <c r="AM263" i="24"/>
  <c r="AL263" i="24"/>
  <c r="AK263" i="24"/>
  <c r="AJ263" i="24"/>
  <c r="AI263" i="24"/>
  <c r="AH263" i="24"/>
  <c r="AG263" i="24"/>
  <c r="AF263" i="24"/>
  <c r="AE263" i="24"/>
  <c r="AD263" i="24"/>
  <c r="AB263" i="24"/>
  <c r="AA263" i="24"/>
  <c r="Z263" i="24"/>
  <c r="Y263" i="24"/>
  <c r="X263" i="24"/>
  <c r="W263" i="24"/>
  <c r="V263" i="24"/>
  <c r="U263" i="24"/>
  <c r="AN262" i="24"/>
  <c r="AM262" i="24"/>
  <c r="AL262" i="24"/>
  <c r="AK262" i="24"/>
  <c r="AJ262" i="24"/>
  <c r="AI262" i="24"/>
  <c r="AH262" i="24"/>
  <c r="AG262" i="24"/>
  <c r="AF262" i="24"/>
  <c r="AE262" i="24"/>
  <c r="AD262" i="24"/>
  <c r="AB262" i="24"/>
  <c r="AA262" i="24"/>
  <c r="Z262" i="24"/>
  <c r="Y262" i="24"/>
  <c r="X262" i="24"/>
  <c r="W262" i="24"/>
  <c r="V262" i="24"/>
  <c r="U262" i="24"/>
  <c r="AN261" i="24"/>
  <c r="AM261" i="24"/>
  <c r="AL261" i="24"/>
  <c r="AK261" i="24"/>
  <c r="AJ261" i="24"/>
  <c r="AI261" i="24"/>
  <c r="AH261" i="24"/>
  <c r="AG261" i="24"/>
  <c r="AF261" i="24"/>
  <c r="AE261" i="24"/>
  <c r="AD261" i="24"/>
  <c r="AB261" i="24"/>
  <c r="AA261" i="24"/>
  <c r="Z261" i="24"/>
  <c r="Y261" i="24"/>
  <c r="X261" i="24"/>
  <c r="W261" i="24"/>
  <c r="V261" i="24"/>
  <c r="U261" i="24"/>
  <c r="AN260" i="24"/>
  <c r="AM260" i="24"/>
  <c r="AL260" i="24"/>
  <c r="AK260" i="24"/>
  <c r="AJ260" i="24"/>
  <c r="AI260" i="24"/>
  <c r="AH260" i="24"/>
  <c r="AG260" i="24"/>
  <c r="AF260" i="24"/>
  <c r="AE260" i="24"/>
  <c r="AD260" i="24"/>
  <c r="AB260" i="24"/>
  <c r="AA260" i="24"/>
  <c r="Z260" i="24"/>
  <c r="Y260" i="24"/>
  <c r="X260" i="24"/>
  <c r="W260" i="24"/>
  <c r="V260" i="24"/>
  <c r="U260" i="24"/>
  <c r="AN259" i="24"/>
  <c r="AM259" i="24"/>
  <c r="AL259" i="24"/>
  <c r="AK259" i="24"/>
  <c r="AJ259" i="24"/>
  <c r="AI259" i="24"/>
  <c r="AH259" i="24"/>
  <c r="AG259" i="24"/>
  <c r="AF259" i="24"/>
  <c r="AE259" i="24"/>
  <c r="AB259" i="24"/>
  <c r="AA259" i="24"/>
  <c r="Z259" i="24"/>
  <c r="Y259" i="24"/>
  <c r="X259" i="24"/>
  <c r="W259" i="24"/>
  <c r="V259" i="24"/>
  <c r="AN258" i="24"/>
  <c r="AM258" i="24"/>
  <c r="AL258" i="24"/>
  <c r="AK258" i="24"/>
  <c r="AJ258" i="24"/>
  <c r="AI258" i="24"/>
  <c r="AH258" i="24"/>
  <c r="AG258" i="24"/>
  <c r="AF258" i="24"/>
  <c r="AE258" i="24"/>
  <c r="AB258" i="24"/>
  <c r="AA258" i="24"/>
  <c r="Z258" i="24"/>
  <c r="Y258" i="24"/>
  <c r="X258" i="24"/>
  <c r="W258" i="24"/>
  <c r="V258" i="24"/>
  <c r="AN257" i="24"/>
  <c r="AM257" i="24"/>
  <c r="AL257" i="24"/>
  <c r="AK257" i="24"/>
  <c r="AJ257" i="24"/>
  <c r="AI257" i="24"/>
  <c r="AH257" i="24"/>
  <c r="AG257" i="24"/>
  <c r="AF257" i="24"/>
  <c r="AE257" i="24"/>
  <c r="AD257" i="24"/>
  <c r="AB257" i="24"/>
  <c r="AA257" i="24"/>
  <c r="Z257" i="24"/>
  <c r="Y257" i="24"/>
  <c r="X257" i="24"/>
  <c r="W257" i="24"/>
  <c r="V257" i="24"/>
  <c r="U257" i="24"/>
  <c r="AN256" i="24"/>
  <c r="AM256" i="24"/>
  <c r="AL256" i="24"/>
  <c r="AK256" i="24"/>
  <c r="AJ256" i="24"/>
  <c r="AI256" i="24"/>
  <c r="AH256" i="24"/>
  <c r="AG256" i="24"/>
  <c r="AF256" i="24"/>
  <c r="AE256" i="24"/>
  <c r="AD256" i="24"/>
  <c r="AB256" i="24"/>
  <c r="AA256" i="24"/>
  <c r="Z256" i="24"/>
  <c r="Y256" i="24"/>
  <c r="X256" i="24"/>
  <c r="W256" i="24"/>
  <c r="V256" i="24"/>
  <c r="U256" i="24"/>
  <c r="AN255" i="24"/>
  <c r="AM255" i="24"/>
  <c r="AL255" i="24"/>
  <c r="AK255" i="24"/>
  <c r="AJ255" i="24"/>
  <c r="AI255" i="24"/>
  <c r="AH255" i="24"/>
  <c r="AG255" i="24"/>
  <c r="AF255" i="24"/>
  <c r="AE255" i="24"/>
  <c r="AD255" i="24"/>
  <c r="AB255" i="24"/>
  <c r="AA255" i="24"/>
  <c r="Z255" i="24"/>
  <c r="Y255" i="24"/>
  <c r="X255" i="24"/>
  <c r="W255" i="24"/>
  <c r="V255" i="24"/>
  <c r="U255" i="24"/>
  <c r="AN254" i="24"/>
  <c r="AM254" i="24"/>
  <c r="AL254" i="24"/>
  <c r="AK254" i="24"/>
  <c r="AJ254" i="24"/>
  <c r="AI254" i="24"/>
  <c r="AH254" i="24"/>
  <c r="AG254" i="24"/>
  <c r="AF254" i="24"/>
  <c r="AE254" i="24"/>
  <c r="AD254" i="24"/>
  <c r="AB254" i="24"/>
  <c r="AA254" i="24"/>
  <c r="Z254" i="24"/>
  <c r="Y254" i="24"/>
  <c r="X254" i="24"/>
  <c r="W254" i="24"/>
  <c r="V254" i="24"/>
  <c r="U254" i="24"/>
  <c r="AN253" i="24"/>
  <c r="AM253" i="24"/>
  <c r="AL253" i="24"/>
  <c r="AK253" i="24"/>
  <c r="AJ253" i="24"/>
  <c r="AI253" i="24"/>
  <c r="AH253" i="24"/>
  <c r="AG253" i="24"/>
  <c r="AF253" i="24"/>
  <c r="AE253" i="24"/>
  <c r="AD253" i="24"/>
  <c r="AB253" i="24"/>
  <c r="AA253" i="24"/>
  <c r="Z253" i="24"/>
  <c r="Y253" i="24"/>
  <c r="X253" i="24"/>
  <c r="W253" i="24"/>
  <c r="V253" i="24"/>
  <c r="U253" i="24"/>
  <c r="AN252" i="24"/>
  <c r="AM252" i="24"/>
  <c r="AL252" i="24"/>
  <c r="AK252" i="24"/>
  <c r="AJ252" i="24"/>
  <c r="AI252" i="24"/>
  <c r="AH252" i="24"/>
  <c r="AG252" i="24"/>
  <c r="AF252" i="24"/>
  <c r="AE252" i="24"/>
  <c r="AD252" i="24"/>
  <c r="AB252" i="24"/>
  <c r="AA252" i="24"/>
  <c r="Z252" i="24"/>
  <c r="Y252" i="24"/>
  <c r="X252" i="24"/>
  <c r="W252" i="24"/>
  <c r="V252" i="24"/>
  <c r="U252" i="24"/>
  <c r="AN251" i="24"/>
  <c r="AM251" i="24"/>
  <c r="AL251" i="24"/>
  <c r="AK251" i="24"/>
  <c r="AJ251" i="24"/>
  <c r="AI251" i="24"/>
  <c r="AH251" i="24"/>
  <c r="AG251" i="24"/>
  <c r="AF251" i="24"/>
  <c r="AE251" i="24"/>
  <c r="AD251" i="24"/>
  <c r="AB251" i="24"/>
  <c r="AA251" i="24"/>
  <c r="Z251" i="24"/>
  <c r="Y251" i="24"/>
  <c r="X251" i="24"/>
  <c r="W251" i="24"/>
  <c r="V251" i="24"/>
  <c r="U251" i="24"/>
  <c r="AN250" i="24"/>
  <c r="AM250" i="24"/>
  <c r="AL250" i="24"/>
  <c r="AK250" i="24"/>
  <c r="AJ250" i="24"/>
  <c r="AI250" i="24"/>
  <c r="AH250" i="24"/>
  <c r="AG250" i="24"/>
  <c r="AF250" i="24"/>
  <c r="AE250" i="24"/>
  <c r="AD250" i="24"/>
  <c r="AB250" i="24"/>
  <c r="AA250" i="24"/>
  <c r="Z250" i="24"/>
  <c r="Y250" i="24"/>
  <c r="X250" i="24"/>
  <c r="W250" i="24"/>
  <c r="V250" i="24"/>
  <c r="U250" i="24"/>
  <c r="AN249" i="24"/>
  <c r="AM249" i="24"/>
  <c r="AL249" i="24"/>
  <c r="AK249" i="24"/>
  <c r="AJ249" i="24"/>
  <c r="AI249" i="24"/>
  <c r="AH249" i="24"/>
  <c r="AG249" i="24"/>
  <c r="AF249" i="24"/>
  <c r="AE249" i="24"/>
  <c r="AB249" i="24"/>
  <c r="AA249" i="24"/>
  <c r="Z249" i="24"/>
  <c r="Y249" i="24"/>
  <c r="X249" i="24"/>
  <c r="W249" i="24"/>
  <c r="V249" i="24"/>
  <c r="AN248" i="24"/>
  <c r="AM248" i="24"/>
  <c r="AL248" i="24"/>
  <c r="AK248" i="24"/>
  <c r="AJ248" i="24"/>
  <c r="AI248" i="24"/>
  <c r="AH248" i="24"/>
  <c r="AG248" i="24"/>
  <c r="AF248" i="24"/>
  <c r="AE248" i="24"/>
  <c r="AD248" i="24"/>
  <c r="AB248" i="24"/>
  <c r="AA248" i="24"/>
  <c r="Z248" i="24"/>
  <c r="Y248" i="24"/>
  <c r="X248" i="24"/>
  <c r="W248" i="24"/>
  <c r="V248" i="24"/>
  <c r="U248" i="24"/>
  <c r="AN247" i="24"/>
  <c r="AM247" i="24"/>
  <c r="AL247" i="24"/>
  <c r="AK247" i="24"/>
  <c r="AJ247" i="24"/>
  <c r="AI247" i="24"/>
  <c r="AH247" i="24"/>
  <c r="AG247" i="24"/>
  <c r="AF247" i="24"/>
  <c r="AE247" i="24"/>
  <c r="AD247" i="24"/>
  <c r="AB247" i="24"/>
  <c r="AA247" i="24"/>
  <c r="Z247" i="24"/>
  <c r="Y247" i="24"/>
  <c r="X247" i="24"/>
  <c r="W247" i="24"/>
  <c r="V247" i="24"/>
  <c r="U247" i="24"/>
  <c r="AN246" i="24"/>
  <c r="AM246" i="24"/>
  <c r="AL246" i="24"/>
  <c r="AK246" i="24"/>
  <c r="AJ246" i="24"/>
  <c r="AI246" i="24"/>
  <c r="AH246" i="24"/>
  <c r="AG246" i="24"/>
  <c r="AF246" i="24"/>
  <c r="AE246" i="24"/>
  <c r="AD246" i="24"/>
  <c r="AB246" i="24"/>
  <c r="AA246" i="24"/>
  <c r="Z246" i="24"/>
  <c r="Y246" i="24"/>
  <c r="X246" i="24"/>
  <c r="W246" i="24"/>
  <c r="V246" i="24"/>
  <c r="U246" i="24"/>
  <c r="AN245" i="24"/>
  <c r="AM245" i="24"/>
  <c r="AL245" i="24"/>
  <c r="AK245" i="24"/>
  <c r="AJ245" i="24"/>
  <c r="AI245" i="24"/>
  <c r="AH245" i="24"/>
  <c r="AG245" i="24"/>
  <c r="AF245" i="24"/>
  <c r="AE245" i="24"/>
  <c r="AD245" i="24"/>
  <c r="AB245" i="24"/>
  <c r="AA245" i="24"/>
  <c r="Z245" i="24"/>
  <c r="Y245" i="24"/>
  <c r="X245" i="24"/>
  <c r="W245" i="24"/>
  <c r="V245" i="24"/>
  <c r="U245" i="24"/>
  <c r="AN244" i="24"/>
  <c r="AM244" i="24"/>
  <c r="AL244" i="24"/>
  <c r="AK244" i="24"/>
  <c r="AJ244" i="24"/>
  <c r="AI244" i="24"/>
  <c r="AH244" i="24"/>
  <c r="AG244" i="24"/>
  <c r="AF244" i="24"/>
  <c r="AE244" i="24"/>
  <c r="AD244" i="24"/>
  <c r="AB244" i="24"/>
  <c r="AA244" i="24"/>
  <c r="Z244" i="24"/>
  <c r="Y244" i="24"/>
  <c r="X244" i="24"/>
  <c r="W244" i="24"/>
  <c r="V244" i="24"/>
  <c r="U244" i="24"/>
  <c r="AN243" i="24"/>
  <c r="AM243" i="24"/>
  <c r="AL243" i="24"/>
  <c r="AK243" i="24"/>
  <c r="AJ243" i="24"/>
  <c r="AI243" i="24"/>
  <c r="AH243" i="24"/>
  <c r="AG243" i="24"/>
  <c r="AF243" i="24"/>
  <c r="AE243" i="24"/>
  <c r="AD243" i="24"/>
  <c r="AB243" i="24"/>
  <c r="AA243" i="24"/>
  <c r="Z243" i="24"/>
  <c r="Y243" i="24"/>
  <c r="X243" i="24"/>
  <c r="W243" i="24"/>
  <c r="V243" i="24"/>
  <c r="U243" i="24"/>
  <c r="AN242" i="24"/>
  <c r="AM242" i="24"/>
  <c r="AL242" i="24"/>
  <c r="AK242" i="24"/>
  <c r="AJ242" i="24"/>
  <c r="AI242" i="24"/>
  <c r="AH242" i="24"/>
  <c r="AG242" i="24"/>
  <c r="AF242" i="24"/>
  <c r="AE242" i="24"/>
  <c r="AB242" i="24"/>
  <c r="AA242" i="24"/>
  <c r="Z242" i="24"/>
  <c r="Y242" i="24"/>
  <c r="X242" i="24"/>
  <c r="W242" i="24"/>
  <c r="V242" i="24"/>
  <c r="AN241" i="24"/>
  <c r="AM241" i="24"/>
  <c r="AL241" i="24"/>
  <c r="AK241" i="24"/>
  <c r="AJ241" i="24"/>
  <c r="AI241" i="24"/>
  <c r="AH241" i="24"/>
  <c r="AG241" i="24"/>
  <c r="AF241" i="24"/>
  <c r="AE241" i="24"/>
  <c r="AD241" i="24"/>
  <c r="AB241" i="24"/>
  <c r="AA241" i="24"/>
  <c r="Z241" i="24"/>
  <c r="Y241" i="24"/>
  <c r="X241" i="24"/>
  <c r="W241" i="24"/>
  <c r="V241" i="24"/>
  <c r="U241" i="24"/>
  <c r="AN240" i="24"/>
  <c r="AM240" i="24"/>
  <c r="AL240" i="24"/>
  <c r="AK240" i="24"/>
  <c r="AJ240" i="24"/>
  <c r="AI240" i="24"/>
  <c r="AH240" i="24"/>
  <c r="AG240" i="24"/>
  <c r="AF240" i="24"/>
  <c r="AE240" i="24"/>
  <c r="AD240" i="24"/>
  <c r="AB240" i="24"/>
  <c r="AA240" i="24"/>
  <c r="Z240" i="24"/>
  <c r="Y240" i="24"/>
  <c r="X240" i="24"/>
  <c r="W240" i="24"/>
  <c r="V240" i="24"/>
  <c r="U240" i="24"/>
  <c r="AN239" i="24"/>
  <c r="AM239" i="24"/>
  <c r="AL239" i="24"/>
  <c r="AK239" i="24"/>
  <c r="AJ239" i="24"/>
  <c r="AI239" i="24"/>
  <c r="AH239" i="24"/>
  <c r="AG239" i="24"/>
  <c r="AF239" i="24"/>
  <c r="AE239" i="24"/>
  <c r="AD239" i="24"/>
  <c r="AB239" i="24"/>
  <c r="AA239" i="24"/>
  <c r="Z239" i="24"/>
  <c r="Y239" i="24"/>
  <c r="X239" i="24"/>
  <c r="W239" i="24"/>
  <c r="V239" i="24"/>
  <c r="U239" i="24"/>
  <c r="AN238" i="24"/>
  <c r="AM238" i="24"/>
  <c r="AL238" i="24"/>
  <c r="AK238" i="24"/>
  <c r="AJ238" i="24"/>
  <c r="AI238" i="24"/>
  <c r="AH238" i="24"/>
  <c r="AG238" i="24"/>
  <c r="AF238" i="24"/>
  <c r="AE238" i="24"/>
  <c r="AD238" i="24"/>
  <c r="AB238" i="24"/>
  <c r="AA238" i="24"/>
  <c r="Z238" i="24"/>
  <c r="Y238" i="24"/>
  <c r="X238" i="24"/>
  <c r="W238" i="24"/>
  <c r="V238" i="24"/>
  <c r="U238" i="24"/>
  <c r="AN237" i="24"/>
  <c r="AM237" i="24"/>
  <c r="AL237" i="24"/>
  <c r="AK237" i="24"/>
  <c r="AJ237" i="24"/>
  <c r="AI237" i="24"/>
  <c r="AH237" i="24"/>
  <c r="AG237" i="24"/>
  <c r="AF237" i="24"/>
  <c r="AE237" i="24"/>
  <c r="AD237" i="24"/>
  <c r="AB237" i="24"/>
  <c r="AA237" i="24"/>
  <c r="Z237" i="24"/>
  <c r="Y237" i="24"/>
  <c r="X237" i="24"/>
  <c r="W237" i="24"/>
  <c r="V237" i="24"/>
  <c r="U237" i="24"/>
  <c r="AN236" i="24"/>
  <c r="AM236" i="24"/>
  <c r="AL236" i="24"/>
  <c r="AK236" i="24"/>
  <c r="AJ236" i="24"/>
  <c r="AI236" i="24"/>
  <c r="AH236" i="24"/>
  <c r="AG236" i="24"/>
  <c r="AF236" i="24"/>
  <c r="AE236" i="24"/>
  <c r="AD236" i="24"/>
  <c r="AB236" i="24"/>
  <c r="AA236" i="24"/>
  <c r="Z236" i="24"/>
  <c r="Y236" i="24"/>
  <c r="X236" i="24"/>
  <c r="W236" i="24"/>
  <c r="V236" i="24"/>
  <c r="U236" i="24"/>
  <c r="AN235" i="24"/>
  <c r="AM235" i="24"/>
  <c r="AL235" i="24"/>
  <c r="AK235" i="24"/>
  <c r="AJ235" i="24"/>
  <c r="AI235" i="24"/>
  <c r="AH235" i="24"/>
  <c r="AG235" i="24"/>
  <c r="AF235" i="24"/>
  <c r="AE235" i="24"/>
  <c r="AD235" i="24"/>
  <c r="AB235" i="24"/>
  <c r="AA235" i="24"/>
  <c r="Z235" i="24"/>
  <c r="Y235" i="24"/>
  <c r="X235" i="24"/>
  <c r="W235" i="24"/>
  <c r="V235" i="24"/>
  <c r="U235" i="24"/>
  <c r="AN234" i="24"/>
  <c r="AM234" i="24"/>
  <c r="AL234" i="24"/>
  <c r="AK234" i="24"/>
  <c r="AJ234" i="24"/>
  <c r="AI234" i="24"/>
  <c r="AH234" i="24"/>
  <c r="AG234" i="24"/>
  <c r="AF234" i="24"/>
  <c r="AE234" i="24"/>
  <c r="AD234" i="24"/>
  <c r="AB234" i="24"/>
  <c r="AA234" i="24"/>
  <c r="Z234" i="24"/>
  <c r="Y234" i="24"/>
  <c r="X234" i="24"/>
  <c r="W234" i="24"/>
  <c r="V234" i="24"/>
  <c r="U234" i="24"/>
  <c r="AN233" i="24"/>
  <c r="AM233" i="24"/>
  <c r="AL233" i="24"/>
  <c r="AK233" i="24"/>
  <c r="AJ233" i="24"/>
  <c r="AI233" i="24"/>
  <c r="AH233" i="24"/>
  <c r="AG233" i="24"/>
  <c r="AF233" i="24"/>
  <c r="AE233" i="24"/>
  <c r="AD233" i="24"/>
  <c r="AB233" i="24"/>
  <c r="AA233" i="24"/>
  <c r="Z233" i="24"/>
  <c r="Y233" i="24"/>
  <c r="X233" i="24"/>
  <c r="W233" i="24"/>
  <c r="V233" i="24"/>
  <c r="U233" i="24"/>
  <c r="AN232" i="24"/>
  <c r="AM232" i="24"/>
  <c r="AL232" i="24"/>
  <c r="AK232" i="24"/>
  <c r="AJ232" i="24"/>
  <c r="AI232" i="24"/>
  <c r="AH232" i="24"/>
  <c r="AG232" i="24"/>
  <c r="AF232" i="24"/>
  <c r="AE232" i="24"/>
  <c r="AD232" i="24"/>
  <c r="AB232" i="24"/>
  <c r="AA232" i="24"/>
  <c r="Z232" i="24"/>
  <c r="Y232" i="24"/>
  <c r="X232" i="24"/>
  <c r="W232" i="24"/>
  <c r="V232" i="24"/>
  <c r="U232" i="24"/>
  <c r="AN231" i="24"/>
  <c r="AM231" i="24"/>
  <c r="AL231" i="24"/>
  <c r="AK231" i="24"/>
  <c r="AJ231" i="24"/>
  <c r="AI231" i="24"/>
  <c r="AH231" i="24"/>
  <c r="AG231" i="24"/>
  <c r="AF231" i="24"/>
  <c r="AE231" i="24"/>
  <c r="AD231" i="24"/>
  <c r="AB231" i="24"/>
  <c r="AA231" i="24"/>
  <c r="Z231" i="24"/>
  <c r="Y231" i="24"/>
  <c r="X231" i="24"/>
  <c r="W231" i="24"/>
  <c r="V231" i="24"/>
  <c r="U231" i="24"/>
  <c r="AN230" i="24"/>
  <c r="AM230" i="24"/>
  <c r="AL230" i="24"/>
  <c r="AK230" i="24"/>
  <c r="AJ230" i="24"/>
  <c r="AI230" i="24"/>
  <c r="AH230" i="24"/>
  <c r="AG230" i="24"/>
  <c r="AF230" i="24"/>
  <c r="AE230" i="24"/>
  <c r="AD230" i="24"/>
  <c r="AB230" i="24"/>
  <c r="AA230" i="24"/>
  <c r="Z230" i="24"/>
  <c r="Y230" i="24"/>
  <c r="X230" i="24"/>
  <c r="W230" i="24"/>
  <c r="V230" i="24"/>
  <c r="U230" i="24"/>
  <c r="AN229" i="24"/>
  <c r="AM229" i="24"/>
  <c r="AL229" i="24"/>
  <c r="AK229" i="24"/>
  <c r="AJ229" i="24"/>
  <c r="AI229" i="24"/>
  <c r="AH229" i="24"/>
  <c r="AG229" i="24"/>
  <c r="AF229" i="24"/>
  <c r="AE229" i="24"/>
  <c r="AD229" i="24"/>
  <c r="AB229" i="24"/>
  <c r="AA229" i="24"/>
  <c r="Z229" i="24"/>
  <c r="Y229" i="24"/>
  <c r="X229" i="24"/>
  <c r="W229" i="24"/>
  <c r="V229" i="24"/>
  <c r="U229" i="24"/>
  <c r="AN228" i="24"/>
  <c r="AM228" i="24"/>
  <c r="AL228" i="24"/>
  <c r="AK228" i="24"/>
  <c r="AJ228" i="24"/>
  <c r="AI228" i="24"/>
  <c r="AH228" i="24"/>
  <c r="AG228" i="24"/>
  <c r="AF228" i="24"/>
  <c r="AE228" i="24"/>
  <c r="AD228" i="24"/>
  <c r="AB228" i="24"/>
  <c r="AA228" i="24"/>
  <c r="Z228" i="24"/>
  <c r="Y228" i="24"/>
  <c r="X228" i="24"/>
  <c r="W228" i="24"/>
  <c r="V228" i="24"/>
  <c r="U228" i="24"/>
  <c r="AN227" i="24"/>
  <c r="AM227" i="24"/>
  <c r="AL227" i="24"/>
  <c r="AK227" i="24"/>
  <c r="AJ227" i="24"/>
  <c r="AI227" i="24"/>
  <c r="AH227" i="24"/>
  <c r="AG227" i="24"/>
  <c r="AF227" i="24"/>
  <c r="AE227" i="24"/>
  <c r="AD227" i="24"/>
  <c r="AB227" i="24"/>
  <c r="AA227" i="24"/>
  <c r="Z227" i="24"/>
  <c r="Y227" i="24"/>
  <c r="X227" i="24"/>
  <c r="W227" i="24"/>
  <c r="V227" i="24"/>
  <c r="U227" i="24"/>
  <c r="AN226" i="24"/>
  <c r="AM226" i="24"/>
  <c r="AL226" i="24"/>
  <c r="AK226" i="24"/>
  <c r="AJ226" i="24"/>
  <c r="AI226" i="24"/>
  <c r="AH226" i="24"/>
  <c r="AG226" i="24"/>
  <c r="AF226" i="24"/>
  <c r="AE226" i="24"/>
  <c r="AB226" i="24"/>
  <c r="AA226" i="24"/>
  <c r="Z226" i="24"/>
  <c r="Y226" i="24"/>
  <c r="X226" i="24"/>
  <c r="W226" i="24"/>
  <c r="V226" i="24"/>
  <c r="AN225" i="24"/>
  <c r="AM225" i="24"/>
  <c r="AL225" i="24"/>
  <c r="AK225" i="24"/>
  <c r="AJ225" i="24"/>
  <c r="AI225" i="24"/>
  <c r="AH225" i="24"/>
  <c r="AG225" i="24"/>
  <c r="AF225" i="24"/>
  <c r="AE225" i="24"/>
  <c r="AB225" i="24"/>
  <c r="AA225" i="24"/>
  <c r="Z225" i="24"/>
  <c r="Y225" i="24"/>
  <c r="X225" i="24"/>
  <c r="W225" i="24"/>
  <c r="V225" i="24"/>
  <c r="AN224" i="24"/>
  <c r="AM224" i="24"/>
  <c r="AL224" i="24"/>
  <c r="AK224" i="24"/>
  <c r="AJ224" i="24"/>
  <c r="AI224" i="24"/>
  <c r="AH224" i="24"/>
  <c r="AG224" i="24"/>
  <c r="AF224" i="24"/>
  <c r="AE224" i="24"/>
  <c r="AD224" i="24"/>
  <c r="AB224" i="24"/>
  <c r="AA224" i="24"/>
  <c r="Z224" i="24"/>
  <c r="Y224" i="24"/>
  <c r="X224" i="24"/>
  <c r="W224" i="24"/>
  <c r="V224" i="24"/>
  <c r="U224" i="24"/>
  <c r="AN223" i="24"/>
  <c r="AM223" i="24"/>
  <c r="AL223" i="24"/>
  <c r="AK223" i="24"/>
  <c r="AJ223" i="24"/>
  <c r="AI223" i="24"/>
  <c r="AH223" i="24"/>
  <c r="AG223" i="24"/>
  <c r="AF223" i="24"/>
  <c r="AE223" i="24"/>
  <c r="AD223" i="24"/>
  <c r="AB223" i="24"/>
  <c r="AA223" i="24"/>
  <c r="Z223" i="24"/>
  <c r="Y223" i="24"/>
  <c r="X223" i="24"/>
  <c r="W223" i="24"/>
  <c r="V223" i="24"/>
  <c r="U223" i="24"/>
  <c r="AN222" i="24"/>
  <c r="AM222" i="24"/>
  <c r="AL222" i="24"/>
  <c r="AK222" i="24"/>
  <c r="AJ222" i="24"/>
  <c r="AI222" i="24"/>
  <c r="AH222" i="24"/>
  <c r="AG222" i="24"/>
  <c r="AF222" i="24"/>
  <c r="AE222" i="24"/>
  <c r="AD222" i="24"/>
  <c r="AB222" i="24"/>
  <c r="AA222" i="24"/>
  <c r="Z222" i="24"/>
  <c r="Y222" i="24"/>
  <c r="X222" i="24"/>
  <c r="W222" i="24"/>
  <c r="V222" i="24"/>
  <c r="U222" i="24"/>
  <c r="AN221" i="24"/>
  <c r="AM221" i="24"/>
  <c r="AL221" i="24"/>
  <c r="AK221" i="24"/>
  <c r="AJ221" i="24"/>
  <c r="AI221" i="24"/>
  <c r="AH221" i="24"/>
  <c r="AG221" i="24"/>
  <c r="AF221" i="24"/>
  <c r="AE221" i="24"/>
  <c r="AD221" i="24"/>
  <c r="AB221" i="24"/>
  <c r="AA221" i="24"/>
  <c r="Z221" i="24"/>
  <c r="Y221" i="24"/>
  <c r="X221" i="24"/>
  <c r="W221" i="24"/>
  <c r="V221" i="24"/>
  <c r="U221" i="24"/>
  <c r="AN220" i="24"/>
  <c r="AM220" i="24"/>
  <c r="AL220" i="24"/>
  <c r="AK220" i="24"/>
  <c r="AJ220" i="24"/>
  <c r="AI220" i="24"/>
  <c r="AH220" i="24"/>
  <c r="AG220" i="24"/>
  <c r="AF220" i="24"/>
  <c r="AE220" i="24"/>
  <c r="AB220" i="24"/>
  <c r="AA220" i="24"/>
  <c r="Z220" i="24"/>
  <c r="Y220" i="24"/>
  <c r="X220" i="24"/>
  <c r="W220" i="24"/>
  <c r="V220" i="24"/>
  <c r="AN219" i="24"/>
  <c r="AM219" i="24"/>
  <c r="AL219" i="24"/>
  <c r="AK219" i="24"/>
  <c r="AJ219" i="24"/>
  <c r="AI219" i="24"/>
  <c r="AH219" i="24"/>
  <c r="AG219" i="24"/>
  <c r="AF219" i="24"/>
  <c r="AE219" i="24"/>
  <c r="AD219" i="24"/>
  <c r="AB219" i="24"/>
  <c r="AA219" i="24"/>
  <c r="Z219" i="24"/>
  <c r="Y219" i="24"/>
  <c r="X219" i="24"/>
  <c r="W219" i="24"/>
  <c r="V219" i="24"/>
  <c r="U219" i="24"/>
  <c r="AN218" i="24"/>
  <c r="AM218" i="24"/>
  <c r="AL218" i="24"/>
  <c r="AK218" i="24"/>
  <c r="AJ218" i="24"/>
  <c r="AI218" i="24"/>
  <c r="AH218" i="24"/>
  <c r="AG218" i="24"/>
  <c r="AF218" i="24"/>
  <c r="AE218" i="24"/>
  <c r="AD218" i="24"/>
  <c r="AB218" i="24"/>
  <c r="AA218" i="24"/>
  <c r="Z218" i="24"/>
  <c r="Y218" i="24"/>
  <c r="X218" i="24"/>
  <c r="W218" i="24"/>
  <c r="V218" i="24"/>
  <c r="U218" i="24"/>
  <c r="AN217" i="24"/>
  <c r="AM217" i="24"/>
  <c r="AL217" i="24"/>
  <c r="AK217" i="24"/>
  <c r="AJ217" i="24"/>
  <c r="AI217" i="24"/>
  <c r="AH217" i="24"/>
  <c r="AG217" i="24"/>
  <c r="AF217" i="24"/>
  <c r="AE217" i="24"/>
  <c r="AD217" i="24"/>
  <c r="AB217" i="24"/>
  <c r="AA217" i="24"/>
  <c r="Z217" i="24"/>
  <c r="Y217" i="24"/>
  <c r="X217" i="24"/>
  <c r="W217" i="24"/>
  <c r="V217" i="24"/>
  <c r="U217" i="24"/>
  <c r="AN216" i="24"/>
  <c r="AM216" i="24"/>
  <c r="AL216" i="24"/>
  <c r="AK216" i="24"/>
  <c r="AJ216" i="24"/>
  <c r="AI216" i="24"/>
  <c r="AH216" i="24"/>
  <c r="AG216" i="24"/>
  <c r="AF216" i="24"/>
  <c r="AE216" i="24"/>
  <c r="AD216" i="24"/>
  <c r="AB216" i="24"/>
  <c r="AA216" i="24"/>
  <c r="Z216" i="24"/>
  <c r="Y216" i="24"/>
  <c r="X216" i="24"/>
  <c r="W216" i="24"/>
  <c r="V216" i="24"/>
  <c r="U216" i="24"/>
  <c r="AN215" i="24"/>
  <c r="AM215" i="24"/>
  <c r="AL215" i="24"/>
  <c r="AK215" i="24"/>
  <c r="AJ215" i="24"/>
  <c r="AI215" i="24"/>
  <c r="AH215" i="24"/>
  <c r="AG215" i="24"/>
  <c r="AF215" i="24"/>
  <c r="AE215" i="24"/>
  <c r="AB215" i="24"/>
  <c r="AA215" i="24"/>
  <c r="Z215" i="24"/>
  <c r="Y215" i="24"/>
  <c r="X215" i="24"/>
  <c r="W215" i="24"/>
  <c r="V215" i="24"/>
  <c r="AN214" i="24"/>
  <c r="AM214" i="24"/>
  <c r="AL214" i="24"/>
  <c r="AK214" i="24"/>
  <c r="AJ214" i="24"/>
  <c r="AI214" i="24"/>
  <c r="AH214" i="24"/>
  <c r="AG214" i="24"/>
  <c r="AF214" i="24"/>
  <c r="AE214" i="24"/>
  <c r="AD214" i="24"/>
  <c r="AB214" i="24"/>
  <c r="AA214" i="24"/>
  <c r="Z214" i="24"/>
  <c r="Y214" i="24"/>
  <c r="X214" i="24"/>
  <c r="W214" i="24"/>
  <c r="V214" i="24"/>
  <c r="U214" i="24"/>
  <c r="AN213" i="24"/>
  <c r="AM213" i="24"/>
  <c r="AL213" i="24"/>
  <c r="AK213" i="24"/>
  <c r="AJ213" i="24"/>
  <c r="AI213" i="24"/>
  <c r="AH213" i="24"/>
  <c r="AG213" i="24"/>
  <c r="AF213" i="24"/>
  <c r="AE213" i="24"/>
  <c r="AD213" i="24"/>
  <c r="AB213" i="24"/>
  <c r="AA213" i="24"/>
  <c r="Z213" i="24"/>
  <c r="Y213" i="24"/>
  <c r="X213" i="24"/>
  <c r="W213" i="24"/>
  <c r="V213" i="24"/>
  <c r="U213" i="24"/>
  <c r="AN212" i="24"/>
  <c r="AM212" i="24"/>
  <c r="AL212" i="24"/>
  <c r="AK212" i="24"/>
  <c r="AJ212" i="24"/>
  <c r="AI212" i="24"/>
  <c r="AH212" i="24"/>
  <c r="AG212" i="24"/>
  <c r="AF212" i="24"/>
  <c r="AE212" i="24"/>
  <c r="AD212" i="24"/>
  <c r="AB212" i="24"/>
  <c r="AA212" i="24"/>
  <c r="Z212" i="24"/>
  <c r="Y212" i="24"/>
  <c r="X212" i="24"/>
  <c r="W212" i="24"/>
  <c r="V212" i="24"/>
  <c r="U212" i="24"/>
  <c r="AN211" i="24"/>
  <c r="AM211" i="24"/>
  <c r="AL211" i="24"/>
  <c r="AK211" i="24"/>
  <c r="AJ211" i="24"/>
  <c r="AI211" i="24"/>
  <c r="AH211" i="24"/>
  <c r="AG211" i="24"/>
  <c r="AF211" i="24"/>
  <c r="AE211" i="24"/>
  <c r="AD211" i="24"/>
  <c r="AB211" i="24"/>
  <c r="AA211" i="24"/>
  <c r="Z211" i="24"/>
  <c r="Y211" i="24"/>
  <c r="X211" i="24"/>
  <c r="W211" i="24"/>
  <c r="V211" i="24"/>
  <c r="U211" i="24"/>
  <c r="AN210" i="24"/>
  <c r="AM210" i="24"/>
  <c r="AL210" i="24"/>
  <c r="AK210" i="24"/>
  <c r="AJ210" i="24"/>
  <c r="AI210" i="24"/>
  <c r="AH210" i="24"/>
  <c r="AG210" i="24"/>
  <c r="AF210" i="24"/>
  <c r="AE210" i="24"/>
  <c r="AD210" i="24"/>
  <c r="AB210" i="24"/>
  <c r="AA210" i="24"/>
  <c r="Z210" i="24"/>
  <c r="Y210" i="24"/>
  <c r="X210" i="24"/>
  <c r="W210" i="24"/>
  <c r="V210" i="24"/>
  <c r="U210" i="24"/>
  <c r="AN209" i="24"/>
  <c r="AM209" i="24"/>
  <c r="AL209" i="24"/>
  <c r="AK209" i="24"/>
  <c r="AJ209" i="24"/>
  <c r="AI209" i="24"/>
  <c r="AH209" i="24"/>
  <c r="AG209" i="24"/>
  <c r="AF209" i="24"/>
  <c r="AE209" i="24"/>
  <c r="AD209" i="24"/>
  <c r="AB209" i="24"/>
  <c r="AA209" i="24"/>
  <c r="Z209" i="24"/>
  <c r="Y209" i="24"/>
  <c r="X209" i="24"/>
  <c r="W209" i="24"/>
  <c r="V209" i="24"/>
  <c r="U209" i="24"/>
  <c r="AN208" i="24"/>
  <c r="AM208" i="24"/>
  <c r="AL208" i="24"/>
  <c r="AK208" i="24"/>
  <c r="AJ208" i="24"/>
  <c r="AI208" i="24"/>
  <c r="AH208" i="24"/>
  <c r="AG208" i="24"/>
  <c r="AF208" i="24"/>
  <c r="AE208" i="24"/>
  <c r="AD208" i="24"/>
  <c r="AB208" i="24"/>
  <c r="AA208" i="24"/>
  <c r="Z208" i="24"/>
  <c r="Y208" i="24"/>
  <c r="X208" i="24"/>
  <c r="W208" i="24"/>
  <c r="V208" i="24"/>
  <c r="U208" i="24"/>
  <c r="AN207" i="24"/>
  <c r="AM207" i="24"/>
  <c r="AL207" i="24"/>
  <c r="AK207" i="24"/>
  <c r="AJ207" i="24"/>
  <c r="AI207" i="24"/>
  <c r="AH207" i="24"/>
  <c r="AG207" i="24"/>
  <c r="AF207" i="24"/>
  <c r="AE207" i="24"/>
  <c r="AD207" i="24"/>
  <c r="AB207" i="24"/>
  <c r="AA207" i="24"/>
  <c r="Z207" i="24"/>
  <c r="Y207" i="24"/>
  <c r="X207" i="24"/>
  <c r="W207" i="24"/>
  <c r="V207" i="24"/>
  <c r="U207" i="24"/>
  <c r="AN206" i="24"/>
  <c r="AM206" i="24"/>
  <c r="AL206" i="24"/>
  <c r="AK206" i="24"/>
  <c r="AJ206" i="24"/>
  <c r="AI206" i="24"/>
  <c r="AH206" i="24"/>
  <c r="AG206" i="24"/>
  <c r="AF206" i="24"/>
  <c r="AE206" i="24"/>
  <c r="AD206" i="24"/>
  <c r="AB206" i="24"/>
  <c r="AA206" i="24"/>
  <c r="Z206" i="24"/>
  <c r="Y206" i="24"/>
  <c r="X206" i="24"/>
  <c r="W206" i="24"/>
  <c r="V206" i="24"/>
  <c r="U206" i="24"/>
  <c r="AN205" i="24"/>
  <c r="AM205" i="24"/>
  <c r="AL205" i="24"/>
  <c r="AK205" i="24"/>
  <c r="AJ205" i="24"/>
  <c r="AI205" i="24"/>
  <c r="AH205" i="24"/>
  <c r="AG205" i="24"/>
  <c r="AF205" i="24"/>
  <c r="AE205" i="24"/>
  <c r="AD205" i="24"/>
  <c r="AB205" i="24"/>
  <c r="AA205" i="24"/>
  <c r="Z205" i="24"/>
  <c r="Y205" i="24"/>
  <c r="X205" i="24"/>
  <c r="W205" i="24"/>
  <c r="V205" i="24"/>
  <c r="U205" i="24"/>
  <c r="AN204" i="24"/>
  <c r="AM204" i="24"/>
  <c r="AL204" i="24"/>
  <c r="AK204" i="24"/>
  <c r="AJ204" i="24"/>
  <c r="AI204" i="24"/>
  <c r="AH204" i="24"/>
  <c r="AG204" i="24"/>
  <c r="AF204" i="24"/>
  <c r="AE204" i="24"/>
  <c r="AD204" i="24"/>
  <c r="AB204" i="24"/>
  <c r="AA204" i="24"/>
  <c r="Z204" i="24"/>
  <c r="Y204" i="24"/>
  <c r="X204" i="24"/>
  <c r="W204" i="24"/>
  <c r="V204" i="24"/>
  <c r="U204" i="24"/>
  <c r="AN203" i="24"/>
  <c r="AM203" i="24"/>
  <c r="AL203" i="24"/>
  <c r="AK203" i="24"/>
  <c r="AJ203" i="24"/>
  <c r="AI203" i="24"/>
  <c r="AH203" i="24"/>
  <c r="AG203" i="24"/>
  <c r="AF203" i="24"/>
  <c r="AE203" i="24"/>
  <c r="AD203" i="24"/>
  <c r="AB203" i="24"/>
  <c r="AA203" i="24"/>
  <c r="Z203" i="24"/>
  <c r="Y203" i="24"/>
  <c r="X203" i="24"/>
  <c r="W203" i="24"/>
  <c r="V203" i="24"/>
  <c r="U203" i="24"/>
  <c r="AN202" i="24"/>
  <c r="AM202" i="24"/>
  <c r="AL202" i="24"/>
  <c r="AK202" i="24"/>
  <c r="AJ202" i="24"/>
  <c r="AI202" i="24"/>
  <c r="AH202" i="24"/>
  <c r="AG202" i="24"/>
  <c r="AF202" i="24"/>
  <c r="AE202" i="24"/>
  <c r="AD202" i="24"/>
  <c r="AB202" i="24"/>
  <c r="AA202" i="24"/>
  <c r="Z202" i="24"/>
  <c r="Y202" i="24"/>
  <c r="X202" i="24"/>
  <c r="W202" i="24"/>
  <c r="V202" i="24"/>
  <c r="U202" i="24"/>
  <c r="AN201" i="24"/>
  <c r="AM201" i="24"/>
  <c r="AL201" i="24"/>
  <c r="AK201" i="24"/>
  <c r="AJ201" i="24"/>
  <c r="AI201" i="24"/>
  <c r="AH201" i="24"/>
  <c r="AG201" i="24"/>
  <c r="AF201" i="24"/>
  <c r="AE201" i="24"/>
  <c r="AD201" i="24"/>
  <c r="AB201" i="24"/>
  <c r="AA201" i="24"/>
  <c r="Z201" i="24"/>
  <c r="Y201" i="24"/>
  <c r="X201" i="24"/>
  <c r="W201" i="24"/>
  <c r="V201" i="24"/>
  <c r="U201" i="24"/>
  <c r="AN200" i="24"/>
  <c r="AM200" i="24"/>
  <c r="AL200" i="24"/>
  <c r="AK200" i="24"/>
  <c r="AJ200" i="24"/>
  <c r="AI200" i="24"/>
  <c r="AH200" i="24"/>
  <c r="AG200" i="24"/>
  <c r="AF200" i="24"/>
  <c r="AE200" i="24"/>
  <c r="AD200" i="24"/>
  <c r="AB200" i="24"/>
  <c r="AA200" i="24"/>
  <c r="Z200" i="24"/>
  <c r="Y200" i="24"/>
  <c r="X200" i="24"/>
  <c r="W200" i="24"/>
  <c r="V200" i="24"/>
  <c r="U200" i="24"/>
  <c r="AN199" i="24"/>
  <c r="AM199" i="24"/>
  <c r="AL199" i="24"/>
  <c r="AK199" i="24"/>
  <c r="AJ199" i="24"/>
  <c r="AI199" i="24"/>
  <c r="AH199" i="24"/>
  <c r="AG199" i="24"/>
  <c r="AF199" i="24"/>
  <c r="AE199" i="24"/>
  <c r="AB199" i="24"/>
  <c r="AA199" i="24"/>
  <c r="Z199" i="24"/>
  <c r="Y199" i="24"/>
  <c r="X199" i="24"/>
  <c r="W199" i="24"/>
  <c r="V199" i="24"/>
  <c r="AN198" i="24"/>
  <c r="AM198" i="24"/>
  <c r="AL198" i="24"/>
  <c r="AK198" i="24"/>
  <c r="AJ198" i="24"/>
  <c r="AI198" i="24"/>
  <c r="AH198" i="24"/>
  <c r="AG198" i="24"/>
  <c r="AF198" i="24"/>
  <c r="AE198" i="24"/>
  <c r="AD198" i="24"/>
  <c r="AB198" i="24"/>
  <c r="AA198" i="24"/>
  <c r="Z198" i="24"/>
  <c r="Y198" i="24"/>
  <c r="X198" i="24"/>
  <c r="W198" i="24"/>
  <c r="V198" i="24"/>
  <c r="U198" i="24"/>
  <c r="AN197" i="24"/>
  <c r="AM197" i="24"/>
  <c r="AL197" i="24"/>
  <c r="AK197" i="24"/>
  <c r="AJ197" i="24"/>
  <c r="AI197" i="24"/>
  <c r="AH197" i="24"/>
  <c r="AG197" i="24"/>
  <c r="AF197" i="24"/>
  <c r="AE197" i="24"/>
  <c r="AD197" i="24"/>
  <c r="AB197" i="24"/>
  <c r="AA197" i="24"/>
  <c r="Z197" i="24"/>
  <c r="Y197" i="24"/>
  <c r="X197" i="24"/>
  <c r="W197" i="24"/>
  <c r="V197" i="24"/>
  <c r="U197" i="24"/>
  <c r="AN196" i="24"/>
  <c r="AM196" i="24"/>
  <c r="AL196" i="24"/>
  <c r="AK196" i="24"/>
  <c r="AJ196" i="24"/>
  <c r="AI196" i="24"/>
  <c r="AH196" i="24"/>
  <c r="AG196" i="24"/>
  <c r="AF196" i="24"/>
  <c r="AE196" i="24"/>
  <c r="AD196" i="24"/>
  <c r="AB196" i="24"/>
  <c r="AA196" i="24"/>
  <c r="Z196" i="24"/>
  <c r="Y196" i="24"/>
  <c r="X196" i="24"/>
  <c r="W196" i="24"/>
  <c r="V196" i="24"/>
  <c r="U196" i="24"/>
  <c r="AN195" i="24"/>
  <c r="AM195" i="24"/>
  <c r="AL195" i="24"/>
  <c r="AK195" i="24"/>
  <c r="AJ195" i="24"/>
  <c r="AI195" i="24"/>
  <c r="AH195" i="24"/>
  <c r="AG195" i="24"/>
  <c r="AF195" i="24"/>
  <c r="AE195" i="24"/>
  <c r="AD195" i="24"/>
  <c r="AB195" i="24"/>
  <c r="AA195" i="24"/>
  <c r="Z195" i="24"/>
  <c r="Y195" i="24"/>
  <c r="X195" i="24"/>
  <c r="W195" i="24"/>
  <c r="V195" i="24"/>
  <c r="U195" i="24"/>
  <c r="AN194" i="24"/>
  <c r="AM194" i="24"/>
  <c r="AL194" i="24"/>
  <c r="AK194" i="24"/>
  <c r="AJ194" i="24"/>
  <c r="AI194" i="24"/>
  <c r="AH194" i="24"/>
  <c r="AG194" i="24"/>
  <c r="AF194" i="24"/>
  <c r="AE194" i="24"/>
  <c r="AD194" i="24"/>
  <c r="AB194" i="24"/>
  <c r="AA194" i="24"/>
  <c r="Z194" i="24"/>
  <c r="Y194" i="24"/>
  <c r="X194" i="24"/>
  <c r="W194" i="24"/>
  <c r="V194" i="24"/>
  <c r="U194" i="24"/>
  <c r="AN193" i="24"/>
  <c r="AM193" i="24"/>
  <c r="AL193" i="24"/>
  <c r="AK193" i="24"/>
  <c r="AJ193" i="24"/>
  <c r="AI193" i="24"/>
  <c r="AH193" i="24"/>
  <c r="AG193" i="24"/>
  <c r="AF193" i="24"/>
  <c r="AE193" i="24"/>
  <c r="AD193" i="24"/>
  <c r="AB193" i="24"/>
  <c r="AA193" i="24"/>
  <c r="Z193" i="24"/>
  <c r="Y193" i="24"/>
  <c r="X193" i="24"/>
  <c r="W193" i="24"/>
  <c r="V193" i="24"/>
  <c r="U193" i="24"/>
  <c r="AN192" i="24"/>
  <c r="AM192" i="24"/>
  <c r="AL192" i="24"/>
  <c r="AK192" i="24"/>
  <c r="AJ192" i="24"/>
  <c r="AI192" i="24"/>
  <c r="AH192" i="24"/>
  <c r="AG192" i="24"/>
  <c r="AF192" i="24"/>
  <c r="AE192" i="24"/>
  <c r="AD192" i="24"/>
  <c r="AB192" i="24"/>
  <c r="AA192" i="24"/>
  <c r="Z192" i="24"/>
  <c r="Y192" i="24"/>
  <c r="X192" i="24"/>
  <c r="W192" i="24"/>
  <c r="V192" i="24"/>
  <c r="U192" i="24"/>
  <c r="AN191" i="24"/>
  <c r="AM191" i="24"/>
  <c r="AL191" i="24"/>
  <c r="AK191" i="24"/>
  <c r="AJ191" i="24"/>
  <c r="AI191" i="24"/>
  <c r="AH191" i="24"/>
  <c r="AG191" i="24"/>
  <c r="AF191" i="24"/>
  <c r="AE191" i="24"/>
  <c r="AD191" i="24"/>
  <c r="AB191" i="24"/>
  <c r="AA191" i="24"/>
  <c r="Z191" i="24"/>
  <c r="Y191" i="24"/>
  <c r="X191" i="24"/>
  <c r="W191" i="24"/>
  <c r="V191" i="24"/>
  <c r="U191" i="24"/>
  <c r="AN190" i="24"/>
  <c r="AM190" i="24"/>
  <c r="AL190" i="24"/>
  <c r="AK190" i="24"/>
  <c r="AJ190" i="24"/>
  <c r="AI190" i="24"/>
  <c r="AH190" i="24"/>
  <c r="AG190" i="24"/>
  <c r="AF190" i="24"/>
  <c r="AE190" i="24"/>
  <c r="AB190" i="24"/>
  <c r="AA190" i="24"/>
  <c r="Z190" i="24"/>
  <c r="Y190" i="24"/>
  <c r="X190" i="24"/>
  <c r="W190" i="24"/>
  <c r="V190" i="24"/>
  <c r="AN189" i="24"/>
  <c r="AM189" i="24"/>
  <c r="AL189" i="24"/>
  <c r="AK189" i="24"/>
  <c r="AJ189" i="24"/>
  <c r="AI189" i="24"/>
  <c r="AH189" i="24"/>
  <c r="AG189" i="24"/>
  <c r="AF189" i="24"/>
  <c r="AE189" i="24"/>
  <c r="AD189" i="24"/>
  <c r="AB189" i="24"/>
  <c r="AA189" i="24"/>
  <c r="Z189" i="24"/>
  <c r="Y189" i="24"/>
  <c r="X189" i="24"/>
  <c r="W189" i="24"/>
  <c r="V189" i="24"/>
  <c r="U189" i="24"/>
  <c r="AN188" i="24"/>
  <c r="AM188" i="24"/>
  <c r="AL188" i="24"/>
  <c r="AK188" i="24"/>
  <c r="AJ188" i="24"/>
  <c r="AI188" i="24"/>
  <c r="AH188" i="24"/>
  <c r="AG188" i="24"/>
  <c r="AF188" i="24"/>
  <c r="AE188" i="24"/>
  <c r="AD188" i="24"/>
  <c r="AB188" i="24"/>
  <c r="AA188" i="24"/>
  <c r="Z188" i="24"/>
  <c r="Y188" i="24"/>
  <c r="X188" i="24"/>
  <c r="W188" i="24"/>
  <c r="V188" i="24"/>
  <c r="U188" i="24"/>
  <c r="AN187" i="24"/>
  <c r="AM187" i="24"/>
  <c r="AL187" i="24"/>
  <c r="AK187" i="24"/>
  <c r="AJ187" i="24"/>
  <c r="AI187" i="24"/>
  <c r="AH187" i="24"/>
  <c r="AG187" i="24"/>
  <c r="AF187" i="24"/>
  <c r="AE187" i="24"/>
  <c r="AD187" i="24"/>
  <c r="AB187" i="24"/>
  <c r="AA187" i="24"/>
  <c r="Z187" i="24"/>
  <c r="Y187" i="24"/>
  <c r="X187" i="24"/>
  <c r="W187" i="24"/>
  <c r="V187" i="24"/>
  <c r="U187" i="24"/>
  <c r="AN186" i="24"/>
  <c r="AM186" i="24"/>
  <c r="AL186" i="24"/>
  <c r="AK186" i="24"/>
  <c r="AJ186" i="24"/>
  <c r="AI186" i="24"/>
  <c r="AH186" i="24"/>
  <c r="AG186" i="24"/>
  <c r="AF186" i="24"/>
  <c r="AE186" i="24"/>
  <c r="AD186" i="24"/>
  <c r="AB186" i="24"/>
  <c r="AA186" i="24"/>
  <c r="Z186" i="24"/>
  <c r="Y186" i="24"/>
  <c r="X186" i="24"/>
  <c r="W186" i="24"/>
  <c r="V186" i="24"/>
  <c r="U186" i="24"/>
  <c r="AN185" i="24"/>
  <c r="AM185" i="24"/>
  <c r="AL185" i="24"/>
  <c r="AK185" i="24"/>
  <c r="AJ185" i="24"/>
  <c r="AI185" i="24"/>
  <c r="AH185" i="24"/>
  <c r="AG185" i="24"/>
  <c r="AF185" i="24"/>
  <c r="AE185" i="24"/>
  <c r="AD185" i="24"/>
  <c r="AB185" i="24"/>
  <c r="AA185" i="24"/>
  <c r="Z185" i="24"/>
  <c r="Y185" i="24"/>
  <c r="X185" i="24"/>
  <c r="W185" i="24"/>
  <c r="V185" i="24"/>
  <c r="U185" i="24"/>
  <c r="AN184" i="24"/>
  <c r="AM184" i="24"/>
  <c r="AL184" i="24"/>
  <c r="AK184" i="24"/>
  <c r="AJ184" i="24"/>
  <c r="AI184" i="24"/>
  <c r="AH184" i="24"/>
  <c r="AG184" i="24"/>
  <c r="AF184" i="24"/>
  <c r="AE184" i="24"/>
  <c r="AD184" i="24"/>
  <c r="AB184" i="24"/>
  <c r="AA184" i="24"/>
  <c r="Z184" i="24"/>
  <c r="Y184" i="24"/>
  <c r="X184" i="24"/>
  <c r="W184" i="24"/>
  <c r="V184" i="24"/>
  <c r="U184" i="24"/>
  <c r="AN183" i="24"/>
  <c r="AM183" i="24"/>
  <c r="AL183" i="24"/>
  <c r="AK183" i="24"/>
  <c r="AJ183" i="24"/>
  <c r="AI183" i="24"/>
  <c r="AH183" i="24"/>
  <c r="AG183" i="24"/>
  <c r="AF183" i="24"/>
  <c r="AE183" i="24"/>
  <c r="AD183" i="24"/>
  <c r="AB183" i="24"/>
  <c r="AA183" i="24"/>
  <c r="Z183" i="24"/>
  <c r="Y183" i="24"/>
  <c r="X183" i="24"/>
  <c r="W183" i="24"/>
  <c r="V183" i="24"/>
  <c r="U183" i="24"/>
  <c r="AN182" i="24"/>
  <c r="AM182" i="24"/>
  <c r="AL182" i="24"/>
  <c r="AK182" i="24"/>
  <c r="AJ182" i="24"/>
  <c r="AI182" i="24"/>
  <c r="AH182" i="24"/>
  <c r="AG182" i="24"/>
  <c r="AF182" i="24"/>
  <c r="AE182" i="24"/>
  <c r="AD182" i="24"/>
  <c r="AB182" i="24"/>
  <c r="AA182" i="24"/>
  <c r="Z182" i="24"/>
  <c r="Y182" i="24"/>
  <c r="X182" i="24"/>
  <c r="W182" i="24"/>
  <c r="V182" i="24"/>
  <c r="U182" i="24"/>
  <c r="AN181" i="24"/>
  <c r="AM181" i="24"/>
  <c r="AL181" i="24"/>
  <c r="AK181" i="24"/>
  <c r="AJ181" i="24"/>
  <c r="AI181" i="24"/>
  <c r="AH181" i="24"/>
  <c r="AG181" i="24"/>
  <c r="AF181" i="24"/>
  <c r="AE181" i="24"/>
  <c r="AB181" i="24"/>
  <c r="AA181" i="24"/>
  <c r="Z181" i="24"/>
  <c r="Y181" i="24"/>
  <c r="X181" i="24"/>
  <c r="W181" i="24"/>
  <c r="V181" i="24"/>
  <c r="AN180" i="24"/>
  <c r="AM180" i="24"/>
  <c r="AL180" i="24"/>
  <c r="AK180" i="24"/>
  <c r="AJ180" i="24"/>
  <c r="AI180" i="24"/>
  <c r="AH180" i="24"/>
  <c r="AG180" i="24"/>
  <c r="AF180" i="24"/>
  <c r="AE180" i="24"/>
  <c r="AD180" i="24"/>
  <c r="AB180" i="24"/>
  <c r="AA180" i="24"/>
  <c r="Z180" i="24"/>
  <c r="Y180" i="24"/>
  <c r="X180" i="24"/>
  <c r="W180" i="24"/>
  <c r="V180" i="24"/>
  <c r="U180" i="24"/>
  <c r="AN179" i="24"/>
  <c r="AM179" i="24"/>
  <c r="AL179" i="24"/>
  <c r="AK179" i="24"/>
  <c r="AJ179" i="24"/>
  <c r="AI179" i="24"/>
  <c r="AH179" i="24"/>
  <c r="AG179" i="24"/>
  <c r="AF179" i="24"/>
  <c r="AE179" i="24"/>
  <c r="AD179" i="24"/>
  <c r="AB179" i="24"/>
  <c r="AA179" i="24"/>
  <c r="Z179" i="24"/>
  <c r="Y179" i="24"/>
  <c r="X179" i="24"/>
  <c r="W179" i="24"/>
  <c r="V179" i="24"/>
  <c r="U179" i="24"/>
  <c r="AN178" i="24"/>
  <c r="AM178" i="24"/>
  <c r="AL178" i="24"/>
  <c r="AK178" i="24"/>
  <c r="AJ178" i="24"/>
  <c r="AI178" i="24"/>
  <c r="AH178" i="24"/>
  <c r="AG178" i="24"/>
  <c r="AF178" i="24"/>
  <c r="AE178" i="24"/>
  <c r="AD178" i="24"/>
  <c r="AB178" i="24"/>
  <c r="AA178" i="24"/>
  <c r="Z178" i="24"/>
  <c r="Y178" i="24"/>
  <c r="X178" i="24"/>
  <c r="W178" i="24"/>
  <c r="V178" i="24"/>
  <c r="U178" i="24"/>
  <c r="AN177" i="24"/>
  <c r="AM177" i="24"/>
  <c r="AL177" i="24"/>
  <c r="AK177" i="24"/>
  <c r="AJ177" i="24"/>
  <c r="AI177" i="24"/>
  <c r="AH177" i="24"/>
  <c r="AG177" i="24"/>
  <c r="AF177" i="24"/>
  <c r="AE177" i="24"/>
  <c r="AD177" i="24"/>
  <c r="AB177" i="24"/>
  <c r="AA177" i="24"/>
  <c r="Z177" i="24"/>
  <c r="Y177" i="24"/>
  <c r="X177" i="24"/>
  <c r="W177" i="24"/>
  <c r="V177" i="24"/>
  <c r="U177" i="24"/>
  <c r="AN176" i="24"/>
  <c r="AM176" i="24"/>
  <c r="AL176" i="24"/>
  <c r="AK176" i="24"/>
  <c r="AJ176" i="24"/>
  <c r="AI176" i="24"/>
  <c r="AH176" i="24"/>
  <c r="AG176" i="24"/>
  <c r="AF176" i="24"/>
  <c r="AE176" i="24"/>
  <c r="AD176" i="24"/>
  <c r="AB176" i="24"/>
  <c r="AA176" i="24"/>
  <c r="Z176" i="24"/>
  <c r="Y176" i="24"/>
  <c r="X176" i="24"/>
  <c r="W176" i="24"/>
  <c r="V176" i="24"/>
  <c r="U176" i="24"/>
  <c r="AN175" i="24"/>
  <c r="AM175" i="24"/>
  <c r="AL175" i="24"/>
  <c r="AK175" i="24"/>
  <c r="AJ175" i="24"/>
  <c r="AI175" i="24"/>
  <c r="AH175" i="24"/>
  <c r="AG175" i="24"/>
  <c r="AF175" i="24"/>
  <c r="AE175" i="24"/>
  <c r="AD175" i="24"/>
  <c r="AB175" i="24"/>
  <c r="AA175" i="24"/>
  <c r="Z175" i="24"/>
  <c r="Y175" i="24"/>
  <c r="X175" i="24"/>
  <c r="W175" i="24"/>
  <c r="V175" i="24"/>
  <c r="U175" i="24"/>
  <c r="AN174" i="24"/>
  <c r="AM174" i="24"/>
  <c r="AL174" i="24"/>
  <c r="AK174" i="24"/>
  <c r="AJ174" i="24"/>
  <c r="AI174" i="24"/>
  <c r="AH174" i="24"/>
  <c r="AG174" i="24"/>
  <c r="AF174" i="24"/>
  <c r="AE174" i="24"/>
  <c r="AD174" i="24"/>
  <c r="AB174" i="24"/>
  <c r="AA174" i="24"/>
  <c r="Z174" i="24"/>
  <c r="Y174" i="24"/>
  <c r="X174" i="24"/>
  <c r="W174" i="24"/>
  <c r="V174" i="24"/>
  <c r="U174" i="24"/>
  <c r="AN173" i="24"/>
  <c r="AM173" i="24"/>
  <c r="AL173" i="24"/>
  <c r="AK173" i="24"/>
  <c r="AJ173" i="24"/>
  <c r="AI173" i="24"/>
  <c r="AH173" i="24"/>
  <c r="AG173" i="24"/>
  <c r="AF173" i="24"/>
  <c r="AE173" i="24"/>
  <c r="AD173" i="24"/>
  <c r="AB173" i="24"/>
  <c r="AA173" i="24"/>
  <c r="Z173" i="24"/>
  <c r="Y173" i="24"/>
  <c r="X173" i="24"/>
  <c r="W173" i="24"/>
  <c r="V173" i="24"/>
  <c r="U173" i="24"/>
  <c r="AN172" i="24"/>
  <c r="AM172" i="24"/>
  <c r="AL172" i="24"/>
  <c r="AK172" i="24"/>
  <c r="AJ172" i="24"/>
  <c r="AI172" i="24"/>
  <c r="AH172" i="24"/>
  <c r="AG172" i="24"/>
  <c r="AF172" i="24"/>
  <c r="AE172" i="24"/>
  <c r="AD172" i="24"/>
  <c r="AB172" i="24"/>
  <c r="AA172" i="24"/>
  <c r="Z172" i="24"/>
  <c r="Y172" i="24"/>
  <c r="X172" i="24"/>
  <c r="W172" i="24"/>
  <c r="V172" i="24"/>
  <c r="U172" i="24"/>
  <c r="AN171" i="24"/>
  <c r="AM171" i="24"/>
  <c r="AL171" i="24"/>
  <c r="AK171" i="24"/>
  <c r="AJ171" i="24"/>
  <c r="AI171" i="24"/>
  <c r="AH171" i="24"/>
  <c r="AG171" i="24"/>
  <c r="AF171" i="24"/>
  <c r="AE171" i="24"/>
  <c r="AD171" i="24"/>
  <c r="AB171" i="24"/>
  <c r="AA171" i="24"/>
  <c r="Z171" i="24"/>
  <c r="Y171" i="24"/>
  <c r="X171" i="24"/>
  <c r="W171" i="24"/>
  <c r="V171" i="24"/>
  <c r="U171" i="24"/>
  <c r="AN170" i="24"/>
  <c r="AM170" i="24"/>
  <c r="AL170" i="24"/>
  <c r="AK170" i="24"/>
  <c r="AJ170" i="24"/>
  <c r="AI170" i="24"/>
  <c r="AH170" i="24"/>
  <c r="AG170" i="24"/>
  <c r="AF170" i="24"/>
  <c r="AE170" i="24"/>
  <c r="AD170" i="24"/>
  <c r="AB170" i="24"/>
  <c r="AA170" i="24"/>
  <c r="Z170" i="24"/>
  <c r="Y170" i="24"/>
  <c r="X170" i="24"/>
  <c r="W170" i="24"/>
  <c r="V170" i="24"/>
  <c r="U170" i="24"/>
  <c r="AN169" i="24"/>
  <c r="AM169" i="24"/>
  <c r="AL169" i="24"/>
  <c r="AK169" i="24"/>
  <c r="AJ169" i="24"/>
  <c r="AI169" i="24"/>
  <c r="AH169" i="24"/>
  <c r="AG169" i="24"/>
  <c r="AF169" i="24"/>
  <c r="AE169" i="24"/>
  <c r="AD169" i="24"/>
  <c r="AB169" i="24"/>
  <c r="AA169" i="24"/>
  <c r="Z169" i="24"/>
  <c r="Y169" i="24"/>
  <c r="X169" i="24"/>
  <c r="W169" i="24"/>
  <c r="V169" i="24"/>
  <c r="U169" i="24"/>
  <c r="AN168" i="24"/>
  <c r="AM168" i="24"/>
  <c r="AL168" i="24"/>
  <c r="AK168" i="24"/>
  <c r="AJ168" i="24"/>
  <c r="AI168" i="24"/>
  <c r="AH168" i="24"/>
  <c r="AG168" i="24"/>
  <c r="AF168" i="24"/>
  <c r="AE168" i="24"/>
  <c r="AD168" i="24"/>
  <c r="AB168" i="24"/>
  <c r="AA168" i="24"/>
  <c r="Z168" i="24"/>
  <c r="Y168" i="24"/>
  <c r="X168" i="24"/>
  <c r="W168" i="24"/>
  <c r="V168" i="24"/>
  <c r="U168" i="24"/>
  <c r="AN167" i="24"/>
  <c r="AM167" i="24"/>
  <c r="AL167" i="24"/>
  <c r="AK167" i="24"/>
  <c r="AJ167" i="24"/>
  <c r="AI167" i="24"/>
  <c r="AH167" i="24"/>
  <c r="AG167" i="24"/>
  <c r="AF167" i="24"/>
  <c r="AE167" i="24"/>
  <c r="AD167" i="24"/>
  <c r="AB167" i="24"/>
  <c r="AA167" i="24"/>
  <c r="Z167" i="24"/>
  <c r="Y167" i="24"/>
  <c r="X167" i="24"/>
  <c r="W167" i="24"/>
  <c r="V167" i="24"/>
  <c r="U167" i="24"/>
  <c r="AN166" i="24"/>
  <c r="AM166" i="24"/>
  <c r="AL166" i="24"/>
  <c r="AK166" i="24"/>
  <c r="AJ166" i="24"/>
  <c r="AI166" i="24"/>
  <c r="AH166" i="24"/>
  <c r="AG166" i="24"/>
  <c r="AF166" i="24"/>
  <c r="AE166" i="24"/>
  <c r="AD166" i="24"/>
  <c r="AB166" i="24"/>
  <c r="AA166" i="24"/>
  <c r="Z166" i="24"/>
  <c r="Y166" i="24"/>
  <c r="X166" i="24"/>
  <c r="W166" i="24"/>
  <c r="V166" i="24"/>
  <c r="U166" i="24"/>
  <c r="AN165" i="24"/>
  <c r="AM165" i="24"/>
  <c r="AL165" i="24"/>
  <c r="AK165" i="24"/>
  <c r="AJ165" i="24"/>
  <c r="AI165" i="24"/>
  <c r="AH165" i="24"/>
  <c r="AG165" i="24"/>
  <c r="AF165" i="24"/>
  <c r="AE165" i="24"/>
  <c r="AB165" i="24"/>
  <c r="AA165" i="24"/>
  <c r="Z165" i="24"/>
  <c r="Y165" i="24"/>
  <c r="X165" i="24"/>
  <c r="W165" i="24"/>
  <c r="V165" i="24"/>
  <c r="AN164" i="24"/>
  <c r="AM164" i="24"/>
  <c r="AL164" i="24"/>
  <c r="AK164" i="24"/>
  <c r="AJ164" i="24"/>
  <c r="AI164" i="24"/>
  <c r="AH164" i="24"/>
  <c r="AG164" i="24"/>
  <c r="AF164" i="24"/>
  <c r="AE164" i="24"/>
  <c r="AD164" i="24"/>
  <c r="AB164" i="24"/>
  <c r="AA164" i="24"/>
  <c r="Z164" i="24"/>
  <c r="Y164" i="24"/>
  <c r="X164" i="24"/>
  <c r="W164" i="24"/>
  <c r="V164" i="24"/>
  <c r="U164" i="24"/>
  <c r="AN163" i="24"/>
  <c r="AM163" i="24"/>
  <c r="AL163" i="24"/>
  <c r="AK163" i="24"/>
  <c r="AJ163" i="24"/>
  <c r="AI163" i="24"/>
  <c r="AH163" i="24"/>
  <c r="AG163" i="24"/>
  <c r="AF163" i="24"/>
  <c r="AE163" i="24"/>
  <c r="AD163" i="24"/>
  <c r="AB163" i="24"/>
  <c r="AA163" i="24"/>
  <c r="Z163" i="24"/>
  <c r="Y163" i="24"/>
  <c r="X163" i="24"/>
  <c r="W163" i="24"/>
  <c r="V163" i="24"/>
  <c r="U163" i="24"/>
  <c r="AN162" i="24"/>
  <c r="AM162" i="24"/>
  <c r="AL162" i="24"/>
  <c r="AK162" i="24"/>
  <c r="AJ162" i="24"/>
  <c r="AI162" i="24"/>
  <c r="AH162" i="24"/>
  <c r="AG162" i="24"/>
  <c r="AF162" i="24"/>
  <c r="AE162" i="24"/>
  <c r="AD162" i="24"/>
  <c r="AB162" i="24"/>
  <c r="AA162" i="24"/>
  <c r="Z162" i="24"/>
  <c r="Y162" i="24"/>
  <c r="X162" i="24"/>
  <c r="W162" i="24"/>
  <c r="V162" i="24"/>
  <c r="U162" i="24"/>
  <c r="AN161" i="24"/>
  <c r="AM161" i="24"/>
  <c r="AL161" i="24"/>
  <c r="AK161" i="24"/>
  <c r="AJ161" i="24"/>
  <c r="AI161" i="24"/>
  <c r="AH161" i="24"/>
  <c r="AG161" i="24"/>
  <c r="AF161" i="24"/>
  <c r="AE161" i="24"/>
  <c r="AD161" i="24"/>
  <c r="AB161" i="24"/>
  <c r="AA161" i="24"/>
  <c r="Z161" i="24"/>
  <c r="Y161" i="24"/>
  <c r="X161" i="24"/>
  <c r="W161" i="24"/>
  <c r="V161" i="24"/>
  <c r="U161" i="24"/>
  <c r="AN160" i="24"/>
  <c r="AM160" i="24"/>
  <c r="AL160" i="24"/>
  <c r="AK160" i="24"/>
  <c r="AJ160" i="24"/>
  <c r="AI160" i="24"/>
  <c r="AH160" i="24"/>
  <c r="AG160" i="24"/>
  <c r="AF160" i="24"/>
  <c r="AE160" i="24"/>
  <c r="AD160" i="24"/>
  <c r="AB160" i="24"/>
  <c r="AA160" i="24"/>
  <c r="Z160" i="24"/>
  <c r="Y160" i="24"/>
  <c r="X160" i="24"/>
  <c r="W160" i="24"/>
  <c r="V160" i="24"/>
  <c r="U160" i="24"/>
  <c r="AN159" i="24"/>
  <c r="AM159" i="24"/>
  <c r="AL159" i="24"/>
  <c r="AK159" i="24"/>
  <c r="AJ159" i="24"/>
  <c r="AI159" i="24"/>
  <c r="AH159" i="24"/>
  <c r="AG159" i="24"/>
  <c r="AF159" i="24"/>
  <c r="AE159" i="24"/>
  <c r="AD159" i="24"/>
  <c r="AB159" i="24"/>
  <c r="AA159" i="24"/>
  <c r="Z159" i="24"/>
  <c r="Y159" i="24"/>
  <c r="X159" i="24"/>
  <c r="W159" i="24"/>
  <c r="V159" i="24"/>
  <c r="U159" i="24"/>
  <c r="AN158" i="24"/>
  <c r="AM158" i="24"/>
  <c r="AL158" i="24"/>
  <c r="AK158" i="24"/>
  <c r="AJ158" i="24"/>
  <c r="AI158" i="24"/>
  <c r="AH158" i="24"/>
  <c r="AG158" i="24"/>
  <c r="AF158" i="24"/>
  <c r="AE158" i="24"/>
  <c r="AD158" i="24"/>
  <c r="AB158" i="24"/>
  <c r="AA158" i="24"/>
  <c r="Z158" i="24"/>
  <c r="Y158" i="24"/>
  <c r="X158" i="24"/>
  <c r="W158" i="24"/>
  <c r="V158" i="24"/>
  <c r="U158" i="24"/>
  <c r="AN157" i="24"/>
  <c r="AM157" i="24"/>
  <c r="AL157" i="24"/>
  <c r="AK157" i="24"/>
  <c r="AJ157" i="24"/>
  <c r="AI157" i="24"/>
  <c r="AH157" i="24"/>
  <c r="AG157" i="24"/>
  <c r="AF157" i="24"/>
  <c r="AE157" i="24"/>
  <c r="AD157" i="24"/>
  <c r="AB157" i="24"/>
  <c r="AA157" i="24"/>
  <c r="Z157" i="24"/>
  <c r="Y157" i="24"/>
  <c r="X157" i="24"/>
  <c r="W157" i="24"/>
  <c r="V157" i="24"/>
  <c r="U157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B105" i="24"/>
  <c r="Z105" i="24"/>
  <c r="X105" i="24"/>
  <c r="U105" i="24"/>
  <c r="AN95" i="24"/>
  <c r="AM95" i="24"/>
  <c r="AL95" i="24"/>
  <c r="AK95" i="24"/>
  <c r="AJ95" i="24"/>
  <c r="AI95" i="24"/>
  <c r="AH95" i="24"/>
  <c r="AG95" i="24"/>
  <c r="AF95" i="24"/>
  <c r="AE95" i="24"/>
  <c r="X95" i="24"/>
  <c r="W95" i="24"/>
  <c r="V95" i="24"/>
  <c r="AN94" i="24"/>
  <c r="AM94" i="24"/>
  <c r="AL94" i="24"/>
  <c r="AK94" i="24"/>
  <c r="AJ94" i="24"/>
  <c r="AI94" i="24"/>
  <c r="AH94" i="24"/>
  <c r="AG94" i="24"/>
  <c r="AF94" i="24"/>
  <c r="AE94" i="24"/>
  <c r="X94" i="24"/>
  <c r="W94" i="24"/>
  <c r="V94" i="24"/>
  <c r="AN93" i="24"/>
  <c r="AM93" i="24"/>
  <c r="AL93" i="24"/>
  <c r="AK93" i="24"/>
  <c r="AJ93" i="24"/>
  <c r="AI93" i="24"/>
  <c r="AH93" i="24"/>
  <c r="AG93" i="24"/>
  <c r="AF93" i="24"/>
  <c r="AE93" i="24"/>
  <c r="AD93" i="24"/>
  <c r="AB93" i="24"/>
  <c r="Z93" i="24"/>
  <c r="X93" i="24"/>
  <c r="W93" i="24"/>
  <c r="V93" i="24"/>
  <c r="U93" i="24"/>
  <c r="AN92" i="24"/>
  <c r="AM92" i="24"/>
  <c r="AL92" i="24"/>
  <c r="AK92" i="24"/>
  <c r="AJ92" i="24"/>
  <c r="AI92" i="24"/>
  <c r="AH92" i="24"/>
  <c r="AG92" i="24"/>
  <c r="AF92" i="24"/>
  <c r="AE92" i="24"/>
  <c r="AD92" i="24"/>
  <c r="AB92" i="24"/>
  <c r="Z92" i="24"/>
  <c r="X92" i="24"/>
  <c r="W92" i="24"/>
  <c r="V92" i="24"/>
  <c r="U92" i="24"/>
  <c r="AN91" i="24"/>
  <c r="AM91" i="24"/>
  <c r="AL91" i="24"/>
  <c r="AK91" i="24"/>
  <c r="AJ91" i="24"/>
  <c r="AI91" i="24"/>
  <c r="AH91" i="24"/>
  <c r="AG91" i="24"/>
  <c r="AF91" i="24"/>
  <c r="AE91" i="24"/>
  <c r="AD91" i="24"/>
  <c r="AB91" i="24"/>
  <c r="Z91" i="24"/>
  <c r="X91" i="24"/>
  <c r="W91" i="24"/>
  <c r="V91" i="24"/>
  <c r="U91" i="24"/>
  <c r="AN90" i="24"/>
  <c r="AM90" i="24"/>
  <c r="AL90" i="24"/>
  <c r="AK90" i="24"/>
  <c r="AJ90" i="24"/>
  <c r="AI90" i="24"/>
  <c r="AH90" i="24"/>
  <c r="AG90" i="24"/>
  <c r="AF90" i="24"/>
  <c r="AE90" i="24"/>
  <c r="X90" i="24"/>
  <c r="W90" i="24"/>
  <c r="V90" i="24"/>
  <c r="AN89" i="24"/>
  <c r="AM89" i="24"/>
  <c r="AL89" i="24"/>
  <c r="AK89" i="24"/>
  <c r="AJ89" i="24"/>
  <c r="AI89" i="24"/>
  <c r="AH89" i="24"/>
  <c r="AG89" i="24"/>
  <c r="AF89" i="24"/>
  <c r="AE89" i="24"/>
  <c r="AD89" i="24"/>
  <c r="AB89" i="24"/>
  <c r="Z89" i="24"/>
  <c r="X89" i="24"/>
  <c r="W89" i="24"/>
  <c r="V89" i="24"/>
  <c r="U89" i="24"/>
  <c r="AN88" i="24"/>
  <c r="AM88" i="24"/>
  <c r="AL88" i="24"/>
  <c r="AK88" i="24"/>
  <c r="AJ88" i="24"/>
  <c r="AI88" i="24"/>
  <c r="AH88" i="24"/>
  <c r="AG88" i="24"/>
  <c r="AF88" i="24"/>
  <c r="AE88" i="24"/>
  <c r="AD88" i="24"/>
  <c r="AB88" i="24"/>
  <c r="Z88" i="24"/>
  <c r="X88" i="24"/>
  <c r="W88" i="24"/>
  <c r="V88" i="24"/>
  <c r="U88" i="24"/>
  <c r="AN87" i="24"/>
  <c r="AM87" i="24"/>
  <c r="AL87" i="24"/>
  <c r="AK87" i="24"/>
  <c r="AJ87" i="24"/>
  <c r="AI87" i="24"/>
  <c r="AH87" i="24"/>
  <c r="AG87" i="24"/>
  <c r="AF87" i="24"/>
  <c r="AE87" i="24"/>
  <c r="AD87" i="24"/>
  <c r="AB87" i="24"/>
  <c r="Z87" i="24"/>
  <c r="X87" i="24"/>
  <c r="W87" i="24"/>
  <c r="V87" i="24"/>
  <c r="U87" i="24"/>
  <c r="AN77" i="24"/>
  <c r="AM77" i="24"/>
  <c r="AH77" i="24"/>
  <c r="AG77" i="24"/>
  <c r="AN76" i="24"/>
  <c r="AM76" i="24"/>
  <c r="AL76" i="24"/>
  <c r="AK76" i="24"/>
  <c r="AJ76" i="24"/>
  <c r="AI76" i="24"/>
  <c r="AH76" i="24"/>
  <c r="AG76" i="24"/>
  <c r="AF76" i="24"/>
  <c r="AE76" i="24"/>
  <c r="X76" i="24"/>
  <c r="W76" i="24"/>
  <c r="V76" i="24"/>
  <c r="AN75" i="24"/>
  <c r="AM75" i="24"/>
  <c r="AL75" i="24"/>
  <c r="AK75" i="24"/>
  <c r="AJ75" i="24"/>
  <c r="AI75" i="24"/>
  <c r="AH75" i="24"/>
  <c r="AG75" i="24"/>
  <c r="AF75" i="24"/>
  <c r="AE75" i="24"/>
  <c r="AD75" i="24"/>
  <c r="AB75" i="24"/>
  <c r="Z75" i="24"/>
  <c r="X75" i="24"/>
  <c r="W75" i="24"/>
  <c r="V75" i="24"/>
  <c r="U75" i="24"/>
  <c r="AN74" i="24"/>
  <c r="AM74" i="24"/>
  <c r="AL74" i="24"/>
  <c r="AK74" i="24"/>
  <c r="AJ74" i="24"/>
  <c r="AI74" i="24"/>
  <c r="AH74" i="24"/>
  <c r="AG74" i="24"/>
  <c r="AF74" i="24"/>
  <c r="AE74" i="24"/>
  <c r="AD74" i="24"/>
  <c r="AB74" i="24"/>
  <c r="Z74" i="24"/>
  <c r="X74" i="24"/>
  <c r="W74" i="24"/>
  <c r="V74" i="24"/>
  <c r="U74" i="24"/>
  <c r="AN73" i="24"/>
  <c r="AM73" i="24"/>
  <c r="AL73" i="24"/>
  <c r="AK73" i="24"/>
  <c r="AJ73" i="24"/>
  <c r="AI73" i="24"/>
  <c r="AH73" i="24"/>
  <c r="AG73" i="24"/>
  <c r="AF73" i="24"/>
  <c r="AE73" i="24"/>
  <c r="AD73" i="24"/>
  <c r="AB73" i="24"/>
  <c r="Z73" i="24"/>
  <c r="X73" i="24"/>
  <c r="W73" i="24"/>
  <c r="V73" i="24"/>
  <c r="U73" i="24"/>
  <c r="AN72" i="24"/>
  <c r="AM72" i="24"/>
  <c r="AL72" i="24"/>
  <c r="AK72" i="24"/>
  <c r="AJ72" i="24"/>
  <c r="AI72" i="24"/>
  <c r="AH72" i="24"/>
  <c r="AG72" i="24"/>
  <c r="AF72" i="24"/>
  <c r="AE72" i="24"/>
  <c r="AD72" i="24"/>
  <c r="AB72" i="24"/>
  <c r="Z72" i="24"/>
  <c r="X72" i="24"/>
  <c r="W72" i="24"/>
  <c r="V72" i="24"/>
  <c r="U72" i="24"/>
  <c r="AN71" i="24"/>
  <c r="AM71" i="24"/>
  <c r="AL71" i="24"/>
  <c r="AK71" i="24"/>
  <c r="AJ71" i="24"/>
  <c r="AI71" i="24"/>
  <c r="AH71" i="24"/>
  <c r="AG71" i="24"/>
  <c r="AN70" i="24"/>
  <c r="AM70" i="24"/>
  <c r="AL70" i="24"/>
  <c r="AK70" i="24"/>
  <c r="AJ70" i="24"/>
  <c r="AI70" i="24"/>
  <c r="AH70" i="24"/>
  <c r="AG70" i="24"/>
  <c r="AF70" i="24"/>
  <c r="AD70" i="24"/>
  <c r="AB70" i="24"/>
  <c r="Z70" i="24"/>
  <c r="X70" i="24"/>
  <c r="U70" i="24"/>
  <c r="AN69" i="24"/>
  <c r="AM69" i="24"/>
  <c r="AL69" i="24"/>
  <c r="AK69" i="24"/>
  <c r="AJ69" i="24"/>
  <c r="AI69" i="24"/>
  <c r="AH69" i="24"/>
  <c r="AG69" i="24"/>
  <c r="AF69" i="24"/>
  <c r="AE69" i="24"/>
  <c r="AD69" i="24"/>
  <c r="AB69" i="24"/>
  <c r="Z69" i="24"/>
  <c r="Y69" i="24"/>
  <c r="X69" i="24"/>
  <c r="W69" i="24"/>
  <c r="V69" i="24"/>
  <c r="U69" i="24"/>
  <c r="AN68" i="24"/>
  <c r="AM68" i="24"/>
  <c r="AL68" i="24"/>
  <c r="AK68" i="24"/>
  <c r="AJ68" i="24"/>
  <c r="AI68" i="24"/>
  <c r="AH68" i="24"/>
  <c r="AG68" i="24"/>
  <c r="AF68" i="24"/>
  <c r="AD68" i="24"/>
  <c r="AB68" i="24"/>
  <c r="Z68" i="24"/>
  <c r="X68" i="24"/>
  <c r="U68" i="24"/>
  <c r="AN67" i="24"/>
  <c r="AM67" i="24"/>
  <c r="AL67" i="24"/>
  <c r="AK67" i="24"/>
  <c r="AJ67" i="24"/>
  <c r="AI67" i="24"/>
  <c r="AH67" i="24"/>
  <c r="AG67" i="24"/>
  <c r="AF67" i="24"/>
  <c r="AE67" i="24"/>
  <c r="AD67" i="24"/>
  <c r="AB67" i="24"/>
  <c r="Z67" i="24"/>
  <c r="X67" i="24"/>
  <c r="U67" i="24"/>
  <c r="AN66" i="24"/>
  <c r="AM66" i="24"/>
  <c r="AL66" i="24"/>
  <c r="AK66" i="24"/>
  <c r="AJ66" i="24"/>
  <c r="AI66" i="24"/>
  <c r="AH66" i="24"/>
  <c r="AG66" i="24"/>
  <c r="AF66" i="24"/>
  <c r="AE66" i="24"/>
  <c r="AD66" i="24"/>
  <c r="AB66" i="24"/>
  <c r="Z66" i="24"/>
  <c r="X66" i="24"/>
  <c r="U66" i="24"/>
  <c r="AN65" i="24"/>
  <c r="AM65" i="24"/>
  <c r="AL65" i="24"/>
  <c r="AK65" i="24"/>
  <c r="AJ65" i="24"/>
  <c r="AI65" i="24"/>
  <c r="AH65" i="24"/>
  <c r="AG65" i="24"/>
  <c r="AF65" i="24"/>
  <c r="AE65" i="24"/>
  <c r="AD65" i="24"/>
  <c r="AB65" i="24"/>
  <c r="Z65" i="24"/>
  <c r="X65" i="24"/>
  <c r="U65" i="24"/>
  <c r="AN64" i="24"/>
  <c r="AM64" i="24"/>
  <c r="AH64" i="24"/>
  <c r="AG64" i="24"/>
  <c r="AN63" i="24"/>
  <c r="AM63" i="24"/>
  <c r="AL63" i="24"/>
  <c r="AK63" i="24"/>
  <c r="AJ63" i="24"/>
  <c r="AI63" i="24"/>
  <c r="AH63" i="24"/>
  <c r="AG63" i="24"/>
  <c r="AF63" i="24"/>
  <c r="AD63" i="24"/>
  <c r="AB63" i="24"/>
  <c r="AA63" i="24"/>
  <c r="Z63" i="24"/>
  <c r="X63" i="24"/>
  <c r="U63" i="24"/>
  <c r="AN62" i="24"/>
  <c r="AM62" i="24"/>
  <c r="AL62" i="24"/>
  <c r="AJ62" i="24"/>
  <c r="AH62" i="24"/>
  <c r="AG62" i="24"/>
  <c r="AF62" i="24"/>
  <c r="AD62" i="24"/>
  <c r="AB62" i="24"/>
  <c r="Z62" i="24"/>
  <c r="X62" i="24"/>
  <c r="U62" i="24"/>
  <c r="AN61" i="24"/>
  <c r="AM61" i="24"/>
  <c r="AL61" i="24"/>
  <c r="AJ61" i="24"/>
  <c r="AH61" i="24"/>
  <c r="AG61" i="24"/>
  <c r="AF61" i="24"/>
  <c r="AE61" i="24"/>
  <c r="AD61" i="24"/>
  <c r="AB61" i="24"/>
  <c r="Z61" i="24"/>
  <c r="Y61" i="24"/>
  <c r="X61" i="24"/>
  <c r="W61" i="24"/>
  <c r="V61" i="24"/>
  <c r="U61" i="24"/>
  <c r="AN60" i="24"/>
  <c r="AM60" i="24"/>
  <c r="AL60" i="24"/>
  <c r="AK60" i="24"/>
  <c r="AJ60" i="24"/>
  <c r="AI60" i="24"/>
  <c r="AH60" i="24"/>
  <c r="AG60" i="24"/>
  <c r="AF60" i="24"/>
  <c r="AD60" i="24"/>
  <c r="AB60" i="24"/>
  <c r="Z60" i="24"/>
  <c r="X60" i="24"/>
  <c r="U60" i="24"/>
  <c r="AN59" i="24"/>
  <c r="AM59" i="24"/>
  <c r="AL59" i="24"/>
  <c r="AK59" i="24"/>
  <c r="AJ59" i="24"/>
  <c r="AI59" i="24"/>
  <c r="AH59" i="24"/>
  <c r="AG59" i="24"/>
  <c r="AF59" i="24"/>
  <c r="AD59" i="24"/>
  <c r="AB59" i="24"/>
  <c r="Z59" i="24"/>
  <c r="X59" i="24"/>
  <c r="U59" i="24"/>
  <c r="AN58" i="24"/>
  <c r="AM58" i="24"/>
  <c r="AL58" i="24"/>
  <c r="AK58" i="24"/>
  <c r="AJ58" i="24"/>
  <c r="AI58" i="24"/>
  <c r="AH58" i="24"/>
  <c r="AG58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T58" i="24"/>
  <c r="AN57" i="24"/>
  <c r="AM57" i="24"/>
  <c r="AL57" i="24"/>
  <c r="AK57" i="24"/>
  <c r="AJ57" i="24"/>
  <c r="AI57" i="24"/>
  <c r="AH57" i="24"/>
  <c r="AG57" i="24"/>
  <c r="AF57" i="24"/>
  <c r="AD57" i="24"/>
  <c r="AB57" i="24"/>
  <c r="Z57" i="24"/>
  <c r="X57" i="24"/>
  <c r="U57" i="24"/>
  <c r="AN56" i="24"/>
  <c r="AM56" i="24"/>
  <c r="AL56" i="24"/>
  <c r="AK56" i="24"/>
  <c r="AJ56" i="24"/>
  <c r="AI56" i="24"/>
  <c r="AH56" i="24"/>
  <c r="AG56" i="24"/>
  <c r="AF56" i="24"/>
  <c r="AD56" i="24"/>
  <c r="AB56" i="24"/>
  <c r="Z56" i="24"/>
  <c r="X56" i="24"/>
  <c r="U56" i="24"/>
  <c r="AN55" i="24"/>
  <c r="AM55" i="24"/>
  <c r="AL55" i="24"/>
  <c r="AK55" i="24"/>
  <c r="AJ55" i="24"/>
  <c r="AI55" i="24"/>
  <c r="AH55" i="24"/>
  <c r="AG55" i="24"/>
  <c r="AF55" i="24"/>
  <c r="AD55" i="24"/>
  <c r="AB55" i="24"/>
  <c r="Z55" i="24"/>
  <c r="Y55" i="24"/>
  <c r="X55" i="24"/>
  <c r="U55" i="24"/>
  <c r="AN54" i="24"/>
  <c r="AM54" i="24"/>
  <c r="AL54" i="24"/>
  <c r="AK54" i="24"/>
  <c r="AJ54" i="24"/>
  <c r="AI54" i="24"/>
  <c r="AH54" i="24"/>
  <c r="AG54" i="24"/>
  <c r="AF54" i="24"/>
  <c r="AD54" i="24"/>
  <c r="AB54" i="24"/>
  <c r="Z54" i="24"/>
  <c r="X54" i="24"/>
  <c r="U54" i="24"/>
  <c r="AN53" i="24"/>
  <c r="AM53" i="24"/>
  <c r="AL53" i="24"/>
  <c r="AK53" i="24"/>
  <c r="AJ53" i="24"/>
  <c r="AI53" i="24"/>
  <c r="AH53" i="24"/>
  <c r="AG53" i="24"/>
  <c r="AF53" i="24"/>
  <c r="AD53" i="24"/>
  <c r="AB53" i="24"/>
  <c r="Z53" i="24"/>
  <c r="X53" i="24"/>
  <c r="U53" i="24"/>
  <c r="AN52" i="24"/>
  <c r="AM52" i="24"/>
  <c r="AL52" i="24"/>
  <c r="AK52" i="24"/>
  <c r="AJ52" i="24"/>
  <c r="AI52" i="24"/>
  <c r="AH52" i="24"/>
  <c r="AG52" i="24"/>
  <c r="AF52" i="24"/>
  <c r="AD52" i="24"/>
  <c r="AB52" i="24"/>
  <c r="Z52" i="24"/>
  <c r="X52" i="24"/>
  <c r="U52" i="24"/>
  <c r="AN51" i="24"/>
  <c r="AM51" i="24"/>
  <c r="AL51" i="24"/>
  <c r="AK51" i="24"/>
  <c r="AJ51" i="24"/>
  <c r="AI51" i="24"/>
  <c r="AH51" i="24"/>
  <c r="AG51" i="24"/>
  <c r="AF51" i="24"/>
  <c r="AD51" i="24"/>
  <c r="AB51" i="24"/>
  <c r="Z51" i="24"/>
  <c r="X51" i="24"/>
  <c r="U51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AN39" i="24"/>
  <c r="AM39" i="24"/>
  <c r="AL39" i="24"/>
  <c r="AK39" i="24"/>
  <c r="AJ39" i="24"/>
  <c r="AI39" i="24"/>
  <c r="AH39" i="24"/>
  <c r="AG39" i="24"/>
  <c r="AE39" i="24"/>
  <c r="X39" i="24"/>
  <c r="W39" i="24"/>
  <c r="V39" i="24"/>
  <c r="AN38" i="24"/>
  <c r="AM38" i="24"/>
  <c r="AL38" i="24"/>
  <c r="AK38" i="24"/>
  <c r="AJ38" i="24"/>
  <c r="AI38" i="24"/>
  <c r="AH38" i="24"/>
  <c r="AG38" i="24"/>
  <c r="AF38" i="24"/>
  <c r="AE38" i="24"/>
  <c r="AD38" i="24"/>
  <c r="AB38" i="24"/>
  <c r="Z38" i="24"/>
  <c r="X38" i="24"/>
  <c r="W38" i="24"/>
  <c r="V38" i="24"/>
  <c r="U38" i="24"/>
  <c r="AN37" i="24"/>
  <c r="AM37" i="24"/>
  <c r="AL37" i="24"/>
  <c r="AK37" i="24"/>
  <c r="AJ37" i="24"/>
  <c r="AI37" i="24"/>
  <c r="AH37" i="24"/>
  <c r="AG37" i="24"/>
  <c r="AF37" i="24"/>
  <c r="AE37" i="24"/>
  <c r="AD37" i="24"/>
  <c r="AB37" i="24"/>
  <c r="Z37" i="24"/>
  <c r="X37" i="24"/>
  <c r="W37" i="24"/>
  <c r="V37" i="24"/>
  <c r="U37" i="24"/>
  <c r="AN36" i="24"/>
  <c r="AM36" i="24"/>
  <c r="AL36" i="24"/>
  <c r="AK36" i="24"/>
  <c r="AJ36" i="24"/>
  <c r="AI36" i="24"/>
  <c r="AH36" i="24"/>
  <c r="AG36" i="24"/>
  <c r="AF36" i="24"/>
  <c r="AE36" i="24"/>
  <c r="AD36" i="24"/>
  <c r="AB36" i="24"/>
  <c r="Z36" i="24"/>
  <c r="X36" i="24"/>
  <c r="W36" i="24"/>
  <c r="V36" i="24"/>
  <c r="U36" i="24"/>
  <c r="AN35" i="24"/>
  <c r="AM35" i="24"/>
  <c r="AL35" i="24"/>
  <c r="AK35" i="24"/>
  <c r="AJ35" i="24"/>
  <c r="AI35" i="24"/>
  <c r="AH35" i="24"/>
  <c r="AG35" i="24"/>
  <c r="AF35" i="24"/>
  <c r="AE35" i="24"/>
  <c r="AD35" i="24"/>
  <c r="AB35" i="24"/>
  <c r="Z35" i="24"/>
  <c r="X35" i="24"/>
  <c r="W35" i="24"/>
  <c r="V35" i="24"/>
  <c r="U35" i="24"/>
  <c r="AN34" i="24"/>
  <c r="AM34" i="24"/>
  <c r="AL34" i="24"/>
  <c r="AK34" i="24"/>
  <c r="AJ34" i="24"/>
  <c r="AI34" i="24"/>
  <c r="AH34" i="24"/>
  <c r="AG34" i="24"/>
  <c r="AE34" i="24"/>
  <c r="AN33" i="24"/>
  <c r="AM33" i="24"/>
  <c r="AL33" i="24"/>
  <c r="AK33" i="24"/>
  <c r="AJ33" i="24"/>
  <c r="AI33" i="24"/>
  <c r="AH33" i="24"/>
  <c r="AG33" i="24"/>
  <c r="AF33" i="24"/>
  <c r="AE33" i="24"/>
  <c r="AD33" i="24"/>
  <c r="AB33" i="24"/>
  <c r="Z33" i="24"/>
  <c r="X33" i="24"/>
  <c r="U33" i="24"/>
  <c r="AN32" i="24"/>
  <c r="AM32" i="24"/>
  <c r="AL32" i="24"/>
  <c r="AK32" i="24"/>
  <c r="AJ32" i="24"/>
  <c r="AI32" i="24"/>
  <c r="AH32" i="24"/>
  <c r="AG32" i="24"/>
  <c r="AF32" i="24"/>
  <c r="AE32" i="24"/>
  <c r="AD32" i="24"/>
  <c r="AB32" i="24"/>
  <c r="Z32" i="24"/>
  <c r="X32" i="24"/>
  <c r="U32" i="24"/>
  <c r="AN31" i="24"/>
  <c r="AM31" i="24"/>
  <c r="AL31" i="24"/>
  <c r="AK31" i="24"/>
  <c r="AJ31" i="24"/>
  <c r="AI31" i="24"/>
  <c r="AH31" i="24"/>
  <c r="AG31" i="24"/>
  <c r="AF31" i="24"/>
  <c r="AE31" i="24"/>
  <c r="AD31" i="24"/>
  <c r="AB31" i="24"/>
  <c r="AA31" i="24"/>
  <c r="Z31" i="24"/>
  <c r="Y31" i="24"/>
  <c r="X31" i="24"/>
  <c r="W31" i="24"/>
  <c r="V31" i="24"/>
  <c r="U31" i="24"/>
  <c r="T31" i="24"/>
  <c r="AN30" i="24"/>
  <c r="AM30" i="24"/>
  <c r="AL30" i="24"/>
  <c r="AK30" i="24"/>
  <c r="AJ30" i="24"/>
  <c r="AI30" i="24"/>
  <c r="AH30" i="24"/>
  <c r="AG30" i="24"/>
  <c r="AF30" i="24"/>
  <c r="AE30" i="24"/>
  <c r="AD30" i="24"/>
  <c r="AB30" i="24"/>
  <c r="Z30" i="24"/>
  <c r="X30" i="24"/>
  <c r="U30" i="24"/>
  <c r="AN29" i="24"/>
  <c r="AM29" i="24"/>
  <c r="AL29" i="24"/>
  <c r="AK29" i="24"/>
  <c r="AJ29" i="24"/>
  <c r="AI29" i="24"/>
  <c r="AH29" i="24"/>
  <c r="AG29" i="24"/>
  <c r="AF29" i="24"/>
  <c r="AE29" i="24"/>
  <c r="AD29" i="24"/>
  <c r="AB29" i="24"/>
  <c r="Z29" i="24"/>
  <c r="X29" i="24"/>
  <c r="U29" i="24"/>
  <c r="AN27" i="24"/>
  <c r="AM27" i="24"/>
  <c r="AL27" i="24"/>
  <c r="AK27" i="24"/>
  <c r="AJ27" i="24"/>
  <c r="AI27" i="24"/>
  <c r="AH27" i="24"/>
  <c r="AF27" i="24"/>
  <c r="AD27" i="24"/>
  <c r="AB27" i="24"/>
  <c r="Z27" i="24"/>
  <c r="X27" i="24"/>
  <c r="U27" i="24"/>
  <c r="AN26" i="24"/>
  <c r="AM26" i="24"/>
  <c r="AL26" i="24"/>
  <c r="AK26" i="24"/>
  <c r="AJ26" i="24"/>
  <c r="AI26" i="24"/>
  <c r="AH26" i="24"/>
  <c r="AF26" i="24"/>
  <c r="AD26" i="24"/>
  <c r="AB26" i="24"/>
  <c r="Z26" i="24"/>
  <c r="X26" i="24"/>
  <c r="U26" i="24"/>
  <c r="AN25" i="24"/>
  <c r="AM25" i="24"/>
  <c r="AL25" i="24"/>
  <c r="AK25" i="24"/>
  <c r="AJ25" i="24"/>
  <c r="AI25" i="24"/>
  <c r="AH25" i="24"/>
  <c r="AF25" i="24"/>
  <c r="AD25" i="24"/>
  <c r="AB25" i="24"/>
  <c r="Z25" i="24"/>
  <c r="X25" i="24"/>
  <c r="U25" i="24"/>
  <c r="AN24" i="24"/>
  <c r="AL24" i="24"/>
  <c r="AJ24" i="24"/>
  <c r="AH24" i="24"/>
  <c r="AG24" i="24"/>
  <c r="AF24" i="24"/>
  <c r="AE24" i="24"/>
  <c r="AD24" i="24"/>
  <c r="AB24" i="24"/>
  <c r="Z24" i="24"/>
  <c r="Y24" i="24"/>
  <c r="X24" i="24"/>
  <c r="W24" i="24"/>
  <c r="V24" i="24"/>
  <c r="U24" i="24"/>
  <c r="AN23" i="24"/>
  <c r="AM23" i="24"/>
  <c r="AL23" i="24"/>
  <c r="AJ23" i="24"/>
  <c r="AH23" i="24"/>
  <c r="AG23" i="24"/>
  <c r="AF23" i="24"/>
  <c r="AE23" i="24"/>
  <c r="AD23" i="24"/>
  <c r="AB23" i="24"/>
  <c r="Z23" i="24"/>
  <c r="Y23" i="24"/>
  <c r="X23" i="24"/>
  <c r="W23" i="24"/>
  <c r="V23" i="24"/>
  <c r="U23" i="24"/>
  <c r="AN22" i="24"/>
  <c r="AM22" i="24"/>
  <c r="AL22" i="24"/>
  <c r="AJ22" i="24"/>
  <c r="AH22" i="24"/>
  <c r="AG22" i="24"/>
  <c r="AF22" i="24"/>
  <c r="AE22" i="24"/>
  <c r="AD22" i="24"/>
  <c r="AB22" i="24"/>
  <c r="Z22" i="24"/>
  <c r="Y22" i="24"/>
  <c r="X22" i="24"/>
  <c r="W22" i="24"/>
  <c r="V22" i="24"/>
  <c r="U22" i="24"/>
  <c r="AN21" i="24"/>
  <c r="AM21" i="24"/>
  <c r="AL21" i="24"/>
  <c r="AK21" i="24"/>
  <c r="AJ21" i="24"/>
  <c r="AI21" i="24"/>
  <c r="AH21" i="24"/>
  <c r="AG21" i="24"/>
  <c r="AF21" i="24"/>
  <c r="AD21" i="24"/>
  <c r="AB21" i="24"/>
  <c r="Z21" i="24"/>
  <c r="X21" i="24"/>
  <c r="U21" i="24"/>
  <c r="AN20" i="24"/>
  <c r="AM20" i="24"/>
  <c r="AL20" i="24"/>
  <c r="AK20" i="24"/>
  <c r="AJ20" i="24"/>
  <c r="AI20" i="24"/>
  <c r="AH20" i="24"/>
  <c r="AG20" i="24"/>
  <c r="AF20" i="24"/>
  <c r="AD20" i="24"/>
  <c r="AB20" i="24"/>
  <c r="Z20" i="24"/>
  <c r="X20" i="24"/>
  <c r="U20" i="24"/>
  <c r="AN19" i="24"/>
  <c r="AM19" i="24"/>
  <c r="AL19" i="24"/>
  <c r="AK19" i="24"/>
  <c r="AJ19" i="24"/>
  <c r="AI19" i="24"/>
  <c r="AH19" i="24"/>
  <c r="AG19" i="24"/>
  <c r="AF19" i="24"/>
  <c r="AD19" i="24"/>
  <c r="AB19" i="24"/>
  <c r="Z19" i="24"/>
  <c r="X19" i="24"/>
  <c r="U19" i="24"/>
  <c r="AN18" i="24"/>
  <c r="AM18" i="24"/>
  <c r="AL18" i="24"/>
  <c r="AK18" i="24"/>
  <c r="AJ18" i="24"/>
  <c r="AI18" i="24"/>
  <c r="AH18" i="24"/>
  <c r="AG18" i="24"/>
  <c r="AF18" i="24"/>
  <c r="AD18" i="24"/>
  <c r="AB18" i="24"/>
  <c r="Z18" i="24"/>
  <c r="X18" i="24"/>
  <c r="U18" i="24"/>
  <c r="AN17" i="24"/>
  <c r="AM17" i="24"/>
  <c r="AL17" i="24"/>
  <c r="AK17" i="24"/>
  <c r="AJ17" i="24"/>
  <c r="AI17" i="24"/>
  <c r="AH17" i="24"/>
  <c r="AG17" i="24"/>
  <c r="AF17" i="24"/>
  <c r="AD17" i="24"/>
  <c r="AB17" i="24"/>
  <c r="Z17" i="24"/>
  <c r="X17" i="24"/>
  <c r="U17" i="24"/>
  <c r="AN16" i="24"/>
  <c r="AM16" i="24"/>
  <c r="AL16" i="24"/>
  <c r="AK16" i="24"/>
  <c r="AJ16" i="24"/>
  <c r="AI16" i="24"/>
  <c r="AH16" i="24"/>
  <c r="AG16" i="24"/>
  <c r="AF16" i="24"/>
  <c r="AD16" i="24"/>
  <c r="AB16" i="24"/>
  <c r="Z16" i="24"/>
  <c r="X16" i="24"/>
  <c r="U16" i="24"/>
  <c r="AN15" i="24"/>
  <c r="AM15" i="24"/>
  <c r="AL15" i="24"/>
  <c r="AK15" i="24"/>
  <c r="AJ15" i="24"/>
  <c r="AI15" i="24"/>
  <c r="AH15" i="24"/>
  <c r="AG15" i="24"/>
  <c r="AF15" i="24"/>
  <c r="AD15" i="24"/>
  <c r="AB15" i="24"/>
  <c r="Z15" i="24"/>
  <c r="X15" i="24"/>
  <c r="U15" i="24"/>
  <c r="AN14" i="24"/>
  <c r="AM14" i="24"/>
  <c r="AL14" i="24"/>
  <c r="AK14" i="24"/>
  <c r="AJ14" i="24"/>
  <c r="AI14" i="24"/>
  <c r="AH14" i="24"/>
  <c r="AG14" i="24"/>
  <c r="AF14" i="24"/>
  <c r="AD14" i="24"/>
  <c r="AB14" i="24"/>
  <c r="Z14" i="24"/>
  <c r="X14" i="24"/>
  <c r="U14" i="24"/>
  <c r="AN13" i="24"/>
  <c r="AM13" i="24"/>
  <c r="AL13" i="24"/>
  <c r="AK13" i="24"/>
  <c r="AJ13" i="24"/>
  <c r="AI13" i="24"/>
  <c r="AH13" i="24"/>
  <c r="AG13" i="24"/>
  <c r="AF13" i="24"/>
  <c r="AD13" i="24"/>
  <c r="AB13" i="24"/>
  <c r="Z13" i="24"/>
  <c r="X13" i="24"/>
  <c r="U13" i="24"/>
  <c r="AN12" i="24"/>
  <c r="AM12" i="24"/>
  <c r="AL12" i="24"/>
  <c r="AK12" i="24"/>
  <c r="AJ12" i="24"/>
  <c r="AI12" i="24"/>
  <c r="AH12" i="24"/>
  <c r="AG12" i="24"/>
  <c r="AF12" i="24"/>
  <c r="AE12" i="24"/>
  <c r="AD12" i="24"/>
  <c r="AB12" i="24"/>
  <c r="Z12" i="24"/>
  <c r="Y12" i="24"/>
  <c r="X12" i="24"/>
  <c r="W12" i="24"/>
  <c r="V12" i="24"/>
  <c r="U12" i="24"/>
  <c r="AN11" i="24"/>
  <c r="AM11" i="24"/>
  <c r="AL11" i="24"/>
  <c r="AK11" i="24"/>
  <c r="AJ11" i="24"/>
  <c r="AI11" i="24"/>
  <c r="AH11" i="24"/>
  <c r="AG11" i="24"/>
  <c r="AF11" i="24"/>
  <c r="AE11" i="24"/>
  <c r="AD11" i="24"/>
  <c r="AB11" i="24"/>
  <c r="Z11" i="24"/>
  <c r="Y11" i="24"/>
  <c r="X11" i="24"/>
  <c r="W11" i="24"/>
  <c r="V11" i="24"/>
  <c r="U11" i="24"/>
  <c r="AN10" i="24"/>
  <c r="AM10" i="24"/>
  <c r="AL10" i="24"/>
  <c r="AK10" i="24"/>
  <c r="AJ10" i="24"/>
  <c r="AI10" i="24"/>
  <c r="AH10" i="24"/>
  <c r="AG10" i="24"/>
  <c r="AF10" i="24"/>
  <c r="AD10" i="24"/>
  <c r="AB10" i="24"/>
  <c r="Z10" i="24"/>
  <c r="X10" i="24"/>
  <c r="U10" i="24"/>
  <c r="AN9" i="24"/>
  <c r="AM9" i="24"/>
  <c r="AL9" i="24"/>
  <c r="AK9" i="24"/>
  <c r="AJ9" i="24"/>
  <c r="AI9" i="24"/>
  <c r="AH9" i="24"/>
  <c r="AG9" i="24"/>
  <c r="AF9" i="24"/>
  <c r="AD9" i="24"/>
  <c r="AB9" i="24"/>
  <c r="Z9" i="24"/>
  <c r="X9" i="24"/>
  <c r="U9" i="24"/>
  <c r="AN8" i="24"/>
  <c r="AM8" i="24"/>
  <c r="AL8" i="24"/>
  <c r="AK8" i="24"/>
  <c r="AJ8" i="24"/>
  <c r="AI8" i="24"/>
  <c r="AH8" i="24"/>
  <c r="AG8" i="24"/>
  <c r="AF8" i="24"/>
  <c r="AD8" i="24"/>
  <c r="AB8" i="24"/>
  <c r="Z8" i="24"/>
  <c r="X8" i="24"/>
  <c r="U8" i="24"/>
  <c r="AN7" i="24"/>
  <c r="AM7" i="24"/>
  <c r="AL7" i="24"/>
  <c r="AK7" i="24"/>
  <c r="AJ7" i="24"/>
  <c r="AI7" i="24"/>
  <c r="AH7" i="24"/>
  <c r="AG7" i="24"/>
  <c r="AF7" i="24"/>
  <c r="AD7" i="24"/>
  <c r="AB7" i="24"/>
  <c r="Z7" i="24"/>
  <c r="X7" i="24"/>
  <c r="U7" i="24"/>
  <c r="AN6" i="24"/>
  <c r="AM6" i="24"/>
  <c r="AL6" i="24"/>
  <c r="AK6" i="24"/>
  <c r="AJ6" i="24"/>
  <c r="AI6" i="24"/>
  <c r="AH6" i="24"/>
  <c r="AG6" i="24"/>
  <c r="AF6" i="24"/>
  <c r="AD6" i="24"/>
  <c r="AB6" i="24"/>
  <c r="Z6" i="24"/>
  <c r="X6" i="24"/>
  <c r="U6" i="24"/>
  <c r="AN5" i="24"/>
  <c r="AM5" i="24"/>
  <c r="AL5" i="24"/>
  <c r="AK5" i="24"/>
  <c r="AJ5" i="24"/>
  <c r="AI5" i="24"/>
  <c r="AH5" i="24"/>
  <c r="AG5" i="24"/>
  <c r="AF5" i="24"/>
  <c r="AD5" i="24"/>
  <c r="AB5" i="24"/>
  <c r="Z5" i="24"/>
  <c r="X5" i="24"/>
  <c r="U5" i="24"/>
  <c r="M7" i="14" l="1"/>
  <c r="N7" i="14" s="1"/>
  <c r="AQ39" i="24"/>
  <c r="AQ299" i="24"/>
  <c r="AQ307" i="24"/>
  <c r="AV281" i="24"/>
  <c r="AV259" i="24"/>
  <c r="AQ215" i="24"/>
  <c r="AO325" i="24"/>
  <c r="AT325" i="24" s="1"/>
  <c r="AU325" i="24" s="1"/>
  <c r="AO61" i="24"/>
  <c r="AT61" i="24" s="1"/>
  <c r="AU61" i="24" s="1"/>
  <c r="AO63" i="24"/>
  <c r="AT63" i="24" s="1"/>
  <c r="AO5" i="24"/>
  <c r="AQ5" i="24" s="1"/>
  <c r="AO157" i="24"/>
  <c r="AT157" i="24" s="1"/>
  <c r="AU157" i="24" s="1"/>
  <c r="AO73" i="24"/>
  <c r="AQ280" i="24"/>
  <c r="AO105" i="24"/>
  <c r="AO55" i="24"/>
  <c r="AT55" i="24" s="1"/>
  <c r="AU55" i="24" s="1"/>
  <c r="AO65" i="24"/>
  <c r="AT65" i="24" s="1"/>
  <c r="AU65" i="24" s="1"/>
  <c r="AO67" i="24"/>
  <c r="AO69" i="24"/>
  <c r="AT69" i="24" s="1"/>
  <c r="AU69" i="24" s="1"/>
  <c r="AQ274" i="24"/>
  <c r="AO26" i="24"/>
  <c r="AO25" i="24"/>
  <c r="AO87" i="24"/>
  <c r="AT87" i="24" s="1"/>
  <c r="AO14" i="24"/>
  <c r="AT14" i="24" s="1"/>
  <c r="AO50" i="24"/>
  <c r="AT50" i="24" s="1"/>
  <c r="AQ90" i="24"/>
  <c r="AS220" i="24"/>
  <c r="AO6" i="24"/>
  <c r="AO9" i="24"/>
  <c r="AT9" i="24" s="1"/>
  <c r="AV9" i="24" s="1"/>
  <c r="AO13" i="24"/>
  <c r="AO17" i="24"/>
  <c r="AT17" i="24" s="1"/>
  <c r="AO19" i="24"/>
  <c r="AO21" i="24"/>
  <c r="AO23" i="24"/>
  <c r="AO8" i="24"/>
  <c r="AT8" i="24" s="1"/>
  <c r="AO12" i="24"/>
  <c r="AT12" i="24" s="1"/>
  <c r="AO16" i="24"/>
  <c r="AT16" i="24" s="1"/>
  <c r="AO22" i="24"/>
  <c r="AT22" i="24" s="1"/>
  <c r="AU22" i="24" s="1"/>
  <c r="AO53" i="24"/>
  <c r="AT53" i="24" s="1"/>
  <c r="AO7" i="24"/>
  <c r="AT7" i="24" s="1"/>
  <c r="AO11" i="24"/>
  <c r="AT11" i="24" s="1"/>
  <c r="AO15" i="24"/>
  <c r="AT15" i="24" s="1"/>
  <c r="AO18" i="24"/>
  <c r="AT18" i="24" s="1"/>
  <c r="AO10" i="24"/>
  <c r="AT10" i="24" s="1"/>
  <c r="AS133" i="24"/>
  <c r="AS274" i="24"/>
  <c r="AO20" i="24"/>
  <c r="AT20" i="24" s="1"/>
  <c r="AO24" i="24"/>
  <c r="AO57" i="24"/>
  <c r="AT57" i="24" s="1"/>
  <c r="AQ225" i="24"/>
  <c r="AQ242" i="24"/>
  <c r="AQ288" i="24"/>
  <c r="AQ292" i="24"/>
  <c r="AO27" i="24"/>
  <c r="AO32" i="24"/>
  <c r="AT32" i="24" s="1"/>
  <c r="AO38" i="24"/>
  <c r="AT38" i="24" s="1"/>
  <c r="AU38" i="24" s="1"/>
  <c r="AO51" i="24"/>
  <c r="AT51" i="24" s="1"/>
  <c r="AO52" i="24"/>
  <c r="AT52" i="24" s="1"/>
  <c r="AO89" i="24"/>
  <c r="AT89" i="24" s="1"/>
  <c r="AU89" i="24" s="1"/>
  <c r="AO91" i="24"/>
  <c r="AT91" i="24" s="1"/>
  <c r="AT107" i="24"/>
  <c r="AT111" i="24"/>
  <c r="AU111" i="24" s="1"/>
  <c r="AT120" i="24"/>
  <c r="AT134" i="24"/>
  <c r="AU134" i="24" s="1"/>
  <c r="AT138" i="24"/>
  <c r="AU138" i="24" s="1"/>
  <c r="AT142" i="24"/>
  <c r="AU142" i="24" s="1"/>
  <c r="AT124" i="24"/>
  <c r="AU124" i="24" s="1"/>
  <c r="AO159" i="24"/>
  <c r="AT159" i="24" s="1"/>
  <c r="AU159" i="24" s="1"/>
  <c r="AO163" i="24"/>
  <c r="AT163" i="24" s="1"/>
  <c r="AU163" i="24" s="1"/>
  <c r="AO169" i="24"/>
  <c r="AT169" i="24" s="1"/>
  <c r="AU169" i="24" s="1"/>
  <c r="AO171" i="24"/>
  <c r="AT171" i="24" s="1"/>
  <c r="AU171" i="24" s="1"/>
  <c r="AO173" i="24"/>
  <c r="AT173" i="24" s="1"/>
  <c r="AU173" i="24" s="1"/>
  <c r="AO175" i="24"/>
  <c r="AT175" i="24" s="1"/>
  <c r="AU175" i="24" s="1"/>
  <c r="AO179" i="24"/>
  <c r="AT179" i="24" s="1"/>
  <c r="AU179" i="24" s="1"/>
  <c r="AO183" i="24"/>
  <c r="AT183" i="24" s="1"/>
  <c r="AU183" i="24" s="1"/>
  <c r="AO185" i="24"/>
  <c r="AT185" i="24" s="1"/>
  <c r="AU185" i="24" s="1"/>
  <c r="AO191" i="24"/>
  <c r="AT191" i="24" s="1"/>
  <c r="AU191" i="24" s="1"/>
  <c r="AO203" i="24"/>
  <c r="AT203" i="24" s="1"/>
  <c r="AU203" i="24" s="1"/>
  <c r="AO207" i="24"/>
  <c r="AT207" i="24" s="1"/>
  <c r="AU207" i="24" s="1"/>
  <c r="AO211" i="24"/>
  <c r="AT211" i="24" s="1"/>
  <c r="AU211" i="24" s="1"/>
  <c r="AO217" i="24"/>
  <c r="AT217" i="24" s="1"/>
  <c r="AU217" i="24" s="1"/>
  <c r="AO221" i="24"/>
  <c r="AT221" i="24" s="1"/>
  <c r="AU221" i="24" s="1"/>
  <c r="AO227" i="24"/>
  <c r="AT227" i="24" s="1"/>
  <c r="AU227" i="24" s="1"/>
  <c r="AO231" i="24"/>
  <c r="AT231" i="24" s="1"/>
  <c r="AU231" i="24" s="1"/>
  <c r="AO239" i="24"/>
  <c r="AT239" i="24" s="1"/>
  <c r="AU239" i="24" s="1"/>
  <c r="AO243" i="24"/>
  <c r="AT243" i="24" s="1"/>
  <c r="AU243" i="24" s="1"/>
  <c r="AO247" i="24"/>
  <c r="AT247" i="24" s="1"/>
  <c r="AU247" i="24" s="1"/>
  <c r="AO255" i="24"/>
  <c r="AT255" i="24" s="1"/>
  <c r="AU255" i="24" s="1"/>
  <c r="AO265" i="24"/>
  <c r="AT265" i="24" s="1"/>
  <c r="AU265" i="24" s="1"/>
  <c r="AO269" i="24"/>
  <c r="AT269" i="24" s="1"/>
  <c r="AU269" i="24" s="1"/>
  <c r="AO273" i="24"/>
  <c r="AT273" i="24" s="1"/>
  <c r="AU273" i="24" s="1"/>
  <c r="AO275" i="24"/>
  <c r="AT275" i="24" s="1"/>
  <c r="AU275" i="24" s="1"/>
  <c r="AO279" i="24"/>
  <c r="AT279" i="24" s="1"/>
  <c r="AU279" i="24" s="1"/>
  <c r="AO285" i="24"/>
  <c r="AT285" i="24" s="1"/>
  <c r="AU285" i="24" s="1"/>
  <c r="AO287" i="24"/>
  <c r="AT287" i="24" s="1"/>
  <c r="AU287" i="24" s="1"/>
  <c r="AO29" i="24"/>
  <c r="AT29" i="24" s="1"/>
  <c r="AO33" i="24"/>
  <c r="AT33" i="24" s="1"/>
  <c r="AU33" i="24" s="1"/>
  <c r="AO37" i="24"/>
  <c r="AT37" i="24" s="1"/>
  <c r="AO58" i="24"/>
  <c r="AT58" i="24" s="1"/>
  <c r="AO62" i="24"/>
  <c r="AT62" i="24" s="1"/>
  <c r="AU62" i="24" s="1"/>
  <c r="AO66" i="24"/>
  <c r="AT66" i="24" s="1"/>
  <c r="AO70" i="24"/>
  <c r="AO74" i="24"/>
  <c r="AT106" i="24"/>
  <c r="AT110" i="24"/>
  <c r="AU110" i="24" s="1"/>
  <c r="AT114" i="24"/>
  <c r="AU114" i="24" s="1"/>
  <c r="AT118" i="24"/>
  <c r="AT129" i="24"/>
  <c r="AT137" i="24"/>
  <c r="AU137" i="24" s="1"/>
  <c r="AT141" i="24"/>
  <c r="AU141" i="24" s="1"/>
  <c r="AT145" i="24"/>
  <c r="AU145" i="24" s="1"/>
  <c r="AT123" i="24"/>
  <c r="AU123" i="24" s="1"/>
  <c r="AO160" i="24"/>
  <c r="AT160" i="24" s="1"/>
  <c r="AU160" i="24" s="1"/>
  <c r="AO164" i="24"/>
  <c r="AT164" i="24" s="1"/>
  <c r="AU164" i="24" s="1"/>
  <c r="AO168" i="24"/>
  <c r="AT168" i="24" s="1"/>
  <c r="AU168" i="24" s="1"/>
  <c r="AO172" i="24"/>
  <c r="AT172" i="24" s="1"/>
  <c r="AU172" i="24" s="1"/>
  <c r="AO176" i="24"/>
  <c r="AT176" i="24" s="1"/>
  <c r="AU176" i="24" s="1"/>
  <c r="AO180" i="24"/>
  <c r="AT180" i="24" s="1"/>
  <c r="AU180" i="24" s="1"/>
  <c r="AO184" i="24"/>
  <c r="AT184" i="24" s="1"/>
  <c r="AU184" i="24" s="1"/>
  <c r="AO188" i="24"/>
  <c r="AT188" i="24" s="1"/>
  <c r="AU188" i="24" s="1"/>
  <c r="AO192" i="24"/>
  <c r="AT192" i="24" s="1"/>
  <c r="AU192" i="24" s="1"/>
  <c r="AO196" i="24"/>
  <c r="AT196" i="24" s="1"/>
  <c r="AU196" i="24" s="1"/>
  <c r="AO200" i="24"/>
  <c r="AT200" i="24" s="1"/>
  <c r="AU200" i="24" s="1"/>
  <c r="AO204" i="24"/>
  <c r="AT204" i="24" s="1"/>
  <c r="AU204" i="24" s="1"/>
  <c r="AO208" i="24"/>
  <c r="AT208" i="24" s="1"/>
  <c r="AU208" i="24" s="1"/>
  <c r="AO212" i="24"/>
  <c r="AT212" i="24" s="1"/>
  <c r="AU212" i="24" s="1"/>
  <c r="AO216" i="24"/>
  <c r="AT216" i="24" s="1"/>
  <c r="AU216" i="24" s="1"/>
  <c r="AO224" i="24"/>
  <c r="AT224" i="24" s="1"/>
  <c r="AU224" i="24" s="1"/>
  <c r="AO228" i="24"/>
  <c r="AT228" i="24" s="1"/>
  <c r="AU228" i="24" s="1"/>
  <c r="AO232" i="24"/>
  <c r="AT232" i="24" s="1"/>
  <c r="AU232" i="24" s="1"/>
  <c r="AO236" i="24"/>
  <c r="AT236" i="24" s="1"/>
  <c r="AU236" i="24" s="1"/>
  <c r="AO240" i="24"/>
  <c r="AT240" i="24" s="1"/>
  <c r="AU240" i="24" s="1"/>
  <c r="AO244" i="24"/>
  <c r="AT244" i="24" s="1"/>
  <c r="AU244" i="24" s="1"/>
  <c r="AO248" i="24"/>
  <c r="AT248" i="24" s="1"/>
  <c r="AU248" i="24" s="1"/>
  <c r="AO252" i="24"/>
  <c r="AT252" i="24" s="1"/>
  <c r="AU252" i="24" s="1"/>
  <c r="AO256" i="24"/>
  <c r="AT256" i="24" s="1"/>
  <c r="AU256" i="24" s="1"/>
  <c r="AO260" i="24"/>
  <c r="AT260" i="24" s="1"/>
  <c r="AU260" i="24" s="1"/>
  <c r="AO264" i="24"/>
  <c r="AT264" i="24" s="1"/>
  <c r="AU264" i="24" s="1"/>
  <c r="AO268" i="24"/>
  <c r="AT268" i="24" s="1"/>
  <c r="AU268" i="24" s="1"/>
  <c r="AO272" i="24"/>
  <c r="AT272" i="24" s="1"/>
  <c r="AU272" i="24" s="1"/>
  <c r="AO276" i="24"/>
  <c r="AT276" i="24" s="1"/>
  <c r="AU276" i="24" s="1"/>
  <c r="AO284" i="24"/>
  <c r="AT284" i="24" s="1"/>
  <c r="AU284" i="24" s="1"/>
  <c r="AO296" i="24"/>
  <c r="AT296" i="24" s="1"/>
  <c r="AU296" i="24" s="1"/>
  <c r="AO30" i="24"/>
  <c r="AT30" i="24" s="1"/>
  <c r="AO36" i="24"/>
  <c r="AT36" i="24" s="1"/>
  <c r="AO56" i="24"/>
  <c r="AT56" i="24" s="1"/>
  <c r="AO93" i="24"/>
  <c r="AT93" i="24" s="1"/>
  <c r="AU93" i="24" s="1"/>
  <c r="AT113" i="24"/>
  <c r="AU113" i="24" s="1"/>
  <c r="AT117" i="24"/>
  <c r="AU117" i="24" s="1"/>
  <c r="AT132" i="24"/>
  <c r="AU132" i="24" s="1"/>
  <c r="AT136" i="24"/>
  <c r="AU136" i="24" s="1"/>
  <c r="AT140" i="24"/>
  <c r="AU140" i="24" s="1"/>
  <c r="AT144" i="24"/>
  <c r="AU144" i="24" s="1"/>
  <c r="AT122" i="24"/>
  <c r="AU122" i="24" s="1"/>
  <c r="AT126" i="24"/>
  <c r="AU126" i="24" s="1"/>
  <c r="AO161" i="24"/>
  <c r="AT161" i="24" s="1"/>
  <c r="AU161" i="24" s="1"/>
  <c r="AO167" i="24"/>
  <c r="AT167" i="24" s="1"/>
  <c r="AU167" i="24" s="1"/>
  <c r="AO177" i="24"/>
  <c r="AT177" i="24" s="1"/>
  <c r="AU177" i="24" s="1"/>
  <c r="AO187" i="24"/>
  <c r="AT187" i="24" s="1"/>
  <c r="AU187" i="24" s="1"/>
  <c r="AO189" i="24"/>
  <c r="AT189" i="24" s="1"/>
  <c r="AU189" i="24" s="1"/>
  <c r="AO193" i="24"/>
  <c r="AT193" i="24" s="1"/>
  <c r="AU193" i="24" s="1"/>
  <c r="AO195" i="24"/>
  <c r="AT195" i="24" s="1"/>
  <c r="AU195" i="24" s="1"/>
  <c r="AO197" i="24"/>
  <c r="AT197" i="24" s="1"/>
  <c r="AU197" i="24" s="1"/>
  <c r="AO201" i="24"/>
  <c r="AT201" i="24" s="1"/>
  <c r="AU201" i="24" s="1"/>
  <c r="AO205" i="24"/>
  <c r="AT205" i="24" s="1"/>
  <c r="AU205" i="24" s="1"/>
  <c r="AO209" i="24"/>
  <c r="AT209" i="24" s="1"/>
  <c r="AU209" i="24" s="1"/>
  <c r="AO213" i="24"/>
  <c r="AT213" i="24" s="1"/>
  <c r="AU213" i="24" s="1"/>
  <c r="AO219" i="24"/>
  <c r="AT219" i="24" s="1"/>
  <c r="AU219" i="24" s="1"/>
  <c r="AO223" i="24"/>
  <c r="AT223" i="24" s="1"/>
  <c r="AU223" i="24" s="1"/>
  <c r="AO229" i="24"/>
  <c r="AT229" i="24" s="1"/>
  <c r="AU229" i="24" s="1"/>
  <c r="AO233" i="24"/>
  <c r="AT233" i="24" s="1"/>
  <c r="AU233" i="24" s="1"/>
  <c r="AO235" i="24"/>
  <c r="AT235" i="24" s="1"/>
  <c r="AU235" i="24" s="1"/>
  <c r="AO237" i="24"/>
  <c r="AT237" i="24" s="1"/>
  <c r="AU237" i="24" s="1"/>
  <c r="AO241" i="24"/>
  <c r="AT241" i="24" s="1"/>
  <c r="AU241" i="24" s="1"/>
  <c r="AO245" i="24"/>
  <c r="AT245" i="24" s="1"/>
  <c r="AU245" i="24" s="1"/>
  <c r="AO251" i="24"/>
  <c r="AT251" i="24" s="1"/>
  <c r="AU251" i="24" s="1"/>
  <c r="AO253" i="24"/>
  <c r="AT253" i="24" s="1"/>
  <c r="AU253" i="24" s="1"/>
  <c r="AO257" i="24"/>
  <c r="AT257" i="24" s="1"/>
  <c r="AU257" i="24" s="1"/>
  <c r="AO261" i="24"/>
  <c r="AT261" i="24" s="1"/>
  <c r="AU261" i="24" s="1"/>
  <c r="AO263" i="24"/>
  <c r="AT263" i="24" s="1"/>
  <c r="AU263" i="24" s="1"/>
  <c r="AO267" i="24"/>
  <c r="AT267" i="24" s="1"/>
  <c r="AU267" i="24" s="1"/>
  <c r="AO271" i="24"/>
  <c r="AT271" i="24" s="1"/>
  <c r="AU271" i="24" s="1"/>
  <c r="AO277" i="24"/>
  <c r="AT277" i="24" s="1"/>
  <c r="AU277" i="24" s="1"/>
  <c r="AO283" i="24"/>
  <c r="AT283" i="24" s="1"/>
  <c r="AU283" i="24" s="1"/>
  <c r="AO289" i="24"/>
  <c r="AT289" i="24" s="1"/>
  <c r="AU289" i="24" s="1"/>
  <c r="AO31" i="24"/>
  <c r="AT31" i="24" s="1"/>
  <c r="AO35" i="24"/>
  <c r="AT35" i="24" s="1"/>
  <c r="AO54" i="24"/>
  <c r="AT54" i="24" s="1"/>
  <c r="AO59" i="24"/>
  <c r="AT59" i="24" s="1"/>
  <c r="AO60" i="24"/>
  <c r="AT60" i="24" s="1"/>
  <c r="AO68" i="24"/>
  <c r="AO72" i="24"/>
  <c r="AO75" i="24"/>
  <c r="AO88" i="24"/>
  <c r="AT88" i="24" s="1"/>
  <c r="AO92" i="24"/>
  <c r="AT112" i="24"/>
  <c r="AU112" i="24" s="1"/>
  <c r="AT116" i="24"/>
  <c r="AU116" i="24" s="1"/>
  <c r="AT131" i="24"/>
  <c r="AT135" i="24"/>
  <c r="AU135" i="24" s="1"/>
  <c r="AT139" i="24"/>
  <c r="AU139" i="24" s="1"/>
  <c r="AT143" i="24"/>
  <c r="AU143" i="24" s="1"/>
  <c r="AT121" i="24"/>
  <c r="AU121" i="24" s="1"/>
  <c r="AT125" i="24"/>
  <c r="AU125" i="24" s="1"/>
  <c r="AO158" i="24"/>
  <c r="AT158" i="24" s="1"/>
  <c r="AU158" i="24" s="1"/>
  <c r="AO162" i="24"/>
  <c r="AT162" i="24" s="1"/>
  <c r="AU162" i="24" s="1"/>
  <c r="AO166" i="24"/>
  <c r="AT166" i="24" s="1"/>
  <c r="AU166" i="24" s="1"/>
  <c r="AO170" i="24"/>
  <c r="AT170" i="24" s="1"/>
  <c r="AU170" i="24" s="1"/>
  <c r="AO174" i="24"/>
  <c r="AT174" i="24" s="1"/>
  <c r="AU174" i="24" s="1"/>
  <c r="AO178" i="24"/>
  <c r="AT178" i="24" s="1"/>
  <c r="AU178" i="24" s="1"/>
  <c r="AO182" i="24"/>
  <c r="AT182" i="24" s="1"/>
  <c r="AU182" i="24" s="1"/>
  <c r="AO186" i="24"/>
  <c r="AT186" i="24" s="1"/>
  <c r="AU186" i="24" s="1"/>
  <c r="AO194" i="24"/>
  <c r="AT194" i="24" s="1"/>
  <c r="AU194" i="24" s="1"/>
  <c r="AO198" i="24"/>
  <c r="AT198" i="24" s="1"/>
  <c r="AU198" i="24" s="1"/>
  <c r="AO202" i="24"/>
  <c r="AT202" i="24" s="1"/>
  <c r="AU202" i="24" s="1"/>
  <c r="AO206" i="24"/>
  <c r="AT206" i="24" s="1"/>
  <c r="AU206" i="24" s="1"/>
  <c r="AO210" i="24"/>
  <c r="AT210" i="24" s="1"/>
  <c r="AU210" i="24" s="1"/>
  <c r="AO214" i="24"/>
  <c r="AT214" i="24" s="1"/>
  <c r="AU214" i="24" s="1"/>
  <c r="AO218" i="24"/>
  <c r="AT218" i="24" s="1"/>
  <c r="AU218" i="24" s="1"/>
  <c r="AO222" i="24"/>
  <c r="AT222" i="24" s="1"/>
  <c r="AU222" i="24" s="1"/>
  <c r="AO230" i="24"/>
  <c r="AT230" i="24" s="1"/>
  <c r="AU230" i="24" s="1"/>
  <c r="AO234" i="24"/>
  <c r="AT234" i="24" s="1"/>
  <c r="AU234" i="24" s="1"/>
  <c r="AO238" i="24"/>
  <c r="AT238" i="24" s="1"/>
  <c r="AU238" i="24" s="1"/>
  <c r="AO246" i="24"/>
  <c r="AT246" i="24" s="1"/>
  <c r="AU246" i="24" s="1"/>
  <c r="AO250" i="24"/>
  <c r="AT250" i="24" s="1"/>
  <c r="AU250" i="24" s="1"/>
  <c r="AO254" i="24"/>
  <c r="AT254" i="24" s="1"/>
  <c r="AU254" i="24" s="1"/>
  <c r="AO262" i="24"/>
  <c r="AT262" i="24" s="1"/>
  <c r="AU262" i="24" s="1"/>
  <c r="AO266" i="24"/>
  <c r="AT266" i="24" s="1"/>
  <c r="AU266" i="24" s="1"/>
  <c r="AO270" i="24"/>
  <c r="AT270" i="24" s="1"/>
  <c r="AU270" i="24" s="1"/>
  <c r="AO278" i="24"/>
  <c r="AT278" i="24" s="1"/>
  <c r="AU278" i="24" s="1"/>
  <c r="AO282" i="24"/>
  <c r="AT282" i="24" s="1"/>
  <c r="AU282" i="24" s="1"/>
  <c r="AO286" i="24"/>
  <c r="AT286" i="24" s="1"/>
  <c r="AU286" i="24" s="1"/>
  <c r="AO290" i="24"/>
  <c r="AT290" i="24" s="1"/>
  <c r="AU290" i="24" s="1"/>
  <c r="AO294" i="24"/>
  <c r="AT294" i="24" s="1"/>
  <c r="AU294" i="24" s="1"/>
  <c r="AO298" i="24"/>
  <c r="AT298" i="24" s="1"/>
  <c r="AU298" i="24" s="1"/>
  <c r="AO302" i="24"/>
  <c r="AT302" i="24" s="1"/>
  <c r="AU302" i="24" s="1"/>
  <c r="AO306" i="24"/>
  <c r="AT306" i="24" s="1"/>
  <c r="AU306" i="24" s="1"/>
  <c r="AO310" i="24"/>
  <c r="AT310" i="24" s="1"/>
  <c r="AU310" i="24" s="1"/>
  <c r="AO328" i="24"/>
  <c r="AT328" i="24" s="1"/>
  <c r="AU328" i="24" s="1"/>
  <c r="AO332" i="24"/>
  <c r="AT332" i="24" s="1"/>
  <c r="AU332" i="24" s="1"/>
  <c r="AS64" i="24"/>
  <c r="AS94" i="24"/>
  <c r="AS146" i="24"/>
  <c r="AS181" i="24"/>
  <c r="AS299" i="24"/>
  <c r="AS307" i="24"/>
  <c r="AO291" i="24"/>
  <c r="AT291" i="24" s="1"/>
  <c r="AU291" i="24" s="1"/>
  <c r="AO293" i="24"/>
  <c r="AT293" i="24" s="1"/>
  <c r="AU293" i="24" s="1"/>
  <c r="AO297" i="24"/>
  <c r="AT297" i="24" s="1"/>
  <c r="AU297" i="24" s="1"/>
  <c r="AO303" i="24"/>
  <c r="AT303" i="24" s="1"/>
  <c r="AU303" i="24" s="1"/>
  <c r="AO305" i="24"/>
  <c r="AT305" i="24" s="1"/>
  <c r="AU305" i="24" s="1"/>
  <c r="AO327" i="24"/>
  <c r="AT327" i="24" s="1"/>
  <c r="AU327" i="24" s="1"/>
  <c r="AO331" i="24"/>
  <c r="AT331" i="24" s="1"/>
  <c r="AU331" i="24" s="1"/>
  <c r="AO335" i="24"/>
  <c r="AT335" i="24" s="1"/>
  <c r="AU335" i="24" s="1"/>
  <c r="AS225" i="24"/>
  <c r="AO300" i="24"/>
  <c r="AT300" i="24" s="1"/>
  <c r="AU300" i="24" s="1"/>
  <c r="AO304" i="24"/>
  <c r="AT304" i="24" s="1"/>
  <c r="AU304" i="24" s="1"/>
  <c r="AO308" i="24"/>
  <c r="AT308" i="24" s="1"/>
  <c r="AU308" i="24" s="1"/>
  <c r="AO312" i="24"/>
  <c r="AT312" i="24" s="1"/>
  <c r="AU312" i="24" s="1"/>
  <c r="AO326" i="24"/>
  <c r="AT326" i="24" s="1"/>
  <c r="AU326" i="24" s="1"/>
  <c r="AO330" i="24"/>
  <c r="AT330" i="24" s="1"/>
  <c r="AU330" i="24" s="1"/>
  <c r="AO334" i="24"/>
  <c r="AT334" i="24" s="1"/>
  <c r="AU334" i="24" s="1"/>
  <c r="AQ34" i="24"/>
  <c r="AS39" i="24"/>
  <c r="AS90" i="24"/>
  <c r="AQ115" i="24"/>
  <c r="AQ165" i="24"/>
  <c r="AS199" i="24"/>
  <c r="AS215" i="24"/>
  <c r="AS242" i="24"/>
  <c r="AS288" i="24"/>
  <c r="AO295" i="24"/>
  <c r="AT295" i="24" s="1"/>
  <c r="AU295" i="24" s="1"/>
  <c r="AO301" i="24"/>
  <c r="AT301" i="24" s="1"/>
  <c r="AU301" i="24" s="1"/>
  <c r="AO309" i="24"/>
  <c r="AT309" i="24" s="1"/>
  <c r="AU309" i="24" s="1"/>
  <c r="AO311" i="24"/>
  <c r="AT311" i="24" s="1"/>
  <c r="AU311" i="24" s="1"/>
  <c r="AO329" i="24"/>
  <c r="AT329" i="24" s="1"/>
  <c r="AU329" i="24" s="1"/>
  <c r="AO333" i="24"/>
  <c r="AT333" i="24" s="1"/>
  <c r="AU333" i="24" s="1"/>
  <c r="AO336" i="24"/>
  <c r="AT336" i="24" s="1"/>
  <c r="AU336" i="24" s="1"/>
  <c r="AS34" i="24"/>
  <c r="AQ64" i="24"/>
  <c r="AS115" i="24"/>
  <c r="AQ146" i="24"/>
  <c r="AS165" i="24"/>
  <c r="AQ181" i="24"/>
  <c r="AQ199" i="24"/>
  <c r="AQ220" i="24"/>
  <c r="AQ249" i="24"/>
  <c r="AQ258" i="24"/>
  <c r="AS280" i="24"/>
  <c r="AS292" i="24"/>
  <c r="AQ313" i="24"/>
  <c r="AQ337" i="24"/>
  <c r="AQ338" i="24" s="1"/>
  <c r="AS249" i="24"/>
  <c r="AS258" i="24"/>
  <c r="AS313" i="24"/>
  <c r="AS337" i="24"/>
  <c r="AV226" i="24"/>
  <c r="AV314" i="24"/>
  <c r="AV190" i="24"/>
  <c r="AQ105" i="24" l="1"/>
  <c r="AS105" i="24" s="1"/>
  <c r="AQ70" i="24"/>
  <c r="AS70" i="24"/>
  <c r="AT70" i="24" s="1"/>
  <c r="AU70" i="24" s="1"/>
  <c r="AQ27" i="24"/>
  <c r="AS27" i="24" s="1"/>
  <c r="AT13" i="24"/>
  <c r="AU13" i="24" s="1"/>
  <c r="AQ13" i="24"/>
  <c r="AQ25" i="24"/>
  <c r="AT25" i="24" s="1"/>
  <c r="AU25" i="24" s="1"/>
  <c r="AS26" i="24"/>
  <c r="AT26" i="24" s="1"/>
  <c r="AU26" i="24" s="1"/>
  <c r="AQ26" i="24"/>
  <c r="AS73" i="24"/>
  <c r="AT73" i="24" s="1"/>
  <c r="AQ73" i="24"/>
  <c r="AQ68" i="24"/>
  <c r="AS68" i="24" s="1"/>
  <c r="AT68" i="24" s="1"/>
  <c r="AU68" i="24" s="1"/>
  <c r="AQ92" i="24"/>
  <c r="AQ94" i="24" s="1"/>
  <c r="AQ95" i="24" s="1"/>
  <c r="AQ23" i="24"/>
  <c r="AT23" i="24" s="1"/>
  <c r="AU23" i="24" s="1"/>
  <c r="AT67" i="24"/>
  <c r="AV67" i="24" s="1"/>
  <c r="AS67" i="24"/>
  <c r="AQ67" i="24"/>
  <c r="AQ74" i="24"/>
  <c r="AT74" i="24" s="1"/>
  <c r="AT21" i="24"/>
  <c r="AU21" i="24" s="1"/>
  <c r="AS21" i="24"/>
  <c r="AQ72" i="24"/>
  <c r="AS72" i="24" s="1"/>
  <c r="AT24" i="24"/>
  <c r="AU24" i="24" s="1"/>
  <c r="AQ24" i="24"/>
  <c r="AT19" i="24"/>
  <c r="AV19" i="24" s="1"/>
  <c r="AS19" i="24"/>
  <c r="AV315" i="24"/>
  <c r="AQ281" i="24"/>
  <c r="AV87" i="24"/>
  <c r="AU87" i="24"/>
  <c r="AQ133" i="24"/>
  <c r="AT130" i="24"/>
  <c r="AU19" i="24"/>
  <c r="AQ190" i="24"/>
  <c r="AV14" i="24"/>
  <c r="AU14" i="24"/>
  <c r="AU67" i="24"/>
  <c r="AU9" i="24"/>
  <c r="AV12" i="24"/>
  <c r="AU12" i="24"/>
  <c r="AV15" i="24"/>
  <c r="AU15" i="24"/>
  <c r="AV11" i="24"/>
  <c r="AU11" i="24"/>
  <c r="AV10" i="24"/>
  <c r="AU10" i="24"/>
  <c r="AV7" i="24"/>
  <c r="AU7" i="24"/>
  <c r="AU274" i="24"/>
  <c r="AV8" i="24"/>
  <c r="AU8" i="24"/>
  <c r="AQ314" i="24"/>
  <c r="AU220" i="24"/>
  <c r="AU299" i="24"/>
  <c r="AU292" i="24"/>
  <c r="AV16" i="24"/>
  <c r="AU16" i="24"/>
  <c r="AV18" i="24"/>
  <c r="AU18" i="24"/>
  <c r="AV17" i="24"/>
  <c r="AU17" i="24"/>
  <c r="AV20" i="24"/>
  <c r="AU20" i="24"/>
  <c r="AU280" i="24"/>
  <c r="AQ226" i="24"/>
  <c r="AV118" i="24"/>
  <c r="AU118" i="24"/>
  <c r="AV56" i="24"/>
  <c r="AU56" i="24"/>
  <c r="AU307" i="24"/>
  <c r="AU242" i="24"/>
  <c r="AU337" i="24"/>
  <c r="AU338" i="24" s="1"/>
  <c r="AV131" i="24"/>
  <c r="AU131" i="24"/>
  <c r="AV54" i="24"/>
  <c r="AU54" i="24"/>
  <c r="AQ259" i="24"/>
  <c r="AV66" i="24"/>
  <c r="AU66" i="24"/>
  <c r="AU199" i="24"/>
  <c r="AU51" i="24"/>
  <c r="AV51" i="24"/>
  <c r="AU32" i="24"/>
  <c r="AV32" i="24"/>
  <c r="AV91" i="24"/>
  <c r="AU91" i="24"/>
  <c r="AV36" i="24"/>
  <c r="AU36" i="24"/>
  <c r="AU258" i="24"/>
  <c r="AU165" i="24"/>
  <c r="AU181" i="24"/>
  <c r="AV63" i="24"/>
  <c r="AU63" i="24"/>
  <c r="AU37" i="24"/>
  <c r="AV37" i="24"/>
  <c r="AU225" i="24"/>
  <c r="AU128" i="24"/>
  <c r="AV30" i="24"/>
  <c r="AU30" i="24"/>
  <c r="AS95" i="24"/>
  <c r="AV60" i="24"/>
  <c r="AU60" i="24"/>
  <c r="AV52" i="24"/>
  <c r="AU52" i="24"/>
  <c r="AV57" i="24"/>
  <c r="AU57" i="24"/>
  <c r="AU249" i="24"/>
  <c r="AU29" i="24"/>
  <c r="AV29" i="24"/>
  <c r="AS259" i="24"/>
  <c r="AU215" i="24"/>
  <c r="AU35" i="24"/>
  <c r="AV35" i="24"/>
  <c r="AU106" i="24"/>
  <c r="AV106" i="24"/>
  <c r="AU288" i="24"/>
  <c r="AU88" i="24"/>
  <c r="AV88" i="24"/>
  <c r="AU53" i="24"/>
  <c r="AV53" i="24"/>
  <c r="AT75" i="24"/>
  <c r="AU75" i="24" s="1"/>
  <c r="AU313" i="24"/>
  <c r="AV59" i="24"/>
  <c r="AU59" i="24"/>
  <c r="AS226" i="24"/>
  <c r="AU120" i="24"/>
  <c r="AV120" i="24"/>
  <c r="AQ109" i="24"/>
  <c r="AS338" i="24"/>
  <c r="AS314" i="24"/>
  <c r="AS281" i="24"/>
  <c r="AU115" i="24"/>
  <c r="AS190" i="24"/>
  <c r="AU146" i="24"/>
  <c r="AU74" i="24" l="1"/>
  <c r="AV74" i="24"/>
  <c r="AV73" i="24"/>
  <c r="AU73" i="24"/>
  <c r="AT92" i="24"/>
  <c r="AQ147" i="24"/>
  <c r="AU90" i="24"/>
  <c r="AV90" i="24"/>
  <c r="AV71" i="24"/>
  <c r="AQ315" i="24"/>
  <c r="AV130" i="24"/>
  <c r="AV133" i="24" s="1"/>
  <c r="AU130" i="24"/>
  <c r="AU133" i="24" s="1"/>
  <c r="AU281" i="24"/>
  <c r="AU259" i="24"/>
  <c r="AU314" i="24"/>
  <c r="AU39" i="24"/>
  <c r="AV34" i="24"/>
  <c r="AQ71" i="24"/>
  <c r="AU190" i="24"/>
  <c r="AU71" i="24"/>
  <c r="AQ76" i="24"/>
  <c r="AS315" i="24"/>
  <c r="AT108" i="24"/>
  <c r="AU108" i="24" s="1"/>
  <c r="AU34" i="24"/>
  <c r="AS71" i="24"/>
  <c r="AV64" i="24"/>
  <c r="AU226" i="24"/>
  <c r="AV39" i="24"/>
  <c r="AU64" i="24"/>
  <c r="AT72" i="24"/>
  <c r="AS76" i="24"/>
  <c r="AT105" i="24"/>
  <c r="AV92" i="24" l="1"/>
  <c r="AV94" i="24" s="1"/>
  <c r="AU92" i="24"/>
  <c r="AU94" i="24" s="1"/>
  <c r="AU95" i="24" s="1"/>
  <c r="AV95" i="24"/>
  <c r="AQ77" i="24"/>
  <c r="AU315" i="24"/>
  <c r="AS109" i="24"/>
  <c r="AS147" i="24" s="1"/>
  <c r="AT27" i="24"/>
  <c r="AU27" i="24" s="1"/>
  <c r="AS77" i="24"/>
  <c r="AU105" i="24"/>
  <c r="AU109" i="24" s="1"/>
  <c r="AU147" i="24" s="1"/>
  <c r="AV105" i="24"/>
  <c r="AV109" i="24" s="1"/>
  <c r="AV147" i="24" s="1"/>
  <c r="AV72" i="24"/>
  <c r="AV76" i="24" s="1"/>
  <c r="AV77" i="24" s="1"/>
  <c r="AU72" i="24"/>
  <c r="AU76" i="24" s="1"/>
  <c r="AU77" i="24" s="1"/>
  <c r="K336" i="3"/>
  <c r="K337" i="3" s="1"/>
  <c r="J335" i="3"/>
  <c r="J334" i="3"/>
  <c r="J326" i="3"/>
  <c r="K313" i="3"/>
  <c r="J312" i="3"/>
  <c r="J311" i="3"/>
  <c r="J310" i="3"/>
  <c r="J309" i="3"/>
  <c r="J308" i="3"/>
  <c r="K307" i="3"/>
  <c r="J306" i="3"/>
  <c r="J305" i="3"/>
  <c r="J304" i="3"/>
  <c r="J303" i="3"/>
  <c r="J302" i="3"/>
  <c r="J301" i="3"/>
  <c r="J300" i="3"/>
  <c r="K299" i="3"/>
  <c r="J298" i="3"/>
  <c r="J297" i="3"/>
  <c r="J296" i="3"/>
  <c r="J295" i="3"/>
  <c r="J294" i="3"/>
  <c r="J293" i="3"/>
  <c r="K292" i="3"/>
  <c r="J291" i="3"/>
  <c r="J290" i="3"/>
  <c r="J289" i="3"/>
  <c r="K288" i="3"/>
  <c r="J287" i="3"/>
  <c r="J286" i="3"/>
  <c r="J285" i="3"/>
  <c r="J284" i="3"/>
  <c r="J283" i="3"/>
  <c r="J282" i="3"/>
  <c r="K280" i="3"/>
  <c r="J279" i="3"/>
  <c r="J278" i="3"/>
  <c r="J277" i="3"/>
  <c r="J276" i="3"/>
  <c r="J275" i="3"/>
  <c r="K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K258" i="3"/>
  <c r="J257" i="3"/>
  <c r="J256" i="3"/>
  <c r="J255" i="3"/>
  <c r="J254" i="3"/>
  <c r="J253" i="3"/>
  <c r="J252" i="3"/>
  <c r="J251" i="3"/>
  <c r="J250" i="3"/>
  <c r="K249" i="3"/>
  <c r="J248" i="3"/>
  <c r="J247" i="3"/>
  <c r="J246" i="3"/>
  <c r="J245" i="3"/>
  <c r="J244" i="3"/>
  <c r="J243" i="3"/>
  <c r="K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K225" i="3"/>
  <c r="J224" i="3"/>
  <c r="J223" i="3"/>
  <c r="J222" i="3"/>
  <c r="J221" i="3"/>
  <c r="K220" i="3"/>
  <c r="J219" i="3"/>
  <c r="J218" i="3"/>
  <c r="J217" i="3"/>
  <c r="J216" i="3"/>
  <c r="K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K199" i="3"/>
  <c r="J198" i="3"/>
  <c r="J197" i="3"/>
  <c r="J196" i="3"/>
  <c r="J195" i="3"/>
  <c r="J194" i="3"/>
  <c r="J193" i="3"/>
  <c r="J192" i="3"/>
  <c r="J191" i="3"/>
  <c r="J189" i="3"/>
  <c r="J188" i="3"/>
  <c r="J187" i="3"/>
  <c r="J186" i="3"/>
  <c r="J185" i="3"/>
  <c r="J184" i="3"/>
  <c r="J183" i="3"/>
  <c r="J182" i="3"/>
  <c r="K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K165" i="3"/>
  <c r="J164" i="3"/>
  <c r="J163" i="3"/>
  <c r="J162" i="3"/>
  <c r="J161" i="3"/>
  <c r="J160" i="3"/>
  <c r="J159" i="3"/>
  <c r="J158" i="3"/>
  <c r="J157" i="3"/>
  <c r="J124" i="3"/>
  <c r="K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2" i="3"/>
  <c r="K131" i="3"/>
  <c r="J131" i="3"/>
  <c r="K130" i="3"/>
  <c r="J130" i="3"/>
  <c r="K118" i="3"/>
  <c r="K128" i="3" s="1"/>
  <c r="J118" i="3"/>
  <c r="J117" i="3"/>
  <c r="J116" i="3"/>
  <c r="K115" i="3"/>
  <c r="J114" i="3"/>
  <c r="J113" i="3"/>
  <c r="J112" i="3"/>
  <c r="J111" i="3"/>
  <c r="J110" i="3"/>
  <c r="J108" i="3"/>
  <c r="K106" i="3"/>
  <c r="J106" i="3"/>
  <c r="K105" i="3"/>
  <c r="J105" i="3"/>
  <c r="J124" i="20"/>
  <c r="K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2" i="20"/>
  <c r="K131" i="20"/>
  <c r="J131" i="20"/>
  <c r="K130" i="20"/>
  <c r="J130" i="20"/>
  <c r="K118" i="20"/>
  <c r="K128" i="20" s="1"/>
  <c r="J118" i="20"/>
  <c r="J117" i="20"/>
  <c r="J116" i="20"/>
  <c r="K115" i="20"/>
  <c r="J114" i="20"/>
  <c r="J113" i="20"/>
  <c r="J112" i="20"/>
  <c r="J111" i="20"/>
  <c r="J110" i="20"/>
  <c r="J108" i="20"/>
  <c r="K106" i="20"/>
  <c r="J106" i="20"/>
  <c r="K105" i="20"/>
  <c r="J105" i="20"/>
  <c r="J127" i="19"/>
  <c r="J124" i="19"/>
  <c r="K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2" i="19"/>
  <c r="K131" i="19"/>
  <c r="J131" i="19"/>
  <c r="K130" i="19"/>
  <c r="J130" i="19"/>
  <c r="J133" i="19" s="1"/>
  <c r="K118" i="19"/>
  <c r="K128" i="19" s="1"/>
  <c r="J118" i="19"/>
  <c r="J117" i="19"/>
  <c r="J116" i="19"/>
  <c r="K115" i="19"/>
  <c r="J114" i="19"/>
  <c r="J113" i="19"/>
  <c r="J112" i="19"/>
  <c r="J111" i="19"/>
  <c r="J110" i="19"/>
  <c r="J108" i="19"/>
  <c r="K106" i="19"/>
  <c r="J106" i="19"/>
  <c r="K105" i="19"/>
  <c r="J105" i="19"/>
  <c r="O124" i="4"/>
  <c r="P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2" i="4"/>
  <c r="P131" i="4"/>
  <c r="O131" i="4"/>
  <c r="P130" i="4"/>
  <c r="O130" i="4"/>
  <c r="P118" i="4"/>
  <c r="O118" i="4"/>
  <c r="O117" i="4"/>
  <c r="O116" i="4"/>
  <c r="P115" i="4"/>
  <c r="O114" i="4"/>
  <c r="O113" i="4"/>
  <c r="O112" i="4"/>
  <c r="O111" i="4"/>
  <c r="O110" i="4"/>
  <c r="O108" i="4"/>
  <c r="P106" i="4"/>
  <c r="O106" i="4"/>
  <c r="P105" i="4"/>
  <c r="O105" i="4"/>
  <c r="J93" i="3"/>
  <c r="K92" i="3"/>
  <c r="J92" i="3"/>
  <c r="K91" i="3"/>
  <c r="J91" i="3"/>
  <c r="J89" i="3"/>
  <c r="K88" i="3"/>
  <c r="J88" i="3"/>
  <c r="K87" i="3"/>
  <c r="J87" i="3"/>
  <c r="J93" i="20"/>
  <c r="K92" i="20"/>
  <c r="J92" i="20"/>
  <c r="K91" i="20"/>
  <c r="J91" i="20"/>
  <c r="J94" i="20" s="1"/>
  <c r="J89" i="20"/>
  <c r="K88" i="20"/>
  <c r="J88" i="20"/>
  <c r="K87" i="20"/>
  <c r="J87" i="20"/>
  <c r="J93" i="19"/>
  <c r="K92" i="19"/>
  <c r="J92" i="19"/>
  <c r="K91" i="19"/>
  <c r="J91" i="19"/>
  <c r="J89" i="19"/>
  <c r="K88" i="19"/>
  <c r="J88" i="19"/>
  <c r="K87" i="19"/>
  <c r="J87" i="19"/>
  <c r="J75" i="21"/>
  <c r="K74" i="21"/>
  <c r="J74" i="21"/>
  <c r="K73" i="21"/>
  <c r="J73" i="21"/>
  <c r="K72" i="21"/>
  <c r="J72" i="21"/>
  <c r="J70" i="21"/>
  <c r="J69" i="21"/>
  <c r="J68" i="21"/>
  <c r="K67" i="21"/>
  <c r="J67" i="21"/>
  <c r="K66" i="21"/>
  <c r="K71" i="21" s="1"/>
  <c r="J66" i="21"/>
  <c r="J65" i="21"/>
  <c r="K63" i="21"/>
  <c r="J63" i="21"/>
  <c r="J62" i="21"/>
  <c r="J61" i="21"/>
  <c r="K60" i="21"/>
  <c r="J60" i="21"/>
  <c r="K59" i="21"/>
  <c r="J59" i="21"/>
  <c r="K57" i="21"/>
  <c r="J57" i="21"/>
  <c r="K56" i="21"/>
  <c r="J56" i="21"/>
  <c r="J55" i="21"/>
  <c r="K54" i="21"/>
  <c r="J54" i="21"/>
  <c r="K53" i="21"/>
  <c r="J53" i="21"/>
  <c r="K52" i="21"/>
  <c r="J52" i="21"/>
  <c r="K51" i="21"/>
  <c r="J51" i="21"/>
  <c r="J75" i="3"/>
  <c r="K74" i="3"/>
  <c r="J74" i="3"/>
  <c r="K73" i="3"/>
  <c r="J73" i="3"/>
  <c r="K72" i="3"/>
  <c r="J72" i="3"/>
  <c r="J70" i="3"/>
  <c r="J69" i="3"/>
  <c r="J68" i="3"/>
  <c r="K67" i="3"/>
  <c r="J67" i="3"/>
  <c r="K66" i="3"/>
  <c r="J66" i="3"/>
  <c r="J65" i="3"/>
  <c r="K63" i="3"/>
  <c r="J63" i="3"/>
  <c r="J62" i="3"/>
  <c r="J61" i="3"/>
  <c r="K60" i="3"/>
  <c r="J60" i="3"/>
  <c r="K59" i="3"/>
  <c r="J59" i="3"/>
  <c r="K57" i="3"/>
  <c r="J57" i="3"/>
  <c r="K56" i="3"/>
  <c r="J56" i="3"/>
  <c r="J55" i="3"/>
  <c r="K54" i="3"/>
  <c r="J54" i="3"/>
  <c r="K53" i="3"/>
  <c r="J53" i="3"/>
  <c r="K52" i="3"/>
  <c r="J52" i="3"/>
  <c r="K51" i="3"/>
  <c r="J51" i="3"/>
  <c r="J75" i="20"/>
  <c r="K74" i="20"/>
  <c r="J74" i="20"/>
  <c r="K73" i="20"/>
  <c r="J73" i="20"/>
  <c r="K72" i="20"/>
  <c r="J72" i="20"/>
  <c r="J70" i="20"/>
  <c r="J69" i="20"/>
  <c r="J68" i="20"/>
  <c r="K67" i="20"/>
  <c r="J67" i="20"/>
  <c r="K66" i="20"/>
  <c r="J66" i="20"/>
  <c r="J65" i="20"/>
  <c r="K63" i="20"/>
  <c r="J63" i="20"/>
  <c r="J62" i="20"/>
  <c r="J61" i="20"/>
  <c r="K60" i="20"/>
  <c r="J60" i="20"/>
  <c r="K59" i="20"/>
  <c r="J59" i="20"/>
  <c r="K57" i="20"/>
  <c r="J57" i="20"/>
  <c r="K56" i="20"/>
  <c r="J56" i="20"/>
  <c r="J55" i="20"/>
  <c r="K54" i="20"/>
  <c r="J54" i="20"/>
  <c r="K53" i="20"/>
  <c r="J53" i="20"/>
  <c r="K52" i="20"/>
  <c r="J52" i="20"/>
  <c r="K51" i="20"/>
  <c r="J51" i="20"/>
  <c r="J75" i="19"/>
  <c r="K74" i="19"/>
  <c r="J74" i="19"/>
  <c r="K73" i="19"/>
  <c r="J73" i="19"/>
  <c r="K72" i="19"/>
  <c r="J72" i="19"/>
  <c r="J70" i="19"/>
  <c r="J69" i="19"/>
  <c r="J68" i="19"/>
  <c r="K67" i="19"/>
  <c r="J67" i="19"/>
  <c r="K66" i="19"/>
  <c r="K71" i="19" s="1"/>
  <c r="J66" i="19"/>
  <c r="J65" i="19"/>
  <c r="K63" i="19"/>
  <c r="J63" i="19"/>
  <c r="J62" i="19"/>
  <c r="J61" i="19"/>
  <c r="K60" i="19"/>
  <c r="J60" i="19"/>
  <c r="K59" i="19"/>
  <c r="J59" i="19"/>
  <c r="K57" i="19"/>
  <c r="J57" i="19"/>
  <c r="K56" i="19"/>
  <c r="J56" i="19"/>
  <c r="J55" i="19"/>
  <c r="K54" i="19"/>
  <c r="J54" i="19"/>
  <c r="K53" i="19"/>
  <c r="J53" i="19"/>
  <c r="K52" i="19"/>
  <c r="J52" i="19"/>
  <c r="K51" i="19"/>
  <c r="J51" i="19"/>
  <c r="O75" i="4"/>
  <c r="P74" i="4"/>
  <c r="O74" i="4"/>
  <c r="P73" i="4"/>
  <c r="O73" i="4"/>
  <c r="P72" i="4"/>
  <c r="O72" i="4"/>
  <c r="O70" i="4"/>
  <c r="O69" i="4"/>
  <c r="O68" i="4"/>
  <c r="P67" i="4"/>
  <c r="O67" i="4"/>
  <c r="P66" i="4"/>
  <c r="O66" i="4"/>
  <c r="O65" i="4"/>
  <c r="P63" i="4"/>
  <c r="O63" i="4"/>
  <c r="O62" i="4"/>
  <c r="O61" i="4"/>
  <c r="P60" i="4"/>
  <c r="O60" i="4"/>
  <c r="P59" i="4"/>
  <c r="O59" i="4"/>
  <c r="P57" i="4"/>
  <c r="O57" i="4"/>
  <c r="P56" i="4"/>
  <c r="O56" i="4"/>
  <c r="O55" i="4"/>
  <c r="P54" i="4"/>
  <c r="O54" i="4"/>
  <c r="P53" i="4"/>
  <c r="O53" i="4"/>
  <c r="P52" i="4"/>
  <c r="O52" i="4"/>
  <c r="P51" i="4"/>
  <c r="O51" i="4"/>
  <c r="J38" i="21"/>
  <c r="K37" i="21"/>
  <c r="J37" i="21"/>
  <c r="K36" i="21"/>
  <c r="J36" i="21"/>
  <c r="K35" i="21"/>
  <c r="J35" i="21"/>
  <c r="J33" i="21"/>
  <c r="K32" i="21"/>
  <c r="J32" i="21"/>
  <c r="K30" i="21"/>
  <c r="J30" i="21"/>
  <c r="K29" i="21"/>
  <c r="J29" i="21"/>
  <c r="J27" i="21"/>
  <c r="J26" i="21"/>
  <c r="J25" i="21"/>
  <c r="J24" i="21"/>
  <c r="J23" i="21"/>
  <c r="J22" i="21"/>
  <c r="J21" i="21"/>
  <c r="K20" i="21"/>
  <c r="J20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J38" i="3"/>
  <c r="K37" i="3"/>
  <c r="J37" i="3"/>
  <c r="K36" i="3"/>
  <c r="J36" i="3"/>
  <c r="K35" i="3"/>
  <c r="J35" i="3"/>
  <c r="J33" i="3"/>
  <c r="K30" i="3"/>
  <c r="J30" i="3"/>
  <c r="K29" i="3"/>
  <c r="J29" i="3"/>
  <c r="J27" i="3"/>
  <c r="J26" i="3"/>
  <c r="J25" i="3"/>
  <c r="J24" i="3"/>
  <c r="J23" i="3"/>
  <c r="J22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J38" i="20"/>
  <c r="K37" i="20"/>
  <c r="J37" i="20"/>
  <c r="K36" i="20"/>
  <c r="J36" i="20"/>
  <c r="K35" i="20"/>
  <c r="J35" i="20"/>
  <c r="J33" i="20"/>
  <c r="K32" i="20"/>
  <c r="J32" i="20"/>
  <c r="K30" i="20"/>
  <c r="J30" i="20"/>
  <c r="K29" i="20"/>
  <c r="J29" i="20"/>
  <c r="J34" i="20" s="1"/>
  <c r="J27" i="20"/>
  <c r="J26" i="20"/>
  <c r="J25" i="20"/>
  <c r="J24" i="20"/>
  <c r="J23" i="20"/>
  <c r="J22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J38" i="19"/>
  <c r="K37" i="19"/>
  <c r="J37" i="19"/>
  <c r="K36" i="19"/>
  <c r="J36" i="19"/>
  <c r="K35" i="19"/>
  <c r="J35" i="19"/>
  <c r="J33" i="19"/>
  <c r="K32" i="19"/>
  <c r="J32" i="19"/>
  <c r="K30" i="19"/>
  <c r="J30" i="19"/>
  <c r="K29" i="19"/>
  <c r="J29" i="19"/>
  <c r="J27" i="19"/>
  <c r="J26" i="19"/>
  <c r="J25" i="19"/>
  <c r="J24" i="19"/>
  <c r="J23" i="19"/>
  <c r="J22" i="19"/>
  <c r="J21" i="19"/>
  <c r="K20" i="19"/>
  <c r="J20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O38" i="4"/>
  <c r="P37" i="4"/>
  <c r="O37" i="4"/>
  <c r="P36" i="4"/>
  <c r="O36" i="4"/>
  <c r="P35" i="4"/>
  <c r="O35" i="4"/>
  <c r="O33" i="4"/>
  <c r="P32" i="4"/>
  <c r="O32" i="4"/>
  <c r="P30" i="4"/>
  <c r="O30" i="4"/>
  <c r="P29" i="4"/>
  <c r="O29" i="4"/>
  <c r="O27" i="4"/>
  <c r="O26" i="4"/>
  <c r="O25" i="4"/>
  <c r="O24" i="4"/>
  <c r="O23" i="4"/>
  <c r="O22" i="4"/>
  <c r="O21" i="4"/>
  <c r="P20" i="4"/>
  <c r="O20" i="4"/>
  <c r="P19" i="4"/>
  <c r="O19" i="4"/>
  <c r="P18" i="4"/>
  <c r="O18" i="4"/>
  <c r="P17" i="4"/>
  <c r="O17" i="4"/>
  <c r="P16" i="4"/>
  <c r="O16" i="4"/>
  <c r="P15" i="4"/>
  <c r="O15" i="4"/>
  <c r="P14" i="4"/>
  <c r="O14" i="4"/>
  <c r="O13" i="4"/>
  <c r="P12" i="4"/>
  <c r="O12" i="4"/>
  <c r="P11" i="4"/>
  <c r="O11" i="4"/>
  <c r="P10" i="4"/>
  <c r="O10" i="4"/>
  <c r="P9" i="4"/>
  <c r="O9" i="4"/>
  <c r="P8" i="4"/>
  <c r="O8" i="4"/>
  <c r="P7" i="4"/>
  <c r="O7" i="4"/>
  <c r="P6" i="4"/>
  <c r="O6" i="4"/>
  <c r="P5" i="4"/>
  <c r="O5" i="4"/>
  <c r="J336" i="2"/>
  <c r="J335" i="2"/>
  <c r="J327" i="2"/>
  <c r="J312" i="2"/>
  <c r="J311" i="2"/>
  <c r="J310" i="2"/>
  <c r="J309" i="2"/>
  <c r="J308" i="2"/>
  <c r="J306" i="2"/>
  <c r="J305" i="2"/>
  <c r="J304" i="2"/>
  <c r="J303" i="2"/>
  <c r="J302" i="2"/>
  <c r="J301" i="2"/>
  <c r="J300" i="2"/>
  <c r="J298" i="2"/>
  <c r="J297" i="2"/>
  <c r="J296" i="2"/>
  <c r="J295" i="2"/>
  <c r="J294" i="2"/>
  <c r="J293" i="2"/>
  <c r="J291" i="2"/>
  <c r="J290" i="2"/>
  <c r="J289" i="2"/>
  <c r="J287" i="2"/>
  <c r="J286" i="2"/>
  <c r="J285" i="2"/>
  <c r="J284" i="2"/>
  <c r="J283" i="2"/>
  <c r="J282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7" i="2"/>
  <c r="J256" i="2"/>
  <c r="J255" i="2"/>
  <c r="J254" i="2"/>
  <c r="J253" i="2"/>
  <c r="J252" i="2"/>
  <c r="J251" i="2"/>
  <c r="J250" i="2"/>
  <c r="J248" i="2"/>
  <c r="J247" i="2"/>
  <c r="J246" i="2"/>
  <c r="J245" i="2"/>
  <c r="J244" i="2"/>
  <c r="J243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4" i="2"/>
  <c r="J223" i="2"/>
  <c r="J222" i="2"/>
  <c r="J221" i="2"/>
  <c r="J219" i="2"/>
  <c r="J218" i="2"/>
  <c r="J217" i="2"/>
  <c r="J216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8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57" i="2"/>
  <c r="J127" i="2"/>
  <c r="J124" i="2"/>
  <c r="J145" i="2"/>
  <c r="J144" i="2"/>
  <c r="J143" i="2"/>
  <c r="J142" i="2"/>
  <c r="J141" i="2"/>
  <c r="J140" i="2"/>
  <c r="J139" i="2"/>
  <c r="J138" i="2"/>
  <c r="J137" i="2"/>
  <c r="J136" i="2"/>
  <c r="J135" i="2"/>
  <c r="J128" i="19" l="1"/>
  <c r="K39" i="19"/>
  <c r="P127" i="4"/>
  <c r="P128" i="4" s="1"/>
  <c r="K34" i="3"/>
  <c r="J39" i="21"/>
  <c r="P64" i="4"/>
  <c r="P71" i="4"/>
  <c r="K90" i="3"/>
  <c r="J109" i="3"/>
  <c r="J128" i="20"/>
  <c r="O71" i="4"/>
  <c r="J94" i="3"/>
  <c r="O128" i="4"/>
  <c r="K90" i="20"/>
  <c r="K39" i="21"/>
  <c r="K40" i="21" s="1"/>
  <c r="K76" i="21"/>
  <c r="K259" i="3"/>
  <c r="J128" i="3"/>
  <c r="J39" i="20"/>
  <c r="J90" i="20"/>
  <c r="J95" i="20" s="1"/>
  <c r="K109" i="20"/>
  <c r="K64" i="19"/>
  <c r="J90" i="19"/>
  <c r="J109" i="19"/>
  <c r="K109" i="19"/>
  <c r="O109" i="4"/>
  <c r="K34" i="21"/>
  <c r="K28" i="21"/>
  <c r="J34" i="21"/>
  <c r="J76" i="21"/>
  <c r="K76" i="3"/>
  <c r="K94" i="3"/>
  <c r="K95" i="3" s="1"/>
  <c r="K133" i="3"/>
  <c r="J146" i="3"/>
  <c r="J215" i="3"/>
  <c r="J220" i="3"/>
  <c r="K71" i="3"/>
  <c r="J76" i="3"/>
  <c r="J288" i="3"/>
  <c r="K226" i="3"/>
  <c r="J64" i="20"/>
  <c r="J109" i="20"/>
  <c r="J76" i="20"/>
  <c r="K34" i="20"/>
  <c r="K71" i="20"/>
  <c r="J76" i="19"/>
  <c r="J94" i="19"/>
  <c r="J95" i="19" s="1"/>
  <c r="J115" i="19"/>
  <c r="J39" i="19"/>
  <c r="K76" i="19"/>
  <c r="K94" i="19"/>
  <c r="P133" i="4"/>
  <c r="O146" i="4"/>
  <c r="P28" i="4"/>
  <c r="P34" i="4"/>
  <c r="K64" i="21"/>
  <c r="J71" i="21"/>
  <c r="K77" i="21"/>
  <c r="J64" i="21"/>
  <c r="J28" i="21"/>
  <c r="J28" i="3"/>
  <c r="J225" i="3"/>
  <c r="J249" i="3"/>
  <c r="J336" i="3"/>
  <c r="J337" i="3" s="1"/>
  <c r="K28" i="3"/>
  <c r="K39" i="3"/>
  <c r="J64" i="3"/>
  <c r="J90" i="3"/>
  <c r="J95" i="3" s="1"/>
  <c r="K109" i="3"/>
  <c r="J115" i="3"/>
  <c r="J181" i="3"/>
  <c r="K190" i="3"/>
  <c r="J242" i="3"/>
  <c r="J258" i="3"/>
  <c r="J280" i="3"/>
  <c r="J307" i="3"/>
  <c r="J313" i="3"/>
  <c r="J199" i="3"/>
  <c r="J274" i="3"/>
  <c r="K64" i="3"/>
  <c r="J71" i="3"/>
  <c r="J133" i="3"/>
  <c r="K281" i="3"/>
  <c r="J292" i="3"/>
  <c r="J299" i="3"/>
  <c r="K314" i="3"/>
  <c r="K64" i="20"/>
  <c r="J115" i="20"/>
  <c r="J28" i="20"/>
  <c r="J40" i="20" s="1"/>
  <c r="K39" i="20"/>
  <c r="K94" i="20"/>
  <c r="K95" i="20" s="1"/>
  <c r="J133" i="20"/>
  <c r="J71" i="20"/>
  <c r="K28" i="20"/>
  <c r="K76" i="20"/>
  <c r="K133" i="20"/>
  <c r="J146" i="20"/>
  <c r="J28" i="19"/>
  <c r="J64" i="19"/>
  <c r="K28" i="19"/>
  <c r="K34" i="19"/>
  <c r="J71" i="19"/>
  <c r="K90" i="19"/>
  <c r="K133" i="19"/>
  <c r="K147" i="19" s="1"/>
  <c r="J146" i="19"/>
  <c r="J147" i="19" s="1"/>
  <c r="J34" i="19"/>
  <c r="O28" i="4"/>
  <c r="O39" i="4"/>
  <c r="O76" i="4"/>
  <c r="P109" i="4"/>
  <c r="O115" i="4"/>
  <c r="O34" i="4"/>
  <c r="P39" i="4"/>
  <c r="O64" i="4"/>
  <c r="P76" i="4"/>
  <c r="O133" i="4"/>
  <c r="J165" i="3"/>
  <c r="J39" i="3"/>
  <c r="J34" i="3"/>
  <c r="J40" i="19" l="1"/>
  <c r="P77" i="4"/>
  <c r="J77" i="21"/>
  <c r="J40" i="21"/>
  <c r="K147" i="3"/>
  <c r="J147" i="3"/>
  <c r="J147" i="20"/>
  <c r="K147" i="20"/>
  <c r="J77" i="20"/>
  <c r="K77" i="19"/>
  <c r="J77" i="19"/>
  <c r="O147" i="4"/>
  <c r="P147" i="4"/>
  <c r="O77" i="4"/>
  <c r="K77" i="3"/>
  <c r="J226" i="3"/>
  <c r="K40" i="3"/>
  <c r="J40" i="3"/>
  <c r="K315" i="3"/>
  <c r="J314" i="3"/>
  <c r="J281" i="3"/>
  <c r="J190" i="3"/>
  <c r="J77" i="3"/>
  <c r="J259" i="3"/>
  <c r="K40" i="20"/>
  <c r="K77" i="20"/>
  <c r="K95" i="19"/>
  <c r="K40" i="19"/>
  <c r="O40" i="4"/>
  <c r="P40" i="4"/>
  <c r="K32" i="2"/>
  <c r="J32" i="2"/>
  <c r="E145" i="2"/>
  <c r="F334" i="3"/>
  <c r="E334" i="3"/>
  <c r="F335" i="2"/>
  <c r="G127" i="3" l="1"/>
  <c r="AC127" i="24" s="1"/>
  <c r="J315" i="3"/>
  <c r="G334" i="3"/>
  <c r="AC335" i="24" s="1"/>
  <c r="G335" i="2"/>
  <c r="T335" i="24" s="1"/>
  <c r="F70" i="21" l="1"/>
  <c r="F71" i="21" s="1"/>
  <c r="E70" i="21"/>
  <c r="E71" i="21" s="1"/>
  <c r="F62" i="21"/>
  <c r="E62" i="21"/>
  <c r="F55" i="21"/>
  <c r="E55" i="21"/>
  <c r="F27" i="21"/>
  <c r="E27" i="21"/>
  <c r="F21" i="21"/>
  <c r="E21" i="21"/>
  <c r="F13" i="21"/>
  <c r="E13" i="21"/>
  <c r="E145" i="3"/>
  <c r="E146" i="3" s="1"/>
  <c r="D31" i="13" s="1"/>
  <c r="F31" i="13" s="1"/>
  <c r="G11" i="14" s="1"/>
  <c r="F145" i="3"/>
  <c r="F146" i="3" s="1"/>
  <c r="E31" i="13" s="1"/>
  <c r="G32" i="19"/>
  <c r="Y32" i="24" s="1"/>
  <c r="F24" i="4"/>
  <c r="G24" i="4"/>
  <c r="I336" i="3"/>
  <c r="G326" i="3"/>
  <c r="AC327" i="24" s="1"/>
  <c r="F335" i="3"/>
  <c r="F336" i="3" s="1"/>
  <c r="F337" i="3" s="1"/>
  <c r="E38" i="13" s="1"/>
  <c r="E335" i="3"/>
  <c r="I313" i="3"/>
  <c r="AD313" i="24" s="1"/>
  <c r="I307" i="3"/>
  <c r="AD307" i="24" s="1"/>
  <c r="I299" i="3"/>
  <c r="AD299" i="24" s="1"/>
  <c r="I292" i="3"/>
  <c r="AD292" i="24" s="1"/>
  <c r="I288" i="3"/>
  <c r="AD288" i="24" s="1"/>
  <c r="I280" i="3"/>
  <c r="AD280" i="24" s="1"/>
  <c r="I274" i="3"/>
  <c r="AD274" i="24" s="1"/>
  <c r="I258" i="3"/>
  <c r="AD258" i="24" s="1"/>
  <c r="I249" i="3"/>
  <c r="AD249" i="24" s="1"/>
  <c r="I242" i="3"/>
  <c r="AD242" i="24" s="1"/>
  <c r="I225" i="3"/>
  <c r="AD225" i="24" s="1"/>
  <c r="I220" i="3"/>
  <c r="AD220" i="24" s="1"/>
  <c r="I215" i="3"/>
  <c r="AD215" i="24" s="1"/>
  <c r="I199" i="3"/>
  <c r="AD199" i="24" s="1"/>
  <c r="I181" i="3"/>
  <c r="AD181" i="24" s="1"/>
  <c r="I165" i="3"/>
  <c r="AD165" i="24" s="1"/>
  <c r="G311" i="3"/>
  <c r="AC311" i="24" s="1"/>
  <c r="G310" i="3"/>
  <c r="AC310" i="24" s="1"/>
  <c r="G309" i="3"/>
  <c r="AC309" i="24" s="1"/>
  <c r="G308" i="3"/>
  <c r="AC308" i="24" s="1"/>
  <c r="G305" i="3"/>
  <c r="AC305" i="24" s="1"/>
  <c r="G304" i="3"/>
  <c r="AC304" i="24" s="1"/>
  <c r="G303" i="3"/>
  <c r="AC303" i="24" s="1"/>
  <c r="G302" i="3"/>
  <c r="AC302" i="24" s="1"/>
  <c r="G301" i="3"/>
  <c r="AC301" i="24" s="1"/>
  <c r="G300" i="3"/>
  <c r="AC300" i="24" s="1"/>
  <c r="G297" i="3"/>
  <c r="AC297" i="24" s="1"/>
  <c r="G296" i="3"/>
  <c r="AC296" i="24" s="1"/>
  <c r="G295" i="3"/>
  <c r="AC295" i="24" s="1"/>
  <c r="G294" i="3"/>
  <c r="AC294" i="24" s="1"/>
  <c r="G293" i="3"/>
  <c r="AC293" i="24" s="1"/>
  <c r="G290" i="3"/>
  <c r="AC290" i="24" s="1"/>
  <c r="G289" i="3"/>
  <c r="AC289" i="24" s="1"/>
  <c r="G286" i="3"/>
  <c r="AC286" i="24" s="1"/>
  <c r="G285" i="3"/>
  <c r="AC285" i="24" s="1"/>
  <c r="G284" i="3"/>
  <c r="AC284" i="24" s="1"/>
  <c r="G283" i="3"/>
  <c r="AC283" i="24" s="1"/>
  <c r="G282" i="3"/>
  <c r="AC282" i="24" s="1"/>
  <c r="G278" i="3"/>
  <c r="AC278" i="24" s="1"/>
  <c r="G277" i="3"/>
  <c r="AC277" i="24" s="1"/>
  <c r="G276" i="3"/>
  <c r="AC276" i="24" s="1"/>
  <c r="G275" i="3"/>
  <c r="AC275" i="24" s="1"/>
  <c r="G271" i="3"/>
  <c r="AC271" i="24" s="1"/>
  <c r="G270" i="3"/>
  <c r="AC270" i="24" s="1"/>
  <c r="G269" i="3"/>
  <c r="AC269" i="24" s="1"/>
  <c r="G268" i="3"/>
  <c r="AC268" i="24" s="1"/>
  <c r="G267" i="3"/>
  <c r="AC267" i="24" s="1"/>
  <c r="G266" i="3"/>
  <c r="AC266" i="24" s="1"/>
  <c r="G264" i="3"/>
  <c r="AC264" i="24" s="1"/>
  <c r="G263" i="3"/>
  <c r="AC263" i="24" s="1"/>
  <c r="G262" i="3"/>
  <c r="AC262" i="24" s="1"/>
  <c r="G261" i="3"/>
  <c r="AC261" i="24" s="1"/>
  <c r="G260" i="3"/>
  <c r="AC260" i="24" s="1"/>
  <c r="G256" i="3"/>
  <c r="AC256" i="24" s="1"/>
  <c r="G255" i="3"/>
  <c r="AC255" i="24" s="1"/>
  <c r="G254" i="3"/>
  <c r="AC254" i="24" s="1"/>
  <c r="G253" i="3"/>
  <c r="AC253" i="24" s="1"/>
  <c r="G252" i="3"/>
  <c r="AC252" i="24" s="1"/>
  <c r="G251" i="3"/>
  <c r="AC251" i="24" s="1"/>
  <c r="G250" i="3"/>
  <c r="AC250" i="24" s="1"/>
  <c r="G247" i="3"/>
  <c r="AC247" i="24" s="1"/>
  <c r="G246" i="3"/>
  <c r="AC246" i="24" s="1"/>
  <c r="G245" i="3"/>
  <c r="AC245" i="24" s="1"/>
  <c r="G244" i="3"/>
  <c r="AC244" i="24" s="1"/>
  <c r="G243" i="3"/>
  <c r="AC243" i="24" s="1"/>
  <c r="G239" i="3"/>
  <c r="AC239" i="24" s="1"/>
  <c r="G238" i="3"/>
  <c r="AC238" i="24" s="1"/>
  <c r="G237" i="3"/>
  <c r="AC237" i="24" s="1"/>
  <c r="G236" i="3"/>
  <c r="AC236" i="24" s="1"/>
  <c r="G235" i="3"/>
  <c r="AC235" i="24" s="1"/>
  <c r="G233" i="3"/>
  <c r="AC233" i="24" s="1"/>
  <c r="G232" i="3"/>
  <c r="AC232" i="24" s="1"/>
  <c r="G231" i="3"/>
  <c r="AC231" i="24" s="1"/>
  <c r="G230" i="3"/>
  <c r="AC230" i="24" s="1"/>
  <c r="G229" i="3"/>
  <c r="AC229" i="24" s="1"/>
  <c r="G228" i="3"/>
  <c r="AC228" i="24" s="1"/>
  <c r="G227" i="3"/>
  <c r="AC227" i="24" s="1"/>
  <c r="G223" i="3"/>
  <c r="AC223" i="24" s="1"/>
  <c r="G222" i="3"/>
  <c r="AC222" i="24" s="1"/>
  <c r="G221" i="3"/>
  <c r="AC221" i="24" s="1"/>
  <c r="G218" i="3"/>
  <c r="AC218" i="24" s="1"/>
  <c r="G217" i="3"/>
  <c r="AC217" i="24" s="1"/>
  <c r="G216" i="3"/>
  <c r="AC216" i="24" s="1"/>
  <c r="G212" i="3"/>
  <c r="AC212" i="24" s="1"/>
  <c r="G211" i="3"/>
  <c r="AC211" i="24" s="1"/>
  <c r="G210" i="3"/>
  <c r="AC210" i="24" s="1"/>
  <c r="G209" i="3"/>
  <c r="AC209" i="24" s="1"/>
  <c r="G208" i="3"/>
  <c r="AC208" i="24" s="1"/>
  <c r="G207" i="3"/>
  <c r="AC207" i="24" s="1"/>
  <c r="G206" i="3"/>
  <c r="AC206" i="24" s="1"/>
  <c r="G204" i="3"/>
  <c r="AC204" i="24" s="1"/>
  <c r="G203" i="3"/>
  <c r="AC203" i="24" s="1"/>
  <c r="G202" i="3"/>
  <c r="AC202" i="24" s="1"/>
  <c r="G201" i="3"/>
  <c r="AC201" i="24" s="1"/>
  <c r="G200" i="3"/>
  <c r="AC200" i="24" s="1"/>
  <c r="G196" i="3"/>
  <c r="AC196" i="24" s="1"/>
  <c r="G195" i="3"/>
  <c r="AC195" i="24" s="1"/>
  <c r="G194" i="3"/>
  <c r="AC194" i="24" s="1"/>
  <c r="G193" i="3"/>
  <c r="AC193" i="24" s="1"/>
  <c r="G192" i="3"/>
  <c r="AC192" i="24" s="1"/>
  <c r="G191" i="3"/>
  <c r="AC191" i="24" s="1"/>
  <c r="G188" i="3"/>
  <c r="AC188" i="24" s="1"/>
  <c r="G187" i="3"/>
  <c r="AC187" i="24" s="1"/>
  <c r="G186" i="3"/>
  <c r="AC186" i="24" s="1"/>
  <c r="G185" i="3"/>
  <c r="AC185" i="24" s="1"/>
  <c r="G184" i="3"/>
  <c r="AC184" i="24" s="1"/>
  <c r="G183" i="3"/>
  <c r="AC183" i="24" s="1"/>
  <c r="G182" i="3"/>
  <c r="AC182" i="24" s="1"/>
  <c r="G178" i="3"/>
  <c r="AC178" i="24" s="1"/>
  <c r="G177" i="3"/>
  <c r="AC177" i="24" s="1"/>
  <c r="G176" i="3"/>
  <c r="AC176" i="24" s="1"/>
  <c r="G175" i="3"/>
  <c r="AC175" i="24" s="1"/>
  <c r="G174" i="3"/>
  <c r="AC174" i="24" s="1"/>
  <c r="G172" i="3"/>
  <c r="AC172" i="24" s="1"/>
  <c r="G171" i="3"/>
  <c r="AC171" i="24" s="1"/>
  <c r="G170" i="3"/>
  <c r="AC170" i="24" s="1"/>
  <c r="G169" i="3"/>
  <c r="AC169" i="24" s="1"/>
  <c r="G168" i="3"/>
  <c r="AC168" i="24" s="1"/>
  <c r="G167" i="3"/>
  <c r="AC167" i="24" s="1"/>
  <c r="G166" i="3"/>
  <c r="AC166" i="24" s="1"/>
  <c r="G162" i="3"/>
  <c r="AC162" i="24" s="1"/>
  <c r="G161" i="3"/>
  <c r="AC161" i="24" s="1"/>
  <c r="G160" i="3"/>
  <c r="AC160" i="24" s="1"/>
  <c r="G159" i="3"/>
  <c r="AC159" i="24" s="1"/>
  <c r="G158" i="3"/>
  <c r="AC158" i="24" s="1"/>
  <c r="G157" i="3"/>
  <c r="AC157" i="24" s="1"/>
  <c r="F312" i="3"/>
  <c r="F313" i="3" s="1"/>
  <c r="E312" i="3"/>
  <c r="E313" i="3" s="1"/>
  <c r="F306" i="3"/>
  <c r="F307" i="3" s="1"/>
  <c r="E306" i="3"/>
  <c r="E307" i="3" s="1"/>
  <c r="F298" i="3"/>
  <c r="F299" i="3" s="1"/>
  <c r="E298" i="3"/>
  <c r="E299" i="3" s="1"/>
  <c r="F291" i="3"/>
  <c r="F292" i="3" s="1"/>
  <c r="E291" i="3"/>
  <c r="E292" i="3" s="1"/>
  <c r="F287" i="3"/>
  <c r="F288" i="3" s="1"/>
  <c r="E287" i="3"/>
  <c r="E288" i="3" s="1"/>
  <c r="F279" i="3"/>
  <c r="F280" i="3" s="1"/>
  <c r="E279" i="3"/>
  <c r="F272" i="3"/>
  <c r="E272" i="3"/>
  <c r="F265" i="3"/>
  <c r="E265" i="3"/>
  <c r="F257" i="3"/>
  <c r="F258" i="3" s="1"/>
  <c r="E257" i="3"/>
  <c r="E258" i="3" s="1"/>
  <c r="F248" i="3"/>
  <c r="F249" i="3" s="1"/>
  <c r="E248" i="3"/>
  <c r="E249" i="3" s="1"/>
  <c r="F240" i="3"/>
  <c r="E240" i="3"/>
  <c r="F234" i="3"/>
  <c r="E234" i="3"/>
  <c r="F224" i="3"/>
  <c r="F225" i="3" s="1"/>
  <c r="E224" i="3"/>
  <c r="E225" i="3" s="1"/>
  <c r="F219" i="3"/>
  <c r="F220" i="3" s="1"/>
  <c r="E219" i="3"/>
  <c r="E220" i="3" s="1"/>
  <c r="F213" i="3"/>
  <c r="E213" i="3"/>
  <c r="F205" i="3"/>
  <c r="E205" i="3"/>
  <c r="F197" i="3"/>
  <c r="E197" i="3"/>
  <c r="F189" i="3"/>
  <c r="E189" i="3"/>
  <c r="F179" i="3"/>
  <c r="E179" i="3"/>
  <c r="F173" i="3"/>
  <c r="E173" i="3"/>
  <c r="F164" i="3"/>
  <c r="F165" i="3" s="1"/>
  <c r="E164" i="3"/>
  <c r="E165" i="3" s="1"/>
  <c r="F163" i="3"/>
  <c r="E163" i="3"/>
  <c r="I146" i="3"/>
  <c r="AD146" i="24" s="1"/>
  <c r="I133" i="3"/>
  <c r="AD133" i="24" s="1"/>
  <c r="I115" i="3"/>
  <c r="AD115" i="24" s="1"/>
  <c r="I109" i="3"/>
  <c r="AD109" i="24" s="1"/>
  <c r="I133" i="20"/>
  <c r="AB133" i="24" s="1"/>
  <c r="I115" i="20"/>
  <c r="AB115" i="24" s="1"/>
  <c r="I109" i="20"/>
  <c r="AB109" i="24" s="1"/>
  <c r="I133" i="19"/>
  <c r="Z133" i="24" s="1"/>
  <c r="I115" i="19"/>
  <c r="Z115" i="24" s="1"/>
  <c r="I109" i="19"/>
  <c r="Z109" i="24" s="1"/>
  <c r="N115" i="4"/>
  <c r="X115" i="24" s="1"/>
  <c r="N109" i="4"/>
  <c r="X109" i="24" s="1"/>
  <c r="G124" i="3"/>
  <c r="AC124" i="24" s="1"/>
  <c r="G144" i="3"/>
  <c r="AC144" i="24" s="1"/>
  <c r="G143" i="3"/>
  <c r="AC143" i="24" s="1"/>
  <c r="G142" i="3"/>
  <c r="AC142" i="24" s="1"/>
  <c r="G141" i="3"/>
  <c r="AC141" i="24" s="1"/>
  <c r="G140" i="3"/>
  <c r="AC140" i="24" s="1"/>
  <c r="G139" i="3"/>
  <c r="AC139" i="24" s="1"/>
  <c r="G138" i="3"/>
  <c r="AC138" i="24" s="1"/>
  <c r="G137" i="3"/>
  <c r="AC137" i="24" s="1"/>
  <c r="G136" i="3"/>
  <c r="AC136" i="24" s="1"/>
  <c r="G135" i="3"/>
  <c r="AC135" i="24" s="1"/>
  <c r="G134" i="3"/>
  <c r="AC134" i="24" s="1"/>
  <c r="G131" i="3"/>
  <c r="AC131" i="24" s="1"/>
  <c r="G130" i="3"/>
  <c r="AC130" i="24" s="1"/>
  <c r="G118" i="3"/>
  <c r="AC118" i="24" s="1"/>
  <c r="G117" i="3"/>
  <c r="AC117" i="24" s="1"/>
  <c r="G116" i="3"/>
  <c r="AC116" i="24" s="1"/>
  <c r="G113" i="3"/>
  <c r="AC113" i="24" s="1"/>
  <c r="G112" i="3"/>
  <c r="AC112" i="24" s="1"/>
  <c r="G111" i="3"/>
  <c r="AC111" i="24" s="1"/>
  <c r="G110" i="3"/>
  <c r="AC110" i="24" s="1"/>
  <c r="G106" i="3"/>
  <c r="AC106" i="24" s="1"/>
  <c r="G105" i="3"/>
  <c r="AC105" i="24" s="1"/>
  <c r="G131" i="20"/>
  <c r="AA131" i="24" s="1"/>
  <c r="G130" i="20"/>
  <c r="AA130" i="24" s="1"/>
  <c r="G118" i="20"/>
  <c r="AA118" i="24" s="1"/>
  <c r="G117" i="20"/>
  <c r="AA117" i="24" s="1"/>
  <c r="G116" i="20"/>
  <c r="AA116" i="24" s="1"/>
  <c r="G113" i="20"/>
  <c r="AA113" i="24" s="1"/>
  <c r="G112" i="20"/>
  <c r="AA112" i="24" s="1"/>
  <c r="G111" i="20"/>
  <c r="AA111" i="24" s="1"/>
  <c r="G110" i="20"/>
  <c r="AA110" i="24" s="1"/>
  <c r="G106" i="20"/>
  <c r="AA106" i="24" s="1"/>
  <c r="G105" i="20"/>
  <c r="AA105" i="24" s="1"/>
  <c r="G131" i="19"/>
  <c r="Y131" i="24" s="1"/>
  <c r="G130" i="19"/>
  <c r="Y130" i="24" s="1"/>
  <c r="G118" i="19"/>
  <c r="Y118" i="24" s="1"/>
  <c r="G117" i="19"/>
  <c r="Y117" i="24" s="1"/>
  <c r="G116" i="19"/>
  <c r="Y116" i="24" s="1"/>
  <c r="G113" i="19"/>
  <c r="Y113" i="24" s="1"/>
  <c r="G112" i="19"/>
  <c r="Y112" i="24" s="1"/>
  <c r="G111" i="19"/>
  <c r="Y111" i="24" s="1"/>
  <c r="G110" i="19"/>
  <c r="Y110" i="24" s="1"/>
  <c r="G106" i="19"/>
  <c r="Y106" i="24" s="1"/>
  <c r="G105" i="19"/>
  <c r="Y105" i="24" s="1"/>
  <c r="L118" i="4"/>
  <c r="W118" i="24" s="1"/>
  <c r="L117" i="4"/>
  <c r="W117" i="24" s="1"/>
  <c r="L116" i="4"/>
  <c r="W116" i="24" s="1"/>
  <c r="L113" i="4"/>
  <c r="W113" i="24" s="1"/>
  <c r="L112" i="4"/>
  <c r="W112" i="24" s="1"/>
  <c r="L111" i="4"/>
  <c r="W111" i="24" s="1"/>
  <c r="L110" i="4"/>
  <c r="W110" i="24" s="1"/>
  <c r="L106" i="4"/>
  <c r="W106" i="24" s="1"/>
  <c r="L105" i="4"/>
  <c r="W105" i="24" s="1"/>
  <c r="H118" i="4"/>
  <c r="V118" i="24" s="1"/>
  <c r="H117" i="4"/>
  <c r="V117" i="24" s="1"/>
  <c r="H116" i="4"/>
  <c r="V116" i="24" s="1"/>
  <c r="H113" i="4"/>
  <c r="V113" i="24" s="1"/>
  <c r="H112" i="4"/>
  <c r="V112" i="24" s="1"/>
  <c r="H111" i="4"/>
  <c r="V111" i="24" s="1"/>
  <c r="H110" i="4"/>
  <c r="V110" i="24" s="1"/>
  <c r="H106" i="4"/>
  <c r="V106" i="24" s="1"/>
  <c r="H105" i="4"/>
  <c r="V105" i="24" s="1"/>
  <c r="F132" i="3"/>
  <c r="F133" i="3" s="1"/>
  <c r="E132" i="3"/>
  <c r="E133" i="3" s="1"/>
  <c r="F114" i="3"/>
  <c r="F115" i="3" s="1"/>
  <c r="E114" i="3"/>
  <c r="E115" i="3" s="1"/>
  <c r="F108" i="3"/>
  <c r="F109" i="3" s="1"/>
  <c r="E108" i="3"/>
  <c r="E109" i="3" s="1"/>
  <c r="F132" i="20"/>
  <c r="F133" i="20" s="1"/>
  <c r="E132" i="20"/>
  <c r="F114" i="20"/>
  <c r="F115" i="20" s="1"/>
  <c r="E114" i="20"/>
  <c r="E115" i="20" s="1"/>
  <c r="F108" i="20"/>
  <c r="F109" i="20" s="1"/>
  <c r="E108" i="20"/>
  <c r="F132" i="19"/>
  <c r="F133" i="19" s="1"/>
  <c r="E132" i="19"/>
  <c r="F114" i="19"/>
  <c r="F115" i="19" s="1"/>
  <c r="E114" i="19"/>
  <c r="E115" i="19" s="1"/>
  <c r="F108" i="19"/>
  <c r="F109" i="19" s="1"/>
  <c r="E108" i="19"/>
  <c r="K114" i="4"/>
  <c r="J114" i="4"/>
  <c r="J115" i="4" s="1"/>
  <c r="J147" i="4" s="1"/>
  <c r="K108" i="4"/>
  <c r="K109" i="4" s="1"/>
  <c r="J108" i="4"/>
  <c r="J109" i="4" s="1"/>
  <c r="G114" i="4"/>
  <c r="G115" i="4" s="1"/>
  <c r="F114" i="4"/>
  <c r="G108" i="4"/>
  <c r="G109" i="4" s="1"/>
  <c r="F108" i="4"/>
  <c r="F109" i="4" s="1"/>
  <c r="I94" i="3"/>
  <c r="AD94" i="24" s="1"/>
  <c r="I90" i="3"/>
  <c r="AD90" i="24" s="1"/>
  <c r="I94" i="20"/>
  <c r="AB94" i="24" s="1"/>
  <c r="I90" i="20"/>
  <c r="AB90" i="24" s="1"/>
  <c r="I94" i="19"/>
  <c r="Z94" i="24" s="1"/>
  <c r="I90" i="19"/>
  <c r="Z90" i="24" s="1"/>
  <c r="G92" i="3"/>
  <c r="AC92" i="24" s="1"/>
  <c r="G91" i="3"/>
  <c r="AC91" i="24" s="1"/>
  <c r="G88" i="3"/>
  <c r="AC88" i="24" s="1"/>
  <c r="G87" i="3"/>
  <c r="AC87" i="24" s="1"/>
  <c r="G92" i="20"/>
  <c r="AA92" i="24" s="1"/>
  <c r="G91" i="20"/>
  <c r="AA91" i="24" s="1"/>
  <c r="G88" i="20"/>
  <c r="AA88" i="24" s="1"/>
  <c r="G87" i="20"/>
  <c r="AA87" i="24" s="1"/>
  <c r="G92" i="19"/>
  <c r="Y92" i="24" s="1"/>
  <c r="G91" i="19"/>
  <c r="Y91" i="24" s="1"/>
  <c r="G88" i="19"/>
  <c r="Y88" i="24" s="1"/>
  <c r="G87" i="19"/>
  <c r="Y87" i="24" s="1"/>
  <c r="F93" i="3"/>
  <c r="F94" i="3" s="1"/>
  <c r="E93" i="3"/>
  <c r="E94" i="3" s="1"/>
  <c r="F89" i="3"/>
  <c r="F90" i="3" s="1"/>
  <c r="E89" i="3"/>
  <c r="E90" i="3" s="1"/>
  <c r="F93" i="20"/>
  <c r="F94" i="20" s="1"/>
  <c r="E93" i="20"/>
  <c r="E94" i="20" s="1"/>
  <c r="F89" i="20"/>
  <c r="F90" i="20" s="1"/>
  <c r="E89" i="20"/>
  <c r="E90" i="20" s="1"/>
  <c r="F93" i="19"/>
  <c r="F94" i="19" s="1"/>
  <c r="E93" i="19"/>
  <c r="E94" i="19" s="1"/>
  <c r="F89" i="19"/>
  <c r="F90" i="19" s="1"/>
  <c r="E89" i="19"/>
  <c r="E90" i="19" s="1"/>
  <c r="I71" i="21"/>
  <c r="AF71" i="24" s="1"/>
  <c r="I64" i="21"/>
  <c r="AF64" i="24" s="1"/>
  <c r="I76" i="3"/>
  <c r="AD76" i="24" s="1"/>
  <c r="I71" i="3"/>
  <c r="AD71" i="24" s="1"/>
  <c r="I64" i="3"/>
  <c r="AD64" i="24" s="1"/>
  <c r="I76" i="20"/>
  <c r="AB76" i="24" s="1"/>
  <c r="I71" i="20"/>
  <c r="AB71" i="24" s="1"/>
  <c r="I64" i="20"/>
  <c r="AB64" i="24" s="1"/>
  <c r="I76" i="19"/>
  <c r="Z76" i="24" s="1"/>
  <c r="I71" i="19"/>
  <c r="Z71" i="24" s="1"/>
  <c r="I64" i="19"/>
  <c r="Z64" i="24" s="1"/>
  <c r="N71" i="4"/>
  <c r="X71" i="24" s="1"/>
  <c r="N64" i="4"/>
  <c r="X64" i="24" s="1"/>
  <c r="G68" i="21"/>
  <c r="AE68" i="24" s="1"/>
  <c r="G63" i="21"/>
  <c r="AE63" i="24" s="1"/>
  <c r="G60" i="21"/>
  <c r="AE60" i="24" s="1"/>
  <c r="G59" i="21"/>
  <c r="AE59" i="24" s="1"/>
  <c r="G57" i="21"/>
  <c r="AE57" i="24" s="1"/>
  <c r="G56" i="21"/>
  <c r="AE56" i="24" s="1"/>
  <c r="G54" i="21"/>
  <c r="AE54" i="24" s="1"/>
  <c r="G53" i="21"/>
  <c r="AE53" i="24" s="1"/>
  <c r="G52" i="21"/>
  <c r="AE52" i="24" s="1"/>
  <c r="G51" i="21"/>
  <c r="AE51" i="24" s="1"/>
  <c r="G74" i="3"/>
  <c r="AC74" i="24" s="1"/>
  <c r="G73" i="3"/>
  <c r="AC73" i="24" s="1"/>
  <c r="G72" i="3"/>
  <c r="AC72" i="24" s="1"/>
  <c r="G69" i="3"/>
  <c r="AC69" i="24" s="1"/>
  <c r="G68" i="3"/>
  <c r="AC68" i="24" s="1"/>
  <c r="G67" i="3"/>
  <c r="AC67" i="24" s="1"/>
  <c r="G66" i="3"/>
  <c r="AC66" i="24" s="1"/>
  <c r="G65" i="3"/>
  <c r="AC65" i="24" s="1"/>
  <c r="G63" i="3"/>
  <c r="AC63" i="24" s="1"/>
  <c r="G61" i="3"/>
  <c r="AC61" i="24" s="1"/>
  <c r="G60" i="3"/>
  <c r="AC60" i="24" s="1"/>
  <c r="G59" i="3"/>
  <c r="AC59" i="24" s="1"/>
  <c r="G57" i="3"/>
  <c r="AC57" i="24" s="1"/>
  <c r="G56" i="3"/>
  <c r="AC56" i="24" s="1"/>
  <c r="G54" i="3"/>
  <c r="AC54" i="24" s="1"/>
  <c r="G53" i="3"/>
  <c r="AC53" i="24" s="1"/>
  <c r="G52" i="3"/>
  <c r="AC52" i="24" s="1"/>
  <c r="G51" i="3"/>
  <c r="AC51" i="24" s="1"/>
  <c r="G74" i="20"/>
  <c r="AA74" i="24" s="1"/>
  <c r="G73" i="20"/>
  <c r="AA73" i="24" s="1"/>
  <c r="G72" i="20"/>
  <c r="AA72" i="24" s="1"/>
  <c r="G69" i="20"/>
  <c r="AA69" i="24" s="1"/>
  <c r="G68" i="20"/>
  <c r="AA68" i="24" s="1"/>
  <c r="G67" i="20"/>
  <c r="AA67" i="24" s="1"/>
  <c r="G66" i="20"/>
  <c r="AA66" i="24" s="1"/>
  <c r="G65" i="20"/>
  <c r="AA65" i="24" s="1"/>
  <c r="G61" i="20"/>
  <c r="AA61" i="24" s="1"/>
  <c r="G60" i="20"/>
  <c r="AA60" i="24" s="1"/>
  <c r="G59" i="20"/>
  <c r="AA59" i="24" s="1"/>
  <c r="G57" i="20"/>
  <c r="AA57" i="24" s="1"/>
  <c r="G56" i="20"/>
  <c r="AA56" i="24" s="1"/>
  <c r="G54" i="20"/>
  <c r="AA54" i="24" s="1"/>
  <c r="G53" i="20"/>
  <c r="AA53" i="24" s="1"/>
  <c r="G52" i="20"/>
  <c r="AA52" i="24" s="1"/>
  <c r="G51" i="20"/>
  <c r="AA51" i="24" s="1"/>
  <c r="G74" i="19"/>
  <c r="Y74" i="24" s="1"/>
  <c r="G73" i="19"/>
  <c r="Y73" i="24" s="1"/>
  <c r="G72" i="19"/>
  <c r="Y72" i="24" s="1"/>
  <c r="G68" i="19"/>
  <c r="Y68" i="24" s="1"/>
  <c r="G67" i="19"/>
  <c r="Y67" i="24" s="1"/>
  <c r="G66" i="19"/>
  <c r="Y66" i="24" s="1"/>
  <c r="G65" i="19"/>
  <c r="Y65" i="24" s="1"/>
  <c r="G63" i="19"/>
  <c r="Y63" i="24" s="1"/>
  <c r="G60" i="19"/>
  <c r="Y60" i="24" s="1"/>
  <c r="G59" i="19"/>
  <c r="Y59" i="24" s="1"/>
  <c r="G57" i="19"/>
  <c r="Y57" i="24" s="1"/>
  <c r="G56" i="19"/>
  <c r="Y56" i="24" s="1"/>
  <c r="G54" i="19"/>
  <c r="Y54" i="24" s="1"/>
  <c r="G53" i="19"/>
  <c r="Y53" i="24" s="1"/>
  <c r="G52" i="19"/>
  <c r="Y52" i="24" s="1"/>
  <c r="G51" i="19"/>
  <c r="Y51" i="24" s="1"/>
  <c r="L68" i="4"/>
  <c r="W68" i="24" s="1"/>
  <c r="L67" i="4"/>
  <c r="W67" i="24" s="1"/>
  <c r="L66" i="4"/>
  <c r="W66" i="24" s="1"/>
  <c r="L65" i="4"/>
  <c r="W65" i="24" s="1"/>
  <c r="L63" i="4"/>
  <c r="W63" i="24" s="1"/>
  <c r="L60" i="4"/>
  <c r="W60" i="24" s="1"/>
  <c r="L59" i="4"/>
  <c r="W59" i="24" s="1"/>
  <c r="L57" i="4"/>
  <c r="W57" i="24" s="1"/>
  <c r="L56" i="4"/>
  <c r="W56" i="24" s="1"/>
  <c r="L54" i="4"/>
  <c r="W54" i="24" s="1"/>
  <c r="L53" i="4"/>
  <c r="W53" i="24" s="1"/>
  <c r="L52" i="4"/>
  <c r="W52" i="24" s="1"/>
  <c r="L51" i="4"/>
  <c r="W51" i="24" s="1"/>
  <c r="H68" i="4"/>
  <c r="V68" i="24" s="1"/>
  <c r="H67" i="4"/>
  <c r="V67" i="24" s="1"/>
  <c r="H66" i="4"/>
  <c r="V66" i="24" s="1"/>
  <c r="H65" i="4"/>
  <c r="V65" i="24" s="1"/>
  <c r="H63" i="4"/>
  <c r="V63" i="24" s="1"/>
  <c r="H60" i="4"/>
  <c r="V60" i="24" s="1"/>
  <c r="H59" i="4"/>
  <c r="V59" i="24" s="1"/>
  <c r="H57" i="4"/>
  <c r="V57" i="24" s="1"/>
  <c r="H56" i="4"/>
  <c r="V56" i="24" s="1"/>
  <c r="H54" i="4"/>
  <c r="V54" i="24" s="1"/>
  <c r="H53" i="4"/>
  <c r="V53" i="24" s="1"/>
  <c r="H52" i="4"/>
  <c r="V52" i="24" s="1"/>
  <c r="H51" i="4"/>
  <c r="V51" i="24" s="1"/>
  <c r="F75" i="3"/>
  <c r="F76" i="3" s="1"/>
  <c r="E75" i="3"/>
  <c r="F70" i="3"/>
  <c r="F71" i="3" s="1"/>
  <c r="E70" i="3"/>
  <c r="F62" i="3"/>
  <c r="E62" i="3"/>
  <c r="F55" i="3"/>
  <c r="E55" i="3"/>
  <c r="F75" i="20"/>
  <c r="F76" i="20" s="1"/>
  <c r="E75" i="20"/>
  <c r="F70" i="20"/>
  <c r="F71" i="20" s="1"/>
  <c r="E70" i="20"/>
  <c r="E71" i="20" s="1"/>
  <c r="F62" i="20"/>
  <c r="E62" i="20"/>
  <c r="F55" i="20"/>
  <c r="E55" i="20"/>
  <c r="F75" i="19"/>
  <c r="F76" i="19" s="1"/>
  <c r="E75" i="19"/>
  <c r="E76" i="19" s="1"/>
  <c r="F70" i="19"/>
  <c r="F71" i="19" s="1"/>
  <c r="E70" i="19"/>
  <c r="F62" i="19"/>
  <c r="E62" i="19"/>
  <c r="F55" i="19"/>
  <c r="E55" i="19"/>
  <c r="K75" i="4"/>
  <c r="K76" i="4" s="1"/>
  <c r="J75" i="4"/>
  <c r="J76" i="4" s="1"/>
  <c r="K70" i="4"/>
  <c r="K71" i="4" s="1"/>
  <c r="J70" i="4"/>
  <c r="K62" i="4"/>
  <c r="J62" i="4"/>
  <c r="K55" i="4"/>
  <c r="J55" i="4"/>
  <c r="G75" i="4"/>
  <c r="G76" i="4" s="1"/>
  <c r="F75" i="4"/>
  <c r="G70" i="4"/>
  <c r="G71" i="4" s="1"/>
  <c r="F70" i="4"/>
  <c r="G62" i="4"/>
  <c r="F62" i="4"/>
  <c r="G55" i="4"/>
  <c r="F55" i="4"/>
  <c r="I39" i="21"/>
  <c r="AF39" i="24" s="1"/>
  <c r="I34" i="21"/>
  <c r="AF34" i="24" s="1"/>
  <c r="I28" i="21"/>
  <c r="AF28" i="24" s="1"/>
  <c r="I39" i="3"/>
  <c r="AD39" i="24" s="1"/>
  <c r="I34" i="3"/>
  <c r="AD34" i="24" s="1"/>
  <c r="I28" i="3"/>
  <c r="AD28" i="24" s="1"/>
  <c r="I39" i="20"/>
  <c r="AB39" i="24" s="1"/>
  <c r="I34" i="20"/>
  <c r="AB34" i="24" s="1"/>
  <c r="I28" i="20"/>
  <c r="AB28" i="24" s="1"/>
  <c r="I39" i="19"/>
  <c r="Z39" i="24" s="1"/>
  <c r="I34" i="19"/>
  <c r="Z34" i="24" s="1"/>
  <c r="I28" i="19"/>
  <c r="Z28" i="24" s="1"/>
  <c r="G26" i="26"/>
  <c r="AG26" i="24" s="1"/>
  <c r="G25" i="26"/>
  <c r="AG25" i="24" s="1"/>
  <c r="G26" i="21"/>
  <c r="AE26" i="24" s="1"/>
  <c r="G25" i="21"/>
  <c r="AE25" i="24" s="1"/>
  <c r="G20" i="21"/>
  <c r="AE20" i="24" s="1"/>
  <c r="G19" i="21"/>
  <c r="AE19" i="24" s="1"/>
  <c r="G18" i="21"/>
  <c r="AE18" i="24" s="1"/>
  <c r="G17" i="21"/>
  <c r="AE17" i="24" s="1"/>
  <c r="G16" i="21"/>
  <c r="AE16" i="24" s="1"/>
  <c r="G15" i="21"/>
  <c r="AE15" i="24" s="1"/>
  <c r="G14" i="21"/>
  <c r="AE14" i="24" s="1"/>
  <c r="G10" i="21"/>
  <c r="AE10" i="24" s="1"/>
  <c r="G9" i="21"/>
  <c r="AE9" i="24" s="1"/>
  <c r="G8" i="21"/>
  <c r="AE8" i="24" s="1"/>
  <c r="G7" i="21"/>
  <c r="AE7" i="24" s="1"/>
  <c r="G6" i="21"/>
  <c r="AE6" i="24" s="1"/>
  <c r="G5" i="21"/>
  <c r="AE5" i="24" s="1"/>
  <c r="G37" i="3"/>
  <c r="AC37" i="24" s="1"/>
  <c r="G36" i="3"/>
  <c r="AC36" i="24" s="1"/>
  <c r="G35" i="3"/>
  <c r="AC35" i="24" s="1"/>
  <c r="G32" i="3"/>
  <c r="AC32" i="24" s="1"/>
  <c r="G31" i="3"/>
  <c r="AC31" i="24" s="1"/>
  <c r="G30" i="3"/>
  <c r="AC30" i="24" s="1"/>
  <c r="G29" i="3"/>
  <c r="AC29" i="24" s="1"/>
  <c r="G26" i="3"/>
  <c r="AC26" i="24" s="1"/>
  <c r="G25" i="3"/>
  <c r="AC25" i="24" s="1"/>
  <c r="G23" i="3"/>
  <c r="AC23" i="24" s="1"/>
  <c r="G22" i="3"/>
  <c r="AC22" i="24" s="1"/>
  <c r="G20" i="3"/>
  <c r="AC20" i="24" s="1"/>
  <c r="G19" i="3"/>
  <c r="AC19" i="24" s="1"/>
  <c r="G18" i="3"/>
  <c r="AC18" i="24" s="1"/>
  <c r="G17" i="3"/>
  <c r="AC17" i="24" s="1"/>
  <c r="G16" i="3"/>
  <c r="AC16" i="24" s="1"/>
  <c r="G15" i="3"/>
  <c r="AC15" i="24" s="1"/>
  <c r="G14" i="3"/>
  <c r="AC14" i="24" s="1"/>
  <c r="G12" i="3"/>
  <c r="AC12" i="24" s="1"/>
  <c r="G11" i="3"/>
  <c r="AC11" i="24" s="1"/>
  <c r="G10" i="3"/>
  <c r="AC10" i="24" s="1"/>
  <c r="G9" i="3"/>
  <c r="AC9" i="24" s="1"/>
  <c r="G8" i="3"/>
  <c r="AC8" i="24" s="1"/>
  <c r="G7" i="3"/>
  <c r="AC7" i="24" s="1"/>
  <c r="G6" i="3"/>
  <c r="AC6" i="24" s="1"/>
  <c r="G5" i="3"/>
  <c r="AC5" i="24" s="1"/>
  <c r="G37" i="20"/>
  <c r="AA37" i="24" s="1"/>
  <c r="G36" i="20"/>
  <c r="AA36" i="24" s="1"/>
  <c r="G35" i="20"/>
  <c r="AA35" i="24" s="1"/>
  <c r="G32" i="20"/>
  <c r="AA32" i="24" s="1"/>
  <c r="G30" i="20"/>
  <c r="AA30" i="24" s="1"/>
  <c r="G29" i="20"/>
  <c r="AA29" i="24" s="1"/>
  <c r="G26" i="20"/>
  <c r="AA26" i="24" s="1"/>
  <c r="G25" i="20"/>
  <c r="AA25" i="24" s="1"/>
  <c r="G23" i="20"/>
  <c r="AA23" i="24" s="1"/>
  <c r="G22" i="20"/>
  <c r="AA22" i="24" s="1"/>
  <c r="G20" i="20"/>
  <c r="AA20" i="24" s="1"/>
  <c r="G19" i="20"/>
  <c r="AA19" i="24" s="1"/>
  <c r="G18" i="20"/>
  <c r="AA18" i="24" s="1"/>
  <c r="G17" i="20"/>
  <c r="AA17" i="24" s="1"/>
  <c r="G16" i="20"/>
  <c r="AA16" i="24" s="1"/>
  <c r="G15" i="20"/>
  <c r="AA15" i="24" s="1"/>
  <c r="G14" i="20"/>
  <c r="AA14" i="24" s="1"/>
  <c r="G12" i="20"/>
  <c r="AA12" i="24" s="1"/>
  <c r="G11" i="20"/>
  <c r="AA11" i="24" s="1"/>
  <c r="G10" i="20"/>
  <c r="AA10" i="24" s="1"/>
  <c r="G9" i="20"/>
  <c r="AA9" i="24" s="1"/>
  <c r="G8" i="20"/>
  <c r="AA8" i="24" s="1"/>
  <c r="G7" i="20"/>
  <c r="AA7" i="24" s="1"/>
  <c r="G6" i="20"/>
  <c r="AA6" i="24" s="1"/>
  <c r="G5" i="20"/>
  <c r="AA5" i="24" s="1"/>
  <c r="G37" i="19"/>
  <c r="Y37" i="24" s="1"/>
  <c r="G36" i="19"/>
  <c r="Y36" i="24" s="1"/>
  <c r="G35" i="19"/>
  <c r="Y35" i="24" s="1"/>
  <c r="G30" i="19"/>
  <c r="Y30" i="24" s="1"/>
  <c r="G29" i="19"/>
  <c r="Y29" i="24" s="1"/>
  <c r="G26" i="19"/>
  <c r="Y26" i="24" s="1"/>
  <c r="G25" i="19"/>
  <c r="Y25" i="24" s="1"/>
  <c r="G20" i="19"/>
  <c r="Y20" i="24" s="1"/>
  <c r="G19" i="19"/>
  <c r="Y19" i="24" s="1"/>
  <c r="G18" i="19"/>
  <c r="Y18" i="24" s="1"/>
  <c r="G17" i="19"/>
  <c r="Y17" i="24" s="1"/>
  <c r="G16" i="19"/>
  <c r="Y16" i="24" s="1"/>
  <c r="G15" i="19"/>
  <c r="Y15" i="24" s="1"/>
  <c r="G14" i="19"/>
  <c r="Y14" i="24" s="1"/>
  <c r="G10" i="19"/>
  <c r="Y10" i="24" s="1"/>
  <c r="G9" i="19"/>
  <c r="Y9" i="24" s="1"/>
  <c r="G8" i="19"/>
  <c r="Y8" i="24" s="1"/>
  <c r="G7" i="19"/>
  <c r="Y7" i="24" s="1"/>
  <c r="G6" i="19"/>
  <c r="Y6" i="24" s="1"/>
  <c r="G5" i="19"/>
  <c r="Y5" i="24" s="1"/>
  <c r="N34" i="4"/>
  <c r="X34" i="24" s="1"/>
  <c r="N28" i="4"/>
  <c r="X28" i="24" s="1"/>
  <c r="L32" i="4"/>
  <c r="W32" i="24" s="1"/>
  <c r="L30" i="4"/>
  <c r="W30" i="24" s="1"/>
  <c r="L29" i="4"/>
  <c r="W29" i="24" s="1"/>
  <c r="L26" i="4"/>
  <c r="W26" i="24" s="1"/>
  <c r="L25" i="4"/>
  <c r="W25" i="24" s="1"/>
  <c r="L20" i="4"/>
  <c r="W20" i="24" s="1"/>
  <c r="L19" i="4"/>
  <c r="W19" i="24" s="1"/>
  <c r="L18" i="4"/>
  <c r="W18" i="24" s="1"/>
  <c r="L17" i="4"/>
  <c r="W17" i="24" s="1"/>
  <c r="L16" i="4"/>
  <c r="W16" i="24" s="1"/>
  <c r="L15" i="4"/>
  <c r="W15" i="24" s="1"/>
  <c r="L14" i="4"/>
  <c r="W14" i="24" s="1"/>
  <c r="L10" i="4"/>
  <c r="W10" i="24" s="1"/>
  <c r="L9" i="4"/>
  <c r="W9" i="24" s="1"/>
  <c r="L8" i="4"/>
  <c r="W8" i="24" s="1"/>
  <c r="L7" i="4"/>
  <c r="W7" i="24" s="1"/>
  <c r="L6" i="4"/>
  <c r="W6" i="24" s="1"/>
  <c r="L5" i="4"/>
  <c r="W5" i="24" s="1"/>
  <c r="H32" i="4"/>
  <c r="V32" i="24" s="1"/>
  <c r="H30" i="4"/>
  <c r="V30" i="24" s="1"/>
  <c r="H29" i="4"/>
  <c r="V29" i="24" s="1"/>
  <c r="H26" i="4"/>
  <c r="V26" i="24" s="1"/>
  <c r="H25" i="4"/>
  <c r="V25" i="24" s="1"/>
  <c r="H20" i="4"/>
  <c r="V20" i="24" s="1"/>
  <c r="H19" i="4"/>
  <c r="V19" i="24" s="1"/>
  <c r="H18" i="4"/>
  <c r="V18" i="24" s="1"/>
  <c r="H17" i="4"/>
  <c r="V17" i="24" s="1"/>
  <c r="H16" i="4"/>
  <c r="V16" i="24" s="1"/>
  <c r="H15" i="4"/>
  <c r="V15" i="24" s="1"/>
  <c r="H14" i="4"/>
  <c r="V14" i="24" s="1"/>
  <c r="H10" i="4"/>
  <c r="V10" i="24" s="1"/>
  <c r="H9" i="4"/>
  <c r="V9" i="24" s="1"/>
  <c r="H8" i="4"/>
  <c r="V8" i="24" s="1"/>
  <c r="H7" i="4"/>
  <c r="V7" i="24" s="1"/>
  <c r="H6" i="4"/>
  <c r="V6" i="24" s="1"/>
  <c r="H5" i="4"/>
  <c r="V5" i="24" s="1"/>
  <c r="F28" i="29"/>
  <c r="E28" i="29"/>
  <c r="F38" i="3"/>
  <c r="F39" i="3" s="1"/>
  <c r="E38" i="3"/>
  <c r="E39" i="3" s="1"/>
  <c r="F33" i="3"/>
  <c r="F34" i="3" s="1"/>
  <c r="E33" i="3"/>
  <c r="E34" i="3" s="1"/>
  <c r="F27" i="3"/>
  <c r="E27" i="3"/>
  <c r="F24" i="3"/>
  <c r="E24" i="3"/>
  <c r="F21" i="3"/>
  <c r="E21" i="3"/>
  <c r="F13" i="3"/>
  <c r="E13" i="3"/>
  <c r="F38" i="20"/>
  <c r="F39" i="20" s="1"/>
  <c r="E38" i="20"/>
  <c r="F33" i="20"/>
  <c r="F34" i="20" s="1"/>
  <c r="E33" i="20"/>
  <c r="E34" i="20" s="1"/>
  <c r="F27" i="20"/>
  <c r="E27" i="20"/>
  <c r="F24" i="20"/>
  <c r="E24" i="20"/>
  <c r="F21" i="20"/>
  <c r="E21" i="20"/>
  <c r="F13" i="20"/>
  <c r="E13" i="20"/>
  <c r="F38" i="19"/>
  <c r="F39" i="19" s="1"/>
  <c r="E38" i="19"/>
  <c r="F33" i="19"/>
  <c r="F34" i="19" s="1"/>
  <c r="E33" i="19"/>
  <c r="F27" i="19"/>
  <c r="E27" i="19"/>
  <c r="F24" i="19"/>
  <c r="E24" i="19"/>
  <c r="F21" i="19"/>
  <c r="E21" i="19"/>
  <c r="F13" i="19"/>
  <c r="E13" i="19"/>
  <c r="K38" i="4"/>
  <c r="K39" i="4" s="1"/>
  <c r="J38" i="4"/>
  <c r="J39" i="4" s="1"/>
  <c r="K33" i="4"/>
  <c r="K34" i="4" s="1"/>
  <c r="J33" i="4"/>
  <c r="J34" i="4" s="1"/>
  <c r="K27" i="4"/>
  <c r="J27" i="4"/>
  <c r="K24" i="4"/>
  <c r="J24" i="4"/>
  <c r="K21" i="4"/>
  <c r="J21" i="4"/>
  <c r="K13" i="4"/>
  <c r="J13" i="4"/>
  <c r="G38" i="4"/>
  <c r="G39" i="4" s="1"/>
  <c r="F38" i="4"/>
  <c r="F39" i="4" s="1"/>
  <c r="G33" i="4"/>
  <c r="G34" i="4" s="1"/>
  <c r="F33" i="4"/>
  <c r="F34" i="4" s="1"/>
  <c r="G27" i="4"/>
  <c r="F27" i="4"/>
  <c r="G21" i="4"/>
  <c r="F21" i="4"/>
  <c r="G13" i="4"/>
  <c r="F13" i="4"/>
  <c r="K337" i="2"/>
  <c r="K338" i="2" s="1"/>
  <c r="K313" i="2"/>
  <c r="K307" i="2"/>
  <c r="K299" i="2"/>
  <c r="K292" i="2"/>
  <c r="K288" i="2"/>
  <c r="K280" i="2"/>
  <c r="K274" i="2"/>
  <c r="K258" i="2"/>
  <c r="K249" i="2"/>
  <c r="K242" i="2"/>
  <c r="K225" i="2"/>
  <c r="K215" i="2"/>
  <c r="K199" i="2"/>
  <c r="K181" i="2"/>
  <c r="K165" i="2"/>
  <c r="I220" i="2"/>
  <c r="U220" i="24" s="1"/>
  <c r="AO220" i="24" s="1"/>
  <c r="AT220" i="24" s="1"/>
  <c r="K146" i="2"/>
  <c r="K115" i="2"/>
  <c r="G327" i="2"/>
  <c r="T327" i="24" s="1"/>
  <c r="G311" i="2"/>
  <c r="T311" i="24" s="1"/>
  <c r="G310" i="2"/>
  <c r="T310" i="24" s="1"/>
  <c r="G309" i="2"/>
  <c r="T309" i="24" s="1"/>
  <c r="G308" i="2"/>
  <c r="T308" i="24" s="1"/>
  <c r="G305" i="2"/>
  <c r="T305" i="24" s="1"/>
  <c r="G304" i="2"/>
  <c r="T304" i="24" s="1"/>
  <c r="G303" i="2"/>
  <c r="T303" i="24" s="1"/>
  <c r="G302" i="2"/>
  <c r="T302" i="24" s="1"/>
  <c r="G301" i="2"/>
  <c r="T301" i="24" s="1"/>
  <c r="G300" i="2"/>
  <c r="T300" i="24" s="1"/>
  <c r="G297" i="2"/>
  <c r="T297" i="24" s="1"/>
  <c r="G296" i="2"/>
  <c r="T296" i="24" s="1"/>
  <c r="G295" i="2"/>
  <c r="T295" i="24" s="1"/>
  <c r="G294" i="2"/>
  <c r="T294" i="24" s="1"/>
  <c r="G293" i="2"/>
  <c r="T293" i="24" s="1"/>
  <c r="G290" i="2"/>
  <c r="T290" i="24" s="1"/>
  <c r="G289" i="2"/>
  <c r="T289" i="24" s="1"/>
  <c r="G286" i="2"/>
  <c r="T286" i="24" s="1"/>
  <c r="G285" i="2"/>
  <c r="T285" i="24" s="1"/>
  <c r="G284" i="2"/>
  <c r="T284" i="24" s="1"/>
  <c r="G283" i="2"/>
  <c r="T283" i="24" s="1"/>
  <c r="G282" i="2"/>
  <c r="T282" i="24" s="1"/>
  <c r="G278" i="2"/>
  <c r="T278" i="24" s="1"/>
  <c r="G277" i="2"/>
  <c r="T277" i="24" s="1"/>
  <c r="G276" i="2"/>
  <c r="T276" i="24" s="1"/>
  <c r="G275" i="2"/>
  <c r="T275" i="24" s="1"/>
  <c r="G271" i="2"/>
  <c r="T271" i="24" s="1"/>
  <c r="G270" i="2"/>
  <c r="T270" i="24" s="1"/>
  <c r="G269" i="2"/>
  <c r="T269" i="24" s="1"/>
  <c r="G268" i="2"/>
  <c r="T268" i="24" s="1"/>
  <c r="G267" i="2"/>
  <c r="T267" i="24" s="1"/>
  <c r="G266" i="2"/>
  <c r="T266" i="24" s="1"/>
  <c r="G264" i="2"/>
  <c r="T264" i="24" s="1"/>
  <c r="G263" i="2"/>
  <c r="T263" i="24" s="1"/>
  <c r="G262" i="2"/>
  <c r="T262" i="24" s="1"/>
  <c r="G261" i="2"/>
  <c r="T261" i="24" s="1"/>
  <c r="G260" i="2"/>
  <c r="T260" i="24" s="1"/>
  <c r="G256" i="2"/>
  <c r="T256" i="24" s="1"/>
  <c r="G255" i="2"/>
  <c r="T255" i="24" s="1"/>
  <c r="G254" i="2"/>
  <c r="T254" i="24" s="1"/>
  <c r="G253" i="2"/>
  <c r="T253" i="24" s="1"/>
  <c r="G252" i="2"/>
  <c r="T252" i="24" s="1"/>
  <c r="G251" i="2"/>
  <c r="T251" i="24" s="1"/>
  <c r="G250" i="2"/>
  <c r="T250" i="24" s="1"/>
  <c r="G247" i="2"/>
  <c r="T247" i="24" s="1"/>
  <c r="G246" i="2"/>
  <c r="T246" i="24" s="1"/>
  <c r="G245" i="2"/>
  <c r="T245" i="24" s="1"/>
  <c r="G244" i="2"/>
  <c r="T244" i="24" s="1"/>
  <c r="G243" i="2"/>
  <c r="T243" i="24" s="1"/>
  <c r="G239" i="2"/>
  <c r="T239" i="24" s="1"/>
  <c r="G238" i="2"/>
  <c r="T238" i="24" s="1"/>
  <c r="G237" i="2"/>
  <c r="T237" i="24" s="1"/>
  <c r="G236" i="2"/>
  <c r="T236" i="24" s="1"/>
  <c r="G235" i="2"/>
  <c r="T235" i="24" s="1"/>
  <c r="G233" i="2"/>
  <c r="T233" i="24" s="1"/>
  <c r="G232" i="2"/>
  <c r="T232" i="24" s="1"/>
  <c r="G231" i="2"/>
  <c r="T231" i="24" s="1"/>
  <c r="G230" i="2"/>
  <c r="T230" i="24" s="1"/>
  <c r="G229" i="2"/>
  <c r="T229" i="24" s="1"/>
  <c r="G228" i="2"/>
  <c r="T228" i="24" s="1"/>
  <c r="G227" i="2"/>
  <c r="T227" i="24" s="1"/>
  <c r="G223" i="2"/>
  <c r="T223" i="24" s="1"/>
  <c r="G222" i="2"/>
  <c r="T222" i="24" s="1"/>
  <c r="G221" i="2"/>
  <c r="T221" i="24" s="1"/>
  <c r="G218" i="2"/>
  <c r="T218" i="24" s="1"/>
  <c r="G217" i="2"/>
  <c r="T217" i="24" s="1"/>
  <c r="G216" i="2"/>
  <c r="T216" i="24" s="1"/>
  <c r="G212" i="2"/>
  <c r="T212" i="24" s="1"/>
  <c r="G211" i="2"/>
  <c r="T211" i="24" s="1"/>
  <c r="G210" i="2"/>
  <c r="T210" i="24" s="1"/>
  <c r="G209" i="2"/>
  <c r="T209" i="24" s="1"/>
  <c r="G208" i="2"/>
  <c r="T208" i="24" s="1"/>
  <c r="G207" i="2"/>
  <c r="T207" i="24" s="1"/>
  <c r="G206" i="2"/>
  <c r="T206" i="24" s="1"/>
  <c r="G204" i="2"/>
  <c r="T204" i="24" s="1"/>
  <c r="G203" i="2"/>
  <c r="T203" i="24" s="1"/>
  <c r="G202" i="2"/>
  <c r="T202" i="24" s="1"/>
  <c r="G201" i="2"/>
  <c r="T201" i="24" s="1"/>
  <c r="G200" i="2"/>
  <c r="T200" i="24" s="1"/>
  <c r="G196" i="2"/>
  <c r="T196" i="24" s="1"/>
  <c r="G195" i="2"/>
  <c r="T195" i="24" s="1"/>
  <c r="G194" i="2"/>
  <c r="T194" i="24" s="1"/>
  <c r="G193" i="2"/>
  <c r="T193" i="24" s="1"/>
  <c r="G192" i="2"/>
  <c r="T192" i="24" s="1"/>
  <c r="G191" i="2"/>
  <c r="T191" i="24" s="1"/>
  <c r="G188" i="2"/>
  <c r="T188" i="24" s="1"/>
  <c r="G187" i="2"/>
  <c r="T187" i="24" s="1"/>
  <c r="G186" i="2"/>
  <c r="T186" i="24" s="1"/>
  <c r="G185" i="2"/>
  <c r="T185" i="24" s="1"/>
  <c r="G184" i="2"/>
  <c r="T184" i="24" s="1"/>
  <c r="G183" i="2"/>
  <c r="T183" i="24" s="1"/>
  <c r="G182" i="2"/>
  <c r="T182" i="24" s="1"/>
  <c r="G178" i="2"/>
  <c r="T178" i="24" s="1"/>
  <c r="G177" i="2"/>
  <c r="T177" i="24" s="1"/>
  <c r="G176" i="2"/>
  <c r="T176" i="24" s="1"/>
  <c r="G175" i="2"/>
  <c r="T175" i="24" s="1"/>
  <c r="G174" i="2"/>
  <c r="T174" i="24" s="1"/>
  <c r="G172" i="2"/>
  <c r="T172" i="24" s="1"/>
  <c r="G171" i="2"/>
  <c r="T171" i="24" s="1"/>
  <c r="G170" i="2"/>
  <c r="T170" i="24" s="1"/>
  <c r="G169" i="2"/>
  <c r="T169" i="24" s="1"/>
  <c r="G168" i="2"/>
  <c r="T168" i="24" s="1"/>
  <c r="G167" i="2"/>
  <c r="T167" i="24" s="1"/>
  <c r="G166" i="2"/>
  <c r="T166" i="24" s="1"/>
  <c r="G162" i="2"/>
  <c r="T162" i="24" s="1"/>
  <c r="G161" i="2"/>
  <c r="T161" i="24" s="1"/>
  <c r="G160" i="2"/>
  <c r="T160" i="24" s="1"/>
  <c r="G159" i="2"/>
  <c r="T159" i="24" s="1"/>
  <c r="G158" i="2"/>
  <c r="T158" i="24" s="1"/>
  <c r="G157" i="2"/>
  <c r="T157" i="24" s="1"/>
  <c r="G124" i="2"/>
  <c r="T124" i="24" s="1"/>
  <c r="G144" i="2"/>
  <c r="T144" i="24" s="1"/>
  <c r="G143" i="2"/>
  <c r="T143" i="24" s="1"/>
  <c r="G142" i="2"/>
  <c r="T142" i="24" s="1"/>
  <c r="G141" i="2"/>
  <c r="T141" i="24" s="1"/>
  <c r="G140" i="2"/>
  <c r="T140" i="24" s="1"/>
  <c r="G139" i="2"/>
  <c r="T139" i="24" s="1"/>
  <c r="G138" i="2"/>
  <c r="T138" i="24" s="1"/>
  <c r="G137" i="2"/>
  <c r="T137" i="24" s="1"/>
  <c r="G136" i="2"/>
  <c r="T136" i="24" s="1"/>
  <c r="G135" i="2"/>
  <c r="T135" i="24" s="1"/>
  <c r="G134" i="2"/>
  <c r="T134" i="24" s="1"/>
  <c r="G131" i="2"/>
  <c r="T131" i="24" s="1"/>
  <c r="G130" i="2"/>
  <c r="T130" i="24" s="1"/>
  <c r="G118" i="2"/>
  <c r="T118" i="24" s="1"/>
  <c r="G117" i="2"/>
  <c r="T117" i="24" s="1"/>
  <c r="G116" i="2"/>
  <c r="T116" i="24" s="1"/>
  <c r="G113" i="2"/>
  <c r="T113" i="24" s="1"/>
  <c r="G112" i="2"/>
  <c r="T112" i="24" s="1"/>
  <c r="G111" i="2"/>
  <c r="T111" i="24" s="1"/>
  <c r="G110" i="2"/>
  <c r="T110" i="24" s="1"/>
  <c r="G106" i="2"/>
  <c r="T106" i="24" s="1"/>
  <c r="G105" i="2"/>
  <c r="T105" i="24" s="1"/>
  <c r="G92" i="2"/>
  <c r="T92" i="24" s="1"/>
  <c r="G91" i="2"/>
  <c r="T91" i="24" s="1"/>
  <c r="G88" i="2"/>
  <c r="T88" i="24" s="1"/>
  <c r="G87" i="2"/>
  <c r="T87" i="24" s="1"/>
  <c r="G74" i="2"/>
  <c r="T74" i="24" s="1"/>
  <c r="G73" i="2"/>
  <c r="T73" i="24" s="1"/>
  <c r="G72" i="2"/>
  <c r="T72" i="24" s="1"/>
  <c r="G69" i="2"/>
  <c r="T69" i="24" s="1"/>
  <c r="G68" i="2"/>
  <c r="T68" i="24" s="1"/>
  <c r="G67" i="2"/>
  <c r="T67" i="24" s="1"/>
  <c r="G66" i="2"/>
  <c r="T66" i="24" s="1"/>
  <c r="G65" i="2"/>
  <c r="T65" i="24" s="1"/>
  <c r="G63" i="2"/>
  <c r="T63" i="24" s="1"/>
  <c r="G61" i="2"/>
  <c r="T61" i="24" s="1"/>
  <c r="G60" i="2"/>
  <c r="T60" i="24" s="1"/>
  <c r="G59" i="2"/>
  <c r="T59" i="24" s="1"/>
  <c r="G57" i="2"/>
  <c r="T57" i="24" s="1"/>
  <c r="G56" i="2"/>
  <c r="T56" i="24" s="1"/>
  <c r="G54" i="2"/>
  <c r="T54" i="24" s="1"/>
  <c r="G53" i="2"/>
  <c r="T53" i="24" s="1"/>
  <c r="G52" i="2"/>
  <c r="T52" i="24" s="1"/>
  <c r="G51" i="2"/>
  <c r="T51" i="24" s="1"/>
  <c r="G37" i="2"/>
  <c r="T37" i="24" s="1"/>
  <c r="G36" i="2"/>
  <c r="T36" i="24" s="1"/>
  <c r="G35" i="2"/>
  <c r="T35" i="24" s="1"/>
  <c r="G32" i="2"/>
  <c r="T32" i="24" s="1"/>
  <c r="G30" i="2"/>
  <c r="T30" i="24" s="1"/>
  <c r="G29" i="2"/>
  <c r="T29" i="24" s="1"/>
  <c r="G26" i="2"/>
  <c r="T26" i="24" s="1"/>
  <c r="G25" i="2"/>
  <c r="T25" i="24" s="1"/>
  <c r="G23" i="2"/>
  <c r="T23" i="24" s="1"/>
  <c r="G22" i="2"/>
  <c r="T22" i="24" s="1"/>
  <c r="G20" i="2"/>
  <c r="T20" i="24" s="1"/>
  <c r="G19" i="2"/>
  <c r="T19" i="24" s="1"/>
  <c r="G18" i="2"/>
  <c r="T18" i="24" s="1"/>
  <c r="G17" i="2"/>
  <c r="T17" i="24" s="1"/>
  <c r="G16" i="2"/>
  <c r="T16" i="24" s="1"/>
  <c r="G15" i="2"/>
  <c r="T15" i="24" s="1"/>
  <c r="G14" i="2"/>
  <c r="T14" i="24" s="1"/>
  <c r="G12" i="2"/>
  <c r="T12" i="24" s="1"/>
  <c r="G11" i="2"/>
  <c r="T11" i="24" s="1"/>
  <c r="G10" i="2"/>
  <c r="T10" i="24" s="1"/>
  <c r="G9" i="2"/>
  <c r="T9" i="24" s="1"/>
  <c r="G8" i="2"/>
  <c r="T8" i="24" s="1"/>
  <c r="G7" i="2"/>
  <c r="T7" i="24" s="1"/>
  <c r="G6" i="2"/>
  <c r="T6" i="24" s="1"/>
  <c r="F336" i="2"/>
  <c r="F337" i="2" s="1"/>
  <c r="F338" i="2" s="1"/>
  <c r="E19" i="13" s="1"/>
  <c r="F312" i="2"/>
  <c r="F313" i="2" s="1"/>
  <c r="F306" i="2"/>
  <c r="F307" i="2" s="1"/>
  <c r="F298" i="2"/>
  <c r="F299" i="2" s="1"/>
  <c r="F291" i="2"/>
  <c r="F292" i="2" s="1"/>
  <c r="F287" i="2"/>
  <c r="F288" i="2" s="1"/>
  <c r="F279" i="2"/>
  <c r="F280" i="2" s="1"/>
  <c r="F272" i="2"/>
  <c r="F265" i="2"/>
  <c r="F257" i="2"/>
  <c r="F258" i="2" s="1"/>
  <c r="F248" i="2"/>
  <c r="F249" i="2" s="1"/>
  <c r="F240" i="2"/>
  <c r="F234" i="2"/>
  <c r="F224" i="2"/>
  <c r="F225" i="2" s="1"/>
  <c r="F219" i="2"/>
  <c r="F220" i="2" s="1"/>
  <c r="F213" i="2"/>
  <c r="F205" i="2"/>
  <c r="F197" i="2"/>
  <c r="F189" i="2"/>
  <c r="F179" i="2"/>
  <c r="F173" i="2"/>
  <c r="F93" i="2"/>
  <c r="F94" i="2" s="1"/>
  <c r="F89" i="2"/>
  <c r="F90" i="2" s="1"/>
  <c r="F75" i="2"/>
  <c r="F76" i="2" s="1"/>
  <c r="F70" i="2"/>
  <c r="F71" i="2" s="1"/>
  <c r="F62" i="2"/>
  <c r="F55" i="2"/>
  <c r="F38" i="2"/>
  <c r="F39" i="2" s="1"/>
  <c r="F33" i="2"/>
  <c r="F34" i="2" s="1"/>
  <c r="F27" i="2"/>
  <c r="F24" i="2"/>
  <c r="F21" i="2"/>
  <c r="F13" i="2"/>
  <c r="I337" i="2"/>
  <c r="I288" i="2"/>
  <c r="U288" i="24" s="1"/>
  <c r="AO288" i="24" s="1"/>
  <c r="AT288" i="24" s="1"/>
  <c r="E287" i="2"/>
  <c r="E288" i="2" s="1"/>
  <c r="E257" i="2"/>
  <c r="E258" i="2" s="1"/>
  <c r="E234" i="2"/>
  <c r="I146" i="2"/>
  <c r="U146" i="24" s="1"/>
  <c r="E146" i="2"/>
  <c r="D12" i="13" s="1"/>
  <c r="F12" i="13" s="1"/>
  <c r="E11" i="14" s="1"/>
  <c r="J134" i="2"/>
  <c r="G5" i="2"/>
  <c r="T5" i="24" s="1"/>
  <c r="AO146" i="24" l="1"/>
  <c r="N32" i="24" s="1"/>
  <c r="F147" i="19"/>
  <c r="G147" i="4"/>
  <c r="F147" i="20"/>
  <c r="I147" i="3"/>
  <c r="AD147" i="24" s="1"/>
  <c r="F147" i="3"/>
  <c r="E29" i="13" s="1"/>
  <c r="E147" i="3"/>
  <c r="D29" i="13" s="1"/>
  <c r="I147" i="20"/>
  <c r="AB147" i="24" s="1"/>
  <c r="I147" i="19"/>
  <c r="Z147" i="24" s="1"/>
  <c r="N147" i="4"/>
  <c r="X147" i="24" s="1"/>
  <c r="AT146" i="24"/>
  <c r="I337" i="3"/>
  <c r="AD338" i="24" s="1"/>
  <c r="AD337" i="24"/>
  <c r="I338" i="2"/>
  <c r="U338" i="24" s="1"/>
  <c r="U337" i="24"/>
  <c r="E64" i="21"/>
  <c r="E77" i="21" s="1"/>
  <c r="E28" i="21"/>
  <c r="E40" i="21" s="1"/>
  <c r="K190" i="2"/>
  <c r="K281" i="2"/>
  <c r="F28" i="21"/>
  <c r="F40" i="21" s="1"/>
  <c r="F64" i="21"/>
  <c r="F77" i="21" s="1"/>
  <c r="L27" i="4"/>
  <c r="W27" i="24" s="1"/>
  <c r="G258" i="2"/>
  <c r="G338" i="2"/>
  <c r="G288" i="2"/>
  <c r="K259" i="2"/>
  <c r="F180" i="2"/>
  <c r="F181" i="2" s="1"/>
  <c r="G234" i="2"/>
  <c r="T234" i="24" s="1"/>
  <c r="G127" i="2"/>
  <c r="T127" i="24" s="1"/>
  <c r="E314" i="3"/>
  <c r="D37" i="13" s="1"/>
  <c r="G335" i="3"/>
  <c r="AC336" i="24" s="1"/>
  <c r="K314" i="2"/>
  <c r="G146" i="2"/>
  <c r="T146" i="24" s="1"/>
  <c r="J288" i="2"/>
  <c r="G337" i="2"/>
  <c r="F214" i="2"/>
  <c r="F215" i="2" s="1"/>
  <c r="F241" i="2"/>
  <c r="F242" i="2" s="1"/>
  <c r="F64" i="2"/>
  <c r="F77" i="2" s="1"/>
  <c r="E8" i="13" s="1"/>
  <c r="F274" i="2"/>
  <c r="G257" i="2"/>
  <c r="T257" i="24" s="1"/>
  <c r="G336" i="2"/>
  <c r="T336" i="24" s="1"/>
  <c r="F28" i="2"/>
  <c r="F40" i="2" s="1"/>
  <c r="E7" i="13" s="1"/>
  <c r="G287" i="2"/>
  <c r="T287" i="24" s="1"/>
  <c r="J337" i="2"/>
  <c r="J338" i="2" s="1"/>
  <c r="F95" i="2"/>
  <c r="E9" i="13" s="1"/>
  <c r="G145" i="2"/>
  <c r="T145" i="24" s="1"/>
  <c r="J146" i="2"/>
  <c r="E336" i="3"/>
  <c r="F180" i="3"/>
  <c r="F181" i="3" s="1"/>
  <c r="F190" i="3" s="1"/>
  <c r="E33" i="13" s="1"/>
  <c r="G234" i="3"/>
  <c r="AC234" i="24" s="1"/>
  <c r="G279" i="3"/>
  <c r="AC279" i="24" s="1"/>
  <c r="G163" i="3"/>
  <c r="AC163" i="24" s="1"/>
  <c r="G173" i="3"/>
  <c r="AC173" i="24" s="1"/>
  <c r="G292" i="3"/>
  <c r="G307" i="3"/>
  <c r="G257" i="3"/>
  <c r="AC257" i="24" s="1"/>
  <c r="G165" i="3"/>
  <c r="G288" i="3"/>
  <c r="G299" i="3"/>
  <c r="G313" i="3"/>
  <c r="G298" i="3"/>
  <c r="AC298" i="24" s="1"/>
  <c r="G189" i="3"/>
  <c r="AC189" i="24" s="1"/>
  <c r="G205" i="3"/>
  <c r="AC205" i="24" s="1"/>
  <c r="G220" i="3"/>
  <c r="G240" i="3"/>
  <c r="AC240" i="24" s="1"/>
  <c r="G258" i="3"/>
  <c r="G265" i="3"/>
  <c r="AC265" i="24" s="1"/>
  <c r="E180" i="3"/>
  <c r="E181" i="3" s="1"/>
  <c r="F214" i="3"/>
  <c r="F215" i="3" s="1"/>
  <c r="F226" i="3" s="1"/>
  <c r="E34" i="13" s="1"/>
  <c r="E274" i="3"/>
  <c r="E280" i="3"/>
  <c r="G225" i="3"/>
  <c r="E198" i="3"/>
  <c r="E199" i="3" s="1"/>
  <c r="G224" i="3"/>
  <c r="AC224" i="24" s="1"/>
  <c r="G249" i="3"/>
  <c r="F273" i="3"/>
  <c r="I190" i="3"/>
  <c r="AD190" i="24" s="1"/>
  <c r="G164" i="3"/>
  <c r="AC164" i="24" s="1"/>
  <c r="G248" i="3"/>
  <c r="AC248" i="24" s="1"/>
  <c r="G179" i="3"/>
  <c r="AC179" i="24" s="1"/>
  <c r="G219" i="3"/>
  <c r="AC219" i="24" s="1"/>
  <c r="E214" i="3"/>
  <c r="F241" i="3"/>
  <c r="F242" i="3" s="1"/>
  <c r="F259" i="3" s="1"/>
  <c r="E35" i="13" s="1"/>
  <c r="G197" i="3"/>
  <c r="AC197" i="24" s="1"/>
  <c r="G213" i="3"/>
  <c r="AC213" i="24" s="1"/>
  <c r="G291" i="3"/>
  <c r="AC291" i="24" s="1"/>
  <c r="I259" i="3"/>
  <c r="AD259" i="24" s="1"/>
  <c r="I281" i="3"/>
  <c r="AD281" i="24" s="1"/>
  <c r="I314" i="3"/>
  <c r="AD314" i="24" s="1"/>
  <c r="F198" i="3"/>
  <c r="F199" i="3" s="1"/>
  <c r="E241" i="3"/>
  <c r="E273" i="3"/>
  <c r="G272" i="3"/>
  <c r="AC272" i="24" s="1"/>
  <c r="G287" i="3"/>
  <c r="AC287" i="24" s="1"/>
  <c r="G306" i="3"/>
  <c r="AC306" i="24" s="1"/>
  <c r="G312" i="3"/>
  <c r="AC312" i="24" s="1"/>
  <c r="I226" i="3"/>
  <c r="AD226" i="24" s="1"/>
  <c r="F314" i="3"/>
  <c r="E37" i="13" s="1"/>
  <c r="F274" i="3"/>
  <c r="F281" i="3" s="1"/>
  <c r="E36" i="13" s="1"/>
  <c r="G94" i="20"/>
  <c r="G13" i="3"/>
  <c r="AC13" i="24" s="1"/>
  <c r="G24" i="3"/>
  <c r="AC24" i="24" s="1"/>
  <c r="G34" i="3"/>
  <c r="F95" i="19"/>
  <c r="G94" i="19"/>
  <c r="G24" i="20"/>
  <c r="AA24" i="24" s="1"/>
  <c r="G34" i="20"/>
  <c r="G108" i="20"/>
  <c r="AA108" i="24" s="1"/>
  <c r="L114" i="4"/>
  <c r="W114" i="24" s="1"/>
  <c r="G21" i="21"/>
  <c r="AE21" i="24" s="1"/>
  <c r="G27" i="21"/>
  <c r="AE27" i="24" s="1"/>
  <c r="G90" i="3"/>
  <c r="G71" i="21"/>
  <c r="G55" i="3"/>
  <c r="AC55" i="24" s="1"/>
  <c r="G70" i="3"/>
  <c r="AC70" i="24" s="1"/>
  <c r="G115" i="20"/>
  <c r="AA115" i="24" s="1"/>
  <c r="G132" i="20"/>
  <c r="AA132" i="24" s="1"/>
  <c r="L108" i="4"/>
  <c r="W108" i="24" s="1"/>
  <c r="J64" i="4"/>
  <c r="H13" i="4"/>
  <c r="V13" i="24" s="1"/>
  <c r="H34" i="4"/>
  <c r="L13" i="4"/>
  <c r="W13" i="24" s="1"/>
  <c r="L34" i="4"/>
  <c r="G70" i="21"/>
  <c r="AE70" i="24" s="1"/>
  <c r="G109" i="3"/>
  <c r="AC109" i="24" s="1"/>
  <c r="G146" i="3"/>
  <c r="AC146" i="24" s="1"/>
  <c r="I95" i="3"/>
  <c r="AD95" i="24" s="1"/>
  <c r="I77" i="3"/>
  <c r="AD77" i="24" s="1"/>
  <c r="G115" i="3"/>
  <c r="AC115" i="24" s="1"/>
  <c r="G133" i="3"/>
  <c r="G128" i="3"/>
  <c r="AC128" i="24" s="1"/>
  <c r="G145" i="3"/>
  <c r="AC145" i="24" s="1"/>
  <c r="G108" i="3"/>
  <c r="AC108" i="24" s="1"/>
  <c r="G114" i="3"/>
  <c r="AC114" i="24" s="1"/>
  <c r="G21" i="3"/>
  <c r="AC21" i="24" s="1"/>
  <c r="G75" i="3"/>
  <c r="AC75" i="24" s="1"/>
  <c r="G132" i="3"/>
  <c r="AC132" i="24" s="1"/>
  <c r="G71" i="20"/>
  <c r="E109" i="20"/>
  <c r="G109" i="20" s="1"/>
  <c r="AA109" i="24" s="1"/>
  <c r="G21" i="20"/>
  <c r="AA21" i="24" s="1"/>
  <c r="G27" i="20"/>
  <c r="AA27" i="24" s="1"/>
  <c r="G38" i="20"/>
  <c r="AA38" i="24" s="1"/>
  <c r="G75" i="20"/>
  <c r="AA75" i="24" s="1"/>
  <c r="G114" i="20"/>
  <c r="AA114" i="24" s="1"/>
  <c r="I95" i="20"/>
  <c r="AB95" i="24" s="1"/>
  <c r="E133" i="20"/>
  <c r="E147" i="20" s="1"/>
  <c r="E28" i="20"/>
  <c r="E76" i="20"/>
  <c r="G76" i="20" s="1"/>
  <c r="G114" i="19"/>
  <c r="Y114" i="24" s="1"/>
  <c r="F28" i="19"/>
  <c r="F40" i="19" s="1"/>
  <c r="G21" i="19"/>
  <c r="Y21" i="24" s="1"/>
  <c r="G27" i="19"/>
  <c r="Y27" i="24" s="1"/>
  <c r="G38" i="19"/>
  <c r="Y38" i="24" s="1"/>
  <c r="G62" i="19"/>
  <c r="Y62" i="24" s="1"/>
  <c r="G76" i="19"/>
  <c r="G108" i="19"/>
  <c r="Y108" i="24" s="1"/>
  <c r="G115" i="19"/>
  <c r="Y115" i="24" s="1"/>
  <c r="G132" i="19"/>
  <c r="Y132" i="24" s="1"/>
  <c r="G75" i="19"/>
  <c r="Y75" i="24" s="1"/>
  <c r="E109" i="19"/>
  <c r="G109" i="19" s="1"/>
  <c r="Y109" i="24" s="1"/>
  <c r="E133" i="19"/>
  <c r="E147" i="19" s="1"/>
  <c r="L109" i="4"/>
  <c r="W109" i="24" s="1"/>
  <c r="K115" i="4"/>
  <c r="H109" i="4"/>
  <c r="V109" i="24" s="1"/>
  <c r="H70" i="4"/>
  <c r="V70" i="24" s="1"/>
  <c r="L70" i="4"/>
  <c r="W70" i="24" s="1"/>
  <c r="H114" i="4"/>
  <c r="V114" i="24" s="1"/>
  <c r="H108" i="4"/>
  <c r="V108" i="24" s="1"/>
  <c r="H62" i="4"/>
  <c r="V62" i="24" s="1"/>
  <c r="H21" i="4"/>
  <c r="V21" i="24" s="1"/>
  <c r="H27" i="4"/>
  <c r="V27" i="24" s="1"/>
  <c r="F115" i="4"/>
  <c r="G62" i="21"/>
  <c r="AE62" i="24" s="1"/>
  <c r="G13" i="21"/>
  <c r="AE13" i="24" s="1"/>
  <c r="I40" i="21"/>
  <c r="AF40" i="24" s="1"/>
  <c r="G55" i="21"/>
  <c r="AE55" i="24" s="1"/>
  <c r="I77" i="21"/>
  <c r="AF77" i="24" s="1"/>
  <c r="G94" i="3"/>
  <c r="E28" i="3"/>
  <c r="E40" i="3" s="1"/>
  <c r="D26" i="13" s="1"/>
  <c r="G39" i="3"/>
  <c r="E76" i="3"/>
  <c r="G76" i="3" s="1"/>
  <c r="G62" i="3"/>
  <c r="AC62" i="24" s="1"/>
  <c r="E71" i="3"/>
  <c r="G71" i="3" s="1"/>
  <c r="F28" i="3"/>
  <c r="E64" i="3"/>
  <c r="E95" i="3"/>
  <c r="D28" i="13" s="1"/>
  <c r="G27" i="3"/>
  <c r="AC27" i="24" s="1"/>
  <c r="G33" i="3"/>
  <c r="AC33" i="24" s="1"/>
  <c r="I40" i="3"/>
  <c r="AD40" i="24" s="1"/>
  <c r="F64" i="3"/>
  <c r="F77" i="3" s="1"/>
  <c r="E27" i="13" s="1"/>
  <c r="G38" i="3"/>
  <c r="AC38" i="24" s="1"/>
  <c r="G89" i="3"/>
  <c r="AC89" i="24" s="1"/>
  <c r="G93" i="3"/>
  <c r="AC93" i="24" s="1"/>
  <c r="G62" i="20"/>
  <c r="AA62" i="24" s="1"/>
  <c r="E95" i="20"/>
  <c r="G70" i="20"/>
  <c r="AA70" i="24" s="1"/>
  <c r="G33" i="20"/>
  <c r="AA33" i="24" s="1"/>
  <c r="E39" i="20"/>
  <c r="G39" i="20" s="1"/>
  <c r="I40" i="20"/>
  <c r="AB40" i="24" s="1"/>
  <c r="F64" i="20"/>
  <c r="F77" i="20" s="1"/>
  <c r="I77" i="20"/>
  <c r="AB77" i="24" s="1"/>
  <c r="F95" i="20"/>
  <c r="G13" i="20"/>
  <c r="AA13" i="24" s="1"/>
  <c r="E64" i="20"/>
  <c r="G64" i="20" s="1"/>
  <c r="G55" i="20"/>
  <c r="AA55" i="24" s="1"/>
  <c r="G89" i="20"/>
  <c r="AA89" i="24" s="1"/>
  <c r="G93" i="20"/>
  <c r="AA93" i="24" s="1"/>
  <c r="F28" i="20"/>
  <c r="G90" i="20"/>
  <c r="G89" i="19"/>
  <c r="Y89" i="24" s="1"/>
  <c r="E28" i="19"/>
  <c r="G33" i="19"/>
  <c r="Y33" i="24" s="1"/>
  <c r="G70" i="19"/>
  <c r="Y70" i="24" s="1"/>
  <c r="G90" i="19"/>
  <c r="E34" i="19"/>
  <c r="G34" i="19" s="1"/>
  <c r="E39" i="19"/>
  <c r="G39" i="19" s="1"/>
  <c r="G13" i="19"/>
  <c r="Y13" i="24" s="1"/>
  <c r="F64" i="19"/>
  <c r="F77" i="19" s="1"/>
  <c r="E71" i="19"/>
  <c r="G71" i="19" s="1"/>
  <c r="E64" i="19"/>
  <c r="E95" i="19"/>
  <c r="I95" i="19"/>
  <c r="Z95" i="24" s="1"/>
  <c r="I77" i="19"/>
  <c r="Z77" i="24" s="1"/>
  <c r="G93" i="19"/>
  <c r="Y93" i="24" s="1"/>
  <c r="I40" i="19"/>
  <c r="Z40" i="24" s="1"/>
  <c r="L21" i="4"/>
  <c r="W21" i="24" s="1"/>
  <c r="N77" i="4"/>
  <c r="X77" i="24" s="1"/>
  <c r="F71" i="4"/>
  <c r="H71" i="4" s="1"/>
  <c r="G64" i="4"/>
  <c r="G77" i="4" s="1"/>
  <c r="L62" i="4"/>
  <c r="W62" i="24" s="1"/>
  <c r="F28" i="4"/>
  <c r="F40" i="4" s="1"/>
  <c r="J28" i="4"/>
  <c r="J40" i="4" s="1"/>
  <c r="F64" i="4"/>
  <c r="J71" i="4"/>
  <c r="L71" i="4" s="1"/>
  <c r="G28" i="4"/>
  <c r="G40" i="4" s="1"/>
  <c r="K28" i="4"/>
  <c r="K40" i="4" s="1"/>
  <c r="H33" i="4"/>
  <c r="V33" i="24" s="1"/>
  <c r="L33" i="4"/>
  <c r="W33" i="24" s="1"/>
  <c r="F76" i="4"/>
  <c r="K64" i="4"/>
  <c r="N40" i="4"/>
  <c r="X40" i="24" s="1"/>
  <c r="H55" i="4"/>
  <c r="V55" i="24" s="1"/>
  <c r="L55" i="4"/>
  <c r="W55" i="24" s="1"/>
  <c r="F95" i="3"/>
  <c r="E28" i="13" s="1"/>
  <c r="F198" i="2"/>
  <c r="F199" i="2" s="1"/>
  <c r="F273" i="2"/>
  <c r="H115" i="4" l="1"/>
  <c r="V115" i="24" s="1"/>
  <c r="F147" i="4"/>
  <c r="L115" i="4"/>
  <c r="W115" i="24" s="1"/>
  <c r="K147" i="4"/>
  <c r="AC133" i="24"/>
  <c r="H30" i="24"/>
  <c r="F37" i="13"/>
  <c r="G17" i="14" s="1"/>
  <c r="AO337" i="24"/>
  <c r="N59" i="24" s="1"/>
  <c r="AO338" i="24"/>
  <c r="AT338" i="24" s="1"/>
  <c r="AE71" i="24"/>
  <c r="I14" i="24"/>
  <c r="H15" i="24"/>
  <c r="AC76" i="24"/>
  <c r="H7" i="24"/>
  <c r="AC39" i="24"/>
  <c r="AC90" i="24"/>
  <c r="H21" i="24"/>
  <c r="H28" i="24"/>
  <c r="H31" i="24"/>
  <c r="AC34" i="24"/>
  <c r="H6" i="24"/>
  <c r="H29" i="24"/>
  <c r="AC71" i="24"/>
  <c r="H14" i="24"/>
  <c r="H22" i="24"/>
  <c r="AC94" i="24"/>
  <c r="AA39" i="24"/>
  <c r="G7" i="24"/>
  <c r="AA94" i="24"/>
  <c r="G22" i="24"/>
  <c r="G28" i="24"/>
  <c r="G29" i="24"/>
  <c r="AA34" i="24"/>
  <c r="G6" i="24"/>
  <c r="G21" i="24"/>
  <c r="AA90" i="24"/>
  <c r="G13" i="24"/>
  <c r="AA64" i="24"/>
  <c r="G15" i="24"/>
  <c r="AA76" i="24"/>
  <c r="AA71" i="24"/>
  <c r="G14" i="24"/>
  <c r="F29" i="24"/>
  <c r="Y34" i="24"/>
  <c r="F6" i="24"/>
  <c r="F22" i="24"/>
  <c r="Y94" i="24"/>
  <c r="F28" i="24"/>
  <c r="Y71" i="24"/>
  <c r="F14" i="24"/>
  <c r="Y90" i="24"/>
  <c r="F21" i="24"/>
  <c r="Y39" i="24"/>
  <c r="F7" i="24"/>
  <c r="F15" i="24"/>
  <c r="Y76" i="24"/>
  <c r="E14" i="24"/>
  <c r="W71" i="24"/>
  <c r="V34" i="24"/>
  <c r="D6" i="24"/>
  <c r="D29" i="24"/>
  <c r="E29" i="24"/>
  <c r="D28" i="24"/>
  <c r="V71" i="24"/>
  <c r="D14" i="24"/>
  <c r="E28" i="24"/>
  <c r="W34" i="24"/>
  <c r="E6" i="24"/>
  <c r="T337" i="24"/>
  <c r="C59" i="24"/>
  <c r="T288" i="24"/>
  <c r="C49" i="24"/>
  <c r="T338" i="24"/>
  <c r="C60" i="24"/>
  <c r="T258" i="24"/>
  <c r="C46" i="24"/>
  <c r="C32" i="24"/>
  <c r="AC313" i="24"/>
  <c r="H53" i="24"/>
  <c r="AC307" i="24"/>
  <c r="H52" i="24"/>
  <c r="AC299" i="24"/>
  <c r="H51" i="24"/>
  <c r="AC292" i="24"/>
  <c r="H50" i="24"/>
  <c r="AC288" i="24"/>
  <c r="H49" i="24"/>
  <c r="AC258" i="24"/>
  <c r="H46" i="24"/>
  <c r="H45" i="24"/>
  <c r="AC249" i="24"/>
  <c r="H43" i="24"/>
  <c r="AC225" i="24"/>
  <c r="AC220" i="24"/>
  <c r="H42" i="24"/>
  <c r="G199" i="3"/>
  <c r="H38" i="24"/>
  <c r="AC165" i="24"/>
  <c r="H32" i="24"/>
  <c r="G28" i="21"/>
  <c r="G181" i="3"/>
  <c r="G314" i="3"/>
  <c r="AC314" i="24" s="1"/>
  <c r="G133" i="20"/>
  <c r="AA133" i="24" s="1"/>
  <c r="G147" i="20"/>
  <c r="AA147" i="24" s="1"/>
  <c r="G133" i="19"/>
  <c r="G147" i="19"/>
  <c r="Y147" i="24" s="1"/>
  <c r="H147" i="4"/>
  <c r="V147" i="24" s="1"/>
  <c r="G336" i="3"/>
  <c r="E337" i="3"/>
  <c r="D38" i="13" s="1"/>
  <c r="G280" i="3"/>
  <c r="E281" i="3"/>
  <c r="D36" i="13" s="1"/>
  <c r="E190" i="3"/>
  <c r="I344" i="21"/>
  <c r="I345" i="2" s="1"/>
  <c r="G273" i="3"/>
  <c r="AC273" i="24" s="1"/>
  <c r="G180" i="3"/>
  <c r="AC180" i="24" s="1"/>
  <c r="I342" i="20"/>
  <c r="N342" i="4" s="1"/>
  <c r="G95" i="20"/>
  <c r="G198" i="3"/>
  <c r="AC198" i="24" s="1"/>
  <c r="I315" i="3"/>
  <c r="E242" i="3"/>
  <c r="G241" i="3"/>
  <c r="AC241" i="24" s="1"/>
  <c r="E215" i="3"/>
  <c r="G214" i="3"/>
  <c r="AC214" i="24" s="1"/>
  <c r="G274" i="3"/>
  <c r="I341" i="19"/>
  <c r="N340" i="4"/>
  <c r="F315" i="3"/>
  <c r="E30" i="13" s="1"/>
  <c r="G95" i="19"/>
  <c r="G28" i="19"/>
  <c r="G64" i="21"/>
  <c r="G28" i="20"/>
  <c r="E77" i="3"/>
  <c r="D27" i="13" s="1"/>
  <c r="G147" i="3"/>
  <c r="AC147" i="24" s="1"/>
  <c r="G28" i="3"/>
  <c r="H64" i="4"/>
  <c r="L64" i="4"/>
  <c r="E77" i="20"/>
  <c r="G77" i="20" s="1"/>
  <c r="G64" i="19"/>
  <c r="K77" i="4"/>
  <c r="L147" i="4"/>
  <c r="W147" i="24" s="1"/>
  <c r="G77" i="21"/>
  <c r="G40" i="21"/>
  <c r="G95" i="3"/>
  <c r="F40" i="3"/>
  <c r="E26" i="13" s="1"/>
  <c r="G64" i="3"/>
  <c r="F40" i="20"/>
  <c r="E40" i="20"/>
  <c r="E40" i="19"/>
  <c r="G40" i="19" s="1"/>
  <c r="E77" i="19"/>
  <c r="G77" i="19" s="1"/>
  <c r="H40" i="4"/>
  <c r="L28" i="4"/>
  <c r="J77" i="4"/>
  <c r="L40" i="4"/>
  <c r="F77" i="4"/>
  <c r="H77" i="4" s="1"/>
  <c r="H28" i="4"/>
  <c r="Y133" i="24" l="1"/>
  <c r="F30" i="24"/>
  <c r="G190" i="3"/>
  <c r="AC190" i="24" s="1"/>
  <c r="D33" i="13"/>
  <c r="AT337" i="24"/>
  <c r="AE64" i="24"/>
  <c r="I13" i="24"/>
  <c r="I16" i="24"/>
  <c r="AE77" i="24"/>
  <c r="I5" i="24"/>
  <c r="AE28" i="24"/>
  <c r="I8" i="24"/>
  <c r="AE40" i="24"/>
  <c r="H13" i="24"/>
  <c r="AC64" i="24"/>
  <c r="AC95" i="24"/>
  <c r="H23" i="24"/>
  <c r="AC28" i="24"/>
  <c r="H5" i="24"/>
  <c r="AA77" i="24"/>
  <c r="G16" i="24"/>
  <c r="AA95" i="24"/>
  <c r="G23" i="24"/>
  <c r="G5" i="24"/>
  <c r="AA28" i="24"/>
  <c r="G33" i="24"/>
  <c r="G31" i="24"/>
  <c r="Y28" i="24"/>
  <c r="F5" i="24"/>
  <c r="F33" i="24"/>
  <c r="F8" i="24"/>
  <c r="Y40" i="24"/>
  <c r="F31" i="24"/>
  <c r="Y95" i="24"/>
  <c r="F23" i="24"/>
  <c r="F16" i="24"/>
  <c r="Y77" i="24"/>
  <c r="Y64" i="24"/>
  <c r="F13" i="24"/>
  <c r="E5" i="24"/>
  <c r="W28" i="24"/>
  <c r="D13" i="24"/>
  <c r="V64" i="24"/>
  <c r="V77" i="24"/>
  <c r="D16" i="24"/>
  <c r="D33" i="24"/>
  <c r="E8" i="24"/>
  <c r="W40" i="24"/>
  <c r="V28" i="24"/>
  <c r="D5" i="24"/>
  <c r="V40" i="24"/>
  <c r="D8" i="24"/>
  <c r="E33" i="24"/>
  <c r="W64" i="24"/>
  <c r="E13" i="24"/>
  <c r="I343" i="3"/>
  <c r="I344" i="2" s="1"/>
  <c r="AD315" i="24"/>
  <c r="G337" i="3"/>
  <c r="AC337" i="24"/>
  <c r="H59" i="24"/>
  <c r="AC280" i="24"/>
  <c r="H48" i="24"/>
  <c r="G281" i="3"/>
  <c r="AC281" i="24" s="1"/>
  <c r="H47" i="24"/>
  <c r="AC274" i="24"/>
  <c r="H40" i="24"/>
  <c r="AC199" i="24"/>
  <c r="H39" i="24"/>
  <c r="AC181" i="24"/>
  <c r="H33" i="24"/>
  <c r="G40" i="3"/>
  <c r="G77" i="3"/>
  <c r="G242" i="3"/>
  <c r="E259" i="3"/>
  <c r="G215" i="3"/>
  <c r="E226" i="3"/>
  <c r="I342" i="19"/>
  <c r="I343" i="2"/>
  <c r="I342" i="2"/>
  <c r="I341" i="20"/>
  <c r="I341" i="2"/>
  <c r="I340" i="20"/>
  <c r="N341" i="4"/>
  <c r="I340" i="19"/>
  <c r="L77" i="4"/>
  <c r="G40" i="20"/>
  <c r="G226" i="3" l="1"/>
  <c r="AC226" i="24" s="1"/>
  <c r="D34" i="13"/>
  <c r="G259" i="3"/>
  <c r="AC259" i="24" s="1"/>
  <c r="D35" i="13"/>
  <c r="AC77" i="24"/>
  <c r="H16" i="24"/>
  <c r="AC40" i="24"/>
  <c r="H8" i="24"/>
  <c r="G8" i="24"/>
  <c r="AA40" i="24"/>
  <c r="E16" i="24"/>
  <c r="W77" i="24"/>
  <c r="AC338" i="24"/>
  <c r="H60" i="24"/>
  <c r="H44" i="24"/>
  <c r="AC242" i="24"/>
  <c r="AC215" i="24"/>
  <c r="H41" i="24"/>
  <c r="E315" i="3"/>
  <c r="D30" i="13" s="1"/>
  <c r="AS6" i="24"/>
  <c r="AQ6" i="24"/>
  <c r="AQ28" i="24" s="1"/>
  <c r="AQ40" i="24" s="1"/>
  <c r="AT6" i="24" l="1"/>
  <c r="AS28" i="24"/>
  <c r="AS40" i="24" s="1"/>
  <c r="G315" i="3"/>
  <c r="AV6" i="24" l="1"/>
  <c r="AU6" i="24"/>
  <c r="H54" i="24"/>
  <c r="AC315" i="24"/>
  <c r="N60" i="24"/>
  <c r="J165" i="2" l="1"/>
  <c r="J65" i="2"/>
  <c r="L61" i="30" l="1"/>
  <c r="L58" i="30"/>
  <c r="L68" i="30" s="1"/>
  <c r="L24" i="30"/>
  <c r="L12" i="30"/>
  <c r="K28" i="29" l="1"/>
  <c r="K40" i="29" s="1"/>
  <c r="I28" i="29"/>
  <c r="AN28" i="24" s="1"/>
  <c r="F40" i="29"/>
  <c r="G28" i="29"/>
  <c r="AM28" i="24" s="1"/>
  <c r="K64" i="28"/>
  <c r="K77" i="28" s="1"/>
  <c r="K28" i="28"/>
  <c r="K40" i="28" s="1"/>
  <c r="I28" i="28"/>
  <c r="AL28" i="24" s="1"/>
  <c r="G61" i="28"/>
  <c r="AK61" i="24" s="1"/>
  <c r="G23" i="28"/>
  <c r="AK23" i="24" s="1"/>
  <c r="F62" i="28"/>
  <c r="F64" i="28" s="1"/>
  <c r="F77" i="28" s="1"/>
  <c r="F24" i="28"/>
  <c r="K64" i="27"/>
  <c r="K77" i="27" s="1"/>
  <c r="I64" i="27"/>
  <c r="AJ64" i="24" s="1"/>
  <c r="K28" i="27"/>
  <c r="K40" i="27" s="1"/>
  <c r="I28" i="27"/>
  <c r="AJ28" i="24" s="1"/>
  <c r="G61" i="27"/>
  <c r="AI61" i="24" s="1"/>
  <c r="G23" i="27"/>
  <c r="AI23" i="24" s="1"/>
  <c r="F62" i="27"/>
  <c r="F64" i="27" s="1"/>
  <c r="F77" i="27" s="1"/>
  <c r="F24" i="27"/>
  <c r="F28" i="27" s="1"/>
  <c r="K28" i="26"/>
  <c r="K40" i="26" s="1"/>
  <c r="I28" i="26"/>
  <c r="AH28" i="24" s="1"/>
  <c r="F27" i="26"/>
  <c r="F28" i="28" l="1"/>
  <c r="F40" i="28" s="1"/>
  <c r="F28" i="26"/>
  <c r="F40" i="26" s="1"/>
  <c r="M5" i="24"/>
  <c r="F40" i="27"/>
  <c r="K220" i="2"/>
  <c r="K226" i="2" s="1"/>
  <c r="K315" i="2" s="1"/>
  <c r="E312" i="2"/>
  <c r="G312" i="2" s="1"/>
  <c r="T312" i="24" s="1"/>
  <c r="E306" i="2"/>
  <c r="E213" i="2"/>
  <c r="G213" i="2" s="1"/>
  <c r="T213" i="24" s="1"/>
  <c r="E163" i="2"/>
  <c r="G163" i="2" s="1"/>
  <c r="T163" i="24" s="1"/>
  <c r="I28" i="2"/>
  <c r="U28" i="24" s="1"/>
  <c r="AO28" i="24" s="1"/>
  <c r="AT28" i="24" s="1"/>
  <c r="H39" i="13"/>
  <c r="G128" i="2" l="1"/>
  <c r="E307" i="2"/>
  <c r="G307" i="2" s="1"/>
  <c r="G306" i="2"/>
  <c r="T306" i="24" s="1"/>
  <c r="F314" i="2"/>
  <c r="E18" i="13" s="1"/>
  <c r="N5" i="24"/>
  <c r="T128" i="24" l="1"/>
  <c r="C30" i="24"/>
  <c r="F19" i="13"/>
  <c r="E18" i="14" s="1"/>
  <c r="T307" i="24"/>
  <c r="C52" i="24"/>
  <c r="E39" i="13"/>
  <c r="I6" i="14" l="1"/>
  <c r="K6" i="14" l="1"/>
  <c r="M6" i="14" s="1"/>
  <c r="N6" i="14" s="1"/>
  <c r="I199" i="2" l="1"/>
  <c r="U199" i="24" s="1"/>
  <c r="AO199" i="24" s="1"/>
  <c r="AT199" i="24" s="1"/>
  <c r="N40" i="24" l="1"/>
  <c r="H61" i="30" l="1"/>
  <c r="G61" i="30"/>
  <c r="F61" i="30"/>
  <c r="E61" i="30"/>
  <c r="J59" i="30"/>
  <c r="K59" i="30" s="1"/>
  <c r="H26" i="30"/>
  <c r="G26" i="30"/>
  <c r="F26" i="30"/>
  <c r="E26" i="30"/>
  <c r="J25" i="30"/>
  <c r="J61" i="28"/>
  <c r="J64" i="28" s="1"/>
  <c r="J77" i="28" s="1"/>
  <c r="J61" i="27"/>
  <c r="J64" i="27" s="1"/>
  <c r="J77" i="27" s="1"/>
  <c r="J24" i="29"/>
  <c r="J28" i="29" s="1"/>
  <c r="J40" i="29" s="1"/>
  <c r="J24" i="28"/>
  <c r="J23" i="28"/>
  <c r="J22" i="28"/>
  <c r="J24" i="27"/>
  <c r="J23" i="27"/>
  <c r="J22" i="27"/>
  <c r="J27" i="26"/>
  <c r="J28" i="26" s="1"/>
  <c r="J40" i="26" s="1"/>
  <c r="J292" i="2"/>
  <c r="E272" i="2"/>
  <c r="E240" i="2"/>
  <c r="E197" i="2"/>
  <c r="I181" i="2"/>
  <c r="U181" i="24" s="1"/>
  <c r="AO181" i="24" s="1"/>
  <c r="AT181" i="24" s="1"/>
  <c r="E164" i="2"/>
  <c r="L25" i="30" l="1"/>
  <c r="L26" i="30" s="1"/>
  <c r="L29" i="30" s="1"/>
  <c r="K25" i="30"/>
  <c r="K26" i="30" s="1"/>
  <c r="J258" i="2"/>
  <c r="J299" i="2"/>
  <c r="G197" i="2"/>
  <c r="T197" i="24" s="1"/>
  <c r="J225" i="2"/>
  <c r="J249" i="2"/>
  <c r="G240" i="2"/>
  <c r="T240" i="24" s="1"/>
  <c r="J242" i="2"/>
  <c r="J307" i="2"/>
  <c r="J313" i="2"/>
  <c r="G164" i="2"/>
  <c r="T164" i="24" s="1"/>
  <c r="G272" i="2"/>
  <c r="T272" i="24" s="1"/>
  <c r="J274" i="2"/>
  <c r="J280" i="2"/>
  <c r="J220" i="2"/>
  <c r="J215" i="2"/>
  <c r="J199" i="2"/>
  <c r="J181" i="2"/>
  <c r="J190" i="2" s="1"/>
  <c r="J28" i="28"/>
  <c r="J40" i="28" s="1"/>
  <c r="J28" i="27"/>
  <c r="J40" i="27" s="1"/>
  <c r="J26" i="30"/>
  <c r="F190" i="2"/>
  <c r="E14" i="13" s="1"/>
  <c r="N39" i="24" l="1"/>
  <c r="J314" i="2"/>
  <c r="J259" i="2"/>
  <c r="J281" i="2"/>
  <c r="J226" i="2"/>
  <c r="I77" i="27"/>
  <c r="AJ77" i="24" s="1"/>
  <c r="I313" i="2"/>
  <c r="U313" i="24" s="1"/>
  <c r="AO313" i="24" s="1"/>
  <c r="AT313" i="24" s="1"/>
  <c r="E313" i="2"/>
  <c r="I307" i="2"/>
  <c r="U307" i="24" s="1"/>
  <c r="AO307" i="24" s="1"/>
  <c r="AT307" i="24" s="1"/>
  <c r="I299" i="2"/>
  <c r="U299" i="24" s="1"/>
  <c r="AO299" i="24" s="1"/>
  <c r="AT299" i="24" s="1"/>
  <c r="E298" i="2"/>
  <c r="G298" i="2" s="1"/>
  <c r="T298" i="24" s="1"/>
  <c r="I292" i="2"/>
  <c r="U292" i="24" s="1"/>
  <c r="AO292" i="24" s="1"/>
  <c r="E291" i="2"/>
  <c r="G291" i="2" s="1"/>
  <c r="T291" i="24" s="1"/>
  <c r="I280" i="2"/>
  <c r="U280" i="24" s="1"/>
  <c r="AO280" i="24" s="1"/>
  <c r="AT280" i="24" s="1"/>
  <c r="E279" i="2"/>
  <c r="G279" i="2" s="1"/>
  <c r="T279" i="24" s="1"/>
  <c r="I274" i="2"/>
  <c r="U274" i="24" s="1"/>
  <c r="AO274" i="24" s="1"/>
  <c r="AT274" i="24" s="1"/>
  <c r="I249" i="2"/>
  <c r="U249" i="24" s="1"/>
  <c r="AO249" i="24" s="1"/>
  <c r="AT249" i="24" s="1"/>
  <c r="E248" i="2"/>
  <c r="G248" i="2" s="1"/>
  <c r="T248" i="24" s="1"/>
  <c r="I258" i="2"/>
  <c r="U258" i="24" s="1"/>
  <c r="AO258" i="24" s="1"/>
  <c r="AT258" i="24" s="1"/>
  <c r="I225" i="2"/>
  <c r="U225" i="24" s="1"/>
  <c r="AO225" i="24" s="1"/>
  <c r="AT225" i="24" s="1"/>
  <c r="E224" i="2"/>
  <c r="G224" i="2" s="1"/>
  <c r="T224" i="24" s="1"/>
  <c r="E219" i="2"/>
  <c r="G219" i="2" s="1"/>
  <c r="T219" i="24" s="1"/>
  <c r="G313" i="2" l="1"/>
  <c r="T313" i="24" s="1"/>
  <c r="N50" i="24"/>
  <c r="AT292" i="24"/>
  <c r="N42" i="24"/>
  <c r="N45" i="24"/>
  <c r="N43" i="24"/>
  <c r="N47" i="24"/>
  <c r="N49" i="24"/>
  <c r="N52" i="24"/>
  <c r="N46" i="24"/>
  <c r="N48" i="24"/>
  <c r="N51" i="24"/>
  <c r="J315" i="2"/>
  <c r="I314" i="2"/>
  <c r="U314" i="24" s="1"/>
  <c r="AO314" i="24" s="1"/>
  <c r="AT314" i="24" s="1"/>
  <c r="E299" i="2"/>
  <c r="G299" i="2" s="1"/>
  <c r="E292" i="2"/>
  <c r="G292" i="2" s="1"/>
  <c r="E280" i="2"/>
  <c r="E249" i="2"/>
  <c r="E225" i="2"/>
  <c r="E220" i="2"/>
  <c r="G220" i="2" s="1"/>
  <c r="F226" i="2"/>
  <c r="E15" i="13" s="1"/>
  <c r="E241" i="2"/>
  <c r="G241" i="2" s="1"/>
  <c r="T241" i="24" s="1"/>
  <c r="F281" i="2"/>
  <c r="E17" i="13" s="1"/>
  <c r="F259" i="2"/>
  <c r="E16" i="13" s="1"/>
  <c r="I281" i="2"/>
  <c r="U281" i="24" s="1"/>
  <c r="AO281" i="24" s="1"/>
  <c r="AT281" i="24" s="1"/>
  <c r="E265" i="2"/>
  <c r="G265" i="2" s="1"/>
  <c r="T265" i="24" s="1"/>
  <c r="E189" i="2"/>
  <c r="E205" i="2"/>
  <c r="E179" i="2"/>
  <c r="E173" i="2"/>
  <c r="C53" i="24" l="1"/>
  <c r="G225" i="2"/>
  <c r="T225" i="24" s="1"/>
  <c r="E314" i="2"/>
  <c r="D18" i="13" s="1"/>
  <c r="G280" i="2"/>
  <c r="C48" i="24" s="1"/>
  <c r="G249" i="2"/>
  <c r="T249" i="24" s="1"/>
  <c r="C43" i="24"/>
  <c r="T299" i="24"/>
  <c r="C51" i="24"/>
  <c r="T220" i="24"/>
  <c r="C42" i="24"/>
  <c r="T292" i="24"/>
  <c r="C50" i="24"/>
  <c r="N53" i="24"/>
  <c r="G173" i="2"/>
  <c r="T173" i="24" s="1"/>
  <c r="F315" i="2"/>
  <c r="E11" i="13" s="1"/>
  <c r="G179" i="2"/>
  <c r="T179" i="24" s="1"/>
  <c r="G205" i="2"/>
  <c r="T205" i="24" s="1"/>
  <c r="G189" i="2"/>
  <c r="T189" i="24" s="1"/>
  <c r="F35" i="13"/>
  <c r="G15" i="14" s="1"/>
  <c r="F34" i="13"/>
  <c r="G14" i="14" s="1"/>
  <c r="F36" i="13"/>
  <c r="G16" i="14" s="1"/>
  <c r="F38" i="13"/>
  <c r="G18" i="14" s="1"/>
  <c r="E273" i="2"/>
  <c r="E242" i="2"/>
  <c r="G242" i="2" s="1"/>
  <c r="E274" i="2"/>
  <c r="G274" i="2" s="1"/>
  <c r="E214" i="2"/>
  <c r="G214" i="2" s="1"/>
  <c r="T214" i="24" s="1"/>
  <c r="E198" i="2"/>
  <c r="G198" i="2" s="1"/>
  <c r="T198" i="24" s="1"/>
  <c r="E180" i="2"/>
  <c r="G180" i="2" s="1"/>
  <c r="T180" i="24" s="1"/>
  <c r="C45" i="24" l="1"/>
  <c r="T280" i="24"/>
  <c r="E281" i="2"/>
  <c r="G281" i="2" s="1"/>
  <c r="T281" i="24" s="1"/>
  <c r="E259" i="2"/>
  <c r="D16" i="13" s="1"/>
  <c r="F18" i="13"/>
  <c r="E17" i="14" s="1"/>
  <c r="G314" i="2"/>
  <c r="T314" i="24" s="1"/>
  <c r="C44" i="24"/>
  <c r="T242" i="24"/>
  <c r="T274" i="24"/>
  <c r="C47" i="24"/>
  <c r="G273" i="2"/>
  <c r="T273" i="24" s="1"/>
  <c r="F33" i="13"/>
  <c r="G13" i="14" s="1"/>
  <c r="E215" i="2"/>
  <c r="E199" i="2"/>
  <c r="G199" i="2" s="1"/>
  <c r="E181" i="2"/>
  <c r="D17" i="13" l="1"/>
  <c r="F17" i="13" s="1"/>
  <c r="E16" i="14" s="1"/>
  <c r="G215" i="2"/>
  <c r="C41" i="24" s="1"/>
  <c r="E226" i="2"/>
  <c r="D15" i="13" s="1"/>
  <c r="G181" i="2"/>
  <c r="C39" i="24" s="1"/>
  <c r="F16" i="13"/>
  <c r="E15" i="14" s="1"/>
  <c r="G259" i="2"/>
  <c r="T259" i="24" s="1"/>
  <c r="T215" i="24"/>
  <c r="T199" i="24"/>
  <c r="C40" i="24"/>
  <c r="F30" i="13"/>
  <c r="G10" i="14" s="1"/>
  <c r="E20" i="13"/>
  <c r="F15" i="13" l="1"/>
  <c r="E14" i="14" s="1"/>
  <c r="G226" i="2"/>
  <c r="T226" i="24" s="1"/>
  <c r="T181" i="24"/>
  <c r="E27" i="2"/>
  <c r="G27" i="2" s="1"/>
  <c r="T27" i="24" s="1"/>
  <c r="I242" i="2" l="1"/>
  <c r="U242" i="24" s="1"/>
  <c r="AO242" i="24" s="1"/>
  <c r="AT242" i="24" s="1"/>
  <c r="I215" i="2"/>
  <c r="U215" i="24" s="1"/>
  <c r="AO215" i="24" s="1"/>
  <c r="AT215" i="24" s="1"/>
  <c r="N41" i="24" l="1"/>
  <c r="N44" i="24"/>
  <c r="I259" i="2"/>
  <c r="U259" i="24" s="1"/>
  <c r="AO259" i="24" s="1"/>
  <c r="AT259" i="24" s="1"/>
  <c r="I226" i="2"/>
  <c r="U226" i="24" s="1"/>
  <c r="AO226" i="24" s="1"/>
  <c r="AT226" i="24" s="1"/>
  <c r="E165" i="2" l="1"/>
  <c r="G165" i="2" l="1"/>
  <c r="C38" i="24" s="1"/>
  <c r="E190" i="2"/>
  <c r="D14" i="13" s="1"/>
  <c r="T165" i="24"/>
  <c r="K20" i="2"/>
  <c r="J20" i="2"/>
  <c r="H24" i="30"/>
  <c r="G24" i="30"/>
  <c r="F24" i="30"/>
  <c r="E24" i="30"/>
  <c r="J22" i="30"/>
  <c r="K22" i="30" s="1"/>
  <c r="E62" i="28"/>
  <c r="E62" i="27"/>
  <c r="E27" i="26"/>
  <c r="F14" i="13" l="1"/>
  <c r="E13" i="14" s="1"/>
  <c r="G190" i="2"/>
  <c r="T190" i="24" s="1"/>
  <c r="E315" i="2"/>
  <c r="D11" i="13" s="1"/>
  <c r="G27" i="26"/>
  <c r="AG27" i="24" s="1"/>
  <c r="E28" i="26"/>
  <c r="G28" i="26" s="1"/>
  <c r="E64" i="28"/>
  <c r="G64" i="28" s="1"/>
  <c r="AK64" i="24" s="1"/>
  <c r="G62" i="28"/>
  <c r="AK62" i="24" s="1"/>
  <c r="E64" i="27"/>
  <c r="G64" i="27" s="1"/>
  <c r="AI64" i="24" s="1"/>
  <c r="G62" i="27"/>
  <c r="AI62" i="24" s="1"/>
  <c r="F11" i="13" l="1"/>
  <c r="E10" i="14" s="1"/>
  <c r="G315" i="2"/>
  <c r="AG28" i="24"/>
  <c r="J5" i="24"/>
  <c r="L13" i="24"/>
  <c r="K13" i="24"/>
  <c r="J68" i="2"/>
  <c r="J61" i="2"/>
  <c r="K60" i="2"/>
  <c r="J60" i="2"/>
  <c r="K57" i="2"/>
  <c r="J57" i="2"/>
  <c r="J25" i="2"/>
  <c r="K19" i="2"/>
  <c r="J19" i="2"/>
  <c r="T315" i="24" l="1"/>
  <c r="C54" i="24"/>
  <c r="I341" i="3"/>
  <c r="I343" i="21"/>
  <c r="I344" i="20"/>
  <c r="I344" i="3"/>
  <c r="I344" i="19"/>
  <c r="N344" i="4"/>
  <c r="I342" i="3" l="1"/>
  <c r="I342" i="21"/>
  <c r="F29" i="13"/>
  <c r="G9" i="14" s="1"/>
  <c r="I341" i="21"/>
  <c r="M19" i="14" l="1"/>
  <c r="AT5" i="24" l="1"/>
  <c r="AV5" i="24" l="1"/>
  <c r="AV28" i="24" s="1"/>
  <c r="AV40" i="24" s="1"/>
  <c r="AU5" i="24"/>
  <c r="AU28" i="24" s="1"/>
  <c r="AU40" i="24" s="1"/>
  <c r="H58" i="30"/>
  <c r="G58" i="30"/>
  <c r="F58" i="30"/>
  <c r="F68" i="30" s="1"/>
  <c r="H29" i="30"/>
  <c r="G29" i="30"/>
  <c r="F29" i="30"/>
  <c r="E29" i="30"/>
  <c r="F12" i="30"/>
  <c r="G12" i="30"/>
  <c r="H12" i="30"/>
  <c r="G68" i="30" l="1"/>
  <c r="H68" i="30"/>
  <c r="J56" i="30" l="1"/>
  <c r="K56" i="30" s="1"/>
  <c r="K63" i="2"/>
  <c r="J63" i="2"/>
  <c r="J26" i="2"/>
  <c r="J23" i="2"/>
  <c r="J22" i="2"/>
  <c r="J117" i="2"/>
  <c r="J116" i="2"/>
  <c r="J113" i="2"/>
  <c r="J112" i="2"/>
  <c r="J111" i="2"/>
  <c r="J110" i="2"/>
  <c r="H20" i="13" l="1"/>
  <c r="J23" i="30"/>
  <c r="J24" i="30" s="1"/>
  <c r="M7" i="13" l="1"/>
  <c r="L64" i="24" s="1"/>
  <c r="K23" i="30"/>
  <c r="K24" i="30" s="1"/>
  <c r="K29" i="30" s="1"/>
  <c r="J29" i="30"/>
  <c r="J60" i="30"/>
  <c r="J61" i="30" s="1"/>
  <c r="E58" i="30"/>
  <c r="J57" i="30"/>
  <c r="K57" i="30" s="1"/>
  <c r="J55" i="30"/>
  <c r="E12" i="30"/>
  <c r="J6" i="30"/>
  <c r="G24" i="29"/>
  <c r="AM24" i="24" s="1"/>
  <c r="I64" i="28"/>
  <c r="AL64" i="24" s="1"/>
  <c r="E24" i="28"/>
  <c r="E28" i="28" s="1"/>
  <c r="G22" i="28"/>
  <c r="AK22" i="24" s="1"/>
  <c r="E24" i="27"/>
  <c r="E28" i="27" s="1"/>
  <c r="G22" i="27"/>
  <c r="AI22" i="24" s="1"/>
  <c r="J7" i="30" l="1"/>
  <c r="J12" i="30" s="1"/>
  <c r="G24" i="28"/>
  <c r="AK24" i="24" s="1"/>
  <c r="G28" i="28"/>
  <c r="AK28" i="24" s="1"/>
  <c r="G24" i="27"/>
  <c r="AI24" i="24" s="1"/>
  <c r="G28" i="27"/>
  <c r="AI28" i="24" s="1"/>
  <c r="I40" i="29"/>
  <c r="I77" i="28"/>
  <c r="AL77" i="24" s="1"/>
  <c r="I40" i="28"/>
  <c r="AL40" i="24" s="1"/>
  <c r="I40" i="27"/>
  <c r="I40" i="26"/>
  <c r="K60" i="30"/>
  <c r="K61" i="30" s="1"/>
  <c r="J58" i="30"/>
  <c r="K55" i="30"/>
  <c r="K58" i="30" s="1"/>
  <c r="E77" i="28"/>
  <c r="G77" i="28" s="1"/>
  <c r="AK77" i="24" s="1"/>
  <c r="E77" i="27"/>
  <c r="G77" i="27" s="1"/>
  <c r="AI77" i="24" s="1"/>
  <c r="E68" i="30"/>
  <c r="K6" i="30"/>
  <c r="I346" i="27" l="1"/>
  <c r="I347" i="2" s="1"/>
  <c r="AJ40" i="24"/>
  <c r="K7" i="30"/>
  <c r="K12" i="30" s="1"/>
  <c r="I348" i="29"/>
  <c r="I349" i="2" s="1"/>
  <c r="AN40" i="24"/>
  <c r="I345" i="26"/>
  <c r="I346" i="2" s="1"/>
  <c r="AH40" i="24"/>
  <c r="I347" i="28"/>
  <c r="I348" i="2" s="1"/>
  <c r="K68" i="30"/>
  <c r="L16" i="24"/>
  <c r="L5" i="24"/>
  <c r="K5" i="24"/>
  <c r="K16" i="24"/>
  <c r="F28" i="13"/>
  <c r="G8" i="14" s="1"/>
  <c r="E40" i="27"/>
  <c r="G40" i="27" s="1"/>
  <c r="AI40" i="24" s="1"/>
  <c r="J68" i="30"/>
  <c r="J164" i="30" s="1"/>
  <c r="E40" i="28"/>
  <c r="G40" i="28" s="1"/>
  <c r="AK40" i="24" s="1"/>
  <c r="I344" i="29"/>
  <c r="I344" i="27"/>
  <c r="M72" i="24"/>
  <c r="J159" i="30"/>
  <c r="I344" i="28"/>
  <c r="I344" i="26"/>
  <c r="E40" i="29"/>
  <c r="G40" i="29" s="1"/>
  <c r="AM40" i="24" s="1"/>
  <c r="E40" i="26"/>
  <c r="G40" i="26" s="1"/>
  <c r="I346" i="26" l="1"/>
  <c r="I346" i="29"/>
  <c r="AG40" i="24"/>
  <c r="J8" i="24"/>
  <c r="I347" i="26"/>
  <c r="M8" i="24"/>
  <c r="I347" i="29"/>
  <c r="I347" i="27"/>
  <c r="J162" i="30"/>
  <c r="L8" i="24"/>
  <c r="K8" i="24"/>
  <c r="F26" i="13"/>
  <c r="G6" i="14" s="1"/>
  <c r="F27" i="13"/>
  <c r="G7" i="14" s="1"/>
  <c r="M68" i="24"/>
  <c r="I340" i="21"/>
  <c r="I340" i="3"/>
  <c r="I349" i="26"/>
  <c r="I349" i="21"/>
  <c r="I350" i="2"/>
  <c r="I349" i="19"/>
  <c r="I349" i="3"/>
  <c r="I349" i="20"/>
  <c r="N349" i="4"/>
  <c r="I348" i="20"/>
  <c r="I348" i="21"/>
  <c r="I348" i="3"/>
  <c r="I348" i="19"/>
  <c r="M76" i="24"/>
  <c r="N348" i="4"/>
  <c r="N347" i="4"/>
  <c r="M75" i="24"/>
  <c r="I347" i="21"/>
  <c r="I347" i="3"/>
  <c r="I347" i="20"/>
  <c r="I347" i="19"/>
  <c r="J161" i="30"/>
  <c r="I346" i="3"/>
  <c r="N346" i="4"/>
  <c r="I346" i="20"/>
  <c r="I346" i="19"/>
  <c r="M74" i="24"/>
  <c r="I346" i="21"/>
  <c r="I346" i="28"/>
  <c r="I345" i="21"/>
  <c r="M73" i="24"/>
  <c r="I345" i="20"/>
  <c r="I345" i="19"/>
  <c r="N345" i="4"/>
  <c r="I345" i="3"/>
  <c r="I343" i="19"/>
  <c r="I343" i="20"/>
  <c r="N343" i="4"/>
  <c r="M71" i="24"/>
  <c r="M70" i="24"/>
  <c r="J163" i="30"/>
  <c r="I348" i="28"/>
  <c r="I348" i="26"/>
  <c r="I348" i="27"/>
  <c r="I345" i="27"/>
  <c r="I345" i="29"/>
  <c r="J160" i="30"/>
  <c r="I345" i="28"/>
  <c r="I349" i="29"/>
  <c r="I349" i="28"/>
  <c r="I349" i="27"/>
  <c r="I343" i="29"/>
  <c r="I343" i="26"/>
  <c r="I343" i="28"/>
  <c r="I343" i="27"/>
  <c r="J158" i="30"/>
  <c r="I342" i="28"/>
  <c r="I342" i="29"/>
  <c r="J157" i="30"/>
  <c r="I342" i="26"/>
  <c r="I342" i="27"/>
  <c r="I341" i="27"/>
  <c r="M69" i="24"/>
  <c r="J156" i="30"/>
  <c r="I341" i="29"/>
  <c r="I341" i="28"/>
  <c r="I341" i="26"/>
  <c r="J155" i="30"/>
  <c r="I340" i="26"/>
  <c r="I340" i="29"/>
  <c r="I340" i="28"/>
  <c r="I340" i="27"/>
  <c r="M77" i="24" l="1"/>
  <c r="AT343" i="24"/>
  <c r="D39" i="13"/>
  <c r="F39" i="13" s="1"/>
  <c r="K10" i="2"/>
  <c r="J10" i="2"/>
  <c r="K9" i="2"/>
  <c r="J9" i="2"/>
  <c r="E93" i="2" l="1"/>
  <c r="G93" i="2" s="1"/>
  <c r="T93" i="24" s="1"/>
  <c r="E94" i="2" l="1"/>
  <c r="G94" i="2" s="1"/>
  <c r="C22" i="24" l="1"/>
  <c r="T94" i="24"/>
  <c r="J69" i="2"/>
  <c r="K54" i="2"/>
  <c r="J54" i="2"/>
  <c r="K35" i="2"/>
  <c r="J35" i="2"/>
  <c r="K18" i="2"/>
  <c r="J18" i="2"/>
  <c r="E62" i="2" l="1"/>
  <c r="G62" i="2" l="1"/>
  <c r="T62" i="24" s="1"/>
  <c r="I165" i="2"/>
  <c r="U165" i="24" s="1"/>
  <c r="AO165" i="24" s="1"/>
  <c r="AT165" i="24" s="1"/>
  <c r="I76" i="2"/>
  <c r="U76" i="24" s="1"/>
  <c r="AO76" i="24" s="1"/>
  <c r="AT76" i="24" s="1"/>
  <c r="J75" i="2"/>
  <c r="E75" i="2"/>
  <c r="G75" i="2" s="1"/>
  <c r="T75" i="24" s="1"/>
  <c r="K74" i="2"/>
  <c r="J74" i="2"/>
  <c r="K73" i="2"/>
  <c r="J73" i="2"/>
  <c r="K72" i="2"/>
  <c r="J72" i="2"/>
  <c r="N38" i="24" l="1"/>
  <c r="N15" i="24"/>
  <c r="J76" i="2"/>
  <c r="K76" i="2"/>
  <c r="I190" i="2"/>
  <c r="U190" i="24" s="1"/>
  <c r="AO190" i="24" s="1"/>
  <c r="AT190" i="24" s="1"/>
  <c r="E76" i="2"/>
  <c r="G76" i="2" s="1"/>
  <c r="T76" i="24" l="1"/>
  <c r="C15" i="24"/>
  <c r="I315" i="2"/>
  <c r="U315" i="24" s="1"/>
  <c r="AO315" i="24" s="1"/>
  <c r="AT315" i="24" s="1"/>
  <c r="N54" i="24"/>
  <c r="K67" i="2"/>
  <c r="J67" i="2"/>
  <c r="I90" i="2" l="1"/>
  <c r="U90" i="24" s="1"/>
  <c r="AO90" i="24" s="1"/>
  <c r="AT90" i="24" s="1"/>
  <c r="J89" i="2"/>
  <c r="E89" i="2"/>
  <c r="G89" i="2" s="1"/>
  <c r="T89" i="24" s="1"/>
  <c r="K88" i="2"/>
  <c r="J88" i="2"/>
  <c r="K87" i="2"/>
  <c r="J87" i="2"/>
  <c r="I94" i="2"/>
  <c r="U94" i="24" s="1"/>
  <c r="AO94" i="24" s="1"/>
  <c r="AT94" i="24" s="1"/>
  <c r="J93" i="2"/>
  <c r="K92" i="2"/>
  <c r="J92" i="2"/>
  <c r="K91" i="2"/>
  <c r="J91" i="2"/>
  <c r="N22" i="24" l="1"/>
  <c r="N21" i="24"/>
  <c r="K94" i="2"/>
  <c r="J94" i="2"/>
  <c r="J90" i="2"/>
  <c r="K90" i="2"/>
  <c r="E90" i="2"/>
  <c r="G90" i="2" s="1"/>
  <c r="I95" i="2"/>
  <c r="U95" i="24" s="1"/>
  <c r="AO95" i="24" s="1"/>
  <c r="AT95" i="24" s="1"/>
  <c r="K95" i="2" l="1"/>
  <c r="T90" i="24"/>
  <c r="C21" i="24"/>
  <c r="J95" i="2"/>
  <c r="N23" i="24"/>
  <c r="E95" i="2"/>
  <c r="D9" i="13" s="1"/>
  <c r="J14" i="2"/>
  <c r="K14" i="2"/>
  <c r="G95" i="2" l="1"/>
  <c r="F9" i="13"/>
  <c r="E8" i="14" s="1"/>
  <c r="E55" i="2"/>
  <c r="T95" i="24" l="1"/>
  <c r="C23" i="24"/>
  <c r="G55" i="2"/>
  <c r="T55" i="24" s="1"/>
  <c r="E64" i="2"/>
  <c r="G64" i="2" s="1"/>
  <c r="J27" i="2"/>
  <c r="C13" i="24" l="1"/>
  <c r="T64" i="24"/>
  <c r="I71" i="2"/>
  <c r="U71" i="24" s="1"/>
  <c r="AO71" i="24" s="1"/>
  <c r="AT71" i="24" s="1"/>
  <c r="E70" i="2"/>
  <c r="G70" i="2" s="1"/>
  <c r="T70" i="24" s="1"/>
  <c r="N14" i="24" l="1"/>
  <c r="E71" i="2"/>
  <c r="G71" i="2" s="1"/>
  <c r="T71" i="24" l="1"/>
  <c r="C14" i="24"/>
  <c r="E24" i="2"/>
  <c r="G24" i="2" s="1"/>
  <c r="T24" i="24" s="1"/>
  <c r="J24" i="2" l="1"/>
  <c r="K36" i="2" l="1"/>
  <c r="J36" i="2"/>
  <c r="K11" i="2" l="1"/>
  <c r="J11" i="2"/>
  <c r="K30" i="2" l="1"/>
  <c r="J30" i="2"/>
  <c r="I64" i="2" l="1"/>
  <c r="U64" i="24" s="1"/>
  <c r="AO64" i="24" s="1"/>
  <c r="AT64" i="24" s="1"/>
  <c r="N13" i="24" l="1"/>
  <c r="I77" i="2"/>
  <c r="U77" i="24" s="1"/>
  <c r="AO77" i="24" s="1"/>
  <c r="AT77" i="24" s="1"/>
  <c r="E77" i="2"/>
  <c r="D8" i="13" s="1"/>
  <c r="K106" i="2"/>
  <c r="J106" i="2"/>
  <c r="K66" i="2"/>
  <c r="K71" i="2" s="1"/>
  <c r="J66" i="2"/>
  <c r="G77" i="2" l="1"/>
  <c r="F8" i="13"/>
  <c r="E7" i="14" s="1"/>
  <c r="N16" i="24"/>
  <c r="I19" i="14"/>
  <c r="T77" i="24" l="1"/>
  <c r="C16" i="24"/>
  <c r="K19" i="14"/>
  <c r="N19" i="14" l="1"/>
  <c r="AT344" i="24" s="1"/>
  <c r="E132" i="2" l="1"/>
  <c r="G132" i="2" s="1"/>
  <c r="T132" i="24" s="1"/>
  <c r="K131" i="2"/>
  <c r="J131" i="2"/>
  <c r="E38" i="2"/>
  <c r="G38" i="2" s="1"/>
  <c r="T38" i="24" s="1"/>
  <c r="I39" i="2"/>
  <c r="U39" i="24" s="1"/>
  <c r="AO39" i="24" s="1"/>
  <c r="AT39" i="24" s="1"/>
  <c r="J38" i="2"/>
  <c r="K37" i="2"/>
  <c r="K39" i="2" s="1"/>
  <c r="J37" i="2"/>
  <c r="N7" i="24" l="1"/>
  <c r="J39" i="2"/>
  <c r="E39" i="2"/>
  <c r="G39" i="2" s="1"/>
  <c r="C7" i="24" l="1"/>
  <c r="T39" i="24"/>
  <c r="K56" i="2"/>
  <c r="J56" i="2"/>
  <c r="K51" i="2"/>
  <c r="J51" i="2"/>
  <c r="K52" i="2"/>
  <c r="J52" i="2"/>
  <c r="K53" i="2"/>
  <c r="J53" i="2"/>
  <c r="K59" i="2"/>
  <c r="J59" i="2"/>
  <c r="K29" i="2"/>
  <c r="J29" i="2"/>
  <c r="K15" i="2"/>
  <c r="J15" i="2"/>
  <c r="K64" i="2" l="1"/>
  <c r="K77" i="2" s="1"/>
  <c r="K34" i="2"/>
  <c r="J70" i="2"/>
  <c r="J71" i="2" s="1"/>
  <c r="J62" i="2"/>
  <c r="J55" i="2"/>
  <c r="J64" i="2" l="1"/>
  <c r="J77" i="2" s="1"/>
  <c r="K130" i="2"/>
  <c r="K133" i="2" s="1"/>
  <c r="J130" i="2"/>
  <c r="K118" i="2"/>
  <c r="K128" i="2" s="1"/>
  <c r="J118" i="2"/>
  <c r="J128" i="2" s="1"/>
  <c r="I133" i="2" l="1"/>
  <c r="U133" i="24" s="1"/>
  <c r="AO133" i="24" s="1"/>
  <c r="N31" i="24" s="1"/>
  <c r="AT133" i="24" l="1"/>
  <c r="I115" i="2"/>
  <c r="U115" i="24" s="1"/>
  <c r="AO115" i="24" s="1"/>
  <c r="N29" i="24" s="1"/>
  <c r="I109" i="2"/>
  <c r="U109" i="24" s="1"/>
  <c r="AO109" i="24" s="1"/>
  <c r="N28" i="24" s="1"/>
  <c r="I34" i="2"/>
  <c r="U34" i="24" s="1"/>
  <c r="AO34" i="24" s="1"/>
  <c r="AT34" i="24" s="1"/>
  <c r="E114" i="2"/>
  <c r="G114" i="2" s="1"/>
  <c r="T114" i="24" s="1"/>
  <c r="E108" i="2"/>
  <c r="G108" i="2" s="1"/>
  <c r="T108" i="24" s="1"/>
  <c r="I147" i="2" l="1"/>
  <c r="U147" i="24" s="1"/>
  <c r="AO147" i="24" s="1"/>
  <c r="AT109" i="24"/>
  <c r="AT128" i="24"/>
  <c r="AT115" i="24"/>
  <c r="N6" i="24"/>
  <c r="I40" i="2"/>
  <c r="AO40" i="24" s="1"/>
  <c r="AT40" i="24" s="1"/>
  <c r="E115" i="2"/>
  <c r="G115" i="2" s="1"/>
  <c r="T115" i="24" s="1"/>
  <c r="E109" i="2"/>
  <c r="G109" i="2" s="1"/>
  <c r="T109" i="24" s="1"/>
  <c r="E33" i="2"/>
  <c r="G33" i="2" s="1"/>
  <c r="T33" i="24" s="1"/>
  <c r="E21" i="2"/>
  <c r="G21" i="2" s="1"/>
  <c r="T21" i="24" s="1"/>
  <c r="E13" i="2"/>
  <c r="G13" i="2" s="1"/>
  <c r="T13" i="24" s="1"/>
  <c r="AT147" i="24" l="1"/>
  <c r="AT342" i="24" s="1"/>
  <c r="C29" i="24"/>
  <c r="C28" i="24"/>
  <c r="I340" i="2"/>
  <c r="E28" i="2"/>
  <c r="G28" i="2" s="1"/>
  <c r="N8" i="24"/>
  <c r="E133" i="2"/>
  <c r="E147" i="2" s="1"/>
  <c r="D10" i="13" s="1"/>
  <c r="E34" i="2"/>
  <c r="G34" i="2" s="1"/>
  <c r="N33" i="24" l="1"/>
  <c r="L63" i="24" s="1"/>
  <c r="L65" i="24" s="1"/>
  <c r="T34" i="24"/>
  <c r="C6" i="24"/>
  <c r="C5" i="24"/>
  <c r="T28" i="24"/>
  <c r="AT346" i="24"/>
  <c r="G133" i="2"/>
  <c r="T133" i="24" s="1"/>
  <c r="N339" i="4"/>
  <c r="N351" i="4" s="1"/>
  <c r="I339" i="20"/>
  <c r="I351" i="20" s="1"/>
  <c r="I339" i="19"/>
  <c r="I351" i="19" s="1"/>
  <c r="M67" i="24"/>
  <c r="M79" i="24" s="1"/>
  <c r="I339" i="21"/>
  <c r="I351" i="21" s="1"/>
  <c r="I339" i="3"/>
  <c r="I351" i="3" s="1"/>
  <c r="J154" i="30"/>
  <c r="J166" i="30" s="1"/>
  <c r="I339" i="29"/>
  <c r="I351" i="29" s="1"/>
  <c r="I339" i="27"/>
  <c r="I351" i="27" s="1"/>
  <c r="I352" i="2"/>
  <c r="M8" i="13" s="1"/>
  <c r="M10" i="13" s="1"/>
  <c r="I339" i="28"/>
  <c r="I351" i="28" s="1"/>
  <c r="I339" i="26"/>
  <c r="I351" i="26" s="1"/>
  <c r="E40" i="2"/>
  <c r="D7" i="13" s="1"/>
  <c r="C31" i="24" l="1"/>
  <c r="G147" i="2"/>
  <c r="T147" i="24" s="1"/>
  <c r="F10" i="13"/>
  <c r="E9" i="14" s="1"/>
  <c r="G40" i="2"/>
  <c r="N79" i="24"/>
  <c r="J132" i="2"/>
  <c r="J133" i="2" s="1"/>
  <c r="J114" i="2"/>
  <c r="J115" i="2" s="1"/>
  <c r="J108" i="2"/>
  <c r="K105" i="2"/>
  <c r="K109" i="2" s="1"/>
  <c r="K147" i="2" s="1"/>
  <c r="J105" i="2"/>
  <c r="J33" i="2"/>
  <c r="J34" i="2" s="1"/>
  <c r="J21" i="2"/>
  <c r="K17" i="2"/>
  <c r="J17" i="2"/>
  <c r="J16" i="2"/>
  <c r="J13" i="2"/>
  <c r="K12" i="2"/>
  <c r="J12" i="2"/>
  <c r="K8" i="2"/>
  <c r="J8" i="2"/>
  <c r="K7" i="2"/>
  <c r="J7" i="2"/>
  <c r="K6" i="2"/>
  <c r="J6" i="2"/>
  <c r="K5" i="2"/>
  <c r="J5" i="2"/>
  <c r="C8" i="24" l="1"/>
  <c r="T40" i="24"/>
  <c r="C33" i="24"/>
  <c r="J109" i="2"/>
  <c r="J147" i="2" s="1"/>
  <c r="J28" i="2"/>
  <c r="J40" i="2" s="1"/>
  <c r="F7" i="13"/>
  <c r="E6" i="14" s="1"/>
  <c r="D20" i="13"/>
  <c r="F20" i="13" s="1"/>
  <c r="K16" i="2"/>
  <c r="K28" i="2" s="1"/>
  <c r="K40" i="2" s="1"/>
</calcChain>
</file>

<file path=xl/sharedStrings.xml><?xml version="1.0" encoding="utf-8"?>
<sst xmlns="http://schemas.openxmlformats.org/spreadsheetml/2006/main" count="9348" uniqueCount="975">
  <si>
    <t>NAMA CABANG</t>
  </si>
  <si>
    <t>TOTAL INSENTIF</t>
  </si>
  <si>
    <t>SALESMAN</t>
  </si>
  <si>
    <t>TYPE SALES</t>
  </si>
  <si>
    <t>SALES VALUE</t>
  </si>
  <si>
    <t>ACTIVE OUTLET</t>
  </si>
  <si>
    <t>AR PERFORM</t>
  </si>
  <si>
    <t>TOTAL INSENTIF DITERIMA</t>
  </si>
  <si>
    <t>SALES</t>
  </si>
  <si>
    <t>PENCAPAIAN</t>
  </si>
  <si>
    <t>INSENTIF</t>
  </si>
  <si>
    <t>BAD DEBT</t>
  </si>
  <si>
    <t>CABANG BANDUNG</t>
  </si>
  <si>
    <t>BANDUNG</t>
  </si>
  <si>
    <t>3 Orang</t>
  </si>
  <si>
    <t>CABANG GARUT</t>
  </si>
  <si>
    <t>CABANG SUBANG</t>
  </si>
  <si>
    <t>CABANG TASIK</t>
  </si>
  <si>
    <t>2 Orang</t>
  </si>
  <si>
    <t>CABANG SUKABUMI</t>
  </si>
  <si>
    <t>SPV</t>
  </si>
  <si>
    <t>PENCAPAIAN AREA JAWA TENGAH</t>
  </si>
  <si>
    <t>CABANG TEGAL</t>
  </si>
  <si>
    <t>CABANG WANGON</t>
  </si>
  <si>
    <t>TOTAL CABANG BANDUNG</t>
  </si>
  <si>
    <t>GARUT</t>
  </si>
  <si>
    <t>CABANG SEMARANG</t>
  </si>
  <si>
    <t>CABANG SOLO</t>
  </si>
  <si>
    <t>TOTAL PENCAPAIAN AREA JAWA TENGAH</t>
  </si>
  <si>
    <t>PENCAPAIAN AREA JAWA TIMUR</t>
  </si>
  <si>
    <t>TOTAL CABANG GARUT</t>
  </si>
  <si>
    <t>CABANG BANYUWANGI</t>
  </si>
  <si>
    <t>SUBANG</t>
  </si>
  <si>
    <t>TOTAL PENCAPAIAN AREA JAWA TIMUR</t>
  </si>
  <si>
    <t>TOTAL CABANG SUBANG</t>
  </si>
  <si>
    <t>TOTAL CABANG TANGERANG</t>
  </si>
  <si>
    <t>TOTAL CABANG TASIK</t>
  </si>
  <si>
    <t>SUKABUMI</t>
  </si>
  <si>
    <t>TOTAL CABANG SUKABUMI</t>
  </si>
  <si>
    <t>TEGAL</t>
  </si>
  <si>
    <t>TOTAL CABANG TEGAL</t>
  </si>
  <si>
    <t>WANGON</t>
  </si>
  <si>
    <t>TOTAL CABANG WANGON</t>
  </si>
  <si>
    <t>WONOSOBO</t>
  </si>
  <si>
    <t>TOTAL CABANG WONOSOBO</t>
  </si>
  <si>
    <t>SEMARANG</t>
  </si>
  <si>
    <t>TOTAL CABANG SEMARANG</t>
  </si>
  <si>
    <t>SOLO</t>
  </si>
  <si>
    <t>TOTAL CABANG SOLO</t>
  </si>
  <si>
    <t>TOTAL  AREA JAWA TENGAH</t>
  </si>
  <si>
    <t>PROBOLINGGO</t>
  </si>
  <si>
    <t>TOTAL CABANG SIDOARJO</t>
  </si>
  <si>
    <t>JEMBER</t>
  </si>
  <si>
    <t>BANYUWANGI</t>
  </si>
  <si>
    <t>TOTAL CABANG BANYUWANGI</t>
  </si>
  <si>
    <t>TOTAL AREA JAWA TIMUR</t>
  </si>
  <si>
    <t>PENCAPAIAN (%)</t>
  </si>
  <si>
    <t>INSENTIF SALES VALUE</t>
  </si>
  <si>
    <t>TARGET</t>
  </si>
  <si>
    <t>TASIK</t>
  </si>
  <si>
    <t>PENCAPAIAN SALES VALUE AREA JAWA TENGAH</t>
  </si>
  <si>
    <t>PENCAPAIAN SALES VALUE AREA JAWA TIMUR</t>
  </si>
  <si>
    <t>Estimasi ALL</t>
  </si>
  <si>
    <t xml:space="preserve">PEMBAYARAN YANG HARUS DILAKUKAN ATAS INSENTIF </t>
  </si>
  <si>
    <t>JAWA TENGAH</t>
  </si>
  <si>
    <t>JAWA TIMUR</t>
  </si>
  <si>
    <t>SIDOARDJO</t>
  </si>
  <si>
    <t>AREA</t>
  </si>
  <si>
    <t>CABANG</t>
  </si>
  <si>
    <t>NAMA</t>
  </si>
  <si>
    <t>JABATAN</t>
  </si>
  <si>
    <t>JOIN DATE</t>
  </si>
  <si>
    <t>ANWAR SIDIK</t>
  </si>
  <si>
    <t>GATOT SUDARTO</t>
  </si>
  <si>
    <t>(VACANT)</t>
  </si>
  <si>
    <t>DRIVER DAN / HELPER</t>
  </si>
  <si>
    <t>Insentif Akhir</t>
  </si>
  <si>
    <t>ACTUAL</t>
  </si>
  <si>
    <t>Sales</t>
  </si>
  <si>
    <t>Active Outlet</t>
  </si>
  <si>
    <t>Produk Fokus</t>
  </si>
  <si>
    <t>LAMPIRAN INSENTIF ASM</t>
  </si>
  <si>
    <t>PENCAPAIAN ASM BY SALES VALUE</t>
  </si>
  <si>
    <t>NAMA ASM</t>
  </si>
  <si>
    <t>ASM</t>
  </si>
  <si>
    <t>JATIM</t>
  </si>
  <si>
    <t xml:space="preserve">TOTAL ALL AREA </t>
  </si>
  <si>
    <t>PENCAPAIAN ASM BY ACTIVE OUTLET</t>
  </si>
  <si>
    <t>Sales Team</t>
  </si>
  <si>
    <t>Estimate ALL</t>
  </si>
  <si>
    <t>JATENG</t>
  </si>
  <si>
    <t>TOTAL PENCAPAIAN ASM</t>
  </si>
  <si>
    <t>INCENTIVE SALES VALUE</t>
  </si>
  <si>
    <t>HDO450</t>
  </si>
  <si>
    <t>BENNY HERDIANA</t>
  </si>
  <si>
    <t>RATNO HARIESWANTONO</t>
  </si>
  <si>
    <t>ARIS JOHAR</t>
  </si>
  <si>
    <t>Diki Wahyudin</t>
  </si>
  <si>
    <t>Dede Suhendar</t>
  </si>
  <si>
    <t>Candra Irawan</t>
  </si>
  <si>
    <t>Diki Andriana</t>
  </si>
  <si>
    <t>Tri Aris Rusdiaman</t>
  </si>
  <si>
    <t>PENCAPAIAN SALES VALUE AREA JAWA BARAT-1</t>
  </si>
  <si>
    <t>Mansyur</t>
  </si>
  <si>
    <t>Sujiarto</t>
  </si>
  <si>
    <t>PENCAPAIAN SALES VALUE AREA JAWA BARAT-2</t>
  </si>
  <si>
    <t>Dede Supriadi</t>
  </si>
  <si>
    <t>Hendrik</t>
  </si>
  <si>
    <t>Solahudin</t>
  </si>
  <si>
    <t>TOTAL AREA JAWA BARAT-2</t>
  </si>
  <si>
    <t>TOTAL AREA JAWA BARAT-1</t>
  </si>
  <si>
    <t>Danu Mujiarto</t>
  </si>
  <si>
    <t>Novri Alvarizi</t>
  </si>
  <si>
    <t>Soimin</t>
  </si>
  <si>
    <t>Nur Sahid</t>
  </si>
  <si>
    <t>Agus Hermansyah</t>
  </si>
  <si>
    <t>Anang Indra Gunawan</t>
  </si>
  <si>
    <t>Godod Bayu Ardi</t>
  </si>
  <si>
    <t>PENCAPAIAN PRODUCT FOCUS AREA JAWA BARAT-1</t>
  </si>
  <si>
    <t>PENCAPAIAN PRODUCT FOCUS AREA JAWA BARAT-2</t>
  </si>
  <si>
    <t>PENCAPAIAN PRODUCT FOCUS AREA JAWA TENGAH</t>
  </si>
  <si>
    <t>PENCAPAIAN PRODUCT FOCUS AREA JAWA TIMUR</t>
  </si>
  <si>
    <t>JABAR-1</t>
  </si>
  <si>
    <t>JABAR-2</t>
  </si>
  <si>
    <t>PENCAPAIAN AREA JAWA BARAT-1</t>
  </si>
  <si>
    <t>PENCAPAIAN AREA JAWA BARAT-2</t>
  </si>
  <si>
    <t>TOTAL PENCAPAIAN AREA JAWA BARAT-1</t>
  </si>
  <si>
    <t>TOTAL PENCAPAIAN AREA JAWA BARAT-2</t>
  </si>
  <si>
    <t>JAWA BARAT-1</t>
  </si>
  <si>
    <t>JAWA BARAT-2</t>
  </si>
  <si>
    <t>TOTAL</t>
  </si>
  <si>
    <t>CIREBON</t>
  </si>
  <si>
    <t>Arianto</t>
  </si>
  <si>
    <t>TOTAL CABANG CIREBON</t>
  </si>
  <si>
    <t>EFFECTIVE CALL</t>
  </si>
  <si>
    <t>NEW OPEN OUTLET</t>
  </si>
  <si>
    <t>IPO/IPT</t>
  </si>
  <si>
    <t>ITEM PER OUTLET</t>
  </si>
  <si>
    <t>EC</t>
  </si>
  <si>
    <t>PRODUCT FOCUS</t>
  </si>
  <si>
    <t>CABANG CIREBON</t>
  </si>
  <si>
    <t xml:space="preserve">TOTAL </t>
  </si>
  <si>
    <t>OVERDUE (&gt;30 HARI)</t>
  </si>
  <si>
    <t>PENGURANG INSENTIF</t>
  </si>
  <si>
    <t>DRIVER / HELPER</t>
  </si>
  <si>
    <t>Sansan Wirasandi</t>
  </si>
  <si>
    <t>USDEK RIYANTO</t>
  </si>
  <si>
    <t>Gita Rosita</t>
  </si>
  <si>
    <t>(Vacant)</t>
  </si>
  <si>
    <t>ADI HARMONO</t>
  </si>
  <si>
    <t>Budi Dermawan</t>
  </si>
  <si>
    <t>Sona Sukmayasa</t>
  </si>
  <si>
    <t>Moch Deni Muldani</t>
  </si>
  <si>
    <t>NOO</t>
  </si>
  <si>
    <t>ANDHIKA PERMANA</t>
  </si>
  <si>
    <t>MUHAMMAD RIFAI</t>
  </si>
  <si>
    <t>Ali Tarmidi</t>
  </si>
  <si>
    <t>Agus Saeful</t>
  </si>
  <si>
    <t>Deni Romansyah</t>
  </si>
  <si>
    <t>PENCAPAIAN EFFECTIVE CALL AREA JAWA BARAT-1</t>
  </si>
  <si>
    <t>PENCAPAIAN EFFECTIVE CALL AREA JAWA BARAT-2</t>
  </si>
  <si>
    <t>PENCAPAIAN EFFECTIVE CALL AREA JAWA TENGAH</t>
  </si>
  <si>
    <t>PENCAPAIAN EFFECTIVE CALL AREA JAWA TIMUR</t>
  </si>
  <si>
    <t>PENCAPAIAN NEW OPEN OUTLET AREA JAWA BARAT-1</t>
  </si>
  <si>
    <t>PENCAPAIAN NEW OPEN OUTLET AREA JAWA BARAT-2</t>
  </si>
  <si>
    <t>PENCAPAIAN NEW OPEN OUTLET AREA JAWA TENGAH</t>
  </si>
  <si>
    <t>PENCAPAIAN NEW OPEN OUTLET AREA JAWA TIMUR</t>
  </si>
  <si>
    <t>PENCAPAIAN ACTIVE OUTLET AREA JAWA BARAT-1</t>
  </si>
  <si>
    <t>PENCAPAIAN ACTIVE OUTLET AREA JAWA BARAT-2</t>
  </si>
  <si>
    <t>PENCAPAIAN ACTIVE OUTLET AREA JAWA TENGAH</t>
  </si>
  <si>
    <t>PENCAPAIAN ACTIVE OUTLET AREA JAWA TIMUR</t>
  </si>
  <si>
    <t>PENCAPAIAN ITEM PER OUTLET AREA JAWA BARAT-1</t>
  </si>
  <si>
    <t>PENCAPAIAN ITEM PER OUTLET AREA JAWA BARAT-2</t>
  </si>
  <si>
    <t>PENCAPAIAN ITEM PER OUTLET AREA JAWA TENGAH</t>
  </si>
  <si>
    <t>PENCAPAIAN ITEM PER OUTLET AREA JAWA TIMUR</t>
  </si>
  <si>
    <t>Asep</t>
  </si>
  <si>
    <t>Ruddy Heryadi</t>
  </si>
  <si>
    <t>JENI LESMANA</t>
  </si>
  <si>
    <t>KETERANGAN</t>
  </si>
  <si>
    <t>Salesman</t>
  </si>
  <si>
    <t>DICAIRKAN</t>
  </si>
  <si>
    <t>Driver</t>
  </si>
  <si>
    <t>Ujang Muhidin</t>
  </si>
  <si>
    <t>Nurdin</t>
  </si>
  <si>
    <t>Helper</t>
  </si>
  <si>
    <t>Tatang Gumelar</t>
  </si>
  <si>
    <t>Aso Warso</t>
  </si>
  <si>
    <t>Andri Supriadi</t>
  </si>
  <si>
    <t>Sukarno</t>
  </si>
  <si>
    <t>Krisna Saputra</t>
  </si>
  <si>
    <t>Mahyadin</t>
  </si>
  <si>
    <t>Dadang Rusmana</t>
  </si>
  <si>
    <t>Akin</t>
  </si>
  <si>
    <t>Supriadi</t>
  </si>
  <si>
    <t>Holis Nurholis</t>
  </si>
  <si>
    <t>Ahmad Sobandi</t>
  </si>
  <si>
    <t>Tohanudin</t>
  </si>
  <si>
    <t>Asep Kusnadi</t>
  </si>
  <si>
    <t>Anwar Sidik</t>
  </si>
  <si>
    <t>Adnan Subur</t>
  </si>
  <si>
    <t>Uce Ade Wira</t>
  </si>
  <si>
    <t>Mumuh</t>
  </si>
  <si>
    <t>Ridwan Arif</t>
  </si>
  <si>
    <t>Dede Deri</t>
  </si>
  <si>
    <t>Engkan Rusmana</t>
  </si>
  <si>
    <t>Yudi Purwanto</t>
  </si>
  <si>
    <t>Nurul Hasihin</t>
  </si>
  <si>
    <t>Sansan Herdiansyah</t>
  </si>
  <si>
    <t>Rudiana</t>
  </si>
  <si>
    <t>Dendy Zuendy</t>
  </si>
  <si>
    <t>Wawan Darmawan</t>
  </si>
  <si>
    <t>Dede Hudaya</t>
  </si>
  <si>
    <t>Rizki Aditya Firmansyah</t>
  </si>
  <si>
    <t>Edi Sutikno</t>
  </si>
  <si>
    <t>Arjun Dwi Saputra</t>
  </si>
  <si>
    <t>Daun Hermanto</t>
  </si>
  <si>
    <t>Slamet</t>
  </si>
  <si>
    <t>Nasikin</t>
  </si>
  <si>
    <t>PENCAPAIAN SALES VALUE AREA JAWA BARAT-3</t>
  </si>
  <si>
    <t>TOTAL AREA JAWA BARAT-3</t>
  </si>
  <si>
    <t>PENCAPAIAN PRODUCT FOCUS AREA JAWA BARAT-3</t>
  </si>
  <si>
    <t>PENCAPAIAN EFFECTIVE CALL AREA JAWA BARAT-3</t>
  </si>
  <si>
    <t>PENCAPAIAN NEW OPEN OUTLET AREA JAWA BARAT-3</t>
  </si>
  <si>
    <t>PENCAPAIAN ACTIVE OUTLET AREA JAWA BARAT-3</t>
  </si>
  <si>
    <t>PENCAPAIAN ITEM PER OUTLET AREA JAWA BARAT-3</t>
  </si>
  <si>
    <t>SRM720</t>
  </si>
  <si>
    <t>JABAR-3</t>
  </si>
  <si>
    <t>PENCAPAIAN AREA JAWA BARAT-3</t>
  </si>
  <si>
    <t>TOTAL PENCAPAIAN AREA JAWA BARAT-3</t>
  </si>
  <si>
    <t>JAWA BARAT-3</t>
  </si>
  <si>
    <t>OMAN SUMANTRI</t>
  </si>
  <si>
    <t>Oman Sumantri</t>
  </si>
  <si>
    <t>Muhamad Yogi</t>
  </si>
  <si>
    <t>Wawan Kurniawan</t>
  </si>
  <si>
    <t>Cucu Yudi</t>
  </si>
  <si>
    <t>Iwa Setiawan</t>
  </si>
  <si>
    <t>Dodhie Setiawan</t>
  </si>
  <si>
    <t>Sopian Kusmayana</t>
  </si>
  <si>
    <t>Kusada</t>
  </si>
  <si>
    <t>Peri Perdiansyah</t>
  </si>
  <si>
    <t>Atan Sukmandar</t>
  </si>
  <si>
    <t>Sukmadin</t>
  </si>
  <si>
    <t>Nandang</t>
  </si>
  <si>
    <t>Ende Taryana</t>
  </si>
  <si>
    <t>Saryanto</t>
  </si>
  <si>
    <t>Irman Hidayat</t>
  </si>
  <si>
    <t>Ridwan Nugraha</t>
  </si>
  <si>
    <t>Rian Ernawan</t>
  </si>
  <si>
    <t>Ahmad Hambali</t>
  </si>
  <si>
    <t>Ade Nurjaman</t>
  </si>
  <si>
    <t>Dian Slamet Setyawan</t>
  </si>
  <si>
    <t>Putro Prihadi</t>
  </si>
  <si>
    <t>Rizky Hariyanto</t>
  </si>
  <si>
    <t>Ilham Bachtiar</t>
  </si>
  <si>
    <t>Johan Arifin</t>
  </si>
  <si>
    <t>Abdullah Hasan</t>
  </si>
  <si>
    <t>PURWAKARTA</t>
  </si>
  <si>
    <t>TOTAL CABANG PURWAKARTA</t>
  </si>
  <si>
    <t>Dian Fitriani</t>
  </si>
  <si>
    <t>ENDANG KUSBINI</t>
  </si>
  <si>
    <t>CABANG PURWAKARTA</t>
  </si>
  <si>
    <t>Suhendar</t>
  </si>
  <si>
    <t>Adie Wirahadi</t>
  </si>
  <si>
    <t>Endang Kusbini</t>
  </si>
  <si>
    <t>Canvas Motoris</t>
  </si>
  <si>
    <t>Candy Miranda</t>
  </si>
  <si>
    <t>Sales Executive</t>
  </si>
  <si>
    <t>Edi Mulyono</t>
  </si>
  <si>
    <t>Yopi Dana Wirya</t>
  </si>
  <si>
    <t>Usdek Riyanto</t>
  </si>
  <si>
    <t>ID</t>
  </si>
  <si>
    <t>Ikmal</t>
  </si>
  <si>
    <t>Miman</t>
  </si>
  <si>
    <t>Jajang Faryana</t>
  </si>
  <si>
    <t>Acep Hendra</t>
  </si>
  <si>
    <t>DANI MUSTIAWAN</t>
  </si>
  <si>
    <t>Dani Mustiawan</t>
  </si>
  <si>
    <t>Diajukan Oleh,</t>
  </si>
  <si>
    <t>Vionisya Octamelia</t>
  </si>
  <si>
    <t>Nama:</t>
  </si>
  <si>
    <t>Tanggal:</t>
  </si>
  <si>
    <t>Diperiksa Oleh,</t>
  </si>
  <si>
    <t>Sales Admin Staff</t>
  </si>
  <si>
    <t>(________________)</t>
  </si>
  <si>
    <t>Diketahui Oleh,</t>
  </si>
  <si>
    <t>Sekretaris Direksi</t>
  </si>
  <si>
    <t>Finance &amp; Adm. Coordinator</t>
  </si>
  <si>
    <t>Eris Rismana</t>
  </si>
  <si>
    <t>Sigih Wahyani</t>
  </si>
  <si>
    <t>ARIFIN SUFJAN</t>
  </si>
  <si>
    <t>Dendi Permana</t>
  </si>
  <si>
    <t>Anung Kurniawan</t>
  </si>
  <si>
    <t>Dadan Nugraha</t>
  </si>
  <si>
    <t>ENDY AFRIANA NUGRAHA</t>
  </si>
  <si>
    <t>Ricat Batubara</t>
  </si>
  <si>
    <t>Agus Geri Gustiana</t>
  </si>
  <si>
    <t>Kriswanto</t>
  </si>
  <si>
    <t>Yoggi Isfarulloh</t>
  </si>
  <si>
    <t>Yayan Nurjaman</t>
  </si>
  <si>
    <t>Asep Awaludin M Nur</t>
  </si>
  <si>
    <t>Key Account Executive</t>
  </si>
  <si>
    <t>Isep Rohmadi</t>
  </si>
  <si>
    <t>Deri Kurnia Nugraha</t>
  </si>
  <si>
    <t>Moch. Ganjar Ilmani</t>
  </si>
  <si>
    <t>Asep Rizal</t>
  </si>
  <si>
    <t>Hilmi Firmansyah</t>
  </si>
  <si>
    <t>Dendy Nurdiansyah</t>
  </si>
  <si>
    <t>Asep Saepuloh</t>
  </si>
  <si>
    <t>Sandi Mulyadi</t>
  </si>
  <si>
    <t>Hanhan Suhendi</t>
  </si>
  <si>
    <t>Mira Kusumawati</t>
  </si>
  <si>
    <t>SP-GT</t>
  </si>
  <si>
    <t>SP-MT</t>
  </si>
  <si>
    <t>Imam Taopik</t>
  </si>
  <si>
    <t>Oktaviany Tanjung</t>
  </si>
  <si>
    <t>AGUSTINA</t>
  </si>
  <si>
    <t>R BUDI SATIYA NUGROHO</t>
  </si>
  <si>
    <t>Sales TO</t>
  </si>
  <si>
    <t>⁠Aan Agustian</t>
  </si>
  <si>
    <t>Deva Akbar Maulana</t>
  </si>
  <si>
    <t>Edi Sutrisno</t>
  </si>
  <si>
    <t>Suryatin</t>
  </si>
  <si>
    <t>Watini</t>
  </si>
  <si>
    <t>Ristoyo</t>
  </si>
  <si>
    <t>Ach. Firdaus</t>
  </si>
  <si>
    <t>Mohammad Faisol Aziz Fanani</t>
  </si>
  <si>
    <t>Moch Reza Zulfikar</t>
  </si>
  <si>
    <t>Bagas Kurniawan</t>
  </si>
  <si>
    <t>TIDAK ADA</t>
  </si>
  <si>
    <t>R Budi Satiya Nugroho</t>
  </si>
  <si>
    <t>Maman Sumantri</t>
  </si>
  <si>
    <t>RSM Barat</t>
  </si>
  <si>
    <t>RSM Timur</t>
  </si>
  <si>
    <t>Fuji Febiyana</t>
  </si>
  <si>
    <t>Sulin Rohdiansah</t>
  </si>
  <si>
    <t>Ahmad Oka Sugio</t>
  </si>
  <si>
    <t>Alpan Ramadan</t>
  </si>
  <si>
    <t>Elmalia Hesti Pratiwi</t>
  </si>
  <si>
    <t>Asep Suparman</t>
  </si>
  <si>
    <t>Delivery Man</t>
  </si>
  <si>
    <t>Helper Delivery</t>
  </si>
  <si>
    <t>Titin Chuzaemah</t>
  </si>
  <si>
    <t>BDG-SLS-GT-001</t>
  </si>
  <si>
    <t>BDG-SLS-GT-002</t>
  </si>
  <si>
    <t>BDG-SLS-GT-003</t>
  </si>
  <si>
    <t>BDG-SLS-GT-004</t>
  </si>
  <si>
    <t>BDG-SLS-GT-005</t>
  </si>
  <si>
    <t>BDG-SLS-GT-006</t>
  </si>
  <si>
    <t>BDG-SLS-GT-014</t>
  </si>
  <si>
    <t>BDG-SLS-GT-017</t>
  </si>
  <si>
    <t>BDG-SLS-GT-007</t>
  </si>
  <si>
    <t>BDG-SLS-GT-008</t>
  </si>
  <si>
    <t>BDG-SLS-GT-009</t>
  </si>
  <si>
    <t>BDG-SLS-GT-010</t>
  </si>
  <si>
    <t>BDG-SLS-GT-011</t>
  </si>
  <si>
    <t>BDG-SLS-GT-012</t>
  </si>
  <si>
    <t>BDG-SLS-HRC-001</t>
  </si>
  <si>
    <t>BDG-SLS-HRC-002</t>
  </si>
  <si>
    <t>BDG-SLS-MT-001</t>
  </si>
  <si>
    <t>SBG-SLS-GT-001</t>
  </si>
  <si>
    <t>SBG-SLS-GT-002</t>
  </si>
  <si>
    <t>SBG-SLS-GT-003</t>
  </si>
  <si>
    <t>PWK-SLS-GT-001</t>
  </si>
  <si>
    <t>PWK-SLS-GT-002</t>
  </si>
  <si>
    <t>PWK-SLS-GT-003</t>
  </si>
  <si>
    <t>GRT-SLS-GT-001</t>
  </si>
  <si>
    <t>GRT-SLS-GT-002</t>
  </si>
  <si>
    <t>GRT-SLS-GT-003</t>
  </si>
  <si>
    <t>GRT-SLS-GT-004</t>
  </si>
  <si>
    <t>GRT-SLS-GT-005</t>
  </si>
  <si>
    <t>GRT-SLS-GT-007</t>
  </si>
  <si>
    <t>GRT-SLS-GT-008</t>
  </si>
  <si>
    <t>GRT-SLS-GT-009</t>
  </si>
  <si>
    <t>GRT-SLS-HRC-001</t>
  </si>
  <si>
    <t>GRT-SLS-GT-010</t>
  </si>
  <si>
    <t>TSK-SLS-GT-001</t>
  </si>
  <si>
    <t>TSK-SLS-GT-002</t>
  </si>
  <si>
    <t>TSK-SLS-GT-003</t>
  </si>
  <si>
    <t>TSK-SLS-GT-004</t>
  </si>
  <si>
    <t>TSK-SLS-HRC-001</t>
  </si>
  <si>
    <t>Hari Prayoga</t>
  </si>
  <si>
    <t>CRB-SLS-GT-001</t>
  </si>
  <si>
    <t>CRB-SLS-GT-002</t>
  </si>
  <si>
    <t>CRB-SLS-GT-003</t>
  </si>
  <si>
    <t>SKB-SLS-GT-001</t>
  </si>
  <si>
    <t>SKB-SLS-GT-002</t>
  </si>
  <si>
    <t>TGR-SLS-GT-001</t>
  </si>
  <si>
    <t>TGR-SLS-GT-002</t>
  </si>
  <si>
    <t>TGL-SLS-GT-001</t>
  </si>
  <si>
    <t>Yonatan</t>
  </si>
  <si>
    <t>TGL-SLS-GT-002</t>
  </si>
  <si>
    <t>TGL-SLS-GT-003</t>
  </si>
  <si>
    <t>WGN-SLS-GT-001</t>
  </si>
  <si>
    <t>WGN-SLS-GT-002</t>
  </si>
  <si>
    <t>Faria Ummi Kulsum</t>
  </si>
  <si>
    <t>WGN-SLS-GT-004</t>
  </si>
  <si>
    <t>WGN-SLS-GT-003</t>
  </si>
  <si>
    <t>WNS-SLS-GT-001</t>
  </si>
  <si>
    <t>WNS-SLS-GT-004</t>
  </si>
  <si>
    <t>WNS-SLS-GT-002</t>
  </si>
  <si>
    <t>WNS-SLS-GT-003</t>
  </si>
  <si>
    <t>SMG-SLS-GT-001</t>
  </si>
  <si>
    <t>SMG-SLS-GT-002</t>
  </si>
  <si>
    <t>SLO-SLS-GT-001</t>
  </si>
  <si>
    <t>BYW-SLS-GT-001</t>
  </si>
  <si>
    <t>JBR-SLS-GT-001</t>
  </si>
  <si>
    <t>JBG-SLS-GT-001</t>
  </si>
  <si>
    <t>MLG-SLS-GT-001</t>
  </si>
  <si>
    <t>PBL-SLS-GT-002</t>
  </si>
  <si>
    <t>SDO-SLS-GT-001</t>
  </si>
  <si>
    <t>PRODUCT FOKUS (VOL)</t>
  </si>
  <si>
    <t>PRODUCT FOKUS (RO)</t>
  </si>
  <si>
    <t>INCENTIVE PF</t>
  </si>
  <si>
    <t>SAH70</t>
  </si>
  <si>
    <t>Product Display</t>
  </si>
  <si>
    <t>Sales Contract</t>
  </si>
  <si>
    <t>Co-Branding</t>
  </si>
  <si>
    <t>Join Event</t>
  </si>
  <si>
    <t xml:space="preserve">Loading &amp; Drop </t>
  </si>
  <si>
    <t>INCENTIVE EC</t>
  </si>
  <si>
    <t>INCENTIVE NOO</t>
  </si>
  <si>
    <t>INCENTIVE AO</t>
  </si>
  <si>
    <t>INCENTIVE IPO</t>
  </si>
  <si>
    <t>PENCAPAIAN PRODUCT DISPLAY AREA JAWA BARAT-1</t>
  </si>
  <si>
    <t>PRODUCT DISPLAY</t>
  </si>
  <si>
    <t>INCENTIVE DISPLAY</t>
  </si>
  <si>
    <t>PENCAPAIAN PRODUCT DISPLAY AREA JAWA BARAT-2</t>
  </si>
  <si>
    <t>PENCAPAIAN PRODUCT DISPLAY AREA JAWA BARAT-3</t>
  </si>
  <si>
    <t>PENCAPAIAN PRODUCT DISPLAY AREA JAWA TENGAH</t>
  </si>
  <si>
    <t>PENCAPAIAN PRODUCT DISPLAY AREA JAWA TIMUR</t>
  </si>
  <si>
    <t>PENCAPAIAN SALES CONTRACT AREA JAWA BARAT-1</t>
  </si>
  <si>
    <t>SALES CONTRACT</t>
  </si>
  <si>
    <t>INCENTIVE CONTRACT</t>
  </si>
  <si>
    <t>PENCAPAIAN SALES CONTRACT AREA JAWA BARAT-2</t>
  </si>
  <si>
    <t>PENCAPAIAN SALES CONTRACT AREA JAWA BARAT-3</t>
  </si>
  <si>
    <t>PENCAPAIAN SALES CONTRACT AREA JAWA TENGAH</t>
  </si>
  <si>
    <t>PENCAPAIAN SALES CONTRACT AREA JAWA TIMUR</t>
  </si>
  <si>
    <t>PENCAPAIAN CO-BRANDING AREA JAWA BARAT-1</t>
  </si>
  <si>
    <t>CO-BRANDING</t>
  </si>
  <si>
    <t>INCENTIVE CO-BRAND</t>
  </si>
  <si>
    <t>PENCAPAIAN CO-BRANDING AREA JAWA BARAT-2</t>
  </si>
  <si>
    <t>PENCAPAIAN CO-BRANDING AREA JAWA BARAT-3</t>
  </si>
  <si>
    <t>PENCAPAIAN CO-BRANDING AREA JAWA TENGAH</t>
  </si>
  <si>
    <t>PENCAPAIAN CO-BRANDING AREA JAWA TIMUR</t>
  </si>
  <si>
    <t>PENCAPAIAN JOIN EVENT ACTIVITY AREA JAWA BARAT-1</t>
  </si>
  <si>
    <t>JOIN EVENT ACTIVITY</t>
  </si>
  <si>
    <t>INCENTIVE JOIN EVENT</t>
  </si>
  <si>
    <t>PENCAPAIAN JOIN EVENT ACTIVITY AREA JAWA BARAT-2</t>
  </si>
  <si>
    <t>PENCAPAIAN JOIN EVENT ACTIVITY AREA JAWA BARAT-3</t>
  </si>
  <si>
    <t>PENCAPAIAN JOIN EVENT ACTIVITY AREA JAWA TENGAH</t>
  </si>
  <si>
    <t>PENCAPAIAN JOIN EVENT ACTIVITY AREA JAWA TIMUR</t>
  </si>
  <si>
    <t>PENCAPAIAN LOADING CAPACITY &amp; DROP POINT AREA JAWA BARAT-1</t>
  </si>
  <si>
    <t>DELIVERYMAN</t>
  </si>
  <si>
    <t>LOADING CAPACITY</t>
  </si>
  <si>
    <t>DROP POINT</t>
  </si>
  <si>
    <t>JENIS ARMADA</t>
  </si>
  <si>
    <t>INCENTIVE DELIVERY</t>
  </si>
  <si>
    <t>DRIVER</t>
  </si>
  <si>
    <t>HELPER</t>
  </si>
  <si>
    <t>JUMLAH</t>
  </si>
  <si>
    <t>INCENTIVE</t>
  </si>
  <si>
    <t>Pickup</t>
  </si>
  <si>
    <t>PENCAPAIAN LOADING CAPACITY &amp; DROP POINT AREA JAWA BARAT-2</t>
  </si>
  <si>
    <t>PENCAPAIAN LOADING CAPACITY &amp; DROP POINT AREA JAWA BARAT-3</t>
  </si>
  <si>
    <t>PENCAPAIAN LOADING CAPACITY &amp; DROP POINT AREA JAWA TENGAH</t>
  </si>
  <si>
    <t>PENCAPAIAN LOADING CAPACITY &amp; DROP POINT AREA JAWA TIMUR</t>
  </si>
  <si>
    <t>INSENTIF ACTIVE OUTLET</t>
  </si>
  <si>
    <t>MTC</t>
  </si>
  <si>
    <t>AE</t>
  </si>
  <si>
    <t>KAE</t>
  </si>
  <si>
    <t>TO</t>
  </si>
  <si>
    <t>Stockpoint</t>
  </si>
  <si>
    <t>Edi Sutikno &amp; Edi Sutrisno</t>
  </si>
  <si>
    <t>ERITOGA FEBRIAWAN RIADY</t>
  </si>
  <si>
    <t>ASPR</t>
  </si>
  <si>
    <t>Ai Rokayah</t>
  </si>
  <si>
    <t>Dini Setiani</t>
  </si>
  <si>
    <t>Mira Yasa Natapradja</t>
  </si>
  <si>
    <t>Putri Hartati Wijaksani</t>
  </si>
  <si>
    <t>Riska Nopa Nopianti</t>
  </si>
  <si>
    <t>Cristi Yulia</t>
  </si>
  <si>
    <t>HORECA SPV</t>
  </si>
  <si>
    <t>KEY ACCOUNT SUPERVISOR</t>
  </si>
  <si>
    <t>IRFAN ACHMAD</t>
  </si>
  <si>
    <t>Task Force</t>
  </si>
  <si>
    <t>Mochamad Diki Mutaqin</t>
  </si>
  <si>
    <t>FSR</t>
  </si>
  <si>
    <t>DANI MAINAKY</t>
  </si>
  <si>
    <t>ASPS</t>
  </si>
  <si>
    <t>MOCH REZA ZUCHRAN FAUZI</t>
  </si>
  <si>
    <t>Nur Afifah Fauziah</t>
  </si>
  <si>
    <t>Salam Pajar Mantira P</t>
  </si>
  <si>
    <t>IRFAN MALIK RAHMAN</t>
  </si>
  <si>
    <t>Raisya Arifah Dwi Wahyuni</t>
  </si>
  <si>
    <t>Raudya Tuzahra Ramandani</t>
  </si>
  <si>
    <t>Yunita Setiana Wijaya</t>
  </si>
  <si>
    <t>27-Mei-2026</t>
  </si>
  <si>
    <t>DENI HERDIAN</t>
  </si>
  <si>
    <t>Haris Budiman</t>
  </si>
  <si>
    <t>Catur Saputri</t>
  </si>
  <si>
    <t>Dwiqi Rezaldy Cahya Santoso</t>
  </si>
  <si>
    <t>Mustika Sari</t>
  </si>
  <si>
    <t>Rafika Pusporini</t>
  </si>
  <si>
    <t>Resmi Aryanti</t>
  </si>
  <si>
    <t>Wijayanti</t>
  </si>
  <si>
    <t>Eko Prasetyo Lesmito</t>
  </si>
  <si>
    <t>Dewi Ayu Meilisyah</t>
  </si>
  <si>
    <t>Debi Hendrilawati</t>
  </si>
  <si>
    <t>Eli Indi Astutik</t>
  </si>
  <si>
    <t>Lailatul Nurfitri Fajrina</t>
  </si>
  <si>
    <t>Ririn Agustin</t>
  </si>
  <si>
    <t>Erawati</t>
  </si>
  <si>
    <t>Virda Febilla</t>
  </si>
  <si>
    <t>W</t>
  </si>
  <si>
    <t>VOLUME</t>
  </si>
  <si>
    <t>RO</t>
  </si>
  <si>
    <t>Selisih Delivery</t>
  </si>
  <si>
    <t>Pencairan ASM</t>
  </si>
  <si>
    <t>Pencairan Delivery Team</t>
  </si>
  <si>
    <t>Pencairan ASS &amp; Sales Team</t>
  </si>
  <si>
    <t>*MTC, Stockpoint masih menggunakan skema insentif lama 2024</t>
  </si>
  <si>
    <t>Endy Afriana Nugraha</t>
  </si>
  <si>
    <t>Arifin Sufjan</t>
  </si>
  <si>
    <t>Siti Komariah Nurizky</t>
  </si>
  <si>
    <t>Agustina</t>
  </si>
  <si>
    <t>BDG-SLS-MT-002</t>
  </si>
  <si>
    <t>Antok</t>
  </si>
  <si>
    <t>Diana</t>
  </si>
  <si>
    <t>Dimas</t>
  </si>
  <si>
    <t>Nur Daryanto</t>
  </si>
  <si>
    <t>Office</t>
  </si>
  <si>
    <t>Tara</t>
  </si>
  <si>
    <t>Linda</t>
  </si>
  <si>
    <t>Ronny Arvian</t>
  </si>
  <si>
    <t>Trio Yulianto</t>
  </si>
  <si>
    <t>Mohammad Nurullah</t>
  </si>
  <si>
    <t>JEMBER - SITUBONDO</t>
  </si>
  <si>
    <t>Nur Karima</t>
  </si>
  <si>
    <t>Ayub Dwi Saputra</t>
  </si>
  <si>
    <t>Farida Ariani</t>
  </si>
  <si>
    <t>Tri Wahyudi</t>
  </si>
  <si>
    <t>Achmad Khusaini</t>
  </si>
  <si>
    <t>Firman Adi Saputra</t>
  </si>
  <si>
    <t>Fitria Izzati Hariyadi</t>
  </si>
  <si>
    <t>Andik Khoirul Anam</t>
  </si>
  <si>
    <t>Fandi Dwihastotok</t>
  </si>
  <si>
    <t>Novian Zakaria Nasution</t>
  </si>
  <si>
    <t>Syamsul Arifin</t>
  </si>
  <si>
    <t>Tegar Mbarep</t>
  </si>
  <si>
    <t>Yulian Arif Jatmiko</t>
  </si>
  <si>
    <t>Abdurrachman Wachid</t>
  </si>
  <si>
    <t>Rosa Tasianisma I</t>
  </si>
  <si>
    <t>Nyasa Agus Firmansyah</t>
  </si>
  <si>
    <t>Bayu Dwi Fahlupi</t>
  </si>
  <si>
    <t>MALANG UTARA - MALANG SELATAN</t>
  </si>
  <si>
    <t>PROBOLINGGO - PASURUAN</t>
  </si>
  <si>
    <t>TOTAL CABANG JEMBER - SITUBONDO</t>
  </si>
  <si>
    <t>TOTAL CABANG MALANG UTARA - MALANG SELATAN</t>
  </si>
  <si>
    <t>TOTAL CABANG PROBOLINGGO - PASURUAN</t>
  </si>
  <si>
    <t>Wahyuda Apriyanto</t>
  </si>
  <si>
    <t>Adam Kriswanto</t>
  </si>
  <si>
    <t>Dodit Sudarna</t>
  </si>
  <si>
    <t>Bayu Sugianto</t>
  </si>
  <si>
    <t>Dessi Rysna Natalia</t>
  </si>
  <si>
    <t>Mukhamad Iksan</t>
  </si>
  <si>
    <t>Hesti Ariyani</t>
  </si>
  <si>
    <t>Tegar</t>
  </si>
  <si>
    <t>Aditya Ervan Priyanto</t>
  </si>
  <si>
    <t>Sugik</t>
  </si>
  <si>
    <t>Muhammad Sapii</t>
  </si>
  <si>
    <t>Winny Novitasari</t>
  </si>
  <si>
    <t>SE</t>
  </si>
  <si>
    <t>CABANG JEMBER - SITUBONDO</t>
  </si>
  <si>
    <t>CABANG PROBOLINGGO - PASURUAN</t>
  </si>
  <si>
    <t>CABANG MALANG UTARA - MALANG SELATAN</t>
  </si>
  <si>
    <t>ANDREAS PREMADYA</t>
  </si>
  <si>
    <t>UUT KURNIAWAN</t>
  </si>
  <si>
    <t>Wawan Ridwan</t>
  </si>
  <si>
    <t>Dinda Dewi Maharani</t>
  </si>
  <si>
    <t>IWAN SETIAWAN</t>
  </si>
  <si>
    <t>WAREHOUSE CABANG SUPERVISOR</t>
  </si>
  <si>
    <t>Helper Gudang</t>
  </si>
  <si>
    <t>Cahyat</t>
  </si>
  <si>
    <t>Dede Kusnandar</t>
  </si>
  <si>
    <t>Kartana</t>
  </si>
  <si>
    <t>Tata Sasmita</t>
  </si>
  <si>
    <t>Wandi Permana</t>
  </si>
  <si>
    <t>CATUR ATOT RISTADIN</t>
  </si>
  <si>
    <t>Resna Sulistiawaty</t>
  </si>
  <si>
    <t>Wanda Akbar Saputra</t>
  </si>
  <si>
    <t>Darussalam</t>
  </si>
  <si>
    <t>Driver Distributor</t>
  </si>
  <si>
    <t>Edy Sulaeman</t>
  </si>
  <si>
    <t>*CATATAN:</t>
  </si>
  <si>
    <t>ASS INDIRECT</t>
  </si>
  <si>
    <t>ASPR INDIRECT</t>
  </si>
  <si>
    <t>Gabung dengan Edi Sutikno</t>
  </si>
  <si>
    <t>Yadi</t>
  </si>
  <si>
    <t>EDUARD FEBRY SANJAYA</t>
  </si>
  <si>
    <t>ROBBY DWI PRASETYO</t>
  </si>
  <si>
    <t>FILTRA BUDIONO</t>
  </si>
  <si>
    <t>NANONG KRISTANTO</t>
  </si>
  <si>
    <t>Halimatus Sa'diyah</t>
  </si>
  <si>
    <t>MOJOKERTO - KEDIRI</t>
  </si>
  <si>
    <t>TOTAL CABANG MOJOKERTO - KEDIRI</t>
  </si>
  <si>
    <t>Sahudi</t>
  </si>
  <si>
    <t>Ika</t>
  </si>
  <si>
    <t>M. Baihaqi</t>
  </si>
  <si>
    <t>Ody Kurniawan</t>
  </si>
  <si>
    <t>Ika Setyaningsih</t>
  </si>
  <si>
    <t>Subekti Rahayu Cipta Ningsih</t>
  </si>
  <si>
    <t>Suci Ratnasari</t>
  </si>
  <si>
    <t>Ainul Firmansyah</t>
  </si>
  <si>
    <t>Deny Koesmawan</t>
  </si>
  <si>
    <t>BOGOR</t>
  </si>
  <si>
    <t>TOTAL CABANG BOGOR</t>
  </si>
  <si>
    <t>Ari Lestari</t>
  </si>
  <si>
    <t>Achmad Farid K</t>
  </si>
  <si>
    <t>Revan Mariadi Putra</t>
  </si>
  <si>
    <t>TOTAL CABANG BANYUWANGI - JEMBER - SITUBONDO - PROBOLINGGO</t>
  </si>
  <si>
    <t>Sinta Wulandari</t>
  </si>
  <si>
    <t>BANGKALAN</t>
  </si>
  <si>
    <t>TOTAL CABANG BANGKALAN</t>
  </si>
  <si>
    <t>Ahmad Rosi Amin</t>
  </si>
  <si>
    <t>Muhammad Zein Farid</t>
  </si>
  <si>
    <t>SUMENEP</t>
  </si>
  <si>
    <t>Harvin Faiz Ramadhan</t>
  </si>
  <si>
    <t>Moh. Bagus Fatahillah</t>
  </si>
  <si>
    <t>TOTAL CABANG SUMENEP</t>
  </si>
  <si>
    <t>TOTAL CABANG MALANG - PASURUAN - BANGKALAN - SUMENEP</t>
  </si>
  <si>
    <t>Nandang Setyawan</t>
  </si>
  <si>
    <t>Alvon Yohan Fredy Laksmana</t>
  </si>
  <si>
    <t>TULUNGAGUNG</t>
  </si>
  <si>
    <t>TOTAL CABANG TULUNGAGUNG</t>
  </si>
  <si>
    <t>Dwi Hadi Prasetyo</t>
  </si>
  <si>
    <t>Enggo Rubiantoro</t>
  </si>
  <si>
    <t>Fani Nur Huda</t>
  </si>
  <si>
    <t>Mohammad Aries</t>
  </si>
  <si>
    <t>TOTAL CABANG SIDOARJO - MOJOKERTO - KEDIRI - TULUNGAGUNG</t>
  </si>
  <si>
    <t>TOTAL CABANG SURABAYA PUSAT - SURABAYA BARAT</t>
  </si>
  <si>
    <t>Purnomo Setyonugroho</t>
  </si>
  <si>
    <t>BLITAR</t>
  </si>
  <si>
    <t>TOTAL CABANG BLITAR</t>
  </si>
  <si>
    <t>TOTAL CABANG SURABAYA - BLITAR</t>
  </si>
  <si>
    <t>BOJONEGORO</t>
  </si>
  <si>
    <t>TOTAL CABANG BOJONEGORO</t>
  </si>
  <si>
    <t>Ach Sahrul Afifi</t>
  </si>
  <si>
    <t>Lusiyana</t>
  </si>
  <si>
    <t>Wahyu Laila Sakinah</t>
  </si>
  <si>
    <t>GRESIK</t>
  </si>
  <si>
    <t>Ardiansyah Tanjung</t>
  </si>
  <si>
    <t>Rudi Wibowo</t>
  </si>
  <si>
    <t>Sobirin</t>
  </si>
  <si>
    <t>Sucipto</t>
  </si>
  <si>
    <t>TOTAL CABANG GRESIK</t>
  </si>
  <si>
    <t>MADIUN</t>
  </si>
  <si>
    <t>TOTAL CABANG MADIUN</t>
  </si>
  <si>
    <t>Ahmad Romdhoni</t>
  </si>
  <si>
    <t>PONOROGO</t>
  </si>
  <si>
    <t>TOTAL CABANG PONOROGO</t>
  </si>
  <si>
    <t>Dodi Agung Setiya Budi</t>
  </si>
  <si>
    <t>Muhammad Ridwan Ramadhani</t>
  </si>
  <si>
    <t>Surya Alqodriya</t>
  </si>
  <si>
    <t>TOTAL CABANG BOJONEGORO - GRESIK - MADIUN - PONOROGO</t>
  </si>
  <si>
    <t>Neng Tik Tik Nurlatifah</t>
  </si>
  <si>
    <t>Nurul Utami</t>
  </si>
  <si>
    <t>Diperbantukan di Gudang</t>
  </si>
  <si>
    <t>Tia Ambarwati</t>
  </si>
  <si>
    <t>Dwi Setyaningsih</t>
  </si>
  <si>
    <t>Sales Exclusive</t>
  </si>
  <si>
    <t>Dewi Suryanti</t>
  </si>
  <si>
    <t>Farisi Ardani</t>
  </si>
  <si>
    <t>Ratna Dwi Janis</t>
  </si>
  <si>
    <t>SPV DIST</t>
  </si>
  <si>
    <t>Linda ( Retail Mix )</t>
  </si>
  <si>
    <t>MIX</t>
  </si>
  <si>
    <t>Ronny Arvian ( Retail Mix )</t>
  </si>
  <si>
    <t>Trio Yulianto ( Retail Mix )</t>
  </si>
  <si>
    <t>Mohammad Nurullah ( Foodservice/HORECA )</t>
  </si>
  <si>
    <t>ASS INDIRECT JEMBER-SITUBONDO</t>
  </si>
  <si>
    <t>ABU JAIRI</t>
  </si>
  <si>
    <t>Nur Karima ( Grosir &amp; MT )</t>
  </si>
  <si>
    <t>Ayub Dwi Saputra ( Retail Mix )</t>
  </si>
  <si>
    <t>Farida Ariani ( Retail Mix )</t>
  </si>
  <si>
    <t>Tri Wahyudi ( Retail Mix )</t>
  </si>
  <si>
    <t>Achmad Khusaini ( Foodservice/HORECA )</t>
  </si>
  <si>
    <t>SITUBONDO</t>
  </si>
  <si>
    <t>ALVI</t>
  </si>
  <si>
    <t>Firman Adi Saputra (Retail Mix )</t>
  </si>
  <si>
    <t>Achmad Farid Kurniawan ( Retail Mix )</t>
  </si>
  <si>
    <t>Fitria Izzati Hariyadi ( Retail Mix )</t>
  </si>
  <si>
    <t>Revan Mariyadi Putra ( Foodservice/HORECA )</t>
  </si>
  <si>
    <t>MOJOKERTO</t>
  </si>
  <si>
    <t>ASS INDIRECT MOJOKERTO-KEDIRI</t>
  </si>
  <si>
    <t>KHOIRUL LUTFI</t>
  </si>
  <si>
    <t>Novian Zakaria Nasution ( Grosir &amp; MT )</t>
  </si>
  <si>
    <t>Andik Khoirul Anam ( Retail Mix )</t>
  </si>
  <si>
    <t>Fandi Dwihastotok ( Retail Mix )</t>
  </si>
  <si>
    <t>Nandang Setiyawan ( Retail Mix )</t>
  </si>
  <si>
    <t>Syamsul Arifin ( Foodservice/HORECA )</t>
  </si>
  <si>
    <t>KEDIRI</t>
  </si>
  <si>
    <t>Sahudi ( Retail Mix )</t>
  </si>
  <si>
    <t>KUKUH SUWARNO</t>
  </si>
  <si>
    <t>Enggo Rubiantoro ( Retail Mix )</t>
  </si>
  <si>
    <t>Fani Nur Huda ( Retail Mix )</t>
  </si>
  <si>
    <t>Mohammad Aries ( Retail Mix )</t>
  </si>
  <si>
    <t>Dwi Hadi Prasetyo (Foodservice/HORECA )</t>
  </si>
  <si>
    <t>MALANG UTARA</t>
  </si>
  <si>
    <t>IWAN SETYAWAN</t>
  </si>
  <si>
    <t>Tegar Mbarep ( Grosir &amp; MT )</t>
  </si>
  <si>
    <t>Yulian Arif Jatmiko ( Retail Mix )</t>
  </si>
  <si>
    <t>Abdurrachman Wachid ( Retail Mix )</t>
  </si>
  <si>
    <t>Rosa Tasianisma I ( Foodservice/HORECA )</t>
  </si>
  <si>
    <t>MALANG SELATAN</t>
  </si>
  <si>
    <t>ASS INDIRECT MALANG UTARA-MALANG SELATAN</t>
  </si>
  <si>
    <t>SUPRI</t>
  </si>
  <si>
    <t>Nyasa Agus Firmansyah ( Retail Mix )</t>
  </si>
  <si>
    <t>Slamet ( Retail Mix )</t>
  </si>
  <si>
    <t>ASS INDIRECT PROBOLINGGO-PASURUAN</t>
  </si>
  <si>
    <t>IWAN</t>
  </si>
  <si>
    <t>Wahyuda Apriyanto ( Grosir &amp; MT )</t>
  </si>
  <si>
    <t>Adam Kriswanto ( Retail Mix )</t>
  </si>
  <si>
    <t>Dodit Sudarna ( Retail Mix )</t>
  </si>
  <si>
    <t>Muhammad Sholehin ( Retail Mix )</t>
  </si>
  <si>
    <t>Bayu Sugianto ( Foodservice/HORECA )</t>
  </si>
  <si>
    <t>PASURUAN</t>
  </si>
  <si>
    <t>DICKY</t>
  </si>
  <si>
    <t>Dessi Rysna Natalia ( Retail Mix )</t>
  </si>
  <si>
    <t>Mukhamad Iksan ( Retail Mix )</t>
  </si>
  <si>
    <t>Hesti Ariyani ( Foodservice/HORECA )</t>
  </si>
  <si>
    <t>ABDUL KODIRUN</t>
  </si>
  <si>
    <t>Muhammad Zein Farid ( Retail Mix )</t>
  </si>
  <si>
    <t>EDY</t>
  </si>
  <si>
    <t>Harvin Faiz Ramadhan ( Retail Mix )</t>
  </si>
  <si>
    <t>SITI AZARIYAH</t>
  </si>
  <si>
    <t>Tegar ( Grosir &amp; MT )</t>
  </si>
  <si>
    <t>Aditya Ervan Priyanto ( Retail Mix )</t>
  </si>
  <si>
    <t>Sugik ( Retail Mix )</t>
  </si>
  <si>
    <t>Muhammad Sapii ( Retail Mix )</t>
  </si>
  <si>
    <t>M. Baihaqi ( Retail Mix )</t>
  </si>
  <si>
    <t>Ody Kurniawan ( Retail Mix )</t>
  </si>
  <si>
    <t>Purnomo Setyo Nugroho ( Foodservice/HORECA )</t>
  </si>
  <si>
    <t>SURABAYA BARAT</t>
  </si>
  <si>
    <t>MUGHIS</t>
  </si>
  <si>
    <t>Ika Setyaningsih ( Retail Mix )</t>
  </si>
  <si>
    <t>Suci Ratnasari ( Foodservice/HORECA )</t>
  </si>
  <si>
    <t>ALI AGUNG BUDIYONO</t>
  </si>
  <si>
    <t>DEON ADITYA</t>
  </si>
  <si>
    <t>Lusiyana ( Grosir &amp; MT )</t>
  </si>
  <si>
    <t>Ach. Sahrul Afifi ( Retail Mix )</t>
  </si>
  <si>
    <t>Agus Rudi ( Retail Mix )</t>
  </si>
  <si>
    <t>Wahyu Laila Sakinah ( Foodservice/HORECA )</t>
  </si>
  <si>
    <t>NURUL</t>
  </si>
  <si>
    <t>Ahmad Romdhoni ( Retail Mix )</t>
  </si>
  <si>
    <t>MUHAMMAD MUIS</t>
  </si>
  <si>
    <t>Rudi Wibowo ( Retail Mix )</t>
  </si>
  <si>
    <t>Sobirin ( Retail Mix )</t>
  </si>
  <si>
    <t>Sucipto ( Retail Mix )</t>
  </si>
  <si>
    <t>Ardiansyah Tanjung ( Foodservice/HORECA )</t>
  </si>
  <si>
    <t>MUHAMMAD MIFTAHUL HUDA</t>
  </si>
  <si>
    <t>Dodi Agung Setiya Budi ( Retail Mix )</t>
  </si>
  <si>
    <t>Surya Alqodriya ( Retail Mix )</t>
  </si>
  <si>
    <t>Muhammad Ridwan Ramadhani ( Foodservice/HORECA )</t>
  </si>
  <si>
    <t>FAUZAN</t>
  </si>
  <si>
    <t>DEDDY</t>
  </si>
  <si>
    <t>ARIEK</t>
  </si>
  <si>
    <t>HENDRIK</t>
  </si>
  <si>
    <t>MUTAQIN</t>
  </si>
  <si>
    <t>CABANG BOGOR</t>
  </si>
  <si>
    <t>CABANG BANGKALAN</t>
  </si>
  <si>
    <t>CABANG SUMENEP</t>
  </si>
  <si>
    <t>CABANG MOJOKERTO - KEDIRI</t>
  </si>
  <si>
    <t>CABANG SIDOARJO</t>
  </si>
  <si>
    <t>CABANG TULUNGAGUNG</t>
  </si>
  <si>
    <t>CABANG SURABAYA PUSAT - SURABAYA BARAT</t>
  </si>
  <si>
    <t>CABANG BLITAR</t>
  </si>
  <si>
    <t>CABANG BOJONEGORO</t>
  </si>
  <si>
    <t>CABANG GRESIK</t>
  </si>
  <si>
    <t>CABANG MADIUN</t>
  </si>
  <si>
    <t>CABANG PONOROGO</t>
  </si>
  <si>
    <t>*Canvasser, TO, ASS, ASM, KAE (MT), KAS (MT), AE (Horeca), AS (Horeca), Delivery Team, SE, ASS Indirect, ASM Indirect, Tim Distributor sudah menggunakan skema insentif baru 2026</t>
  </si>
  <si>
    <t>Deliveryman</t>
  </si>
  <si>
    <t xml:space="preserve">Jeni Lesmana </t>
  </si>
  <si>
    <t>Andhika Permana</t>
  </si>
  <si>
    <t>Ratno Harieswantono</t>
  </si>
  <si>
    <t>*AR MT tetap muncul, tapi di sheet 'Pencairan' dikeluarkan dari pengurang insentif</t>
  </si>
  <si>
    <t>SIDOARJO - SURABAYA PUSAT -  SURABAYA BARAT</t>
  </si>
  <si>
    <t>SIDOARJO - SURABAYA PUSAT - SURABAYA BARAT</t>
  </si>
  <si>
    <t>ASS INDIRECT SIDOARDJO - SURABAYA PUSAT - SURABAYA BARAT</t>
  </si>
  <si>
    <t>Dwi Cahyaningsih</t>
  </si>
  <si>
    <t>Muhammad Sholehin</t>
  </si>
  <si>
    <t>Agus Rudi Setiawan</t>
  </si>
  <si>
    <t>Ahmad Nur Aziz</t>
  </si>
  <si>
    <t>Ari Wibowo</t>
  </si>
  <si>
    <t>Putut Harianto</t>
  </si>
  <si>
    <t>Fahrul Muaziz</t>
  </si>
  <si>
    <t>HDO720</t>
  </si>
  <si>
    <t>*Penalty tim Dist dihitung jika OD &gt; 90 hari</t>
  </si>
  <si>
    <t>OVERDUE</t>
  </si>
  <si>
    <t>Engkel</t>
  </si>
  <si>
    <t>Eko Adi SPV (Blitz &amp; Spreading)</t>
  </si>
  <si>
    <t>Abu Jairi SPV (Blitz &amp; Spreading)</t>
  </si>
  <si>
    <t>Alvi SPV (Blitz &amp; Spreading)</t>
  </si>
  <si>
    <t>Iwan SPV (Blitz &amp; Spreading)</t>
  </si>
  <si>
    <t>Dicky Marendra SPV (Blitz &amp; Spreading)</t>
  </si>
  <si>
    <t>Supri SPV (Blitz &amp; Spreading)</t>
  </si>
  <si>
    <t>Lutfi SPV (Blitz &amp; Spreading)</t>
  </si>
  <si>
    <t>Kukuh Suwarno SPV (Blitz &amp; Spreading)</t>
  </si>
  <si>
    <t>Siti Azariyah SPV (Blitz &amp; Spreading)</t>
  </si>
  <si>
    <t>Nurul SPV (Blitz &amp; Spreading)</t>
  </si>
  <si>
    <t>PERIODE : Juli 2026</t>
  </si>
  <si>
    <t>Pencairan full, OD MT dikeluarkan</t>
  </si>
  <si>
    <t>Usulan pencairan, karena proses penyusunan terminologi bad debt</t>
  </si>
  <si>
    <t>Dina Apriani</t>
  </si>
  <si>
    <t>Horeca Executive</t>
  </si>
  <si>
    <t>Lina Karnia</t>
  </si>
  <si>
    <t>Yuli Herlina</t>
  </si>
  <si>
    <t>Key Account Supervisor</t>
  </si>
  <si>
    <t>Hahan Septiawan</t>
  </si>
  <si>
    <t>Eneng Santi Saripah</t>
  </si>
  <si>
    <t>Rotasi menjadi Sales Canvas per 5 Agustus 2026</t>
  </si>
  <si>
    <t>Desi Ratna Wulan</t>
  </si>
  <si>
    <t>Resign 6 Agustus 2026 (Digantikan oleh Desi Ratna Wulan)</t>
  </si>
  <si>
    <t>Gianti Firmansyah</t>
  </si>
  <si>
    <t>Anisa Hayi Majid</t>
  </si>
  <si>
    <t>Yuliandi Trianto</t>
  </si>
  <si>
    <t>Husnul Hotimah</t>
  </si>
  <si>
    <t>Agustin Dwi Kanti</t>
  </si>
  <si>
    <t>Rosita Harnik</t>
  </si>
  <si>
    <t>Sales Merchandiser</t>
  </si>
  <si>
    <t>SURABAYA PUSAT</t>
  </si>
  <si>
    <t>Furi Rahayu</t>
  </si>
  <si>
    <t>Fahrul Muaziz ( Retail Mix )</t>
  </si>
  <si>
    <t>PROBOLINGGO-PASURUAN</t>
  </si>
  <si>
    <t>Dede Kurniasih</t>
  </si>
  <si>
    <t>Iyus</t>
  </si>
  <si>
    <t>KEBUMEN</t>
  </si>
  <si>
    <t>Heru Mustakim</t>
  </si>
  <si>
    <t>Nur Shohib</t>
  </si>
  <si>
    <t>Rio</t>
  </si>
  <si>
    <t>Saeful Amri</t>
  </si>
  <si>
    <t>Wida Romadhon</t>
  </si>
  <si>
    <t>Abu Yazid Albustomi</t>
  </si>
  <si>
    <t>M. Zainudin</t>
  </si>
  <si>
    <t>Umi Widayanti</t>
  </si>
  <si>
    <t>Rengky Ferbriansah Saputra</t>
  </si>
  <si>
    <t>Nor Rahman</t>
  </si>
  <si>
    <t>Apriliyo Opi Widya Hartanto</t>
  </si>
  <si>
    <t>Ichwanudin Isnan</t>
  </si>
  <si>
    <t>Mochammad Risky Kusuma</t>
  </si>
  <si>
    <t>Yanuar Hamzah</t>
  </si>
  <si>
    <t>Rona Irawati</t>
  </si>
  <si>
    <t>Catur Alfiyan Wisono P</t>
  </si>
  <si>
    <t>Joko Pramono</t>
  </si>
  <si>
    <t>Masdani</t>
  </si>
  <si>
    <t>Devi Hakiki Rafsanjani</t>
  </si>
  <si>
    <t>Mochammad Muqorrobin</t>
  </si>
  <si>
    <t>Muhammad Hardika Tripurnama</t>
  </si>
  <si>
    <t>TUBAN</t>
  </si>
  <si>
    <t>TOTAL CABANG KEBUMEN</t>
  </si>
  <si>
    <t>TOTAL CABANG TUBAN</t>
  </si>
  <si>
    <t>Junaedi Abdulah</t>
  </si>
  <si>
    <t>Jairul Hidayani</t>
  </si>
  <si>
    <t>TOTAL CABANG BOJONEGORO - TUBAN - GRESIK - MADIUN - PONOROGO</t>
  </si>
  <si>
    <t>PENCAPAIAN SALES VALUE AREA LUAR PULAU</t>
  </si>
  <si>
    <t>JAYAPURA</t>
  </si>
  <si>
    <t>TOTAL CABANG JAYAPURA</t>
  </si>
  <si>
    <t>TOTAL AREA LUAR PULAU</t>
  </si>
  <si>
    <t>Admin</t>
  </si>
  <si>
    <t>Gunawan</t>
  </si>
  <si>
    <t>Irda</t>
  </si>
  <si>
    <t>Jumardin</t>
  </si>
  <si>
    <t>Kahfi</t>
  </si>
  <si>
    <t>Novita</t>
  </si>
  <si>
    <t>Rita</t>
  </si>
  <si>
    <t>Septi</t>
  </si>
  <si>
    <t>Sri</t>
  </si>
  <si>
    <t>Yuli</t>
  </si>
  <si>
    <t>PENCAPAIAN PRODUCT FOCUS AREA LUAR PULAU</t>
  </si>
  <si>
    <t>PENCAPAIAN EFFECTIVE CALL AREA LUAR PULAU</t>
  </si>
  <si>
    <t>PENCAPAIAN NEW OPEN OUTLET AREA LUAR PULAU</t>
  </si>
  <si>
    <t>PENCAPAIAN ACTIVE OUTLET AREA LUAR PULAU</t>
  </si>
  <si>
    <t>PENCAPAIAN ITEM PER OUTLET AREA LUAR PULAU</t>
  </si>
  <si>
    <t>PENCAPAIAN PRODUCT DISPLAY AREA LUAR PULAU</t>
  </si>
  <si>
    <t>PENCAPAIAN SALES CONTRACT AREA LUAR PULAU</t>
  </si>
  <si>
    <t>PENCAPAIAN CO-BRANDING AREA LUAR PULAU</t>
  </si>
  <si>
    <t>PENCAPAIAN JOIN EVENT ACTIVITY AREA LUAR PULAU</t>
  </si>
  <si>
    <t>SAH685</t>
  </si>
  <si>
    <t>PENCAPAIAN LOADING CAPACITY &amp; DROP POINT AREA LUAR PULAU</t>
  </si>
  <si>
    <t>TOTAL LUAR PULAU</t>
  </si>
  <si>
    <t>SSS</t>
  </si>
  <si>
    <t>RITA IRANINGSIH</t>
  </si>
  <si>
    <t>DEDDI YANTO JIING</t>
  </si>
  <si>
    <t>Rizal Rafka</t>
  </si>
  <si>
    <t>ADIETAMA PRIBADI (EKO ADI)</t>
  </si>
  <si>
    <t>Rini Yuliani</t>
  </si>
  <si>
    <t>TRI ASMORO</t>
  </si>
  <si>
    <t>YUNI LESTARI</t>
  </si>
  <si>
    <t>JOHAN HANDI</t>
  </si>
  <si>
    <t>AKHMAD RIDHUAN</t>
  </si>
  <si>
    <t>Iwan Setyawan SPV (Blitz &amp; Spreading)</t>
  </si>
  <si>
    <t>Johan Handi SPV (Blitz &amp; Spreading)</t>
  </si>
  <si>
    <t>Ahmad Solekhan SPV (Blitz &amp; Spreading)</t>
  </si>
  <si>
    <t>NUR ALIF</t>
  </si>
  <si>
    <t>TMP</t>
  </si>
  <si>
    <t>Fitra Marwan</t>
  </si>
  <si>
    <t>Resign 1 Agustus 2026</t>
  </si>
  <si>
    <t>Resign 27 Agustus 2026</t>
  </si>
  <si>
    <t>Resign 6 Agustus 2026 (Digantikan Catur Atot Ristadin)</t>
  </si>
  <si>
    <t>Mutasi ke Cabang Subang per 5 Agustus 2026</t>
  </si>
  <si>
    <t>Efektif per 1 September 2026</t>
  </si>
  <si>
    <t>Iah Qoriah</t>
  </si>
  <si>
    <t>Resign 19 Agustus 2026 (Digantikan oleh Dede Kurniasih)</t>
  </si>
  <si>
    <t>Sudah tidak efektif per 2 Agustus 2026</t>
  </si>
  <si>
    <t>Andi</t>
  </si>
  <si>
    <t>Digantikan Eko Prasetyo Lesmito</t>
  </si>
  <si>
    <t>Digantikan Andi</t>
  </si>
  <si>
    <t>Digantikan Slamet</t>
  </si>
  <si>
    <t>ASS INDIRECT KEBUMEN</t>
  </si>
  <si>
    <t>ADIETAMA PRIBADI ( EKO ADI )</t>
  </si>
  <si>
    <t>Novia Indah Sari</t>
  </si>
  <si>
    <t>Mochammad Risky Kusuma  ( Retail Mix )</t>
  </si>
  <si>
    <t>Alvon Yohan Fredy Laksmana  ( Retail Mix )</t>
  </si>
  <si>
    <t>Apriliyo Opi Widya Hartanto  ( Retail Mix )</t>
  </si>
  <si>
    <t>Ichwanudin Isnan ( Foodservice/HORECA )</t>
  </si>
  <si>
    <t>Sinta Wulandari ( Grosir &amp; MT )</t>
  </si>
  <si>
    <t>Bayu Dwi Faludfi( Retail Mix )</t>
  </si>
  <si>
    <t>Umi Widayanti ( Foodservice/HORECA )</t>
  </si>
  <si>
    <t>M. Zainudin ( Retail Mix )</t>
  </si>
  <si>
    <t>Abu Yazid ( Grosir &amp; MT )</t>
  </si>
  <si>
    <t>Yulie Ariefandi ( Retail Mix )</t>
  </si>
  <si>
    <t>Rengky Ferbriansah Saputra  (Retail Mix )</t>
  </si>
  <si>
    <t>Nor Rahman (Retail)</t>
  </si>
  <si>
    <t>Moh. Bagus Fatahilla ( Foodservice/HORECA )</t>
  </si>
  <si>
    <t>Resign 15 Agustus 2026</t>
  </si>
  <si>
    <t>Resty Septarini</t>
  </si>
  <si>
    <t>Ika ( Grosir &amp; MT )</t>
  </si>
  <si>
    <t>Rona ( Retail Mix )</t>
  </si>
  <si>
    <t>Ainul Firmansyah ( Retail Mix )</t>
  </si>
  <si>
    <t>Yanuar Hamzah ( Retail Mix )</t>
  </si>
  <si>
    <t>Subekti Rahayu Cipta Ningsih ( Grosir )</t>
  </si>
  <si>
    <t>Masdani ( Foodservice/HORECA )</t>
  </si>
  <si>
    <t>Joko Pramono (Retail)</t>
  </si>
  <si>
    <t>Catur Alfiyan Wisono (Retail)</t>
  </si>
  <si>
    <t>Ari Wibowo ( Retail Mix )</t>
  </si>
  <si>
    <t>Putut Harianto ( Retail Mix )</t>
  </si>
  <si>
    <t>Jairul Hidayani ( Retail Mix )</t>
  </si>
  <si>
    <t>Ahmad Nur Aziz ( Foodservice/HORECA )</t>
  </si>
  <si>
    <t>Junaedi Abdullah (Retail)</t>
  </si>
  <si>
    <t>LUAR PULAU</t>
  </si>
  <si>
    <t>CABANG TUBAN</t>
  </si>
  <si>
    <t>PENCAPAIAN AREA LUAR PULAU</t>
  </si>
  <si>
    <t>CABANG JAYAPURA</t>
  </si>
  <si>
    <t>TOTAL PENCAPAIAN AREA LUAR PULAU</t>
  </si>
  <si>
    <t>(07 September 2026)</t>
  </si>
  <si>
    <t>PERIODE : Agustus 2026</t>
  </si>
  <si>
    <t>Deni Herdian</t>
  </si>
  <si>
    <t>Rita Iraningsih</t>
  </si>
  <si>
    <t>Adietama Pribadi (Eko Adi)</t>
  </si>
  <si>
    <t>Muhammad Rifai</t>
  </si>
  <si>
    <t>SURABAYA PUSAT - SURABAYA BARAT</t>
  </si>
  <si>
    <t>Deddi Yanto Jiing</t>
  </si>
  <si>
    <t>Asep Heri</t>
  </si>
  <si>
    <t>Rizal</t>
  </si>
  <si>
    <t>TOTAL CABANG WONOSOBO - KEBUMEN</t>
  </si>
  <si>
    <t>CABANG WONOSOBO - KEBUMEN</t>
  </si>
  <si>
    <t>Catur Atot Ristadin</t>
  </si>
  <si>
    <t>WONOSOBO - KEBUMEN</t>
  </si>
  <si>
    <t>Iwan</t>
  </si>
  <si>
    <t>BDS</t>
  </si>
  <si>
    <t>IDN</t>
  </si>
  <si>
    <t>Rev. 09 September 2026</t>
  </si>
  <si>
    <t>Output Insentif dijadikan PDF</t>
  </si>
  <si>
    <t>skema All Prod &amp; VALUE</t>
  </si>
  <si>
    <t>skema All Prod &amp; Value kolom diatas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</si>
</sst>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[$-409]d\-mmm\-yy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u val="singleAccounting"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20"/>
      <color rgb="FFFF0000"/>
      <name val="Calibri"/>
      <family val="2"/>
      <scheme val="minor"/>
    </font>
    <font>
      <b/>
      <i/>
      <u val="singleAccounting"/>
      <sz val="18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166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477">
    <xf numFmtId="0" fontId="0" fillId="0" borderId="0" xfId="0"/>
    <xf numFmtId="10" fontId="0" fillId="0" borderId="0" xfId="2" applyNumberFormat="1" applyFont="1"/>
    <xf numFmtId="167" fontId="0" fillId="0" borderId="0" xfId="1" applyNumberFormat="1" applyFont="1"/>
    <xf numFmtId="167" fontId="0" fillId="0" borderId="0" xfId="1" applyNumberFormat="1" applyFont="1" applyFill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7" fillId="0" borderId="0" xfId="0" applyFont="1"/>
    <xf numFmtId="167" fontId="8" fillId="0" borderId="0" xfId="1" applyNumberFormat="1" applyFont="1" applyFill="1"/>
    <xf numFmtId="0" fontId="9" fillId="0" borderId="0" xfId="0" applyFont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0" fontId="10" fillId="2" borderId="1" xfId="2" applyNumberFormat="1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2" applyNumberFormat="1" applyFont="1" applyBorder="1"/>
    <xf numFmtId="167" fontId="0" fillId="0" borderId="1" xfId="1" applyNumberFormat="1" applyFont="1" applyFill="1" applyBorder="1"/>
    <xf numFmtId="167" fontId="0" fillId="0" borderId="1" xfId="1" applyNumberFormat="1" applyFont="1" applyBorder="1"/>
    <xf numFmtId="167" fontId="0" fillId="0" borderId="1" xfId="2" applyNumberFormat="1" applyFont="1" applyFill="1" applyBorder="1"/>
    <xf numFmtId="0" fontId="12" fillId="2" borderId="8" xfId="0" applyFont="1" applyFill="1" applyBorder="1"/>
    <xf numFmtId="167" fontId="12" fillId="2" borderId="8" xfId="1" applyNumberFormat="1" applyFont="1" applyFill="1" applyBorder="1"/>
    <xf numFmtId="167" fontId="13" fillId="0" borderId="0" xfId="1" applyNumberFormat="1" applyFont="1"/>
    <xf numFmtId="10" fontId="13" fillId="0" borderId="1" xfId="2" applyNumberFormat="1" applyFont="1" applyFill="1" applyBorder="1" applyAlignment="1" applyProtection="1">
      <alignment wrapText="1"/>
      <protection locked="0"/>
    </xf>
    <xf numFmtId="0" fontId="13" fillId="0" borderId="0" xfId="0" applyFont="1"/>
    <xf numFmtId="167" fontId="7" fillId="3" borderId="1" xfId="1" applyNumberFormat="1" applyFont="1" applyFill="1" applyBorder="1" applyAlignment="1" applyProtection="1">
      <alignment wrapText="1"/>
      <protection locked="0"/>
    </xf>
    <xf numFmtId="167" fontId="7" fillId="3" borderId="1" xfId="1" applyNumberFormat="1" applyFont="1" applyFill="1" applyBorder="1"/>
    <xf numFmtId="167" fontId="14" fillId="3" borderId="1" xfId="1" applyNumberFormat="1" applyFont="1" applyFill="1" applyBorder="1" applyAlignment="1" applyProtection="1">
      <alignment horizontal="right" vertical="center" wrapText="1"/>
    </xf>
    <xf numFmtId="0" fontId="7" fillId="2" borderId="8" xfId="0" applyFont="1" applyFill="1" applyBorder="1"/>
    <xf numFmtId="167" fontId="7" fillId="2" borderId="8" xfId="1" applyNumberFormat="1" applyFont="1" applyFill="1" applyBorder="1"/>
    <xf numFmtId="10" fontId="7" fillId="3" borderId="1" xfId="2" applyNumberFormat="1" applyFont="1" applyFill="1" applyBorder="1" applyAlignment="1" applyProtection="1">
      <alignment wrapText="1"/>
      <protection locked="0"/>
    </xf>
    <xf numFmtId="43" fontId="7" fillId="3" borderId="1" xfId="1" applyFont="1" applyFill="1" applyBorder="1" applyAlignment="1" applyProtection="1">
      <alignment wrapText="1"/>
      <protection locked="0"/>
    </xf>
    <xf numFmtId="10" fontId="13" fillId="0" borderId="0" xfId="2" applyNumberFormat="1" applyFont="1"/>
    <xf numFmtId="167" fontId="15" fillId="0" borderId="0" xfId="1" applyNumberFormat="1" applyFont="1"/>
    <xf numFmtId="167" fontId="13" fillId="0" borderId="0" xfId="1" applyNumberFormat="1" applyFont="1" applyFill="1"/>
    <xf numFmtId="167" fontId="4" fillId="0" borderId="0" xfId="1" applyNumberFormat="1" applyFont="1" applyFill="1"/>
    <xf numFmtId="167" fontId="6" fillId="0" borderId="0" xfId="1" applyNumberFormat="1" applyFont="1" applyAlignment="1">
      <alignment vertical="top" wrapText="1"/>
    </xf>
    <xf numFmtId="10" fontId="0" fillId="0" borderId="0" xfId="2" applyNumberFormat="1" applyFont="1" applyAlignment="1" applyProtection="1">
      <alignment wrapText="1"/>
      <protection locked="0"/>
    </xf>
    <xf numFmtId="167" fontId="9" fillId="0" borderId="0" xfId="1" applyNumberFormat="1" applyFont="1" applyAlignment="1">
      <alignment vertical="top" wrapText="1"/>
    </xf>
    <xf numFmtId="167" fontId="10" fillId="2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1" xfId="0" applyFont="1" applyBorder="1"/>
    <xf numFmtId="167" fontId="12" fillId="3" borderId="1" xfId="1" applyNumberFormat="1" applyFont="1" applyFill="1" applyBorder="1"/>
    <xf numFmtId="167" fontId="12" fillId="3" borderId="1" xfId="1" applyNumberFormat="1" applyFont="1" applyFill="1" applyBorder="1" applyAlignment="1" applyProtection="1">
      <alignment horizontal="right" vertical="center" wrapText="1"/>
    </xf>
    <xf numFmtId="0" fontId="12" fillId="3" borderId="1" xfId="0" applyFont="1" applyFill="1" applyBorder="1"/>
    <xf numFmtId="0" fontId="7" fillId="3" borderId="1" xfId="0" applyFont="1" applyFill="1" applyBorder="1"/>
    <xf numFmtId="167" fontId="12" fillId="2" borderId="1" xfId="1" applyNumberFormat="1" applyFont="1" applyFill="1" applyBorder="1"/>
    <xf numFmtId="10" fontId="7" fillId="2" borderId="1" xfId="2" applyNumberFormat="1" applyFont="1" applyFill="1" applyBorder="1" applyAlignment="1" applyProtection="1">
      <alignment wrapText="1"/>
      <protection locked="0"/>
    </xf>
    <xf numFmtId="0" fontId="3" fillId="0" borderId="0" xfId="0" applyFont="1"/>
    <xf numFmtId="167" fontId="3" fillId="0" borderId="0" xfId="1" applyNumberFormat="1" applyFont="1"/>
    <xf numFmtId="10" fontId="3" fillId="0" borderId="0" xfId="2" applyNumberFormat="1" applyFont="1"/>
    <xf numFmtId="0" fontId="3" fillId="0" borderId="0" xfId="0" applyFont="1" applyAlignment="1">
      <alignment horizontal="right"/>
    </xf>
    <xf numFmtId="167" fontId="3" fillId="0" borderId="9" xfId="1" applyNumberFormat="1" applyFont="1" applyBorder="1"/>
    <xf numFmtId="10" fontId="16" fillId="0" borderId="0" xfId="2" applyNumberFormat="1" applyFont="1"/>
    <xf numFmtId="0" fontId="16" fillId="0" borderId="0" xfId="0" applyFont="1"/>
    <xf numFmtId="0" fontId="6" fillId="0" borderId="1" xfId="0" applyFont="1" applyBorder="1" applyAlignment="1">
      <alignment horizontal="left" vertical="center" wrapText="1"/>
    </xf>
    <xf numFmtId="43" fontId="0" fillId="0" borderId="0" xfId="1" applyFont="1"/>
    <xf numFmtId="167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/>
    <xf numFmtId="0" fontId="18" fillId="0" borderId="0" xfId="0" applyFont="1"/>
    <xf numFmtId="167" fontId="7" fillId="0" borderId="0" xfId="1" applyNumberFormat="1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67" fontId="20" fillId="0" borderId="0" xfId="1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11" fillId="6" borderId="1" xfId="1" applyNumberFormat="1" applyFont="1" applyFill="1" applyBorder="1"/>
    <xf numFmtId="0" fontId="11" fillId="6" borderId="1" xfId="0" applyFont="1" applyFill="1" applyBorder="1"/>
    <xf numFmtId="167" fontId="11" fillId="6" borderId="1" xfId="1" applyNumberFormat="1" applyFont="1" applyFill="1" applyBorder="1" applyAlignment="1" applyProtection="1">
      <alignment horizontal="right" vertical="center" wrapText="1"/>
    </xf>
    <xf numFmtId="10" fontId="11" fillId="6" borderId="1" xfId="2" applyNumberFormat="1" applyFont="1" applyFill="1" applyBorder="1" applyAlignment="1" applyProtection="1">
      <alignment wrapText="1"/>
      <protection locked="0"/>
    </xf>
    <xf numFmtId="167" fontId="11" fillId="6" borderId="1" xfId="1" applyNumberFormat="1" applyFont="1" applyFill="1" applyBorder="1" applyAlignment="1" applyProtection="1">
      <alignment wrapText="1"/>
      <protection locked="0"/>
    </xf>
    <xf numFmtId="43" fontId="11" fillId="6" borderId="1" xfId="1" applyFont="1" applyFill="1" applyBorder="1" applyAlignment="1" applyProtection="1">
      <alignment horizontal="righ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Continuous" vertical="center" wrapText="1"/>
    </xf>
    <xf numFmtId="0" fontId="14" fillId="3" borderId="1" xfId="0" applyFont="1" applyFill="1" applyBorder="1" applyAlignment="1">
      <alignment vertical="center" wrapText="1"/>
    </xf>
    <xf numFmtId="167" fontId="16" fillId="0" borderId="0" xfId="1" applyNumberFormat="1" applyFont="1"/>
    <xf numFmtId="0" fontId="1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10" fontId="12" fillId="3" borderId="1" xfId="2" applyNumberFormat="1" applyFont="1" applyFill="1" applyBorder="1" applyAlignment="1" applyProtection="1">
      <alignment wrapText="1"/>
      <protection locked="0"/>
    </xf>
    <xf numFmtId="0" fontId="14" fillId="3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Continuous" vertical="center" wrapText="1"/>
    </xf>
    <xf numFmtId="0" fontId="12" fillId="2" borderId="1" xfId="0" applyFont="1" applyFill="1" applyBorder="1" applyAlignment="1">
      <alignment horizontal="left" vertical="center" wrapText="1"/>
    </xf>
    <xf numFmtId="10" fontId="12" fillId="2" borderId="1" xfId="2" applyNumberFormat="1" applyFont="1" applyFill="1" applyBorder="1" applyAlignment="1" applyProtection="1">
      <alignment wrapText="1"/>
      <protection locked="0"/>
    </xf>
    <xf numFmtId="167" fontId="0" fillId="0" borderId="0" xfId="1" applyNumberFormat="1" applyFont="1" applyFill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25" fillId="0" borderId="0" xfId="0" applyFont="1"/>
    <xf numFmtId="9" fontId="0" fillId="0" borderId="1" xfId="2" applyFont="1" applyFill="1" applyBorder="1" applyAlignment="1">
      <alignment horizontal="center"/>
    </xf>
    <xf numFmtId="167" fontId="7" fillId="0" borderId="1" xfId="1" applyNumberFormat="1" applyFont="1" applyBorder="1"/>
    <xf numFmtId="167" fontId="16" fillId="0" borderId="0" xfId="0" applyNumberFormat="1" applyFont="1"/>
    <xf numFmtId="0" fontId="4" fillId="0" borderId="0" xfId="0" applyFont="1" applyAlignment="1">
      <alignment horizontal="center" vertical="center"/>
    </xf>
    <xf numFmtId="43" fontId="4" fillId="2" borderId="1" xfId="1" applyFont="1" applyFill="1" applyBorder="1" applyAlignment="1" applyProtection="1">
      <alignment horizontal="center" vertical="center" wrapText="1"/>
      <protection locked="0"/>
    </xf>
    <xf numFmtId="43" fontId="10" fillId="2" borderId="1" xfId="1" applyFont="1" applyFill="1" applyBorder="1" applyAlignment="1">
      <alignment horizontal="center" vertical="center" wrapText="1"/>
    </xf>
    <xf numFmtId="167" fontId="1" fillId="0" borderId="1" xfId="1" applyNumberFormat="1" applyFont="1" applyBorder="1"/>
    <xf numFmtId="0" fontId="11" fillId="5" borderId="1" xfId="0" applyFont="1" applyFill="1" applyBorder="1"/>
    <xf numFmtId="167" fontId="11" fillId="5" borderId="1" xfId="1" applyNumberFormat="1" applyFont="1" applyFill="1" applyBorder="1"/>
    <xf numFmtId="10" fontId="11" fillId="5" borderId="1" xfId="2" applyNumberFormat="1" applyFont="1" applyFill="1" applyBorder="1" applyAlignment="1">
      <alignment horizontal="center"/>
    </xf>
    <xf numFmtId="9" fontId="24" fillId="5" borderId="1" xfId="2" applyFont="1" applyFill="1" applyBorder="1"/>
    <xf numFmtId="0" fontId="10" fillId="0" borderId="1" xfId="0" applyFont="1" applyBorder="1" applyAlignment="1">
      <alignment horizontal="center" vertical="center" wrapText="1"/>
    </xf>
    <xf numFmtId="43" fontId="6" fillId="0" borderId="0" xfId="1" applyFont="1" applyAlignment="1">
      <alignment vertical="top" wrapText="1"/>
    </xf>
    <xf numFmtId="43" fontId="9" fillId="0" borderId="0" xfId="1" applyFont="1" applyAlignment="1">
      <alignment vertical="top" wrapText="1"/>
    </xf>
    <xf numFmtId="43" fontId="0" fillId="0" borderId="1" xfId="1" applyFont="1" applyBorder="1"/>
    <xf numFmtId="43" fontId="12" fillId="3" borderId="1" xfId="1" applyFont="1" applyFill="1" applyBorder="1" applyAlignment="1" applyProtection="1">
      <alignment horizontal="right" vertical="center" wrapText="1"/>
    </xf>
    <xf numFmtId="43" fontId="3" fillId="0" borderId="0" xfId="1" applyFont="1"/>
    <xf numFmtId="0" fontId="1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13" fillId="0" borderId="1" xfId="2" applyNumberFormat="1" applyFont="1" applyFill="1" applyBorder="1" applyAlignment="1" applyProtection="1">
      <alignment horizontal="center" vertical="center" wrapText="1"/>
      <protection locked="0"/>
    </xf>
    <xf numFmtId="10" fontId="11" fillId="6" borderId="1" xfId="2" applyNumberFormat="1" applyFont="1" applyFill="1" applyBorder="1"/>
    <xf numFmtId="10" fontId="12" fillId="3" borderId="1" xfId="2" applyNumberFormat="1" applyFont="1" applyFill="1" applyBorder="1"/>
    <xf numFmtId="10" fontId="7" fillId="3" borderId="1" xfId="2" applyNumberFormat="1" applyFont="1" applyFill="1" applyBorder="1"/>
    <xf numFmtId="167" fontId="26" fillId="0" borderId="0" xfId="1" applyNumberFormat="1" applyFont="1" applyFill="1" applyAlignment="1">
      <alignment horizontal="left"/>
    </xf>
    <xf numFmtId="167" fontId="26" fillId="0" borderId="0" xfId="1" applyNumberFormat="1" applyFont="1" applyFill="1" applyAlignment="1">
      <alignment horizontal="center" vertical="center"/>
    </xf>
    <xf numFmtId="167" fontId="1" fillId="0" borderId="0" xfId="1" applyNumberFormat="1" applyFont="1"/>
    <xf numFmtId="0" fontId="13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Continuous" vertical="center" wrapText="1"/>
    </xf>
    <xf numFmtId="0" fontId="14" fillId="7" borderId="1" xfId="0" applyFont="1" applyFill="1" applyBorder="1" applyAlignment="1">
      <alignment horizontal="left" vertical="center" wrapText="1"/>
    </xf>
    <xf numFmtId="167" fontId="13" fillId="8" borderId="1" xfId="6" applyNumberFormat="1" applyFont="1" applyFill="1" applyBorder="1" applyAlignment="1">
      <alignment horizontal="center" vertical="center"/>
    </xf>
    <xf numFmtId="167" fontId="13" fillId="9" borderId="1" xfId="6" applyNumberFormat="1" applyFont="1" applyFill="1" applyBorder="1" applyAlignment="1">
      <alignment horizontal="center" vertical="center"/>
    </xf>
    <xf numFmtId="167" fontId="13" fillId="7" borderId="1" xfId="6" applyNumberFormat="1" applyFont="1" applyFill="1" applyBorder="1" applyAlignment="1">
      <alignment horizontal="center" vertical="center"/>
    </xf>
    <xf numFmtId="0" fontId="13" fillId="8" borderId="1" xfId="0" applyFont="1" applyFill="1" applyBorder="1"/>
    <xf numFmtId="0" fontId="12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 wrapText="1"/>
    </xf>
    <xf numFmtId="167" fontId="3" fillId="0" borderId="0" xfId="1" applyNumberFormat="1" applyFont="1" applyBorder="1"/>
    <xf numFmtId="167" fontId="7" fillId="0" borderId="0" xfId="2" applyNumberFormat="1" applyFont="1"/>
    <xf numFmtId="167" fontId="12" fillId="0" borderId="0" xfId="1" applyNumberFormat="1" applyFont="1"/>
    <xf numFmtId="41" fontId="7" fillId="0" borderId="0" xfId="2" applyNumberFormat="1" applyFont="1"/>
    <xf numFmtId="167" fontId="7" fillId="0" borderId="10" xfId="2" applyNumberFormat="1" applyFont="1" applyBorder="1"/>
    <xf numFmtId="167" fontId="0" fillId="0" borderId="0" xfId="1" applyNumberFormat="1" applyFont="1" applyAlignment="1" applyProtection="1">
      <alignment wrapText="1"/>
      <protection locked="0"/>
    </xf>
    <xf numFmtId="167" fontId="10" fillId="10" borderId="1" xfId="1" applyNumberFormat="1" applyFont="1" applyFill="1" applyBorder="1" applyAlignment="1">
      <alignment horizontal="center" vertical="center" wrapText="1"/>
    </xf>
    <xf numFmtId="10" fontId="4" fillId="10" borderId="1" xfId="2" applyNumberFormat="1" applyFont="1" applyFill="1" applyBorder="1" applyAlignment="1" applyProtection="1">
      <alignment horizontal="center" vertical="center" wrapText="1"/>
      <protection locked="0"/>
    </xf>
    <xf numFmtId="10" fontId="12" fillId="2" borderId="1" xfId="2" applyNumberFormat="1" applyFont="1" applyFill="1" applyBorder="1"/>
    <xf numFmtId="10" fontId="0" fillId="0" borderId="1" xfId="0" applyNumberFormat="1" applyBorder="1"/>
    <xf numFmtId="167" fontId="0" fillId="0" borderId="1" xfId="1" applyNumberFormat="1" applyFont="1" applyFill="1" applyBorder="1" applyAlignment="1" applyProtection="1">
      <alignment wrapText="1"/>
      <protection locked="0"/>
    </xf>
    <xf numFmtId="10" fontId="0" fillId="0" borderId="1" xfId="2" applyNumberFormat="1" applyFont="1" applyFill="1" applyBorder="1" applyAlignment="1" applyProtection="1">
      <alignment horizontal="center" vertical="center" wrapText="1"/>
      <protection locked="0"/>
    </xf>
    <xf numFmtId="167" fontId="0" fillId="4" borderId="1" xfId="1" applyNumberFormat="1" applyFont="1" applyFill="1" applyBorder="1"/>
    <xf numFmtId="167" fontId="4" fillId="4" borderId="1" xfId="1" applyNumberFormat="1" applyFont="1" applyFill="1" applyBorder="1"/>
    <xf numFmtId="0" fontId="4" fillId="10" borderId="1" xfId="0" applyFont="1" applyFill="1" applyBorder="1"/>
    <xf numFmtId="167" fontId="4" fillId="10" borderId="1" xfId="1" applyNumberFormat="1" applyFont="1" applyFill="1" applyBorder="1"/>
    <xf numFmtId="0" fontId="12" fillId="7" borderId="1" xfId="0" applyFont="1" applyFill="1" applyBorder="1" applyAlignment="1">
      <alignment horizontal="centerContinuous" vertical="center" wrapText="1"/>
    </xf>
    <xf numFmtId="0" fontId="12" fillId="7" borderId="1" xfId="0" applyFont="1" applyFill="1" applyBorder="1" applyAlignment="1">
      <alignment horizontal="center" vertical="center" wrapText="1"/>
    </xf>
    <xf numFmtId="43" fontId="12" fillId="7" borderId="1" xfId="1" applyFont="1" applyFill="1" applyBorder="1"/>
    <xf numFmtId="10" fontId="12" fillId="7" borderId="1" xfId="2" applyNumberFormat="1" applyFont="1" applyFill="1" applyBorder="1" applyAlignment="1" applyProtection="1">
      <alignment wrapText="1"/>
      <protection locked="0"/>
    </xf>
    <xf numFmtId="167" fontId="12" fillId="7" borderId="1" xfId="1" applyNumberFormat="1" applyFont="1" applyFill="1" applyBorder="1"/>
    <xf numFmtId="167" fontId="11" fillId="9" borderId="1" xfId="1" applyNumberFormat="1" applyFont="1" applyFill="1" applyBorder="1" applyAlignment="1" applyProtection="1">
      <alignment horizontal="right" vertical="center" wrapText="1"/>
    </xf>
    <xf numFmtId="10" fontId="11" fillId="9" borderId="1" xfId="2" applyNumberFormat="1" applyFont="1" applyFill="1" applyBorder="1" applyAlignment="1" applyProtection="1">
      <alignment wrapText="1"/>
      <protection locked="0"/>
    </xf>
    <xf numFmtId="0" fontId="11" fillId="9" borderId="1" xfId="0" applyFont="1" applyFill="1" applyBorder="1"/>
    <xf numFmtId="167" fontId="11" fillId="9" borderId="1" xfId="1" applyNumberFormat="1" applyFont="1" applyFill="1" applyBorder="1"/>
    <xf numFmtId="167" fontId="12" fillId="7" borderId="1" xfId="1" applyNumberFormat="1" applyFont="1" applyFill="1" applyBorder="1" applyAlignment="1" applyProtection="1">
      <alignment horizontal="right" vertical="center" wrapText="1"/>
    </xf>
    <xf numFmtId="0" fontId="12" fillId="7" borderId="1" xfId="0" applyFont="1" applyFill="1" applyBorder="1"/>
    <xf numFmtId="167" fontId="7" fillId="7" borderId="1" xfId="1" applyNumberFormat="1" applyFont="1" applyFill="1" applyBorder="1" applyAlignment="1" applyProtection="1">
      <alignment wrapText="1"/>
      <protection locked="0"/>
    </xf>
    <xf numFmtId="0" fontId="7" fillId="7" borderId="1" xfId="0" applyFont="1" applyFill="1" applyBorder="1"/>
    <xf numFmtId="167" fontId="7" fillId="7" borderId="1" xfId="1" applyNumberFormat="1" applyFont="1" applyFill="1" applyBorder="1"/>
    <xf numFmtId="10" fontId="7" fillId="7" borderId="1" xfId="2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Alignment="1" applyProtection="1">
      <alignment horizontal="right" wrapText="1"/>
      <protection locked="0"/>
    </xf>
    <xf numFmtId="10" fontId="13" fillId="0" borderId="1" xfId="2" applyNumberFormat="1" applyFont="1" applyFill="1" applyBorder="1" applyAlignment="1" applyProtection="1">
      <alignment horizontal="right" wrapText="1"/>
      <protection locked="0"/>
    </xf>
    <xf numFmtId="10" fontId="13" fillId="9" borderId="1" xfId="2" applyNumberFormat="1" applyFont="1" applyFill="1" applyBorder="1" applyAlignment="1">
      <alignment horizontal="right" vertical="center"/>
    </xf>
    <xf numFmtId="10" fontId="13" fillId="7" borderId="1" xfId="2" applyNumberFormat="1" applyFont="1" applyFill="1" applyBorder="1" applyAlignment="1">
      <alignment horizontal="right" vertical="center"/>
    </xf>
    <xf numFmtId="10" fontId="13" fillId="8" borderId="1" xfId="2" applyNumberFormat="1" applyFont="1" applyFill="1" applyBorder="1" applyAlignment="1">
      <alignment horizontal="right" vertical="center"/>
    </xf>
    <xf numFmtId="10" fontId="12" fillId="7" borderId="1" xfId="2" applyNumberFormat="1" applyFont="1" applyFill="1" applyBorder="1" applyAlignment="1" applyProtection="1">
      <alignment horizontal="right" wrapText="1"/>
      <protection locked="0"/>
    </xf>
    <xf numFmtId="10" fontId="0" fillId="0" borderId="0" xfId="2" applyNumberFormat="1" applyFont="1" applyAlignment="1">
      <alignment horizontal="right"/>
    </xf>
    <xf numFmtId="10" fontId="11" fillId="9" borderId="1" xfId="2" applyNumberFormat="1" applyFont="1" applyFill="1" applyBorder="1" applyAlignment="1" applyProtection="1">
      <alignment horizontal="right" wrapText="1"/>
      <protection locked="0"/>
    </xf>
    <xf numFmtId="10" fontId="7" fillId="7" borderId="1" xfId="2" applyNumberFormat="1" applyFont="1" applyFill="1" applyBorder="1" applyAlignment="1" applyProtection="1">
      <alignment horizontal="right" wrapText="1"/>
      <protection locked="0"/>
    </xf>
    <xf numFmtId="10" fontId="11" fillId="6" borderId="1" xfId="2" applyNumberFormat="1" applyFont="1" applyFill="1" applyBorder="1" applyAlignment="1" applyProtection="1">
      <alignment horizontal="right" wrapText="1"/>
      <protection locked="0"/>
    </xf>
    <xf numFmtId="10" fontId="12" fillId="3" borderId="1" xfId="2" applyNumberFormat="1" applyFont="1" applyFill="1" applyBorder="1" applyAlignment="1" applyProtection="1">
      <alignment horizontal="right" wrapText="1"/>
      <protection locked="0"/>
    </xf>
    <xf numFmtId="167" fontId="13" fillId="8" borderId="1" xfId="1" applyNumberFormat="1" applyFont="1" applyFill="1" applyBorder="1" applyAlignment="1">
      <alignment horizontal="center" vertical="center"/>
    </xf>
    <xf numFmtId="43" fontId="11" fillId="9" borderId="1" xfId="1" applyFont="1" applyFill="1" applyBorder="1" applyAlignment="1" applyProtection="1">
      <alignment horizontal="right" vertical="center" wrapText="1"/>
    </xf>
    <xf numFmtId="43" fontId="12" fillId="7" borderId="1" xfId="1" applyFont="1" applyFill="1" applyBorder="1" applyAlignment="1" applyProtection="1">
      <alignment horizontal="right" vertical="center" wrapText="1"/>
    </xf>
    <xf numFmtId="43" fontId="7" fillId="7" borderId="1" xfId="1" applyFont="1" applyFill="1" applyBorder="1" applyAlignment="1" applyProtection="1">
      <alignment wrapText="1"/>
      <protection locked="0"/>
    </xf>
    <xf numFmtId="43" fontId="13" fillId="8" borderId="1" xfId="1" applyFont="1" applyFill="1" applyBorder="1" applyAlignment="1">
      <alignment horizontal="center" vertical="center"/>
    </xf>
    <xf numFmtId="43" fontId="13" fillId="9" borderId="1" xfId="1" applyFont="1" applyFill="1" applyBorder="1" applyAlignment="1">
      <alignment horizontal="center" vertical="center"/>
    </xf>
    <xf numFmtId="43" fontId="13" fillId="7" borderId="1" xfId="1" applyFont="1" applyFill="1" applyBorder="1" applyAlignment="1">
      <alignment horizontal="center" vertical="center"/>
    </xf>
    <xf numFmtId="43" fontId="14" fillId="7" borderId="1" xfId="1" applyFont="1" applyFill="1" applyBorder="1" applyAlignment="1" applyProtection="1">
      <alignment horizontal="right" vertical="center" wrapText="1"/>
    </xf>
    <xf numFmtId="167" fontId="0" fillId="8" borderId="1" xfId="1" applyNumberFormat="1" applyFont="1" applyFill="1" applyBorder="1"/>
    <xf numFmtId="167" fontId="15" fillId="8" borderId="1" xfId="6" applyNumberFormat="1" applyFont="1" applyFill="1" applyBorder="1" applyAlignment="1">
      <alignment horizontal="center" vertical="center"/>
    </xf>
    <xf numFmtId="0" fontId="11" fillId="0" borderId="0" xfId="0" applyFont="1"/>
    <xf numFmtId="10" fontId="12" fillId="7" borderId="1" xfId="2" applyNumberFormat="1" applyFont="1" applyFill="1" applyBorder="1" applyAlignment="1">
      <alignment horizontal="right" vertical="center"/>
    </xf>
    <xf numFmtId="0" fontId="0" fillId="8" borderId="1" xfId="0" applyFill="1" applyBorder="1"/>
    <xf numFmtId="167" fontId="13" fillId="0" borderId="1" xfId="6" applyNumberFormat="1" applyFont="1" applyFill="1" applyBorder="1" applyAlignment="1">
      <alignment horizontal="center" vertical="center"/>
    </xf>
    <xf numFmtId="167" fontId="12" fillId="7" borderId="1" xfId="6" applyNumberFormat="1" applyFont="1" applyFill="1" applyBorder="1" applyAlignment="1">
      <alignment horizontal="left" vertical="center"/>
    </xf>
    <xf numFmtId="167" fontId="13" fillId="0" borderId="1" xfId="6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7" fontId="4" fillId="3" borderId="1" xfId="1" applyNumberFormat="1" applyFont="1" applyFill="1" applyBorder="1"/>
    <xf numFmtId="0" fontId="26" fillId="0" borderId="1" xfId="0" applyFont="1" applyBorder="1"/>
    <xf numFmtId="167" fontId="13" fillId="9" borderId="1" xfId="1" applyNumberFormat="1" applyFont="1" applyFill="1" applyBorder="1" applyAlignment="1">
      <alignment horizontal="center" vertical="center"/>
    </xf>
    <xf numFmtId="167" fontId="13" fillId="7" borderId="1" xfId="1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0" borderId="11" xfId="0" applyNumberFormat="1" applyBorder="1" applyAlignment="1">
      <alignment horizontal="center"/>
    </xf>
    <xf numFmtId="0" fontId="9" fillId="8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/>
    </xf>
    <xf numFmtId="0" fontId="21" fillId="11" borderId="14" xfId="0" applyFont="1" applyFill="1" applyBorder="1" applyAlignment="1">
      <alignment horizontal="center" vertical="center"/>
    </xf>
    <xf numFmtId="168" fontId="21" fillId="11" borderId="14" xfId="0" applyNumberFormat="1" applyFont="1" applyFill="1" applyBorder="1" applyAlignment="1">
      <alignment horizontal="center" vertical="center"/>
    </xf>
    <xf numFmtId="0" fontId="11" fillId="13" borderId="14" xfId="0" applyFont="1" applyFill="1" applyBorder="1"/>
    <xf numFmtId="0" fontId="0" fillId="14" borderId="14" xfId="0" applyFill="1" applyBorder="1"/>
    <xf numFmtId="0" fontId="0" fillId="0" borderId="14" xfId="0" applyBorder="1"/>
    <xf numFmtId="168" fontId="11" fillId="13" borderId="14" xfId="0" applyNumberFormat="1" applyFont="1" applyFill="1" applyBorder="1" applyAlignment="1">
      <alignment horizontal="center"/>
    </xf>
    <xf numFmtId="168" fontId="0" fillId="14" borderId="14" xfId="0" applyNumberFormat="1" applyFill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168" fontId="0" fillId="0" borderId="14" xfId="0" applyNumberFormat="1" applyBorder="1"/>
    <xf numFmtId="168" fontId="0" fillId="14" borderId="14" xfId="0" applyNumberFormat="1" applyFill="1" applyBorder="1"/>
    <xf numFmtId="0" fontId="12" fillId="2" borderId="1" xfId="0" applyFont="1" applyFill="1" applyBorder="1"/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left" vertical="center" wrapText="1"/>
    </xf>
    <xf numFmtId="167" fontId="14" fillId="2" borderId="1" xfId="1" applyNumberFormat="1" applyFont="1" applyFill="1" applyBorder="1" applyAlignment="1" applyProtection="1">
      <alignment horizontal="right" vertical="center" wrapText="1"/>
    </xf>
    <xf numFmtId="0" fontId="7" fillId="2" borderId="1" xfId="0" applyFont="1" applyFill="1" applyBorder="1"/>
    <xf numFmtId="167" fontId="7" fillId="2" borderId="1" xfId="1" applyNumberFormat="1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167" fontId="14" fillId="7" borderId="1" xfId="1" applyNumberFormat="1" applyFont="1" applyFill="1" applyBorder="1" applyAlignment="1" applyProtection="1">
      <alignment horizontal="right" vertical="center" wrapText="1"/>
    </xf>
    <xf numFmtId="167" fontId="13" fillId="0" borderId="1" xfId="1" applyNumberFormat="1" applyFont="1" applyFill="1" applyBorder="1" applyAlignment="1">
      <alignment horizontal="center" vertical="center"/>
    </xf>
    <xf numFmtId="168" fontId="0" fillId="0" borderId="0" xfId="0" applyNumberFormat="1"/>
    <xf numFmtId="168" fontId="11" fillId="13" borderId="14" xfId="0" applyNumberFormat="1" applyFont="1" applyFill="1" applyBorder="1"/>
    <xf numFmtId="10" fontId="7" fillId="2" borderId="1" xfId="2" applyNumberFormat="1" applyFont="1" applyFill="1" applyBorder="1"/>
    <xf numFmtId="0" fontId="0" fillId="0" borderId="1" xfId="0" applyBorder="1" applyAlignment="1">
      <alignment horizontal="center"/>
    </xf>
    <xf numFmtId="168" fontId="0" fillId="0" borderId="0" xfId="0" applyNumberFormat="1" applyAlignment="1">
      <alignment horizontal="right"/>
    </xf>
    <xf numFmtId="168" fontId="11" fillId="0" borderId="0" xfId="0" applyNumberFormat="1" applyFont="1" applyAlignment="1">
      <alignment horizontal="right"/>
    </xf>
    <xf numFmtId="167" fontId="12" fillId="9" borderId="1" xfId="6" applyNumberFormat="1" applyFont="1" applyFill="1" applyBorder="1" applyAlignment="1">
      <alignment horizontal="center" vertical="center"/>
    </xf>
    <xf numFmtId="43" fontId="12" fillId="9" borderId="1" xfId="1" applyFont="1" applyFill="1" applyBorder="1" applyAlignment="1">
      <alignment horizontal="center" vertical="center"/>
    </xf>
    <xf numFmtId="10" fontId="12" fillId="9" borderId="1" xfId="2" applyNumberFormat="1" applyFont="1" applyFill="1" applyBorder="1" applyAlignment="1">
      <alignment horizontal="right" vertical="center"/>
    </xf>
    <xf numFmtId="167" fontId="12" fillId="9" borderId="1" xfId="1" applyNumberFormat="1" applyFont="1" applyFill="1" applyBorder="1" applyAlignment="1">
      <alignment horizontal="center" vertical="center"/>
    </xf>
    <xf numFmtId="167" fontId="12" fillId="7" borderId="1" xfId="6" applyNumberFormat="1" applyFont="1" applyFill="1" applyBorder="1" applyAlignment="1">
      <alignment horizontal="center" vertical="center"/>
    </xf>
    <xf numFmtId="43" fontId="12" fillId="7" borderId="1" xfId="1" applyFont="1" applyFill="1" applyBorder="1" applyAlignment="1">
      <alignment horizontal="center" vertical="center"/>
    </xf>
    <xf numFmtId="167" fontId="12" fillId="7" borderId="1" xfId="1" applyNumberFormat="1" applyFont="1" applyFill="1" applyBorder="1" applyAlignment="1">
      <alignment horizontal="center" vertical="center"/>
    </xf>
    <xf numFmtId="10" fontId="3" fillId="0" borderId="0" xfId="2" applyNumberFormat="1" applyFont="1" applyBorder="1"/>
    <xf numFmtId="167" fontId="0" fillId="0" borderId="10" xfId="1" applyNumberFormat="1" applyFont="1" applyBorder="1"/>
    <xf numFmtId="167" fontId="12" fillId="9" borderId="1" xfId="6" applyNumberFormat="1" applyFont="1" applyFill="1" applyBorder="1" applyAlignment="1">
      <alignment horizontal="left" vertical="center"/>
    </xf>
    <xf numFmtId="167" fontId="12" fillId="9" borderId="1" xfId="1" applyNumberFormat="1" applyFont="1" applyFill="1" applyBorder="1" applyAlignment="1" applyProtection="1">
      <alignment horizontal="right" vertical="center" wrapText="1"/>
    </xf>
    <xf numFmtId="10" fontId="12" fillId="9" borderId="1" xfId="2" applyNumberFormat="1" applyFont="1" applyFill="1" applyBorder="1" applyAlignment="1" applyProtection="1">
      <alignment horizontal="right" wrapText="1"/>
      <protection locked="0"/>
    </xf>
    <xf numFmtId="0" fontId="12" fillId="9" borderId="1" xfId="0" applyFont="1" applyFill="1" applyBorder="1"/>
    <xf numFmtId="167" fontId="12" fillId="9" borderId="1" xfId="1" applyNumberFormat="1" applyFont="1" applyFill="1" applyBorder="1"/>
    <xf numFmtId="167" fontId="16" fillId="0" borderId="0" xfId="2" applyNumberFormat="1" applyFont="1"/>
    <xf numFmtId="10" fontId="12" fillId="7" borderId="1" xfId="2" applyNumberFormat="1" applyFont="1" applyFill="1" applyBorder="1" applyAlignment="1">
      <alignment horizontal="right"/>
    </xf>
    <xf numFmtId="10" fontId="14" fillId="7" borderId="1" xfId="2" applyNumberFormat="1" applyFont="1" applyFill="1" applyBorder="1" applyAlignment="1" applyProtection="1">
      <alignment horizontal="right" vertical="center" wrapText="1"/>
    </xf>
    <xf numFmtId="167" fontId="0" fillId="0" borderId="0" xfId="1" applyNumberFormat="1" applyFont="1" applyBorder="1"/>
    <xf numFmtId="167" fontId="16" fillId="0" borderId="0" xfId="2" applyNumberFormat="1" applyFont="1" applyBorder="1"/>
    <xf numFmtId="10" fontId="3" fillId="0" borderId="0" xfId="2" applyNumberFormat="1" applyFont="1" applyBorder="1" applyAlignment="1">
      <alignment horizontal="left"/>
    </xf>
    <xf numFmtId="10" fontId="3" fillId="0" borderId="0" xfId="2" applyNumberFormat="1" applyFont="1" applyAlignment="1">
      <alignment horizontal="left"/>
    </xf>
    <xf numFmtId="10" fontId="16" fillId="0" borderId="0" xfId="2" applyNumberFormat="1" applyFont="1" applyAlignment="1">
      <alignment horizontal="left"/>
    </xf>
    <xf numFmtId="0" fontId="26" fillId="14" borderId="14" xfId="0" applyFont="1" applyFill="1" applyBorder="1"/>
    <xf numFmtId="0" fontId="13" fillId="14" borderId="14" xfId="0" applyFont="1" applyFill="1" applyBorder="1"/>
    <xf numFmtId="0" fontId="27" fillId="14" borderId="14" xfId="0" applyFont="1" applyFill="1" applyBorder="1"/>
    <xf numFmtId="15" fontId="2" fillId="13" borderId="14" xfId="0" applyNumberFormat="1" applyFont="1" applyFill="1" applyBorder="1" applyAlignment="1">
      <alignment horizontal="right"/>
    </xf>
    <xf numFmtId="168" fontId="0" fillId="14" borderId="14" xfId="0" applyNumberFormat="1" applyFill="1" applyBorder="1" applyAlignment="1">
      <alignment horizontal="right"/>
    </xf>
    <xf numFmtId="168" fontId="0" fillId="14" borderId="14" xfId="0" quotePrefix="1" applyNumberFormat="1" applyFill="1" applyBorder="1" applyAlignment="1">
      <alignment horizontal="right" vertical="center"/>
    </xf>
    <xf numFmtId="168" fontId="0" fillId="0" borderId="14" xfId="0" applyNumberFormat="1" applyBorder="1" applyAlignment="1">
      <alignment horizontal="right"/>
    </xf>
    <xf numFmtId="168" fontId="0" fillId="0" borderId="14" xfId="0" quotePrefix="1" applyNumberFormat="1" applyBorder="1" applyAlignment="1">
      <alignment horizontal="right" vertical="center"/>
    </xf>
    <xf numFmtId="168" fontId="11" fillId="13" borderId="14" xfId="0" applyNumberFormat="1" applyFont="1" applyFill="1" applyBorder="1" applyAlignment="1">
      <alignment horizontal="right"/>
    </xf>
    <xf numFmtId="168" fontId="13" fillId="14" borderId="14" xfId="0" applyNumberFormat="1" applyFont="1" applyFill="1" applyBorder="1" applyAlignment="1">
      <alignment horizontal="right"/>
    </xf>
    <xf numFmtId="9" fontId="10" fillId="2" borderId="1" xfId="2" applyFont="1" applyFill="1" applyBorder="1" applyAlignment="1">
      <alignment horizontal="center" vertical="center" wrapText="1"/>
    </xf>
    <xf numFmtId="9" fontId="0" fillId="0" borderId="1" xfId="2" applyFont="1" applyBorder="1"/>
    <xf numFmtId="9" fontId="13" fillId="8" borderId="1" xfId="2" applyFont="1" applyFill="1" applyBorder="1" applyAlignment="1">
      <alignment horizontal="right" vertical="center"/>
    </xf>
    <xf numFmtId="9" fontId="12" fillId="2" borderId="8" xfId="2" applyFont="1" applyFill="1" applyBorder="1"/>
    <xf numFmtId="9" fontId="12" fillId="9" borderId="1" xfId="2" applyFont="1" applyFill="1" applyBorder="1" applyAlignment="1">
      <alignment horizontal="right" vertical="center"/>
    </xf>
    <xf numFmtId="9" fontId="11" fillId="6" borderId="1" xfId="2" applyFont="1" applyFill="1" applyBorder="1" applyAlignment="1">
      <alignment horizontal="right"/>
    </xf>
    <xf numFmtId="167" fontId="0" fillId="0" borderId="1" xfId="1" applyNumberFormat="1" applyFont="1" applyBorder="1" applyAlignment="1">
      <alignment vertical="center"/>
    </xf>
    <xf numFmtId="9" fontId="12" fillId="7" borderId="8" xfId="2" applyFont="1" applyFill="1" applyBorder="1"/>
    <xf numFmtId="167" fontId="9" fillId="8" borderId="1" xfId="1" applyNumberFormat="1" applyFont="1" applyFill="1" applyBorder="1" applyAlignment="1">
      <alignment horizontal="left" vertical="center" wrapText="1"/>
    </xf>
    <xf numFmtId="167" fontId="13" fillId="0" borderId="1" xfId="1" applyNumberFormat="1" applyFont="1" applyBorder="1"/>
    <xf numFmtId="9" fontId="12" fillId="7" borderId="1" xfId="2" applyFont="1" applyFill="1" applyBorder="1" applyAlignment="1">
      <alignment horizontal="right" vertical="center"/>
    </xf>
    <xf numFmtId="9" fontId="7" fillId="3" borderId="1" xfId="2" applyFont="1" applyFill="1" applyBorder="1" applyAlignment="1">
      <alignment horizontal="right"/>
    </xf>
    <xf numFmtId="10" fontId="0" fillId="8" borderId="1" xfId="2" applyNumberFormat="1" applyFont="1" applyFill="1" applyBorder="1"/>
    <xf numFmtId="9" fontId="0" fillId="9" borderId="1" xfId="2" applyFont="1" applyFill="1" applyBorder="1"/>
    <xf numFmtId="167" fontId="3" fillId="0" borderId="0" xfId="1" applyNumberFormat="1" applyFont="1" applyFill="1"/>
    <xf numFmtId="9" fontId="13" fillId="9" borderId="1" xfId="2" applyFont="1" applyFill="1" applyBorder="1" applyAlignment="1">
      <alignment horizontal="right" vertical="center"/>
    </xf>
    <xf numFmtId="9" fontId="0" fillId="0" borderId="1" xfId="2" applyFont="1" applyBorder="1" applyAlignment="1">
      <alignment horizontal="right"/>
    </xf>
    <xf numFmtId="9" fontId="12" fillId="2" borderId="1" xfId="2" applyFont="1" applyFill="1" applyBorder="1" applyAlignment="1">
      <alignment horizontal="right"/>
    </xf>
    <xf numFmtId="9" fontId="15" fillId="9" borderId="1" xfId="2" applyFont="1" applyFill="1" applyBorder="1" applyAlignment="1">
      <alignment horizontal="right" vertical="center"/>
    </xf>
    <xf numFmtId="9" fontId="9" fillId="8" borderId="1" xfId="2" applyFont="1" applyFill="1" applyBorder="1" applyAlignment="1">
      <alignment horizontal="right" vertical="center" wrapText="1"/>
    </xf>
    <xf numFmtId="9" fontId="12" fillId="3" borderId="1" xfId="2" applyFont="1" applyFill="1" applyBorder="1" applyAlignment="1">
      <alignment horizontal="right"/>
    </xf>
    <xf numFmtId="9" fontId="13" fillId="7" borderId="1" xfId="2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4" fillId="0" borderId="14" xfId="0" applyFont="1" applyBorder="1"/>
    <xf numFmtId="168" fontId="4" fillId="0" borderId="14" xfId="0" applyNumberFormat="1" applyFont="1" applyBorder="1" applyAlignment="1">
      <alignment horizontal="center"/>
    </xf>
    <xf numFmtId="168" fontId="2" fillId="11" borderId="14" xfId="0" applyNumberFormat="1" applyFont="1" applyFill="1" applyBorder="1" applyAlignment="1">
      <alignment horizontal="center" vertical="center"/>
    </xf>
    <xf numFmtId="9" fontId="13" fillId="0" borderId="0" xfId="2" applyFont="1"/>
    <xf numFmtId="167" fontId="12" fillId="7" borderId="1" xfId="0" applyNumberFormat="1" applyFont="1" applyFill="1" applyBorder="1" applyAlignment="1">
      <alignment horizontal="center" vertical="center" wrapText="1"/>
    </xf>
    <xf numFmtId="10" fontId="0" fillId="0" borderId="0" xfId="2" applyNumberFormat="1" applyFont="1" applyAlignment="1"/>
    <xf numFmtId="167" fontId="0" fillId="0" borderId="0" xfId="1" applyNumberFormat="1" applyFont="1" applyFill="1" applyAlignment="1"/>
    <xf numFmtId="167" fontId="0" fillId="0" borderId="1" xfId="1" applyNumberFormat="1" applyFont="1" applyBorder="1" applyAlignment="1"/>
    <xf numFmtId="167" fontId="0" fillId="8" borderId="1" xfId="1" applyNumberFormat="1" applyFont="1" applyFill="1" applyBorder="1" applyAlignment="1"/>
    <xf numFmtId="167" fontId="11" fillId="6" borderId="1" xfId="1" applyNumberFormat="1" applyFont="1" applyFill="1" applyBorder="1" applyAlignment="1"/>
    <xf numFmtId="167" fontId="7" fillId="3" borderId="1" xfId="1" applyNumberFormat="1" applyFont="1" applyFill="1" applyBorder="1" applyAlignment="1"/>
    <xf numFmtId="167" fontId="7" fillId="2" borderId="1" xfId="1" applyNumberFormat="1" applyFont="1" applyFill="1" applyBorder="1" applyAlignment="1"/>
    <xf numFmtId="10" fontId="11" fillId="6" borderId="1" xfId="2" applyNumberFormat="1" applyFont="1" applyFill="1" applyBorder="1" applyAlignment="1"/>
    <xf numFmtId="10" fontId="7" fillId="3" borderId="1" xfId="2" applyNumberFormat="1" applyFont="1" applyFill="1" applyBorder="1" applyAlignment="1"/>
    <xf numFmtId="10" fontId="7" fillId="2" borderId="1" xfId="2" applyNumberFormat="1" applyFont="1" applyFill="1" applyBorder="1" applyAlignment="1"/>
    <xf numFmtId="10" fontId="4" fillId="2" borderId="1" xfId="2" applyNumberFormat="1" applyFont="1" applyFill="1" applyBorder="1" applyAlignment="1">
      <alignment horizontal="center" vertical="center" wrapText="1"/>
    </xf>
    <xf numFmtId="167" fontId="7" fillId="0" borderId="0" xfId="1" applyNumberFormat="1" applyFont="1" applyFill="1" applyAlignment="1">
      <alignment horizontal="center" vertical="center"/>
    </xf>
    <xf numFmtId="167" fontId="20" fillId="0" borderId="0" xfId="1" applyNumberFormat="1" applyFont="1" applyFill="1" applyAlignment="1">
      <alignment horizontal="center" vertical="center"/>
    </xf>
    <xf numFmtId="9" fontId="0" fillId="0" borderId="1" xfId="2" applyFont="1" applyFill="1" applyBorder="1" applyAlignment="1" applyProtection="1">
      <alignment horizontal="center" vertical="center" wrapText="1"/>
      <protection locked="0"/>
    </xf>
    <xf numFmtId="9" fontId="4" fillId="2" borderId="1" xfId="2" applyFont="1" applyFill="1" applyBorder="1" applyAlignment="1" applyProtection="1">
      <alignment horizontal="center" vertical="center" wrapText="1"/>
      <protection locked="0"/>
    </xf>
    <xf numFmtId="9" fontId="11" fillId="9" borderId="1" xfId="2" applyFont="1" applyFill="1" applyBorder="1" applyAlignment="1" applyProtection="1">
      <alignment horizontal="right" wrapText="1"/>
      <protection locked="0"/>
    </xf>
    <xf numFmtId="9" fontId="7" fillId="7" borderId="1" xfId="2" applyFont="1" applyFill="1" applyBorder="1" applyAlignment="1" applyProtection="1">
      <alignment horizontal="right" wrapText="1"/>
      <protection locked="0"/>
    </xf>
    <xf numFmtId="9" fontId="14" fillId="7" borderId="1" xfId="2" applyFont="1" applyFill="1" applyBorder="1" applyAlignment="1" applyProtection="1">
      <alignment horizontal="right" vertical="center" wrapText="1"/>
    </xf>
    <xf numFmtId="9" fontId="0" fillId="0" borderId="0" xfId="2" applyFont="1" applyAlignment="1" applyProtection="1">
      <alignment horizontal="right" wrapText="1"/>
      <protection locked="0"/>
    </xf>
    <xf numFmtId="9" fontId="0" fillId="0" borderId="1" xfId="2" applyFont="1" applyBorder="1" applyAlignment="1">
      <alignment horizontal="right" vertical="center"/>
    </xf>
    <xf numFmtId="9" fontId="13" fillId="0" borderId="1" xfId="2" applyFont="1" applyBorder="1" applyAlignment="1">
      <alignment horizontal="right"/>
    </xf>
    <xf numFmtId="9" fontId="0" fillId="0" borderId="0" xfId="2" applyFont="1" applyAlignment="1">
      <alignment horizontal="right"/>
    </xf>
    <xf numFmtId="9" fontId="0" fillId="8" borderId="1" xfId="2" applyFont="1" applyFill="1" applyBorder="1" applyAlignment="1">
      <alignment horizontal="right"/>
    </xf>
    <xf numFmtId="9" fontId="7" fillId="2" borderId="1" xfId="2" applyFont="1" applyFill="1" applyBorder="1" applyAlignment="1">
      <alignment horizontal="right"/>
    </xf>
    <xf numFmtId="9" fontId="11" fillId="9" borderId="1" xfId="2" applyFont="1" applyFill="1" applyBorder="1" applyAlignment="1">
      <alignment horizontal="right"/>
    </xf>
    <xf numFmtId="9" fontId="7" fillId="7" borderId="1" xfId="2" applyFont="1" applyFill="1" applyBorder="1" applyAlignment="1">
      <alignment horizontal="right"/>
    </xf>
    <xf numFmtId="9" fontId="12" fillId="7" borderId="1" xfId="2" applyFont="1" applyFill="1" applyBorder="1" applyAlignment="1" applyProtection="1">
      <alignment horizontal="right" wrapText="1"/>
      <protection locked="0"/>
    </xf>
    <xf numFmtId="167" fontId="13" fillId="8" borderId="1" xfId="1" applyNumberFormat="1" applyFont="1" applyFill="1" applyBorder="1" applyAlignment="1">
      <alignment horizontal="right" vertical="center"/>
    </xf>
    <xf numFmtId="167" fontId="11" fillId="9" borderId="1" xfId="1" applyNumberFormat="1" applyFont="1" applyFill="1" applyBorder="1" applyAlignment="1" applyProtection="1">
      <alignment horizontal="right" wrapText="1"/>
      <protection locked="0"/>
    </xf>
    <xf numFmtId="167" fontId="7" fillId="7" borderId="1" xfId="1" applyNumberFormat="1" applyFont="1" applyFill="1" applyBorder="1" applyAlignment="1" applyProtection="1">
      <alignment horizontal="right" wrapText="1"/>
      <protection locked="0"/>
    </xf>
    <xf numFmtId="167" fontId="13" fillId="9" borderId="1" xfId="1" applyNumberFormat="1" applyFont="1" applyFill="1" applyBorder="1" applyAlignment="1">
      <alignment horizontal="right" vertical="center"/>
    </xf>
    <xf numFmtId="167" fontId="13" fillId="7" borderId="1" xfId="1" applyNumberFormat="1" applyFont="1" applyFill="1" applyBorder="1" applyAlignment="1">
      <alignment horizontal="right" vertical="center"/>
    </xf>
    <xf numFmtId="167" fontId="11" fillId="9" borderId="1" xfId="1" applyNumberFormat="1" applyFont="1" applyFill="1" applyBorder="1" applyAlignment="1" applyProtection="1">
      <alignment wrapText="1"/>
      <protection locked="0"/>
    </xf>
    <xf numFmtId="167" fontId="12" fillId="7" borderId="1" xfId="1" applyNumberFormat="1" applyFont="1" applyFill="1" applyBorder="1" applyAlignment="1" applyProtection="1">
      <alignment wrapText="1"/>
      <protection locked="0"/>
    </xf>
    <xf numFmtId="167" fontId="0" fillId="0" borderId="0" xfId="1" applyNumberFormat="1" applyFont="1" applyFill="1" applyAlignment="1">
      <alignment horizontal="center"/>
    </xf>
    <xf numFmtId="167" fontId="0" fillId="0" borderId="0" xfId="1" applyNumberFormat="1" applyFont="1" applyFill="1" applyAlignment="1">
      <alignment horizontal="center" vertical="center"/>
    </xf>
    <xf numFmtId="9" fontId="0" fillId="9" borderId="1" xfId="2" applyFont="1" applyFill="1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10" fontId="0" fillId="0" borderId="0" xfId="2" applyNumberFormat="1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10" fontId="0" fillId="0" borderId="1" xfId="2" applyNumberFormat="1" applyFont="1" applyBorder="1" applyAlignment="1"/>
    <xf numFmtId="0" fontId="13" fillId="0" borderId="1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167" fontId="0" fillId="0" borderId="0" xfId="1" applyNumberFormat="1" applyFont="1" applyAlignment="1"/>
    <xf numFmtId="10" fontId="9" fillId="8" borderId="1" xfId="2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26" fillId="0" borderId="14" xfId="0" applyFont="1" applyBorder="1"/>
    <xf numFmtId="168" fontId="4" fillId="0" borderId="14" xfId="0" applyNumberFormat="1" applyFont="1" applyBorder="1"/>
    <xf numFmtId="0" fontId="4" fillId="0" borderId="14" xfId="0" applyFont="1" applyBorder="1" applyAlignment="1">
      <alignment horizontal="center" vertical="center"/>
    </xf>
    <xf numFmtId="168" fontId="4" fillId="0" borderId="14" xfId="0" quotePrefix="1" applyNumberFormat="1" applyFont="1" applyBorder="1" applyAlignment="1">
      <alignment horizontal="right" vertical="center"/>
    </xf>
    <xf numFmtId="168" fontId="4" fillId="0" borderId="14" xfId="0" applyNumberFormat="1" applyFont="1" applyBorder="1" applyAlignment="1">
      <alignment horizontal="right"/>
    </xf>
    <xf numFmtId="43" fontId="0" fillId="8" borderId="1" xfId="2" applyNumberFormat="1" applyFont="1" applyFill="1" applyBorder="1" applyAlignment="1">
      <alignment horizontal="right"/>
    </xf>
    <xf numFmtId="10" fontId="3" fillId="0" borderId="0" xfId="2" applyNumberFormat="1" applyFont="1" applyBorder="1" applyAlignment="1">
      <alignment horizontal="right"/>
    </xf>
    <xf numFmtId="10" fontId="3" fillId="0" borderId="0" xfId="2" applyNumberFormat="1" applyFont="1" applyAlignment="1">
      <alignment horizontal="right"/>
    </xf>
    <xf numFmtId="10" fontId="16" fillId="0" borderId="0" xfId="2" applyNumberFormat="1" applyFont="1" applyAlignment="1">
      <alignment horizontal="right"/>
    </xf>
    <xf numFmtId="0" fontId="0" fillId="0" borderId="14" xfId="0" applyBorder="1" applyAlignment="1">
      <alignment horizontal="center" vertical="center"/>
    </xf>
    <xf numFmtId="0" fontId="28" fillId="0" borderId="0" xfId="0" applyFont="1" applyAlignment="1">
      <alignment vertical="top" wrapText="1"/>
    </xf>
    <xf numFmtId="167" fontId="28" fillId="0" borderId="0" xfId="1" applyNumberFormat="1" applyFont="1" applyAlignment="1">
      <alignment vertical="top" wrapText="1"/>
    </xf>
    <xf numFmtId="10" fontId="3" fillId="0" borderId="0" xfId="2" applyNumberFormat="1" applyFont="1" applyAlignment="1" applyProtection="1">
      <alignment wrapText="1"/>
      <protection locked="0"/>
    </xf>
    <xf numFmtId="0" fontId="21" fillId="11" borderId="11" xfId="0" applyFont="1" applyFill="1" applyBorder="1" applyAlignment="1">
      <alignment horizontal="center" vertical="center"/>
    </xf>
    <xf numFmtId="168" fontId="2" fillId="11" borderId="11" xfId="0" applyNumberFormat="1" applyFont="1" applyFill="1" applyBorder="1" applyAlignment="1">
      <alignment horizontal="center" vertical="center"/>
    </xf>
    <xf numFmtId="0" fontId="11" fillId="13" borderId="11" xfId="0" applyFont="1" applyFill="1" applyBorder="1"/>
    <xf numFmtId="168" fontId="11" fillId="13" borderId="11" xfId="0" applyNumberFormat="1" applyFont="1" applyFill="1" applyBorder="1" applyAlignment="1">
      <alignment horizontal="center"/>
    </xf>
    <xf numFmtId="0" fontId="26" fillId="14" borderId="11" xfId="0" applyFont="1" applyFill="1" applyBorder="1"/>
    <xf numFmtId="0" fontId="0" fillId="14" borderId="11" xfId="0" applyFill="1" applyBorder="1"/>
    <xf numFmtId="168" fontId="0" fillId="14" borderId="11" xfId="0" quotePrefix="1" applyNumberFormat="1" applyFill="1" applyBorder="1" applyAlignment="1">
      <alignment horizontal="center" vertical="center"/>
    </xf>
    <xf numFmtId="0" fontId="0" fillId="0" borderId="11" xfId="0" applyBorder="1"/>
    <xf numFmtId="168" fontId="0" fillId="0" borderId="11" xfId="0" quotePrefix="1" applyNumberFormat="1" applyBorder="1" applyAlignment="1">
      <alignment horizontal="center" vertical="center"/>
    </xf>
    <xf numFmtId="0" fontId="26" fillId="0" borderId="11" xfId="0" applyFont="1" applyBorder="1"/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/>
    <xf numFmtId="168" fontId="4" fillId="0" borderId="11" xfId="0" quotePrefix="1" applyNumberFormat="1" applyFont="1" applyBorder="1" applyAlignment="1">
      <alignment horizontal="center" vertical="center"/>
    </xf>
    <xf numFmtId="168" fontId="0" fillId="14" borderId="11" xfId="0" applyNumberForma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3" fillId="14" borderId="11" xfId="0" applyFont="1" applyFill="1" applyBorder="1"/>
    <xf numFmtId="168" fontId="13" fillId="14" borderId="11" xfId="0" applyNumberFormat="1" applyFont="1" applyFill="1" applyBorder="1" applyAlignment="1">
      <alignment horizontal="center"/>
    </xf>
    <xf numFmtId="0" fontId="27" fillId="14" borderId="11" xfId="0" applyFont="1" applyFill="1" applyBorder="1"/>
    <xf numFmtId="168" fontId="4" fillId="0" borderId="11" xfId="0" applyNumberFormat="1" applyFont="1" applyBorder="1" applyAlignment="1">
      <alignment horizontal="center"/>
    </xf>
    <xf numFmtId="168" fontId="11" fillId="13" borderId="11" xfId="0" quotePrefix="1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68" fontId="11" fillId="13" borderId="11" xfId="0" applyNumberFormat="1" applyFont="1" applyFill="1" applyBorder="1" applyAlignment="1">
      <alignment horizontal="right"/>
    </xf>
    <xf numFmtId="168" fontId="0" fillId="14" borderId="11" xfId="0" applyNumberFormat="1" applyFill="1" applyBorder="1" applyAlignment="1">
      <alignment horizontal="right"/>
    </xf>
    <xf numFmtId="168" fontId="0" fillId="14" borderId="11" xfId="0" quotePrefix="1" applyNumberFormat="1" applyFill="1" applyBorder="1" applyAlignment="1">
      <alignment horizontal="right" vertical="center"/>
    </xf>
    <xf numFmtId="168" fontId="0" fillId="0" borderId="11" xfId="0" quotePrefix="1" applyNumberFormat="1" applyBorder="1" applyAlignment="1">
      <alignment horizontal="right" vertical="center"/>
    </xf>
    <xf numFmtId="10" fontId="0" fillId="0" borderId="0" xfId="2" applyNumberFormat="1" applyFont="1" applyAlignment="1">
      <alignment wrapText="1"/>
    </xf>
    <xf numFmtId="167" fontId="0" fillId="0" borderId="0" xfId="1" applyNumberFormat="1" applyFont="1" applyFill="1" applyAlignment="1">
      <alignment wrapText="1"/>
    </xf>
    <xf numFmtId="9" fontId="7" fillId="2" borderId="1" xfId="2" applyFont="1" applyFill="1" applyBorder="1" applyAlignment="1">
      <alignment horizontal="right" wrapText="1"/>
    </xf>
    <xf numFmtId="167" fontId="7" fillId="2" borderId="1" xfId="1" applyNumberFormat="1" applyFont="1" applyFill="1" applyBorder="1" applyAlignment="1">
      <alignment wrapText="1"/>
    </xf>
    <xf numFmtId="9" fontId="13" fillId="7" borderId="1" xfId="2" applyFont="1" applyFill="1" applyBorder="1" applyAlignment="1">
      <alignment horizontal="right" vertical="center" wrapText="1"/>
    </xf>
    <xf numFmtId="167" fontId="13" fillId="7" borderId="1" xfId="1" applyNumberFormat="1" applyFont="1" applyFill="1" applyBorder="1" applyAlignment="1">
      <alignment horizontal="center" vertical="center" wrapText="1"/>
    </xf>
    <xf numFmtId="10" fontId="7" fillId="2" borderId="1" xfId="2" applyNumberFormat="1" applyFont="1" applyFill="1" applyBorder="1" applyAlignment="1">
      <alignment wrapText="1"/>
    </xf>
    <xf numFmtId="0" fontId="0" fillId="0" borderId="0" xfId="0" applyAlignment="1">
      <alignment wrapText="1"/>
    </xf>
    <xf numFmtId="10" fontId="0" fillId="8" borderId="1" xfId="2" applyNumberFormat="1" applyFont="1" applyFill="1" applyBorder="1" applyAlignment="1">
      <alignment horizontal="right"/>
    </xf>
    <xf numFmtId="0" fontId="28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167" fontId="6" fillId="8" borderId="1" xfId="1" applyNumberFormat="1" applyFont="1" applyFill="1" applyBorder="1" applyAlignment="1">
      <alignment horizontal="left" vertical="center" wrapText="1"/>
    </xf>
    <xf numFmtId="167" fontId="15" fillId="7" borderId="1" xfId="6" applyNumberFormat="1" applyFont="1" applyFill="1" applyBorder="1" applyAlignment="1">
      <alignment horizontal="center" vertical="center"/>
    </xf>
    <xf numFmtId="10" fontId="15" fillId="7" borderId="1" xfId="2" applyNumberFormat="1" applyFont="1" applyFill="1" applyBorder="1" applyAlignment="1">
      <alignment horizontal="right" vertical="center"/>
    </xf>
    <xf numFmtId="167" fontId="0" fillId="0" borderId="0" xfId="0" applyNumberFormat="1"/>
    <xf numFmtId="167" fontId="10" fillId="2" borderId="1" xfId="1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7" fontId="10" fillId="2" borderId="2" xfId="1" applyNumberFormat="1" applyFont="1" applyFill="1" applyBorder="1" applyAlignment="1">
      <alignment horizontal="center" vertical="center" wrapText="1"/>
    </xf>
    <xf numFmtId="167" fontId="10" fillId="2" borderId="6" xfId="1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7" fontId="4" fillId="2" borderId="1" xfId="1" applyNumberFormat="1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10" fontId="4" fillId="2" borderId="6" xfId="2" applyNumberFormat="1" applyFont="1" applyFill="1" applyBorder="1" applyAlignment="1">
      <alignment horizontal="center" vertic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top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0" fontId="4" fillId="2" borderId="1" xfId="2" applyNumberFormat="1" applyFont="1" applyFill="1" applyBorder="1" applyAlignment="1" applyProtection="1">
      <alignment horizontal="center" wrapText="1"/>
      <protection locked="0"/>
    </xf>
    <xf numFmtId="0" fontId="6" fillId="8" borderId="7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167" fontId="10" fillId="3" borderId="1" xfId="1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0" fontId="4" fillId="2" borderId="1" xfId="2" applyNumberFormat="1" applyFont="1" applyFill="1" applyBorder="1" applyAlignment="1" applyProtection="1">
      <alignment horizontal="center" vertical="center" wrapText="1"/>
      <protection locked="0"/>
    </xf>
    <xf numFmtId="43" fontId="10" fillId="2" borderId="1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7" fontId="10" fillId="2" borderId="1" xfId="1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horizontal="left" vertical="top"/>
    </xf>
    <xf numFmtId="167" fontId="19" fillId="3" borderId="0" xfId="1" applyNumberFormat="1" applyFont="1" applyFill="1" applyAlignment="1">
      <alignment horizontal="left"/>
    </xf>
    <xf numFmtId="167" fontId="30" fillId="0" borderId="9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67" fontId="10" fillId="2" borderId="2" xfId="1" applyNumberFormat="1" applyFont="1" applyFill="1" applyBorder="1" applyAlignment="1">
      <alignment horizontal="center" vertical="center"/>
    </xf>
    <xf numFmtId="167" fontId="10" fillId="2" borderId="6" xfId="1" applyNumberFormat="1" applyFont="1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10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67" fontId="10" fillId="15" borderId="2" xfId="1" applyNumberFormat="1" applyFont="1" applyFill="1" applyBorder="1" applyAlignment="1">
      <alignment horizontal="center" vertical="center" wrapText="1"/>
    </xf>
    <xf numFmtId="167" fontId="10" fillId="15" borderId="1" xfId="1" applyNumberFormat="1" applyFont="1" applyFill="1" applyBorder="1" applyAlignment="1">
      <alignment horizontal="center" vertical="center" wrapText="1"/>
    </xf>
    <xf numFmtId="9" fontId="10" fillId="15" borderId="1" xfId="2" applyFont="1" applyFill="1" applyBorder="1" applyAlignment="1">
      <alignment horizontal="center" vertical="center" wrapText="1"/>
    </xf>
    <xf numFmtId="167" fontId="4" fillId="15" borderId="1" xfId="1" applyNumberFormat="1" applyFont="1" applyFill="1" applyBorder="1" applyAlignment="1" applyProtection="1">
      <alignment horizontal="center" vertical="center" wrapText="1"/>
      <protection locked="0"/>
    </xf>
    <xf numFmtId="9" fontId="4" fillId="15" borderId="1" xfId="2" applyFont="1" applyFill="1" applyBorder="1" applyAlignment="1" applyProtection="1">
      <alignment horizontal="center" vertical="center" wrapText="1"/>
      <protection locked="0"/>
    </xf>
    <xf numFmtId="167" fontId="10" fillId="15" borderId="6" xfId="1" applyNumberFormat="1" applyFont="1" applyFill="1" applyBorder="1" applyAlignment="1">
      <alignment horizontal="center" vertical="center" wrapText="1"/>
    </xf>
    <xf numFmtId="10" fontId="4" fillId="15" borderId="1" xfId="2" applyNumberFormat="1" applyFont="1" applyFill="1" applyBorder="1" applyAlignment="1" applyProtection="1">
      <alignment horizontal="center" vertical="center" wrapText="1"/>
      <protection locked="0"/>
    </xf>
    <xf numFmtId="167" fontId="10" fillId="15" borderId="1" xfId="1" applyNumberFormat="1" applyFont="1" applyFill="1" applyBorder="1" applyAlignment="1">
      <alignment horizontal="center" vertical="center" wrapText="1"/>
    </xf>
  </cellXfs>
  <cellStyles count="12">
    <cellStyle name="Comma" xfId="1" builtinId="3"/>
    <cellStyle name="Comma [0] 2" xfId="10" xr:uid="{261478D1-1EC7-4C5A-AFC7-D9C67F1CC9BF}"/>
    <cellStyle name="Comma 10" xfId="6" xr:uid="{3D8153E6-A142-4775-9E0F-948E8CD752E6}"/>
    <cellStyle name="Comma 2" xfId="4" xr:uid="{3F3170C1-0233-46CC-8B13-C08B3EFAAC72}"/>
    <cellStyle name="Comma 2 2" xfId="7" xr:uid="{E678330A-F7E6-4F95-8A6D-80287E4B3B86}"/>
    <cellStyle name="Currency [0] 2" xfId="9" xr:uid="{1FE5DC11-B13E-4F3C-968E-8080BB7BA3F3}"/>
    <cellStyle name="Normal" xfId="0" builtinId="0"/>
    <cellStyle name="Normal 2" xfId="3" xr:uid="{D6DB3129-CC12-4835-AF53-6CC0B7647624}"/>
    <cellStyle name="Normal 2 3" xfId="11" xr:uid="{5E15E5C0-3E7A-4F16-8166-7BEC0BB91284}"/>
    <cellStyle name="Normal 3" xfId="8" xr:uid="{1EF071AE-9642-4CE4-ACE6-DE28E5BF812B}"/>
    <cellStyle name="Percent" xfId="2" builtinId="5"/>
    <cellStyle name="Percent 2" xfId="5" xr:uid="{F519131D-F0E4-45A4-B5E4-C930FCC9D885}"/>
  </cellStyles>
  <dxfs count="722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C00000"/>
      </font>
      <fill>
        <patternFill>
          <bgColor rgb="FFFFC1C1"/>
        </patternFill>
      </fill>
    </dxf>
    <dxf>
      <font>
        <b/>
        <i val="0"/>
        <color rgb="FFC00000"/>
      </font>
      <fill>
        <patternFill>
          <bgColor rgb="FFFFC1C1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7B7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bgColor rgb="FFFFBDBD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b/>
        <i val="0"/>
        <color rgb="FFC00000"/>
      </font>
      <fill>
        <patternFill>
          <fgColor auto="1"/>
          <bgColor rgb="FFFFC1C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B7B7"/>
      <color rgb="FFFFC1C1"/>
      <color rgb="FFFFABAB"/>
      <color rgb="FFFFF2CC"/>
      <color rgb="FFFFBDBD"/>
      <color rgb="FFFF9F9F"/>
      <color rgb="FFFFA7A7"/>
      <color rgb="FFFFAB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174625</xdr:colOff>
      <xdr:row>25</xdr:row>
      <xdr:rowOff>23812</xdr:rowOff>
    </xdr:from>
    <xdr:to>
      <xdr:col>2</xdr:col>
      <xdr:colOff>944266</xdr:colOff>
      <xdr:row>30</xdr:row>
      <xdr:rowOff>3335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5EBAE-801A-AF47-175C-7ECFFDB88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063" y="3254375"/>
          <a:ext cx="769641" cy="8923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/Documents/MyJob/LMN/Data%20LMN/REPORTING/Insentif/Perhitungan%20Insentif%20Fix/Pencapaian%20November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Insentif Sales (2)"/>
      <sheetName val="Rekap Pembayaran Insentif"/>
      <sheetName val="Rekap Insentif ASM"/>
      <sheetName val="Pencapaian ASM ALL Q2 "/>
      <sheetName val="Rekap Insentif Sales"/>
      <sheetName val="Pencapaian Target Nov 2023"/>
      <sheetName val="Pencapaian Target AO Nov"/>
      <sheetName val="Pencapaian Target Prod Fokus NO"/>
      <sheetName val="PENCAIRAN JABAR"/>
      <sheetName val="PENCAIRAN JATENG (2)"/>
      <sheetName val="PENCAIRAN JATIM (3)"/>
      <sheetName val="Sheet2"/>
      <sheetName val="Pencapaian November_2023"/>
    </sheetNames>
    <sheetDataSet>
      <sheetData sheetId="0"/>
      <sheetData sheetId="1"/>
      <sheetData sheetId="2"/>
      <sheetData sheetId="3">
        <row r="6">
          <cell r="C6" t="str">
            <v>BENNY HERDIANA (ASM)</v>
          </cell>
          <cell r="D6">
            <v>5660613355</v>
          </cell>
          <cell r="E6">
            <v>7082323150</v>
          </cell>
          <cell r="F6">
            <v>6727657001</v>
          </cell>
          <cell r="G6">
            <v>19470593506</v>
          </cell>
          <cell r="H6">
            <v>6624846455.187623</v>
          </cell>
          <cell r="I6">
            <v>7631576724</v>
          </cell>
          <cell r="J6">
            <v>8377689355.8480749</v>
          </cell>
          <cell r="K6">
            <v>22634112535.035698</v>
          </cell>
          <cell r="L6">
            <v>0.86</v>
          </cell>
          <cell r="M6" t="str">
            <v>ASM</v>
          </cell>
          <cell r="N6">
            <v>0</v>
          </cell>
        </row>
        <row r="7">
          <cell r="C7" t="str">
            <v>AGUS RIYANTO (ASM)</v>
          </cell>
          <cell r="D7">
            <v>1120626900</v>
          </cell>
          <cell r="E7">
            <v>1357937200</v>
          </cell>
          <cell r="F7">
            <v>1278980950</v>
          </cell>
          <cell r="G7">
            <v>3757545050</v>
          </cell>
          <cell r="H7">
            <v>1407748891.1904261</v>
          </cell>
          <cell r="I7">
            <v>1556937147</v>
          </cell>
          <cell r="J7">
            <v>1704119081.82196</v>
          </cell>
          <cell r="K7">
            <v>4668805120.0123863</v>
          </cell>
          <cell r="L7">
            <v>0.80500000000000005</v>
          </cell>
          <cell r="M7" t="str">
            <v>ASM</v>
          </cell>
          <cell r="N7">
            <v>0</v>
          </cell>
        </row>
        <row r="8">
          <cell r="C8" t="str">
            <v>AGUS CHUDLORI (ASM)</v>
          </cell>
          <cell r="D8">
            <v>298166200</v>
          </cell>
          <cell r="E8">
            <v>645153000</v>
          </cell>
          <cell r="F8">
            <v>365353200</v>
          </cell>
          <cell r="G8">
            <v>1308672400</v>
          </cell>
          <cell r="H8">
            <v>768000000</v>
          </cell>
          <cell r="I8">
            <v>900000000</v>
          </cell>
          <cell r="J8">
            <v>950000000</v>
          </cell>
          <cell r="K8">
            <v>2618000000</v>
          </cell>
          <cell r="L8">
            <v>0.5</v>
          </cell>
          <cell r="M8" t="str">
            <v>ASM</v>
          </cell>
          <cell r="N8">
            <v>0</v>
          </cell>
        </row>
        <row r="9">
          <cell r="D9">
            <v>7079406455</v>
          </cell>
          <cell r="E9">
            <v>9085413350</v>
          </cell>
          <cell r="F9">
            <v>8371991151</v>
          </cell>
          <cell r="G9">
            <v>24536810956</v>
          </cell>
          <cell r="H9">
            <v>8800595346.3780479</v>
          </cell>
          <cell r="I9">
            <v>10088513871</v>
          </cell>
          <cell r="J9">
            <v>11031808437.670034</v>
          </cell>
          <cell r="K9">
            <v>29920917655.048084</v>
          </cell>
          <cell r="L9">
            <v>0.82</v>
          </cell>
          <cell r="N9">
            <v>0</v>
          </cell>
        </row>
        <row r="15">
          <cell r="C15" t="str">
            <v>BENNY HERDIANA (ASM)</v>
          </cell>
          <cell r="D15">
            <v>4787</v>
          </cell>
          <cell r="E15">
            <v>4098</v>
          </cell>
          <cell r="F15">
            <v>1.1679999999999999</v>
          </cell>
          <cell r="G15" t="str">
            <v>ASM</v>
          </cell>
          <cell r="K15">
            <v>600000</v>
          </cell>
        </row>
        <row r="16">
          <cell r="C16" t="str">
            <v>AGUS RIYANTO (ASM)</v>
          </cell>
          <cell r="D16">
            <v>2218</v>
          </cell>
          <cell r="E16">
            <v>2591</v>
          </cell>
          <cell r="F16">
            <v>0.85599999999999998</v>
          </cell>
          <cell r="G16" t="str">
            <v>ASM</v>
          </cell>
          <cell r="K16">
            <v>0</v>
          </cell>
        </row>
        <row r="17">
          <cell r="C17" t="str">
            <v>AGUS CHUDLORI (ASM)</v>
          </cell>
          <cell r="D17">
            <v>2385</v>
          </cell>
          <cell r="E17">
            <v>2379</v>
          </cell>
          <cell r="F17">
            <v>1.0029999999999999</v>
          </cell>
          <cell r="G17" t="str">
            <v>ASM</v>
          </cell>
          <cell r="K17">
            <v>600000</v>
          </cell>
        </row>
        <row r="18">
          <cell r="D18">
            <v>9390</v>
          </cell>
          <cell r="E18">
            <v>9068</v>
          </cell>
          <cell r="K18">
            <v>1200000</v>
          </cell>
        </row>
        <row r="24">
          <cell r="C24" t="str">
            <v>BENNY HERDIANA (ASM)</v>
          </cell>
          <cell r="D24">
            <v>8023</v>
          </cell>
          <cell r="E24">
            <v>12473</v>
          </cell>
          <cell r="F24">
            <v>0.64300000000000002</v>
          </cell>
          <cell r="G24">
            <v>3652</v>
          </cell>
          <cell r="K24">
            <v>5505</v>
          </cell>
          <cell r="L24">
            <v>0.66300000000000003</v>
          </cell>
          <cell r="M24"/>
          <cell r="N24"/>
          <cell r="O24">
            <v>0</v>
          </cell>
          <cell r="P24" t="str">
            <v>ASM</v>
          </cell>
          <cell r="Q24">
            <v>0</v>
          </cell>
        </row>
        <row r="25">
          <cell r="C25" t="str">
            <v>AGUS RIYANTO (ASM)</v>
          </cell>
          <cell r="D25"/>
          <cell r="E25"/>
          <cell r="F25">
            <v>0</v>
          </cell>
          <cell r="G25">
            <v>286</v>
          </cell>
          <cell r="K25">
            <v>1155</v>
          </cell>
          <cell r="L25">
            <v>0.248</v>
          </cell>
          <cell r="M25">
            <v>2678</v>
          </cell>
          <cell r="N25">
            <v>3565</v>
          </cell>
          <cell r="O25">
            <v>0.751</v>
          </cell>
          <cell r="P25" t="str">
            <v>ASM</v>
          </cell>
          <cell r="Q25">
            <v>0</v>
          </cell>
        </row>
        <row r="26">
          <cell r="C26" t="str">
            <v>AGUS CHUDLORI (ASM)</v>
          </cell>
          <cell r="D26"/>
          <cell r="E26"/>
          <cell r="F26">
            <v>0</v>
          </cell>
          <cell r="G26">
            <v>955</v>
          </cell>
          <cell r="K26">
            <v>2316</v>
          </cell>
          <cell r="L26">
            <v>0.41199999999999998</v>
          </cell>
          <cell r="M26">
            <v>6930</v>
          </cell>
          <cell r="N26">
            <v>7218</v>
          </cell>
          <cell r="O26">
            <v>0.96</v>
          </cell>
          <cell r="P26" t="str">
            <v>ASM</v>
          </cell>
          <cell r="Q26">
            <v>210000</v>
          </cell>
        </row>
        <row r="27">
          <cell r="C27"/>
          <cell r="D27">
            <v>8023</v>
          </cell>
          <cell r="E27">
            <v>12473</v>
          </cell>
          <cell r="F27"/>
          <cell r="G27">
            <v>4893</v>
          </cell>
          <cell r="K27">
            <v>8976</v>
          </cell>
          <cell r="L27"/>
          <cell r="M27">
            <v>9608</v>
          </cell>
          <cell r="N27">
            <v>10783</v>
          </cell>
          <cell r="O27"/>
          <cell r="P27"/>
          <cell r="Q27">
            <v>210000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B1BA-9FD7-1940-9653-5108BB91E3BD}">
  <dimension ref="B1:BI346"/>
  <sheetViews>
    <sheetView showGridLines="0" tabSelected="1" topLeftCell="C1" zoomScaleNormal="70" workbookViewId="0">
      <selection activeCell="P2" sqref="P2:AV2"/>
    </sheetView>
  </sheetViews>
  <sheetFormatPr baseColWidth="10" defaultColWidth="8.83203125" defaultRowHeight="15" x14ac:dyDescent="0.2"/>
  <cols>
    <col min="1" max="1" width="3.5" customWidth="1"/>
    <col min="2" max="2" width="37.83203125" customWidth="1"/>
    <col min="3" max="13" width="12.1640625" style="282" customWidth="1"/>
    <col min="14" max="14" width="12.1640625" style="283" customWidth="1"/>
    <col min="15" max="15" width="3.5" style="283" customWidth="1"/>
    <col min="16" max="16" width="21" customWidth="1"/>
    <col min="17" max="17" width="16.1640625" customWidth="1"/>
    <col min="18" max="18" width="28.6640625" bestFit="1" customWidth="1"/>
    <col min="19" max="19" width="10.83203125" customWidth="1"/>
    <col min="20" max="20" width="12.6640625" style="303" customWidth="1"/>
    <col min="21" max="21" width="12.6640625" style="327" customWidth="1"/>
    <col min="22" max="23" width="12.6640625" style="303" customWidth="1"/>
    <col min="24" max="24" width="12.6640625" style="327" customWidth="1"/>
    <col min="25" max="25" width="12.6640625" style="303" customWidth="1"/>
    <col min="26" max="26" width="12.6640625" style="327" customWidth="1"/>
    <col min="27" max="27" width="12.6640625" style="303" customWidth="1"/>
    <col min="28" max="28" width="12.6640625" style="327" customWidth="1"/>
    <col min="29" max="29" width="12.6640625" style="303" customWidth="1"/>
    <col min="30" max="30" width="12.6640625" style="327" customWidth="1"/>
    <col min="31" max="31" width="12.6640625" style="303" customWidth="1"/>
    <col min="32" max="32" width="12.6640625" style="327" customWidth="1"/>
    <col min="33" max="33" width="12.6640625" style="303" customWidth="1"/>
    <col min="34" max="34" width="12.6640625" style="327" customWidth="1"/>
    <col min="35" max="35" width="12.6640625" style="303" customWidth="1"/>
    <col min="36" max="36" width="12.6640625" style="327" customWidth="1"/>
    <col min="37" max="37" width="12.6640625" style="303" customWidth="1"/>
    <col min="38" max="38" width="12.6640625" style="327" customWidth="1"/>
    <col min="39" max="39" width="12.6640625" style="303" customWidth="1"/>
    <col min="40" max="41" width="12.6640625" style="327" customWidth="1"/>
    <col min="42" max="42" width="12.6640625" style="282" customWidth="1"/>
    <col min="43" max="43" width="12.6640625" style="327" customWidth="1"/>
    <col min="44" max="44" width="12.6640625" style="282" customWidth="1"/>
    <col min="45" max="48" width="12.6640625" style="327" customWidth="1"/>
  </cols>
  <sheetData>
    <row r="1" spans="2:48" x14ac:dyDescent="0.2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/>
      <c r="O1" s="3"/>
      <c r="P1" s="4"/>
      <c r="Q1" s="5"/>
      <c r="R1" s="5"/>
      <c r="T1" s="300"/>
      <c r="U1" s="2"/>
      <c r="V1" s="300"/>
      <c r="X1" s="2"/>
      <c r="Y1" s="300"/>
      <c r="Z1" s="2"/>
      <c r="AA1" s="300"/>
      <c r="AB1" s="2"/>
      <c r="AC1" s="300"/>
      <c r="AD1" s="2"/>
      <c r="AE1" s="300"/>
      <c r="AF1" s="2"/>
      <c r="AG1" s="300"/>
      <c r="AH1" s="2"/>
      <c r="AI1" s="300"/>
      <c r="AJ1" s="2"/>
      <c r="AK1" s="300"/>
      <c r="AL1" s="2"/>
      <c r="AM1" s="300"/>
      <c r="AN1" s="2"/>
      <c r="AO1" s="2"/>
      <c r="AP1" s="1"/>
      <c r="AQ1" s="133"/>
      <c r="AR1" s="1"/>
      <c r="AS1" s="2"/>
      <c r="AT1" s="2"/>
      <c r="AU1" s="2"/>
      <c r="AV1" s="2"/>
    </row>
    <row r="2" spans="2:48" ht="32" customHeight="1" x14ac:dyDescent="0.2">
      <c r="B2" s="6" t="s">
        <v>124</v>
      </c>
      <c r="C2" s="379"/>
      <c r="D2" s="1"/>
      <c r="E2" s="1"/>
      <c r="F2" s="1"/>
      <c r="G2" s="1"/>
      <c r="H2" s="1"/>
      <c r="I2" s="1"/>
      <c r="J2" s="1"/>
      <c r="K2" s="1"/>
      <c r="L2" s="1"/>
      <c r="M2" s="1"/>
      <c r="N2" s="7"/>
      <c r="O2" s="3"/>
      <c r="P2" s="402" t="s">
        <v>972</v>
      </c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  <c r="AP2" s="402"/>
      <c r="AQ2" s="402"/>
      <c r="AR2" s="402"/>
      <c r="AS2" s="402"/>
      <c r="AT2" s="402"/>
      <c r="AU2" s="402"/>
      <c r="AV2" s="402"/>
    </row>
    <row r="3" spans="2:48" s="62" customFormat="1" ht="14.5" customHeight="1" x14ac:dyDescent="0.2">
      <c r="B3" s="394" t="s">
        <v>0</v>
      </c>
      <c r="C3" s="401" t="s">
        <v>4</v>
      </c>
      <c r="D3" s="398" t="s">
        <v>139</v>
      </c>
      <c r="E3" s="398"/>
      <c r="F3" s="399" t="s">
        <v>134</v>
      </c>
      <c r="G3" s="399" t="s">
        <v>135</v>
      </c>
      <c r="H3" s="399" t="s">
        <v>5</v>
      </c>
      <c r="I3" s="399" t="s">
        <v>137</v>
      </c>
      <c r="J3" s="399" t="s">
        <v>424</v>
      </c>
      <c r="K3" s="399" t="s">
        <v>431</v>
      </c>
      <c r="L3" s="399" t="s">
        <v>438</v>
      </c>
      <c r="M3" s="399" t="s">
        <v>445</v>
      </c>
      <c r="N3" s="398" t="s">
        <v>1</v>
      </c>
      <c r="O3" s="317"/>
      <c r="P3" s="467" t="s">
        <v>0</v>
      </c>
      <c r="Q3" s="467" t="s">
        <v>270</v>
      </c>
      <c r="R3" s="467" t="s">
        <v>2</v>
      </c>
      <c r="S3" s="468" t="s">
        <v>3</v>
      </c>
      <c r="T3" s="467" t="s">
        <v>4</v>
      </c>
      <c r="U3" s="467"/>
      <c r="V3" s="467" t="s">
        <v>139</v>
      </c>
      <c r="W3" s="467"/>
      <c r="X3" s="467"/>
      <c r="Y3" s="467" t="s">
        <v>134</v>
      </c>
      <c r="Z3" s="467"/>
      <c r="AA3" s="467" t="s">
        <v>135</v>
      </c>
      <c r="AB3" s="467"/>
      <c r="AC3" s="467" t="s">
        <v>5</v>
      </c>
      <c r="AD3" s="467"/>
      <c r="AE3" s="467" t="s">
        <v>137</v>
      </c>
      <c r="AF3" s="467"/>
      <c r="AG3" s="467" t="s">
        <v>424</v>
      </c>
      <c r="AH3" s="467"/>
      <c r="AI3" s="467" t="s">
        <v>431</v>
      </c>
      <c r="AJ3" s="467"/>
      <c r="AK3" s="467" t="s">
        <v>438</v>
      </c>
      <c r="AL3" s="467"/>
      <c r="AM3" s="467" t="s">
        <v>445</v>
      </c>
      <c r="AN3" s="467"/>
      <c r="AO3" s="469" t="s">
        <v>141</v>
      </c>
      <c r="AP3" s="467" t="s">
        <v>6</v>
      </c>
      <c r="AQ3" s="467"/>
      <c r="AR3" s="467"/>
      <c r="AS3" s="467"/>
      <c r="AT3" s="470" t="s">
        <v>7</v>
      </c>
      <c r="AU3" s="470" t="s">
        <v>2</v>
      </c>
      <c r="AV3" s="470" t="s">
        <v>144</v>
      </c>
    </row>
    <row r="4" spans="2:48" s="62" customFormat="1" ht="32" x14ac:dyDescent="0.2">
      <c r="B4" s="394"/>
      <c r="C4" s="401"/>
      <c r="D4" s="292" t="s">
        <v>514</v>
      </c>
      <c r="E4" s="292" t="s">
        <v>515</v>
      </c>
      <c r="F4" s="400"/>
      <c r="G4" s="400"/>
      <c r="H4" s="400"/>
      <c r="I4" s="400"/>
      <c r="J4" s="400"/>
      <c r="K4" s="400"/>
      <c r="L4" s="400"/>
      <c r="M4" s="400"/>
      <c r="N4" s="398"/>
      <c r="O4" s="317"/>
      <c r="P4" s="467"/>
      <c r="Q4" s="467"/>
      <c r="R4" s="467"/>
      <c r="S4" s="468"/>
      <c r="T4" s="471" t="s">
        <v>9</v>
      </c>
      <c r="U4" s="472" t="s">
        <v>10</v>
      </c>
      <c r="V4" s="471" t="s">
        <v>514</v>
      </c>
      <c r="W4" s="473" t="s">
        <v>515</v>
      </c>
      <c r="X4" s="472" t="s">
        <v>10</v>
      </c>
      <c r="Y4" s="471" t="s">
        <v>9</v>
      </c>
      <c r="Z4" s="472" t="s">
        <v>10</v>
      </c>
      <c r="AA4" s="471" t="s">
        <v>9</v>
      </c>
      <c r="AB4" s="472" t="s">
        <v>10</v>
      </c>
      <c r="AC4" s="471" t="s">
        <v>9</v>
      </c>
      <c r="AD4" s="472" t="s">
        <v>10</v>
      </c>
      <c r="AE4" s="471" t="s">
        <v>9</v>
      </c>
      <c r="AF4" s="472" t="s">
        <v>10</v>
      </c>
      <c r="AG4" s="471" t="s">
        <v>9</v>
      </c>
      <c r="AH4" s="472" t="s">
        <v>10</v>
      </c>
      <c r="AI4" s="471" t="s">
        <v>9</v>
      </c>
      <c r="AJ4" s="472" t="s">
        <v>10</v>
      </c>
      <c r="AK4" s="471" t="s">
        <v>9</v>
      </c>
      <c r="AL4" s="472" t="s">
        <v>10</v>
      </c>
      <c r="AM4" s="471" t="s">
        <v>9</v>
      </c>
      <c r="AN4" s="472" t="s">
        <v>10</v>
      </c>
      <c r="AO4" s="474"/>
      <c r="AP4" s="475" t="s">
        <v>798</v>
      </c>
      <c r="AQ4" s="476" t="s">
        <v>143</v>
      </c>
      <c r="AR4" s="475" t="s">
        <v>11</v>
      </c>
      <c r="AS4" s="476" t="s">
        <v>143</v>
      </c>
      <c r="AT4" s="470"/>
      <c r="AU4" s="470"/>
      <c r="AV4" s="470"/>
    </row>
    <row r="5" spans="2:48" ht="16" x14ac:dyDescent="0.2">
      <c r="B5" s="12" t="s">
        <v>12</v>
      </c>
      <c r="C5" s="254">
        <f>'Pencapaian Sales Value'!G28</f>
        <v>0.88311920608572148</v>
      </c>
      <c r="D5" s="254">
        <f>'Pencapaian Product Focus'!H28</f>
        <v>0.92620649451231651</v>
      </c>
      <c r="E5" s="254">
        <f>'Pencapaian Product Focus'!L28</f>
        <v>0.98741672834937089</v>
      </c>
      <c r="F5" s="254">
        <f>'Pencapaian Effective Call'!G28</f>
        <v>0.93160482789450161</v>
      </c>
      <c r="G5" s="254">
        <f>'Pencapaian New Open Outlet'!G28</f>
        <v>0.27102803738317754</v>
      </c>
      <c r="H5" s="254">
        <f>'Pencapaian Active Outlet'!G28</f>
        <v>0.94270668469972096</v>
      </c>
      <c r="I5" s="254">
        <f>'Pencapaian Item per Outlet'!G28</f>
        <v>0.79537524742680166</v>
      </c>
      <c r="J5" s="254">
        <f>'Pencapaian Product Display'!G28</f>
        <v>0.89090909090909087</v>
      </c>
      <c r="K5" s="254">
        <f>'Pencapaian Sales Contract'!G28</f>
        <v>0</v>
      </c>
      <c r="L5" s="254">
        <f>'Pencapaian Co-Branding'!G28</f>
        <v>0</v>
      </c>
      <c r="M5" s="254">
        <f>'Pencapaian Join Event Activity'!G28</f>
        <v>1</v>
      </c>
      <c r="N5" s="14">
        <f>AO28</f>
        <v>12948500</v>
      </c>
      <c r="O5" s="3"/>
      <c r="P5" s="397" t="s">
        <v>13</v>
      </c>
      <c r="Q5" s="52" t="s">
        <v>342</v>
      </c>
      <c r="R5" s="52" t="s">
        <v>233</v>
      </c>
      <c r="S5" s="12" t="s">
        <v>14</v>
      </c>
      <c r="T5" s="269">
        <f>'Pencapaian Sales Value'!G5</f>
        <v>1.0094592912705271</v>
      </c>
      <c r="U5" s="15">
        <f>'Pencapaian Sales Value'!I5</f>
        <v>600000</v>
      </c>
      <c r="V5" s="269">
        <f>'Pencapaian Product Focus'!H5</f>
        <v>0.90859586093946132</v>
      </c>
      <c r="W5" s="269">
        <f>'Pencapaian Product Focus'!L5</f>
        <v>1</v>
      </c>
      <c r="X5" s="15">
        <f>'Pencapaian Product Focus'!N5</f>
        <v>210000</v>
      </c>
      <c r="Y5" s="269">
        <f>'Pencapaian Effective Call'!G5</f>
        <v>1.0814814814814815</v>
      </c>
      <c r="Z5" s="15">
        <f>'Pencapaian Effective Call'!I5</f>
        <v>180000</v>
      </c>
      <c r="AA5" s="255">
        <f>'Pencapaian New Open Outlet'!G5</f>
        <v>0.5</v>
      </c>
      <c r="AB5" s="170">
        <f>'Pencapaian New Open Outlet'!I5</f>
        <v>0</v>
      </c>
      <c r="AC5" s="255">
        <f>'Pencapaian Active Outlet'!G5</f>
        <v>1.0350877192982457</v>
      </c>
      <c r="AD5" s="170">
        <f>'Pencapaian Active Outlet'!I5</f>
        <v>0</v>
      </c>
      <c r="AE5" s="269">
        <f>'Pencapaian Item per Outlet'!G5</f>
        <v>0.90248734316530932</v>
      </c>
      <c r="AF5" s="15">
        <f>'Pencapaian Item per Outlet'!I5</f>
        <v>135000</v>
      </c>
      <c r="AG5" s="255">
        <f>'Pencapaian Product Display'!G5</f>
        <v>0</v>
      </c>
      <c r="AH5" s="170">
        <f>'Pencapaian Product Display'!I5</f>
        <v>0</v>
      </c>
      <c r="AI5" s="255">
        <f>'Pencapaian Sales Contract'!G5</f>
        <v>0</v>
      </c>
      <c r="AJ5" s="170">
        <f>'Pencapaian Sales Contract'!I5</f>
        <v>0</v>
      </c>
      <c r="AK5" s="255">
        <f>'Pencapaian Co-Branding'!G5</f>
        <v>0</v>
      </c>
      <c r="AL5" s="170">
        <f>'Pencapaian Co-Branding'!I5</f>
        <v>0</v>
      </c>
      <c r="AM5" s="255">
        <f>'Pencapaian Join Event Activity'!G5</f>
        <v>0</v>
      </c>
      <c r="AN5" s="170">
        <f>'Pencapaian Join Event Activity'!I5</f>
        <v>0</v>
      </c>
      <c r="AO5" s="15">
        <f>SUM(AN5,AL5,AJ5,AH5,AF5,AD5,AB5,Z5,X5,U5)</f>
        <v>1125000</v>
      </c>
      <c r="AP5" s="13">
        <v>5.9220836359393687E-2</v>
      </c>
      <c r="AQ5" s="15">
        <f t="shared" ref="AQ5:AQ27" si="0">IF(AP5&gt;=0.5%,-(AO5*10%),0)</f>
        <v>-112500</v>
      </c>
      <c r="AR5" s="13">
        <v>0</v>
      </c>
      <c r="AS5" s="15">
        <f t="shared" ref="AS5:AS27" si="1">IF(AR5&gt;0,-(AO5+AQ5),0)</f>
        <v>0</v>
      </c>
      <c r="AT5" s="15">
        <f>SUM(AS5,AQ5,AO5)</f>
        <v>1012500</v>
      </c>
      <c r="AU5" s="15">
        <f>AT5*55%</f>
        <v>556875</v>
      </c>
      <c r="AV5" s="15">
        <f>AT5*45%</f>
        <v>455625</v>
      </c>
    </row>
    <row r="6" spans="2:48" ht="16" x14ac:dyDescent="0.2">
      <c r="B6" s="12" t="s">
        <v>16</v>
      </c>
      <c r="C6" s="254">
        <f>'Pencapaian Sales Value'!G34</f>
        <v>1.0046478887999999</v>
      </c>
      <c r="D6" s="254">
        <f>'Pencapaian Product Focus'!H34</f>
        <v>1.0950657894736842</v>
      </c>
      <c r="E6" s="254">
        <f>'Pencapaian Product Focus'!L34</f>
        <v>0.9642857142857143</v>
      </c>
      <c r="F6" s="254">
        <f>'Pencapaian Effective Call'!G34</f>
        <v>0.91255813953488374</v>
      </c>
      <c r="G6" s="254">
        <f>'Pencapaian New Open Outlet'!G34</f>
        <v>1.35</v>
      </c>
      <c r="H6" s="254">
        <f>'Pencapaian Active Outlet'!G34</f>
        <v>1.0622317596566524</v>
      </c>
      <c r="I6" s="266"/>
      <c r="J6" s="266"/>
      <c r="K6" s="266"/>
      <c r="L6" s="266"/>
      <c r="M6" s="266"/>
      <c r="N6" s="14">
        <f>AO34</f>
        <v>3933750</v>
      </c>
      <c r="O6" s="3"/>
      <c r="P6" s="397"/>
      <c r="Q6" s="52" t="s">
        <v>343</v>
      </c>
      <c r="R6" s="52" t="s">
        <v>234</v>
      </c>
      <c r="S6" s="12" t="s">
        <v>14</v>
      </c>
      <c r="T6" s="269">
        <f>'Pencapaian Sales Value'!G6</f>
        <v>1.0152432589718721</v>
      </c>
      <c r="U6" s="15">
        <f>'Pencapaian Sales Value'!I6</f>
        <v>600000</v>
      </c>
      <c r="V6" s="269">
        <f>'Pencapaian Product Focus'!H6</f>
        <v>0.94132549495756013</v>
      </c>
      <c r="W6" s="269">
        <f>'Pencapaian Product Focus'!L6</f>
        <v>0.95774647887323938</v>
      </c>
      <c r="X6" s="15">
        <f>'Pencapaian Product Focus'!N6</f>
        <v>180000</v>
      </c>
      <c r="Y6" s="269">
        <f>'Pencapaian Effective Call'!G6</f>
        <v>1.0247592847317744</v>
      </c>
      <c r="Z6" s="15">
        <f>'Pencapaian Effective Call'!I6</f>
        <v>180000</v>
      </c>
      <c r="AA6" s="255">
        <f>'Pencapaian New Open Outlet'!G6</f>
        <v>0</v>
      </c>
      <c r="AB6" s="170">
        <f>'Pencapaian New Open Outlet'!I6</f>
        <v>0</v>
      </c>
      <c r="AC6" s="255">
        <f>'Pencapaian Active Outlet'!G6</f>
        <v>1.0249307479224377</v>
      </c>
      <c r="AD6" s="170">
        <f>'Pencapaian Active Outlet'!I6</f>
        <v>0</v>
      </c>
      <c r="AE6" s="269">
        <f>'Pencapaian Item per Outlet'!G6</f>
        <v>0.95710533994747593</v>
      </c>
      <c r="AF6" s="15">
        <f>'Pencapaian Item per Outlet'!I6</f>
        <v>135000</v>
      </c>
      <c r="AG6" s="255">
        <f>'Pencapaian Product Display'!G6</f>
        <v>0</v>
      </c>
      <c r="AH6" s="170">
        <f>'Pencapaian Product Display'!I6</f>
        <v>0</v>
      </c>
      <c r="AI6" s="255">
        <f>'Pencapaian Sales Contract'!G6</f>
        <v>0</v>
      </c>
      <c r="AJ6" s="170">
        <f>'Pencapaian Sales Contract'!I6</f>
        <v>0</v>
      </c>
      <c r="AK6" s="255">
        <f>'Pencapaian Co-Branding'!G6</f>
        <v>0</v>
      </c>
      <c r="AL6" s="170">
        <f>'Pencapaian Co-Branding'!I6</f>
        <v>0</v>
      </c>
      <c r="AM6" s="255">
        <f>'Pencapaian Join Event Activity'!G6</f>
        <v>0</v>
      </c>
      <c r="AN6" s="170">
        <f>'Pencapaian Join Event Activity'!I6</f>
        <v>0</v>
      </c>
      <c r="AO6" s="15">
        <f t="shared" ref="AO6:AO40" si="2">SUM(AN6,AL6,AJ6,AH6,AF6,AD6,AB6,Z6,X6,U6)</f>
        <v>1095000</v>
      </c>
      <c r="AP6" s="13">
        <v>0</v>
      </c>
      <c r="AQ6" s="15">
        <f t="shared" si="0"/>
        <v>0</v>
      </c>
      <c r="AR6" s="13">
        <v>0</v>
      </c>
      <c r="AS6" s="15">
        <f t="shared" si="1"/>
        <v>0</v>
      </c>
      <c r="AT6" s="15">
        <f t="shared" ref="AT6:AT40" si="3">SUM(AS6,AQ6,AO6)</f>
        <v>1095000</v>
      </c>
      <c r="AU6" s="15">
        <f t="shared" ref="AU6:AU8" si="4">AT6*55%</f>
        <v>602250</v>
      </c>
      <c r="AV6" s="15">
        <f t="shared" ref="AV6:AV8" si="5">AT6*45%</f>
        <v>492750</v>
      </c>
    </row>
    <row r="7" spans="2:48" ht="16" x14ac:dyDescent="0.2">
      <c r="B7" s="12" t="s">
        <v>260</v>
      </c>
      <c r="C7" s="254">
        <f>'Pencapaian Sales Value'!G39</f>
        <v>0.95821433341119688</v>
      </c>
      <c r="D7" s="266"/>
      <c r="E7" s="266"/>
      <c r="F7" s="254">
        <f>'Pencapaian Effective Call'!G39</f>
        <v>0.91868131868131864</v>
      </c>
      <c r="G7" s="254">
        <f>'Pencapaian New Open Outlet'!G39</f>
        <v>0.14285714285714285</v>
      </c>
      <c r="H7" s="254">
        <f>'Pencapaian Active Outlet'!G39</f>
        <v>1.1049180327868853</v>
      </c>
      <c r="I7" s="266"/>
      <c r="J7" s="266"/>
      <c r="K7" s="266"/>
      <c r="L7" s="266"/>
      <c r="M7" s="266"/>
      <c r="N7" s="16">
        <f>AO39</f>
        <v>2602500</v>
      </c>
      <c r="O7" s="3"/>
      <c r="P7" s="397"/>
      <c r="Q7" s="52" t="s">
        <v>344</v>
      </c>
      <c r="R7" s="52" t="s">
        <v>235</v>
      </c>
      <c r="S7" s="12" t="s">
        <v>14</v>
      </c>
      <c r="T7" s="269">
        <f>'Pencapaian Sales Value'!G7</f>
        <v>0.87141568181818185</v>
      </c>
      <c r="U7" s="15">
        <f>'Pencapaian Sales Value'!I7</f>
        <v>300000</v>
      </c>
      <c r="V7" s="269">
        <f>'Pencapaian Product Focus'!H7</f>
        <v>0.9799209541054037</v>
      </c>
      <c r="W7" s="269">
        <f>'Pencapaian Product Focus'!L7</f>
        <v>1</v>
      </c>
      <c r="X7" s="15">
        <f>'Pencapaian Product Focus'!N7</f>
        <v>210000</v>
      </c>
      <c r="Y7" s="269">
        <f>'Pencapaian Effective Call'!G7</f>
        <v>0.99268292682926829</v>
      </c>
      <c r="Z7" s="15">
        <f>'Pencapaian Effective Call'!I7</f>
        <v>135000</v>
      </c>
      <c r="AA7" s="255">
        <f>'Pencapaian New Open Outlet'!G7</f>
        <v>0.25</v>
      </c>
      <c r="AB7" s="170">
        <f>'Pencapaian New Open Outlet'!I7</f>
        <v>0</v>
      </c>
      <c r="AC7" s="255">
        <f>'Pencapaian Active Outlet'!G7</f>
        <v>1.0163339382940111</v>
      </c>
      <c r="AD7" s="170">
        <f>'Pencapaian Active Outlet'!I7</f>
        <v>0</v>
      </c>
      <c r="AE7" s="269">
        <f>'Pencapaian Item per Outlet'!G7</f>
        <v>0.95521541950113387</v>
      </c>
      <c r="AF7" s="15">
        <f>'Pencapaian Item per Outlet'!I7</f>
        <v>135000</v>
      </c>
      <c r="AG7" s="255">
        <f>'Pencapaian Product Display'!G7</f>
        <v>0</v>
      </c>
      <c r="AH7" s="170">
        <f>'Pencapaian Product Display'!I7</f>
        <v>0</v>
      </c>
      <c r="AI7" s="255">
        <f>'Pencapaian Sales Contract'!G7</f>
        <v>0</v>
      </c>
      <c r="AJ7" s="170">
        <f>'Pencapaian Sales Contract'!I7</f>
        <v>0</v>
      </c>
      <c r="AK7" s="255">
        <f>'Pencapaian Co-Branding'!G7</f>
        <v>0</v>
      </c>
      <c r="AL7" s="170">
        <f>'Pencapaian Co-Branding'!I7</f>
        <v>0</v>
      </c>
      <c r="AM7" s="255">
        <f>'Pencapaian Join Event Activity'!G7</f>
        <v>0</v>
      </c>
      <c r="AN7" s="170">
        <f>'Pencapaian Join Event Activity'!I7</f>
        <v>0</v>
      </c>
      <c r="AO7" s="15">
        <f t="shared" si="2"/>
        <v>780000</v>
      </c>
      <c r="AP7" s="13">
        <v>0</v>
      </c>
      <c r="AQ7" s="15">
        <f t="shared" si="0"/>
        <v>0</v>
      </c>
      <c r="AR7" s="13">
        <v>0</v>
      </c>
      <c r="AS7" s="15">
        <f t="shared" si="1"/>
        <v>0</v>
      </c>
      <c r="AT7" s="15">
        <f t="shared" si="3"/>
        <v>780000</v>
      </c>
      <c r="AU7" s="15">
        <f t="shared" si="4"/>
        <v>429000.00000000006</v>
      </c>
      <c r="AV7" s="15">
        <f t="shared" si="5"/>
        <v>351000</v>
      </c>
    </row>
    <row r="8" spans="2:48" ht="17" thickBot="1" x14ac:dyDescent="0.25">
      <c r="B8" s="17" t="s">
        <v>126</v>
      </c>
      <c r="C8" s="256">
        <f>'Pencapaian Sales Value'!G40</f>
        <v>0.89525819216102509</v>
      </c>
      <c r="D8" s="256">
        <f>'Pencapaian Product Focus'!H40</f>
        <v>0.93931294151482914</v>
      </c>
      <c r="E8" s="256">
        <f>'Pencapaian Product Focus'!L40</f>
        <v>0.98344573881054564</v>
      </c>
      <c r="F8" s="256">
        <f>'Pencapaian Effective Call'!G40</f>
        <v>0.92789788408463658</v>
      </c>
      <c r="G8" s="256">
        <f>'Pencapaian New Open Outlet'!G40</f>
        <v>0.37654320987654322</v>
      </c>
      <c r="H8" s="256">
        <f>'Pencapaian Active Outlet'!G40</f>
        <v>0.98463255665623584</v>
      </c>
      <c r="I8" s="256">
        <f>'Pencapaian Item per Outlet'!G40</f>
        <v>0.79537524742680166</v>
      </c>
      <c r="J8" s="256">
        <f>'Pencapaian Product Display'!G40</f>
        <v>0.89090909090909087</v>
      </c>
      <c r="K8" s="256">
        <f>'Pencapaian Sales Contract'!G40</f>
        <v>0</v>
      </c>
      <c r="L8" s="256">
        <f>'Pencapaian Co-Branding'!G40</f>
        <v>0</v>
      </c>
      <c r="M8" s="256">
        <f>'Pencapaian Join Event Activity'!G40</f>
        <v>1</v>
      </c>
      <c r="N8" s="18">
        <f>SUM(N5:N7)</f>
        <v>19484750</v>
      </c>
      <c r="O8" s="3"/>
      <c r="P8" s="397"/>
      <c r="Q8" s="52" t="s">
        <v>345</v>
      </c>
      <c r="R8" s="52" t="s">
        <v>236</v>
      </c>
      <c r="S8" s="12" t="s">
        <v>14</v>
      </c>
      <c r="T8" s="269">
        <f>'Pencapaian Sales Value'!G8</f>
        <v>0.84705992555831267</v>
      </c>
      <c r="U8" s="15">
        <f>'Pencapaian Sales Value'!I8</f>
        <v>300000</v>
      </c>
      <c r="V8" s="269">
        <f>'Pencapaian Product Focus'!H8</f>
        <v>0.97616311888262541</v>
      </c>
      <c r="W8" s="269">
        <f>'Pencapaian Product Focus'!L8</f>
        <v>0.96491228070175439</v>
      </c>
      <c r="X8" s="15">
        <f>'Pencapaian Product Focus'!N8</f>
        <v>180000</v>
      </c>
      <c r="Y8" s="269">
        <f>'Pencapaian Effective Call'!G8</f>
        <v>1.0870445344129556</v>
      </c>
      <c r="Z8" s="15">
        <f>'Pencapaian Effective Call'!I8</f>
        <v>180000</v>
      </c>
      <c r="AA8" s="255">
        <f>'Pencapaian New Open Outlet'!G8</f>
        <v>0</v>
      </c>
      <c r="AB8" s="170">
        <f>'Pencapaian New Open Outlet'!I8</f>
        <v>0</v>
      </c>
      <c r="AC8" s="255">
        <f>'Pencapaian Active Outlet'!G8</f>
        <v>1.0263157894736843</v>
      </c>
      <c r="AD8" s="170">
        <f>'Pencapaian Active Outlet'!I8</f>
        <v>0</v>
      </c>
      <c r="AE8" s="269">
        <f>'Pencapaian Item per Outlet'!G8</f>
        <v>0.95682095682095669</v>
      </c>
      <c r="AF8" s="15">
        <f>'Pencapaian Item per Outlet'!I8</f>
        <v>135000</v>
      </c>
      <c r="AG8" s="255">
        <f>'Pencapaian Product Display'!G8</f>
        <v>0</v>
      </c>
      <c r="AH8" s="170">
        <f>'Pencapaian Product Display'!I8</f>
        <v>0</v>
      </c>
      <c r="AI8" s="255">
        <f>'Pencapaian Sales Contract'!G8</f>
        <v>0</v>
      </c>
      <c r="AJ8" s="170">
        <f>'Pencapaian Sales Contract'!I8</f>
        <v>0</v>
      </c>
      <c r="AK8" s="255">
        <f>'Pencapaian Co-Branding'!G8</f>
        <v>0</v>
      </c>
      <c r="AL8" s="170">
        <f>'Pencapaian Co-Branding'!I8</f>
        <v>0</v>
      </c>
      <c r="AM8" s="255">
        <f>'Pencapaian Join Event Activity'!G8</f>
        <v>0</v>
      </c>
      <c r="AN8" s="170">
        <f>'Pencapaian Join Event Activity'!I8</f>
        <v>0</v>
      </c>
      <c r="AO8" s="15">
        <f t="shared" si="2"/>
        <v>795000</v>
      </c>
      <c r="AP8" s="13">
        <v>0</v>
      </c>
      <c r="AQ8" s="15">
        <f t="shared" si="0"/>
        <v>0</v>
      </c>
      <c r="AR8" s="13">
        <v>0</v>
      </c>
      <c r="AS8" s="15">
        <f t="shared" si="1"/>
        <v>0</v>
      </c>
      <c r="AT8" s="15">
        <f t="shared" si="3"/>
        <v>795000</v>
      </c>
      <c r="AU8" s="15">
        <f t="shared" si="4"/>
        <v>437250.00000000006</v>
      </c>
      <c r="AV8" s="15">
        <f t="shared" si="5"/>
        <v>357750</v>
      </c>
    </row>
    <row r="9" spans="2:48" ht="17" thickTop="1" x14ac:dyDescent="0.2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O9" s="3"/>
      <c r="P9" s="397"/>
      <c r="Q9" s="52" t="s">
        <v>346</v>
      </c>
      <c r="R9" s="52" t="s">
        <v>237</v>
      </c>
      <c r="S9" s="12" t="s">
        <v>18</v>
      </c>
      <c r="T9" s="269">
        <f>'Pencapaian Sales Value'!G9</f>
        <v>0.81305825688073396</v>
      </c>
      <c r="U9" s="15">
        <f>'Pencapaian Sales Value'!I9</f>
        <v>225000</v>
      </c>
      <c r="V9" s="269">
        <f>'Pencapaian Product Focus'!H9</f>
        <v>0.91225395897336836</v>
      </c>
      <c r="W9" s="269">
        <f>'Pencapaian Product Focus'!L9</f>
        <v>0.90816326530612246</v>
      </c>
      <c r="X9" s="15">
        <f>'Pencapaian Product Focus'!N9</f>
        <v>135000</v>
      </c>
      <c r="Y9" s="269">
        <f>'Pencapaian Effective Call'!G9</f>
        <v>0.94871794871794868</v>
      </c>
      <c r="Z9" s="15">
        <f>'Pencapaian Effective Call'!I9</f>
        <v>101250</v>
      </c>
      <c r="AA9" s="255">
        <f>'Pencapaian New Open Outlet'!G9</f>
        <v>0.2</v>
      </c>
      <c r="AB9" s="170">
        <f>'Pencapaian New Open Outlet'!I9</f>
        <v>0</v>
      </c>
      <c r="AC9" s="255">
        <f>'Pencapaian Active Outlet'!G9</f>
        <v>1.0285255122539174</v>
      </c>
      <c r="AD9" s="170">
        <f>'Pencapaian Active Outlet'!I9</f>
        <v>0</v>
      </c>
      <c r="AE9" s="269">
        <f>'Pencapaian Item per Outlet'!G9</f>
        <v>0.84796709381426993</v>
      </c>
      <c r="AF9" s="15">
        <f>'Pencapaian Item per Outlet'!I9</f>
        <v>67500</v>
      </c>
      <c r="AG9" s="255">
        <f>'Pencapaian Product Display'!G9</f>
        <v>0</v>
      </c>
      <c r="AH9" s="170">
        <f>'Pencapaian Product Display'!I9</f>
        <v>0</v>
      </c>
      <c r="AI9" s="255">
        <f>'Pencapaian Sales Contract'!G9</f>
        <v>0</v>
      </c>
      <c r="AJ9" s="170">
        <f>'Pencapaian Sales Contract'!I9</f>
        <v>0</v>
      </c>
      <c r="AK9" s="255">
        <f>'Pencapaian Co-Branding'!G9</f>
        <v>0</v>
      </c>
      <c r="AL9" s="170">
        <f>'Pencapaian Co-Branding'!I9</f>
        <v>0</v>
      </c>
      <c r="AM9" s="255">
        <f>'Pencapaian Join Event Activity'!G9</f>
        <v>0</v>
      </c>
      <c r="AN9" s="170">
        <f>'Pencapaian Join Event Activity'!I9</f>
        <v>0</v>
      </c>
      <c r="AO9" s="15">
        <f t="shared" si="2"/>
        <v>528750</v>
      </c>
      <c r="AP9" s="13">
        <v>0</v>
      </c>
      <c r="AQ9" s="15">
        <f t="shared" si="0"/>
        <v>0</v>
      </c>
      <c r="AR9" s="13">
        <v>0</v>
      </c>
      <c r="AS9" s="15">
        <f t="shared" si="1"/>
        <v>0</v>
      </c>
      <c r="AT9" s="15">
        <f t="shared" si="3"/>
        <v>528750</v>
      </c>
      <c r="AU9" s="15">
        <f t="shared" ref="AU9:AU12" si="6">AT9*70%</f>
        <v>370125</v>
      </c>
      <c r="AV9" s="15">
        <f t="shared" ref="AV9:AV12" si="7">AT9*30%</f>
        <v>158625</v>
      </c>
    </row>
    <row r="10" spans="2:48" ht="16" x14ac:dyDescent="0.2">
      <c r="B10" s="6" t="s">
        <v>125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"/>
      <c r="O10" s="3"/>
      <c r="P10" s="397"/>
      <c r="Q10" s="52" t="s">
        <v>347</v>
      </c>
      <c r="R10" s="52" t="s">
        <v>101</v>
      </c>
      <c r="S10" s="12" t="s">
        <v>18</v>
      </c>
      <c r="T10" s="269">
        <f>'Pencapaian Sales Value'!G10</f>
        <v>0.82316347826086955</v>
      </c>
      <c r="U10" s="15">
        <f>'Pencapaian Sales Value'!I10</f>
        <v>225000</v>
      </c>
      <c r="V10" s="269">
        <f>'Pencapaian Product Focus'!H10</f>
        <v>0.96323910117013578</v>
      </c>
      <c r="W10" s="269">
        <f>'Pencapaian Product Focus'!L10</f>
        <v>0.95</v>
      </c>
      <c r="X10" s="15">
        <f>'Pencapaian Product Focus'!N10</f>
        <v>135000</v>
      </c>
      <c r="Y10" s="269">
        <f>'Pencapaian Effective Call'!G10</f>
        <v>0.87948717948717947</v>
      </c>
      <c r="Z10" s="15">
        <f>'Pencapaian Effective Call'!I10</f>
        <v>67500</v>
      </c>
      <c r="AA10" s="255">
        <f>'Pencapaian New Open Outlet'!G10</f>
        <v>0</v>
      </c>
      <c r="AB10" s="170">
        <f>'Pencapaian New Open Outlet'!I10</f>
        <v>0</v>
      </c>
      <c r="AC10" s="255">
        <f>'Pencapaian Active Outlet'!G10</f>
        <v>1.0688259109311742</v>
      </c>
      <c r="AD10" s="170">
        <f>'Pencapaian Active Outlet'!I10</f>
        <v>0</v>
      </c>
      <c r="AE10" s="269">
        <f>'Pencapaian Item per Outlet'!G10</f>
        <v>0.77174067243580646</v>
      </c>
      <c r="AF10" s="15">
        <f>'Pencapaian Item per Outlet'!I10</f>
        <v>33750</v>
      </c>
      <c r="AG10" s="255">
        <f>'Pencapaian Product Display'!G10</f>
        <v>0</v>
      </c>
      <c r="AH10" s="170">
        <f>'Pencapaian Product Display'!I10</f>
        <v>0</v>
      </c>
      <c r="AI10" s="255">
        <f>'Pencapaian Sales Contract'!G10</f>
        <v>0</v>
      </c>
      <c r="AJ10" s="170">
        <f>'Pencapaian Sales Contract'!I10</f>
        <v>0</v>
      </c>
      <c r="AK10" s="255">
        <f>'Pencapaian Co-Branding'!G10</f>
        <v>0</v>
      </c>
      <c r="AL10" s="170">
        <f>'Pencapaian Co-Branding'!I10</f>
        <v>0</v>
      </c>
      <c r="AM10" s="255">
        <f>'Pencapaian Join Event Activity'!G10</f>
        <v>0</v>
      </c>
      <c r="AN10" s="170">
        <f>'Pencapaian Join Event Activity'!I10</f>
        <v>0</v>
      </c>
      <c r="AO10" s="15">
        <f t="shared" si="2"/>
        <v>461250</v>
      </c>
      <c r="AP10" s="13">
        <v>0</v>
      </c>
      <c r="AQ10" s="15">
        <f t="shared" si="0"/>
        <v>0</v>
      </c>
      <c r="AR10" s="13">
        <v>0</v>
      </c>
      <c r="AS10" s="15">
        <f t="shared" si="1"/>
        <v>0</v>
      </c>
      <c r="AT10" s="15">
        <f t="shared" si="3"/>
        <v>461250</v>
      </c>
      <c r="AU10" s="14">
        <f t="shared" si="6"/>
        <v>322875</v>
      </c>
      <c r="AV10" s="14">
        <f t="shared" si="7"/>
        <v>138375</v>
      </c>
    </row>
    <row r="11" spans="2:48" ht="14.5" customHeight="1" x14ac:dyDescent="0.2">
      <c r="B11" s="394" t="s">
        <v>0</v>
      </c>
      <c r="C11" s="401" t="s">
        <v>4</v>
      </c>
      <c r="D11" s="398" t="s">
        <v>139</v>
      </c>
      <c r="E11" s="398"/>
      <c r="F11" s="399" t="s">
        <v>134</v>
      </c>
      <c r="G11" s="399" t="s">
        <v>135</v>
      </c>
      <c r="H11" s="399" t="s">
        <v>5</v>
      </c>
      <c r="I11" s="399" t="s">
        <v>137</v>
      </c>
      <c r="J11" s="399" t="s">
        <v>424</v>
      </c>
      <c r="K11" s="399" t="s">
        <v>431</v>
      </c>
      <c r="L11" s="399" t="s">
        <v>438</v>
      </c>
      <c r="M11" s="399" t="s">
        <v>445</v>
      </c>
      <c r="N11" s="398" t="s">
        <v>1</v>
      </c>
      <c r="O11" s="3"/>
      <c r="P11" s="397"/>
      <c r="Q11" s="52" t="s">
        <v>348</v>
      </c>
      <c r="R11" s="52" t="s">
        <v>157</v>
      </c>
      <c r="S11" s="12" t="s">
        <v>467</v>
      </c>
      <c r="T11" s="269">
        <f>'Pencapaian Sales Value'!G11</f>
        <v>1.0045630769230769</v>
      </c>
      <c r="U11" s="15">
        <f>'Pencapaian Sales Value'!I11</f>
        <v>525000</v>
      </c>
      <c r="V11" s="304">
        <f>'Pencapaian Product Focus'!H11</f>
        <v>0</v>
      </c>
      <c r="W11" s="304">
        <f>'Pencapaian Product Focus'!L11</f>
        <v>0</v>
      </c>
      <c r="X11" s="178">
        <f>'Pencapaian Product Focus'!N11</f>
        <v>0</v>
      </c>
      <c r="Y11" s="304">
        <f>'Pencapaian Effective Call'!G11</f>
        <v>0</v>
      </c>
      <c r="Z11" s="178">
        <f>'Pencapaian Effective Call'!I11</f>
        <v>0</v>
      </c>
      <c r="AA11" s="269">
        <f>'Pencapaian New Open Outlet'!G11</f>
        <v>1.1000000000000001</v>
      </c>
      <c r="AB11" s="14">
        <f>'Pencapaian New Open Outlet'!I11</f>
        <v>150000</v>
      </c>
      <c r="AC11" s="269">
        <f>'Pencapaian Active Outlet'!G11</f>
        <v>0.93333333333333335</v>
      </c>
      <c r="AD11" s="14">
        <f>'Pencapaian Active Outlet'!I11</f>
        <v>75000</v>
      </c>
      <c r="AE11" s="255">
        <f>'Pencapaian Item per Outlet'!G11</f>
        <v>0</v>
      </c>
      <c r="AF11" s="170">
        <f>'Pencapaian Item per Outlet'!I11</f>
        <v>0</v>
      </c>
      <c r="AG11" s="255">
        <f>'Pencapaian Product Display'!G11</f>
        <v>0</v>
      </c>
      <c r="AH11" s="170">
        <f>'Pencapaian Product Display'!I11</f>
        <v>0</v>
      </c>
      <c r="AI11" s="255">
        <f>'Pencapaian Sales Contract'!G11</f>
        <v>0</v>
      </c>
      <c r="AJ11" s="170">
        <f>'Pencapaian Sales Contract'!I11</f>
        <v>0</v>
      </c>
      <c r="AK11" s="255">
        <f>'Pencapaian Co-Branding'!G11</f>
        <v>0</v>
      </c>
      <c r="AL11" s="170">
        <f>'Pencapaian Co-Branding'!I11</f>
        <v>0</v>
      </c>
      <c r="AM11" s="255">
        <f>'Pencapaian Join Event Activity'!G11</f>
        <v>0</v>
      </c>
      <c r="AN11" s="170">
        <f>'Pencapaian Join Event Activity'!I11</f>
        <v>0</v>
      </c>
      <c r="AO11" s="15">
        <f t="shared" si="2"/>
        <v>750000</v>
      </c>
      <c r="AP11" s="13">
        <v>0</v>
      </c>
      <c r="AQ11" s="15">
        <f t="shared" si="0"/>
        <v>0</v>
      </c>
      <c r="AR11" s="13">
        <v>0</v>
      </c>
      <c r="AS11" s="15">
        <f t="shared" si="1"/>
        <v>0</v>
      </c>
      <c r="AT11" s="15">
        <f t="shared" si="3"/>
        <v>750000</v>
      </c>
      <c r="AU11" s="15">
        <f t="shared" si="6"/>
        <v>525000</v>
      </c>
      <c r="AV11" s="15">
        <f t="shared" si="7"/>
        <v>225000</v>
      </c>
    </row>
    <row r="12" spans="2:48" ht="16" x14ac:dyDescent="0.2">
      <c r="B12" s="394"/>
      <c r="C12" s="401"/>
      <c r="D12" s="292" t="s">
        <v>514</v>
      </c>
      <c r="E12" s="292" t="s">
        <v>515</v>
      </c>
      <c r="F12" s="400"/>
      <c r="G12" s="400"/>
      <c r="H12" s="400"/>
      <c r="I12" s="400"/>
      <c r="J12" s="400"/>
      <c r="K12" s="400"/>
      <c r="L12" s="400"/>
      <c r="M12" s="400"/>
      <c r="N12" s="398"/>
      <c r="O12" s="3"/>
      <c r="P12" s="397"/>
      <c r="Q12" s="52" t="s">
        <v>349</v>
      </c>
      <c r="R12" s="52" t="s">
        <v>158</v>
      </c>
      <c r="S12" s="12" t="s">
        <v>467</v>
      </c>
      <c r="T12" s="269">
        <f>'Pencapaian Sales Value'!G12</f>
        <v>0</v>
      </c>
      <c r="U12" s="15">
        <f>'Pencapaian Sales Value'!I12</f>
        <v>0</v>
      </c>
      <c r="V12" s="304">
        <f>'Pencapaian Product Focus'!H12</f>
        <v>0</v>
      </c>
      <c r="W12" s="304">
        <f>'Pencapaian Product Focus'!L12</f>
        <v>0</v>
      </c>
      <c r="X12" s="178">
        <f>'Pencapaian Product Focus'!N12</f>
        <v>0</v>
      </c>
      <c r="Y12" s="304">
        <f>'Pencapaian Effective Call'!G12</f>
        <v>0</v>
      </c>
      <c r="Z12" s="178">
        <f>'Pencapaian Effective Call'!I12</f>
        <v>0</v>
      </c>
      <c r="AA12" s="269">
        <f>'Pencapaian New Open Outlet'!G12</f>
        <v>0</v>
      </c>
      <c r="AB12" s="14">
        <f>'Pencapaian New Open Outlet'!I12</f>
        <v>0</v>
      </c>
      <c r="AC12" s="269">
        <f>'Pencapaian Active Outlet'!G12</f>
        <v>0</v>
      </c>
      <c r="AD12" s="14">
        <f>'Pencapaian Active Outlet'!I12</f>
        <v>0</v>
      </c>
      <c r="AE12" s="255">
        <f>'Pencapaian Item per Outlet'!G12</f>
        <v>0</v>
      </c>
      <c r="AF12" s="170">
        <f>'Pencapaian Item per Outlet'!I12</f>
        <v>0</v>
      </c>
      <c r="AG12" s="255">
        <f>'Pencapaian Product Display'!G12</f>
        <v>0</v>
      </c>
      <c r="AH12" s="170">
        <f>'Pencapaian Product Display'!I12</f>
        <v>0</v>
      </c>
      <c r="AI12" s="255">
        <f>'Pencapaian Sales Contract'!G12</f>
        <v>0</v>
      </c>
      <c r="AJ12" s="170">
        <f>'Pencapaian Sales Contract'!I12</f>
        <v>0</v>
      </c>
      <c r="AK12" s="255">
        <f>'Pencapaian Co-Branding'!G12</f>
        <v>0</v>
      </c>
      <c r="AL12" s="170">
        <f>'Pencapaian Co-Branding'!I12</f>
        <v>0</v>
      </c>
      <c r="AM12" s="255">
        <f>'Pencapaian Join Event Activity'!G12</f>
        <v>0</v>
      </c>
      <c r="AN12" s="170">
        <f>'Pencapaian Join Event Activity'!I12</f>
        <v>0</v>
      </c>
      <c r="AO12" s="15">
        <f t="shared" si="2"/>
        <v>0</v>
      </c>
      <c r="AP12" s="13">
        <v>0</v>
      </c>
      <c r="AQ12" s="15">
        <f t="shared" si="0"/>
        <v>0</v>
      </c>
      <c r="AR12" s="13">
        <v>0</v>
      </c>
      <c r="AS12" s="15">
        <f t="shared" si="1"/>
        <v>0</v>
      </c>
      <c r="AT12" s="15">
        <f t="shared" si="3"/>
        <v>0</v>
      </c>
      <c r="AU12" s="14">
        <f t="shared" si="6"/>
        <v>0</v>
      </c>
      <c r="AV12" s="14">
        <f t="shared" si="7"/>
        <v>0</v>
      </c>
    </row>
    <row r="13" spans="2:48" s="21" customFormat="1" ht="16" x14ac:dyDescent="0.2">
      <c r="B13" s="12" t="s">
        <v>15</v>
      </c>
      <c r="C13" s="254">
        <f>'Pencapaian Sales Value'!G64</f>
        <v>0.86073580391585169</v>
      </c>
      <c r="D13" s="254">
        <f>'Pencapaian Product Focus'!H64</f>
        <v>0.75020833333333337</v>
      </c>
      <c r="E13" s="254">
        <f>'Pencapaian Product Focus'!L64</f>
        <v>0.63037974683544307</v>
      </c>
      <c r="F13" s="254">
        <f>'Pencapaian Effective Call'!G64</f>
        <v>0.9922352941176471</v>
      </c>
      <c r="G13" s="254">
        <f>'Pencapaian New Open Outlet'!G64</f>
        <v>0.19415680473372782</v>
      </c>
      <c r="H13" s="254">
        <f>'Pencapaian Active Outlet'!G64</f>
        <v>1.0290043995437512</v>
      </c>
      <c r="I13" s="254">
        <f>'Pencapaian Item per Outlet'!G64</f>
        <v>0.54872827228894328</v>
      </c>
      <c r="J13" s="266"/>
      <c r="K13" s="254">
        <f>'Pencapaian Sales Contract'!G64</f>
        <v>0</v>
      </c>
      <c r="L13" s="254">
        <f>'Pencapaian Co-Branding'!G64</f>
        <v>0</v>
      </c>
      <c r="M13" s="266"/>
      <c r="N13" s="14">
        <f>AO64</f>
        <v>4901500</v>
      </c>
      <c r="O13" s="31"/>
      <c r="P13" s="397"/>
      <c r="Q13" s="70"/>
      <c r="R13" s="70" t="s">
        <v>289</v>
      </c>
      <c r="S13" s="64" t="s">
        <v>20</v>
      </c>
      <c r="T13" s="258">
        <f>'Pencapaian Sales Value'!G13</f>
        <v>0.91075132653061219</v>
      </c>
      <c r="U13" s="63">
        <f>'Pencapaian Sales Value'!I13</f>
        <v>336000</v>
      </c>
      <c r="V13" s="258">
        <f>'Pencapaian Product Focus'!H13</f>
        <v>0.9423439369421992</v>
      </c>
      <c r="W13" s="258">
        <f>'Pencapaian Product Focus'!L13</f>
        <v>0.96509863429438547</v>
      </c>
      <c r="X13" s="63">
        <f>'Pencapaian Product Focus'!N13</f>
        <v>168000</v>
      </c>
      <c r="Y13" s="257">
        <f>'Pencapaian Effective Call'!G13</f>
        <v>1.0118603863097255</v>
      </c>
      <c r="Z13" s="189">
        <f>'Pencapaian Effective Call'!I13</f>
        <v>0</v>
      </c>
      <c r="AA13" s="257">
        <f>'Pencapaian New Open Outlet'!G13</f>
        <v>0.33333333333333331</v>
      </c>
      <c r="AB13" s="189">
        <f>'Pencapaian New Open Outlet'!I13</f>
        <v>0</v>
      </c>
      <c r="AC13" s="258">
        <f>'Pencapaian Active Outlet'!G13</f>
        <v>0.95386272515109816</v>
      </c>
      <c r="AD13" s="63">
        <f>'Pencapaian Active Outlet'!I13</f>
        <v>168000</v>
      </c>
      <c r="AE13" s="258">
        <f>'Pencapaian Item per Outlet'!G13</f>
        <v>0.90679954180383182</v>
      </c>
      <c r="AF13" s="63">
        <f>'Pencapaian Item per Outlet'!I13</f>
        <v>168000</v>
      </c>
      <c r="AG13" s="306">
        <f>'Pencapaian Product Display'!G13</f>
        <v>0</v>
      </c>
      <c r="AH13" s="152">
        <f>'Pencapaian Product Display'!I13</f>
        <v>0</v>
      </c>
      <c r="AI13" s="306">
        <f>'Pencapaian Sales Contract'!G13</f>
        <v>0</v>
      </c>
      <c r="AJ13" s="152">
        <f>'Pencapaian Sales Contract'!I13</f>
        <v>0</v>
      </c>
      <c r="AK13" s="306">
        <f>'Pencapaian Co-Branding'!G13</f>
        <v>0</v>
      </c>
      <c r="AL13" s="152">
        <f>'Pencapaian Co-Branding'!I13</f>
        <v>0</v>
      </c>
      <c r="AM13" s="306">
        <f>'Pencapaian Join Event Activity'!G13</f>
        <v>0</v>
      </c>
      <c r="AN13" s="152">
        <f>'Pencapaian Join Event Activity'!I13</f>
        <v>0</v>
      </c>
      <c r="AO13" s="63">
        <f t="shared" si="2"/>
        <v>840000</v>
      </c>
      <c r="AP13" s="110">
        <v>1.5494818530621329E-2</v>
      </c>
      <c r="AQ13" s="63">
        <f t="shared" si="0"/>
        <v>-84000</v>
      </c>
      <c r="AR13" s="110">
        <v>0</v>
      </c>
      <c r="AS13" s="63">
        <f t="shared" si="1"/>
        <v>0</v>
      </c>
      <c r="AT13" s="63">
        <f t="shared" si="3"/>
        <v>756000</v>
      </c>
      <c r="AU13" s="63">
        <f>AT13</f>
        <v>756000</v>
      </c>
      <c r="AV13" s="63">
        <v>0</v>
      </c>
    </row>
    <row r="14" spans="2:48" ht="16" x14ac:dyDescent="0.2">
      <c r="B14" s="12" t="s">
        <v>17</v>
      </c>
      <c r="C14" s="254">
        <f>'Pencapaian Sales Value'!G71</f>
        <v>0.73837175952201439</v>
      </c>
      <c r="D14" s="254">
        <f>'Pencapaian Product Focus'!H71</f>
        <v>0.70340277777777782</v>
      </c>
      <c r="E14" s="254">
        <f>'Pencapaian Product Focus'!L71</f>
        <v>0.86799999999999999</v>
      </c>
      <c r="F14" s="254">
        <f>'Pencapaian Effective Call'!G71</f>
        <v>0.65741935483870972</v>
      </c>
      <c r="G14" s="254">
        <f>'Pencapaian New Open Outlet'!G71</f>
        <v>8.8407758231844838E-2</v>
      </c>
      <c r="H14" s="254">
        <f>'Pencapaian Active Outlet'!G71</f>
        <v>0.85245901639344257</v>
      </c>
      <c r="I14" s="254">
        <f>'Pencapaian Item per Outlet'!G71</f>
        <v>0.50909090909090904</v>
      </c>
      <c r="J14" s="266"/>
      <c r="K14" s="266"/>
      <c r="L14" s="266"/>
      <c r="M14" s="266"/>
      <c r="N14" s="16">
        <f>AO71</f>
        <v>1137750</v>
      </c>
      <c r="O14" s="3"/>
      <c r="P14" s="397"/>
      <c r="Q14" s="52" t="s">
        <v>350</v>
      </c>
      <c r="R14" s="38" t="s">
        <v>99</v>
      </c>
      <c r="S14" s="12" t="s">
        <v>14</v>
      </c>
      <c r="T14" s="269">
        <f>'Pencapaian Sales Value'!G14</f>
        <v>0.91236266403921584</v>
      </c>
      <c r="U14" s="15">
        <f>'Pencapaian Sales Value'!I14</f>
        <v>450000</v>
      </c>
      <c r="V14" s="269">
        <f>'Pencapaian Product Focus'!H14</f>
        <v>0.92679011718277671</v>
      </c>
      <c r="W14" s="269">
        <f>'Pencapaian Product Focus'!L14</f>
        <v>0.98979591836734693</v>
      </c>
      <c r="X14" s="15">
        <f>'Pencapaian Product Focus'!N14</f>
        <v>180000</v>
      </c>
      <c r="Y14" s="269">
        <f>'Pencapaian Effective Call'!G14</f>
        <v>0.99038461538461542</v>
      </c>
      <c r="Z14" s="15">
        <f>'Pencapaian Effective Call'!I14</f>
        <v>135000</v>
      </c>
      <c r="AA14" s="255">
        <f>'Pencapaian New Open Outlet'!G14</f>
        <v>1.2</v>
      </c>
      <c r="AB14" s="170">
        <f>'Pencapaian New Open Outlet'!I14</f>
        <v>0</v>
      </c>
      <c r="AC14" s="255">
        <f>'Pencapaian Active Outlet'!G14</f>
        <v>0.9887323943661972</v>
      </c>
      <c r="AD14" s="170">
        <f>'Pencapaian Active Outlet'!I14</f>
        <v>0</v>
      </c>
      <c r="AE14" s="269">
        <f>'Pencapaian Item per Outlet'!G14</f>
        <v>0.82783882783882778</v>
      </c>
      <c r="AF14" s="15">
        <f>'Pencapaian Item per Outlet'!I14</f>
        <v>90000</v>
      </c>
      <c r="AG14" s="255">
        <f>'Pencapaian Product Display'!G14</f>
        <v>0</v>
      </c>
      <c r="AH14" s="170">
        <f>'Pencapaian Product Display'!I14</f>
        <v>0</v>
      </c>
      <c r="AI14" s="255">
        <f>'Pencapaian Sales Contract'!G14</f>
        <v>0</v>
      </c>
      <c r="AJ14" s="170">
        <f>'Pencapaian Sales Contract'!I14</f>
        <v>0</v>
      </c>
      <c r="AK14" s="255">
        <f>'Pencapaian Co-Branding'!G14</f>
        <v>0</v>
      </c>
      <c r="AL14" s="170">
        <f>'Pencapaian Co-Branding'!I14</f>
        <v>0</v>
      </c>
      <c r="AM14" s="255">
        <f>'Pencapaian Join Event Activity'!G14</f>
        <v>0</v>
      </c>
      <c r="AN14" s="170">
        <f>'Pencapaian Join Event Activity'!I14</f>
        <v>0</v>
      </c>
      <c r="AO14" s="15">
        <f t="shared" si="2"/>
        <v>855000</v>
      </c>
      <c r="AP14" s="13">
        <v>0</v>
      </c>
      <c r="AQ14" s="15">
        <f t="shared" si="0"/>
        <v>0</v>
      </c>
      <c r="AR14" s="13">
        <v>0</v>
      </c>
      <c r="AS14" s="15">
        <f t="shared" si="1"/>
        <v>0</v>
      </c>
      <c r="AT14" s="15">
        <f t="shared" si="3"/>
        <v>855000</v>
      </c>
      <c r="AU14" s="15">
        <f>AT14*55%</f>
        <v>470250.00000000006</v>
      </c>
      <c r="AV14" s="15">
        <f>AT14*45%</f>
        <v>384750</v>
      </c>
    </row>
    <row r="15" spans="2:48" ht="16" x14ac:dyDescent="0.2">
      <c r="B15" s="12" t="s">
        <v>140</v>
      </c>
      <c r="C15" s="254">
        <f>'Pencapaian Sales Value'!G76</f>
        <v>0.55375184252973098</v>
      </c>
      <c r="D15" s="266"/>
      <c r="E15" s="266"/>
      <c r="F15" s="254">
        <f>'Pencapaian Effective Call'!G76</f>
        <v>0.51111111111111107</v>
      </c>
      <c r="G15" s="254">
        <f>'Pencapaian New Open Outlet'!G76</f>
        <v>0.54166666666666663</v>
      </c>
      <c r="H15" s="254">
        <f>'Pencapaian Active Outlet'!G76</f>
        <v>0.5276348766653477</v>
      </c>
      <c r="I15" s="266"/>
      <c r="J15" s="266"/>
      <c r="K15" s="266"/>
      <c r="L15" s="266"/>
      <c r="M15" s="266"/>
      <c r="N15" s="14">
        <f>AO76</f>
        <v>90000</v>
      </c>
      <c r="O15" s="3"/>
      <c r="P15" s="397"/>
      <c r="Q15" s="52" t="s">
        <v>351</v>
      </c>
      <c r="R15" s="52" t="s">
        <v>100</v>
      </c>
      <c r="S15" s="12" t="s">
        <v>14</v>
      </c>
      <c r="T15" s="269">
        <f>'Pencapaian Sales Value'!G15</f>
        <v>0.80077876688932081</v>
      </c>
      <c r="U15" s="15">
        <f>'Pencapaian Sales Value'!I15</f>
        <v>300000</v>
      </c>
      <c r="V15" s="269">
        <f>'Pencapaian Product Focus'!H15</f>
        <v>0.87667286515633358</v>
      </c>
      <c r="W15" s="269">
        <f>'Pencapaian Product Focus'!L15</f>
        <v>1.0082644628099173</v>
      </c>
      <c r="X15" s="15">
        <f>'Pencapaian Product Focus'!N15</f>
        <v>180000</v>
      </c>
      <c r="Y15" s="269">
        <f>'Pencapaian Effective Call'!G15</f>
        <v>0.83846153846153848</v>
      </c>
      <c r="Z15" s="15">
        <f>'Pencapaian Effective Call'!I15</f>
        <v>90000</v>
      </c>
      <c r="AA15" s="255">
        <f>'Pencapaian New Open Outlet'!G15</f>
        <v>0</v>
      </c>
      <c r="AB15" s="170">
        <f>'Pencapaian New Open Outlet'!I15</f>
        <v>0</v>
      </c>
      <c r="AC15" s="255">
        <f>'Pencapaian Active Outlet'!G15</f>
        <v>1.0108695652173914</v>
      </c>
      <c r="AD15" s="170">
        <f>'Pencapaian Active Outlet'!I15</f>
        <v>0</v>
      </c>
      <c r="AE15" s="269">
        <f>'Pencapaian Item per Outlet'!G15</f>
        <v>0.84946236559139787</v>
      </c>
      <c r="AF15" s="15">
        <f>'Pencapaian Item per Outlet'!I15</f>
        <v>90000</v>
      </c>
      <c r="AG15" s="255">
        <f>'Pencapaian Product Display'!G15</f>
        <v>0</v>
      </c>
      <c r="AH15" s="170">
        <f>'Pencapaian Product Display'!I15</f>
        <v>0</v>
      </c>
      <c r="AI15" s="255">
        <f>'Pencapaian Sales Contract'!G15</f>
        <v>0</v>
      </c>
      <c r="AJ15" s="170">
        <f>'Pencapaian Sales Contract'!I15</f>
        <v>0</v>
      </c>
      <c r="AK15" s="255">
        <f>'Pencapaian Co-Branding'!G15</f>
        <v>0</v>
      </c>
      <c r="AL15" s="170">
        <f>'Pencapaian Co-Branding'!I15</f>
        <v>0</v>
      </c>
      <c r="AM15" s="255">
        <f>'Pencapaian Join Event Activity'!G15</f>
        <v>0</v>
      </c>
      <c r="AN15" s="170">
        <f>'Pencapaian Join Event Activity'!I15</f>
        <v>0</v>
      </c>
      <c r="AO15" s="15">
        <f t="shared" si="2"/>
        <v>660000</v>
      </c>
      <c r="AP15" s="13">
        <v>0</v>
      </c>
      <c r="AQ15" s="15">
        <f t="shared" si="0"/>
        <v>0</v>
      </c>
      <c r="AR15" s="13">
        <v>0</v>
      </c>
      <c r="AS15" s="15">
        <f t="shared" si="1"/>
        <v>0</v>
      </c>
      <c r="AT15" s="15">
        <f t="shared" si="3"/>
        <v>660000</v>
      </c>
      <c r="AU15" s="15">
        <f>AT15*55%</f>
        <v>363000.00000000006</v>
      </c>
      <c r="AV15" s="15">
        <f>AT15*45%</f>
        <v>297000</v>
      </c>
    </row>
    <row r="16" spans="2:48" ht="17" thickBot="1" x14ac:dyDescent="0.25">
      <c r="B16" s="17" t="s">
        <v>127</v>
      </c>
      <c r="C16" s="256">
        <f>'Pencapaian Sales Value'!G77</f>
        <v>0.82895214655144445</v>
      </c>
      <c r="D16" s="256">
        <f>'Pencapaian Product Focus'!H77</f>
        <v>0.72680555555555559</v>
      </c>
      <c r="E16" s="256">
        <f>'Pencapaian Product Focus'!L77</f>
        <v>0.72248062015503878</v>
      </c>
      <c r="F16" s="256">
        <f>'Pencapaian Effective Call'!G77</f>
        <v>0.85014925373134331</v>
      </c>
      <c r="G16" s="256">
        <f>'Pencapaian New Open Outlet'!G77</f>
        <v>0.22117760034694525</v>
      </c>
      <c r="H16" s="256">
        <f>'Pencapaian Active Outlet'!G77</f>
        <v>0.89526292916123429</v>
      </c>
      <c r="I16" s="256">
        <f>'Pencapaian Item per Outlet'!G77</f>
        <v>0.53551581788959846</v>
      </c>
      <c r="J16" s="260"/>
      <c r="K16" s="256">
        <f>'Pencapaian Sales Contract'!G77</f>
        <v>0</v>
      </c>
      <c r="L16" s="256">
        <f>'Pencapaian Co-Branding'!G77</f>
        <v>0</v>
      </c>
      <c r="M16" s="260"/>
      <c r="N16" s="18">
        <f>SUM(N13:N15)</f>
        <v>6129250</v>
      </c>
      <c r="O16" s="3"/>
      <c r="P16" s="397"/>
      <c r="Q16" s="52" t="s">
        <v>352</v>
      </c>
      <c r="R16" s="52" t="s">
        <v>238</v>
      </c>
      <c r="S16" s="12" t="s">
        <v>14</v>
      </c>
      <c r="T16" s="269">
        <f>'Pencapaian Sales Value'!G16</f>
        <v>0.89594635681011814</v>
      </c>
      <c r="U16" s="15">
        <f>'Pencapaian Sales Value'!I16</f>
        <v>300000</v>
      </c>
      <c r="V16" s="269">
        <f>'Pencapaian Product Focus'!H16</f>
        <v>0.91387239905180628</v>
      </c>
      <c r="W16" s="269">
        <f>'Pencapaian Product Focus'!L16</f>
        <v>0.93600000000000005</v>
      </c>
      <c r="X16" s="15">
        <f>'Pencapaian Product Focus'!N16</f>
        <v>180000</v>
      </c>
      <c r="Y16" s="269">
        <f>'Pencapaian Effective Call'!G16</f>
        <v>0.86769230769230765</v>
      </c>
      <c r="Z16" s="15">
        <f>'Pencapaian Effective Call'!I16</f>
        <v>90000</v>
      </c>
      <c r="AA16" s="255">
        <f>'Pencapaian New Open Outlet'!G16</f>
        <v>0.4</v>
      </c>
      <c r="AB16" s="170">
        <f>'Pencapaian New Open Outlet'!I16</f>
        <v>0</v>
      </c>
      <c r="AC16" s="255">
        <f>'Pencapaian Active Outlet'!G16</f>
        <v>0.87917737789203088</v>
      </c>
      <c r="AD16" s="170">
        <f>'Pencapaian Active Outlet'!I16</f>
        <v>0</v>
      </c>
      <c r="AE16" s="269">
        <f>'Pencapaian Item per Outlet'!G16</f>
        <v>0.85982905982905977</v>
      </c>
      <c r="AF16" s="15">
        <f>'Pencapaian Item per Outlet'!I16</f>
        <v>90000</v>
      </c>
      <c r="AG16" s="255">
        <f>'Pencapaian Product Display'!G16</f>
        <v>0</v>
      </c>
      <c r="AH16" s="170">
        <f>'Pencapaian Product Display'!I16</f>
        <v>0</v>
      </c>
      <c r="AI16" s="255">
        <f>'Pencapaian Sales Contract'!G16</f>
        <v>0</v>
      </c>
      <c r="AJ16" s="170">
        <f>'Pencapaian Sales Contract'!I16</f>
        <v>0</v>
      </c>
      <c r="AK16" s="255">
        <f>'Pencapaian Co-Branding'!G16</f>
        <v>0</v>
      </c>
      <c r="AL16" s="170">
        <f>'Pencapaian Co-Branding'!I16</f>
        <v>0</v>
      </c>
      <c r="AM16" s="255">
        <f>'Pencapaian Join Event Activity'!G16</f>
        <v>0</v>
      </c>
      <c r="AN16" s="170">
        <f>'Pencapaian Join Event Activity'!I16</f>
        <v>0</v>
      </c>
      <c r="AO16" s="15">
        <f t="shared" si="2"/>
        <v>660000</v>
      </c>
      <c r="AP16" s="13">
        <v>0</v>
      </c>
      <c r="AQ16" s="15">
        <f t="shared" si="0"/>
        <v>0</v>
      </c>
      <c r="AR16" s="13">
        <v>0</v>
      </c>
      <c r="AS16" s="15">
        <f t="shared" si="1"/>
        <v>0</v>
      </c>
      <c r="AT16" s="15">
        <f t="shared" si="3"/>
        <v>660000</v>
      </c>
      <c r="AU16" s="15">
        <f t="shared" ref="AU16:AU18" si="8">AT16*55%</f>
        <v>363000.00000000006</v>
      </c>
      <c r="AV16" s="15">
        <f t="shared" ref="AV16:AV18" si="9">AT16*45%</f>
        <v>297000</v>
      </c>
    </row>
    <row r="17" spans="2:48" ht="17" thickTop="1" x14ac:dyDescent="0.2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  <c r="O17" s="3"/>
      <c r="P17" s="397"/>
      <c r="Q17" s="52" t="s">
        <v>353</v>
      </c>
      <c r="R17" s="52" t="s">
        <v>239</v>
      </c>
      <c r="S17" s="83" t="s">
        <v>14</v>
      </c>
      <c r="T17" s="301">
        <f>'Pencapaian Sales Value'!G17</f>
        <v>0.91370604925515675</v>
      </c>
      <c r="U17" s="259">
        <f>'Pencapaian Sales Value'!I17</f>
        <v>450000</v>
      </c>
      <c r="V17" s="301">
        <f>'Pencapaian Product Focus'!H17</f>
        <v>0.83518450025137447</v>
      </c>
      <c r="W17" s="301">
        <f>'Pencapaian Product Focus'!L17</f>
        <v>1.0297029702970297</v>
      </c>
      <c r="X17" s="259">
        <f>'Pencapaian Product Focus'!N17</f>
        <v>180000</v>
      </c>
      <c r="Y17" s="301">
        <f>'Pencapaian Effective Call'!G17</f>
        <v>0.80769230769230771</v>
      </c>
      <c r="Z17" s="259">
        <f>'Pencapaian Effective Call'!I17</f>
        <v>90000</v>
      </c>
      <c r="AA17" s="255">
        <f>'Pencapaian New Open Outlet'!G17</f>
        <v>0.2</v>
      </c>
      <c r="AB17" s="170">
        <f>'Pencapaian New Open Outlet'!I17</f>
        <v>0</v>
      </c>
      <c r="AC17" s="255">
        <f>'Pencapaian Active Outlet'!G17</f>
        <v>0.96000000000000008</v>
      </c>
      <c r="AD17" s="170">
        <f>'Pencapaian Active Outlet'!I17</f>
        <v>0</v>
      </c>
      <c r="AE17" s="301">
        <f>'Pencapaian Item per Outlet'!G17</f>
        <v>1.0134770889487872</v>
      </c>
      <c r="AF17" s="259">
        <f>'Pencapaian Item per Outlet'!I17</f>
        <v>180000</v>
      </c>
      <c r="AG17" s="255">
        <f>'Pencapaian Product Display'!G17</f>
        <v>0</v>
      </c>
      <c r="AH17" s="170">
        <f>'Pencapaian Product Display'!I17</f>
        <v>0</v>
      </c>
      <c r="AI17" s="255">
        <f>'Pencapaian Sales Contract'!G17</f>
        <v>0</v>
      </c>
      <c r="AJ17" s="170">
        <f>'Pencapaian Sales Contract'!I17</f>
        <v>0</v>
      </c>
      <c r="AK17" s="255">
        <f>'Pencapaian Co-Branding'!G17</f>
        <v>0</v>
      </c>
      <c r="AL17" s="170">
        <f>'Pencapaian Co-Branding'!I17</f>
        <v>0</v>
      </c>
      <c r="AM17" s="255">
        <f>'Pencapaian Join Event Activity'!G17</f>
        <v>0</v>
      </c>
      <c r="AN17" s="170">
        <f>'Pencapaian Join Event Activity'!I17</f>
        <v>0</v>
      </c>
      <c r="AO17" s="259">
        <f t="shared" si="2"/>
        <v>900000</v>
      </c>
      <c r="AP17" s="13">
        <v>0</v>
      </c>
      <c r="AQ17" s="15">
        <f t="shared" si="0"/>
        <v>0</v>
      </c>
      <c r="AR17" s="13">
        <v>0</v>
      </c>
      <c r="AS17" s="15">
        <f t="shared" si="1"/>
        <v>0</v>
      </c>
      <c r="AT17" s="259">
        <f t="shared" si="3"/>
        <v>900000</v>
      </c>
      <c r="AU17" s="15">
        <f t="shared" si="8"/>
        <v>495000.00000000006</v>
      </c>
      <c r="AV17" s="15">
        <f t="shared" si="9"/>
        <v>405000</v>
      </c>
    </row>
    <row r="18" spans="2:48" s="75" customFormat="1" ht="16" x14ac:dyDescent="0.2">
      <c r="B18" s="6" t="s">
        <v>227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  <c r="O18" s="82"/>
      <c r="P18" s="397"/>
      <c r="Q18" s="52" t="s">
        <v>354</v>
      </c>
      <c r="R18" s="52" t="s">
        <v>294</v>
      </c>
      <c r="S18" s="12" t="s">
        <v>14</v>
      </c>
      <c r="T18" s="269">
        <f>'Pencapaian Sales Value'!G18</f>
        <v>0.84735592459605025</v>
      </c>
      <c r="U18" s="15">
        <f>'Pencapaian Sales Value'!I18</f>
        <v>300000</v>
      </c>
      <c r="V18" s="269">
        <f>'Pencapaian Product Focus'!H18</f>
        <v>0.88937202952775807</v>
      </c>
      <c r="W18" s="269">
        <f>'Pencapaian Product Focus'!L18</f>
        <v>1.0428571428571429</v>
      </c>
      <c r="X18" s="15">
        <f>'Pencapaian Product Focus'!N18</f>
        <v>180000</v>
      </c>
      <c r="Y18" s="269">
        <f>'Pencapaian Effective Call'!G18</f>
        <v>0.7846153846153846</v>
      </c>
      <c r="Z18" s="15">
        <f>'Pencapaian Effective Call'!I18</f>
        <v>45000</v>
      </c>
      <c r="AA18" s="255">
        <f>'Pencapaian New Open Outlet'!G18</f>
        <v>0.2</v>
      </c>
      <c r="AB18" s="170">
        <f>'Pencapaian New Open Outlet'!I18</f>
        <v>0</v>
      </c>
      <c r="AC18" s="255">
        <f>'Pencapaian Active Outlet'!G18</f>
        <v>0.87460815047021945</v>
      </c>
      <c r="AD18" s="170">
        <f>'Pencapaian Active Outlet'!I18</f>
        <v>0</v>
      </c>
      <c r="AE18" s="269">
        <f>'Pencapaian Item per Outlet'!G18</f>
        <v>0.84792626728110598</v>
      </c>
      <c r="AF18" s="15">
        <f>'Pencapaian Item per Outlet'!I18</f>
        <v>90000</v>
      </c>
      <c r="AG18" s="255">
        <f>'Pencapaian Product Display'!G18</f>
        <v>0</v>
      </c>
      <c r="AH18" s="170">
        <f>'Pencapaian Product Display'!I18</f>
        <v>0</v>
      </c>
      <c r="AI18" s="255">
        <f>'Pencapaian Sales Contract'!G18</f>
        <v>0</v>
      </c>
      <c r="AJ18" s="170">
        <f>'Pencapaian Sales Contract'!I18</f>
        <v>0</v>
      </c>
      <c r="AK18" s="255">
        <f>'Pencapaian Co-Branding'!G18</f>
        <v>0</v>
      </c>
      <c r="AL18" s="170">
        <f>'Pencapaian Co-Branding'!I18</f>
        <v>0</v>
      </c>
      <c r="AM18" s="255">
        <f>'Pencapaian Join Event Activity'!G18</f>
        <v>0</v>
      </c>
      <c r="AN18" s="170">
        <f>'Pencapaian Join Event Activity'!I18</f>
        <v>0</v>
      </c>
      <c r="AO18" s="15">
        <f t="shared" si="2"/>
        <v>615000</v>
      </c>
      <c r="AP18" s="13">
        <v>0</v>
      </c>
      <c r="AQ18" s="15">
        <f t="shared" si="0"/>
        <v>0</v>
      </c>
      <c r="AR18" s="13">
        <v>0</v>
      </c>
      <c r="AS18" s="15">
        <f t="shared" si="1"/>
        <v>0</v>
      </c>
      <c r="AT18" s="15">
        <f t="shared" si="3"/>
        <v>615000</v>
      </c>
      <c r="AU18" s="15">
        <f t="shared" si="8"/>
        <v>338250</v>
      </c>
      <c r="AV18" s="15">
        <f t="shared" si="9"/>
        <v>276750</v>
      </c>
    </row>
    <row r="19" spans="2:48" ht="14.5" customHeight="1" x14ac:dyDescent="0.2">
      <c r="B19" s="394" t="s">
        <v>0</v>
      </c>
      <c r="C19" s="401" t="s">
        <v>4</v>
      </c>
      <c r="D19" s="398" t="s">
        <v>139</v>
      </c>
      <c r="E19" s="398"/>
      <c r="F19" s="399" t="s">
        <v>134</v>
      </c>
      <c r="G19" s="399" t="s">
        <v>135</v>
      </c>
      <c r="H19" s="399" t="s">
        <v>5</v>
      </c>
      <c r="I19" s="399" t="s">
        <v>137</v>
      </c>
      <c r="J19" s="399" t="s">
        <v>424</v>
      </c>
      <c r="K19" s="399" t="s">
        <v>431</v>
      </c>
      <c r="L19" s="399" t="s">
        <v>438</v>
      </c>
      <c r="M19" s="399" t="s">
        <v>445</v>
      </c>
      <c r="N19" s="398" t="s">
        <v>1</v>
      </c>
      <c r="O19" s="3"/>
      <c r="P19" s="397"/>
      <c r="Q19" s="52" t="s">
        <v>355</v>
      </c>
      <c r="R19" s="52" t="s">
        <v>273</v>
      </c>
      <c r="S19" s="12" t="s">
        <v>18</v>
      </c>
      <c r="T19" s="269">
        <f>'Pencapaian Sales Value'!G19</f>
        <v>0.80125671247781849</v>
      </c>
      <c r="U19" s="15">
        <f>'Pencapaian Sales Value'!I19</f>
        <v>225000</v>
      </c>
      <c r="V19" s="269">
        <f>'Pencapaian Product Focus'!H19</f>
        <v>1.146969696969697</v>
      </c>
      <c r="W19" s="269">
        <f>'Pencapaian Product Focus'!L19</f>
        <v>1.0384615384615385</v>
      </c>
      <c r="X19" s="15">
        <f>'Pencapaian Product Focus'!N19</f>
        <v>202500</v>
      </c>
      <c r="Y19" s="269">
        <f>'Pencapaian Effective Call'!G19</f>
        <v>0.73199999999999998</v>
      </c>
      <c r="Z19" s="15">
        <f>'Pencapaian Effective Call'!I19</f>
        <v>33750</v>
      </c>
      <c r="AA19" s="255">
        <f>'Pencapaian New Open Outlet'!G19</f>
        <v>0</v>
      </c>
      <c r="AB19" s="170">
        <f>'Pencapaian New Open Outlet'!I19</f>
        <v>0</v>
      </c>
      <c r="AC19" s="255">
        <f>'Pencapaian Active Outlet'!G19</f>
        <v>0.92222222222222228</v>
      </c>
      <c r="AD19" s="170">
        <f>'Pencapaian Active Outlet'!I19</f>
        <v>0</v>
      </c>
      <c r="AE19" s="269">
        <f>'Pencapaian Item per Outlet'!G19</f>
        <v>0.72289156626506024</v>
      </c>
      <c r="AF19" s="15">
        <f>'Pencapaian Item per Outlet'!I19</f>
        <v>33750</v>
      </c>
      <c r="AG19" s="255">
        <f>'Pencapaian Product Display'!G19</f>
        <v>0</v>
      </c>
      <c r="AH19" s="170">
        <f>'Pencapaian Product Display'!I19</f>
        <v>0</v>
      </c>
      <c r="AI19" s="255">
        <f>'Pencapaian Sales Contract'!G19</f>
        <v>0</v>
      </c>
      <c r="AJ19" s="170">
        <f>'Pencapaian Sales Contract'!I19</f>
        <v>0</v>
      </c>
      <c r="AK19" s="255">
        <f>'Pencapaian Co-Branding'!G19</f>
        <v>0</v>
      </c>
      <c r="AL19" s="170">
        <f>'Pencapaian Co-Branding'!I19</f>
        <v>0</v>
      </c>
      <c r="AM19" s="255">
        <f>'Pencapaian Join Event Activity'!G19</f>
        <v>0</v>
      </c>
      <c r="AN19" s="170">
        <f>'Pencapaian Join Event Activity'!I19</f>
        <v>0</v>
      </c>
      <c r="AO19" s="15">
        <f t="shared" si="2"/>
        <v>495000</v>
      </c>
      <c r="AP19" s="13">
        <v>2.1334490227460571E-3</v>
      </c>
      <c r="AQ19" s="15">
        <f t="shared" si="0"/>
        <v>0</v>
      </c>
      <c r="AR19" s="13">
        <v>2.1334490227460571E-3</v>
      </c>
      <c r="AS19" s="15">
        <f t="shared" si="1"/>
        <v>-495000</v>
      </c>
      <c r="AT19" s="15">
        <f t="shared" si="3"/>
        <v>0</v>
      </c>
      <c r="AU19" s="14">
        <f t="shared" ref="AU19" si="10">AT19*70%</f>
        <v>0</v>
      </c>
      <c r="AV19" s="14">
        <f t="shared" ref="AV19" si="11">AT19*30%</f>
        <v>0</v>
      </c>
    </row>
    <row r="20" spans="2:48" ht="16" x14ac:dyDescent="0.2">
      <c r="B20" s="394"/>
      <c r="C20" s="401"/>
      <c r="D20" s="292" t="s">
        <v>514</v>
      </c>
      <c r="E20" s="292" t="s">
        <v>515</v>
      </c>
      <c r="F20" s="400"/>
      <c r="G20" s="400"/>
      <c r="H20" s="400"/>
      <c r="I20" s="400"/>
      <c r="J20" s="400"/>
      <c r="K20" s="400"/>
      <c r="L20" s="400"/>
      <c r="M20" s="400"/>
      <c r="N20" s="398"/>
      <c r="O20" s="3"/>
      <c r="P20" s="397"/>
      <c r="Q20" s="52"/>
      <c r="R20" s="52" t="s">
        <v>243</v>
      </c>
      <c r="S20" s="12" t="s">
        <v>14</v>
      </c>
      <c r="T20" s="269">
        <f>'Pencapaian Sales Value'!G20</f>
        <v>0.88779639817195166</v>
      </c>
      <c r="U20" s="15">
        <f>'Pencapaian Sales Value'!I20</f>
        <v>300000</v>
      </c>
      <c r="V20" s="269">
        <f>'Pencapaian Product Focus'!H20</f>
        <v>0.99045506990125409</v>
      </c>
      <c r="W20" s="269">
        <f>'Pencapaian Product Focus'!L20</f>
        <v>1.0873015873015872</v>
      </c>
      <c r="X20" s="15">
        <f>'Pencapaian Product Focus'!N20</f>
        <v>210000</v>
      </c>
      <c r="Y20" s="269">
        <f>'Pencapaian Effective Call'!G20</f>
        <v>0.97538461538461541</v>
      </c>
      <c r="Z20" s="15">
        <f>'Pencapaian Effective Call'!I20</f>
        <v>135000</v>
      </c>
      <c r="AA20" s="255">
        <f>'Pencapaian New Open Outlet'!G20</f>
        <v>0</v>
      </c>
      <c r="AB20" s="170">
        <f>'Pencapaian New Open Outlet'!I20</f>
        <v>0</v>
      </c>
      <c r="AC20" s="255">
        <f>'Pencapaian Active Outlet'!G20</f>
        <v>1.0632911392405064</v>
      </c>
      <c r="AD20" s="170">
        <f>'Pencapaian Active Outlet'!I20</f>
        <v>0</v>
      </c>
      <c r="AE20" s="269">
        <f>'Pencapaian Item per Outlet'!G20</f>
        <v>0.95892857142857146</v>
      </c>
      <c r="AF20" s="15">
        <f>'Pencapaian Item per Outlet'!I20</f>
        <v>135000</v>
      </c>
      <c r="AG20" s="255">
        <f>'Pencapaian Product Display'!G20</f>
        <v>0</v>
      </c>
      <c r="AH20" s="170">
        <f>'Pencapaian Product Display'!I20</f>
        <v>0</v>
      </c>
      <c r="AI20" s="255">
        <f>'Pencapaian Sales Contract'!G20</f>
        <v>0</v>
      </c>
      <c r="AJ20" s="170">
        <f>'Pencapaian Sales Contract'!I20</f>
        <v>0</v>
      </c>
      <c r="AK20" s="255">
        <f>'Pencapaian Co-Branding'!G20</f>
        <v>0</v>
      </c>
      <c r="AL20" s="170">
        <f>'Pencapaian Co-Branding'!I20</f>
        <v>0</v>
      </c>
      <c r="AM20" s="255">
        <f>'Pencapaian Join Event Activity'!G20</f>
        <v>0</v>
      </c>
      <c r="AN20" s="170">
        <f>'Pencapaian Join Event Activity'!I20</f>
        <v>0</v>
      </c>
      <c r="AO20" s="15">
        <f t="shared" si="2"/>
        <v>780000</v>
      </c>
      <c r="AP20" s="13">
        <v>0</v>
      </c>
      <c r="AQ20" s="15">
        <f t="shared" si="0"/>
        <v>0</v>
      </c>
      <c r="AR20" s="13">
        <v>0</v>
      </c>
      <c r="AS20" s="15">
        <f t="shared" si="1"/>
        <v>0</v>
      </c>
      <c r="AT20" s="15">
        <f t="shared" si="3"/>
        <v>780000</v>
      </c>
      <c r="AU20" s="15">
        <f t="shared" ref="AU20" si="12">AT20*55%</f>
        <v>429000.00000000006</v>
      </c>
      <c r="AV20" s="15">
        <f t="shared" ref="AV20" si="13">AT20*45%</f>
        <v>351000</v>
      </c>
    </row>
    <row r="21" spans="2:48" ht="16" x14ac:dyDescent="0.2">
      <c r="B21" s="12" t="s">
        <v>19</v>
      </c>
      <c r="C21" s="254">
        <f>'Pencapaian Sales Value'!G90</f>
        <v>0.65077411352056969</v>
      </c>
      <c r="D21" s="266"/>
      <c r="E21" s="266"/>
      <c r="F21" s="254">
        <f>'Pencapaian Effective Call'!G90</f>
        <v>0.76800000000000002</v>
      </c>
      <c r="G21" s="254">
        <f>'Pencapaian New Open Outlet'!G90</f>
        <v>2.25</v>
      </c>
      <c r="H21" s="254">
        <f>'Pencapaian Active Outlet'!G90</f>
        <v>1.043076923076923</v>
      </c>
      <c r="I21" s="266"/>
      <c r="J21" s="266"/>
      <c r="K21" s="266"/>
      <c r="L21" s="266"/>
      <c r="M21" s="266"/>
      <c r="N21" s="14">
        <f>AO90</f>
        <v>1648500</v>
      </c>
      <c r="O21" s="3"/>
      <c r="P21" s="397"/>
      <c r="Q21" s="78"/>
      <c r="R21" s="78" t="s">
        <v>293</v>
      </c>
      <c r="S21" s="64" t="s">
        <v>20</v>
      </c>
      <c r="T21" s="258">
        <f>'Pencapaian Sales Value'!G21</f>
        <v>0.87325467645739518</v>
      </c>
      <c r="U21" s="63">
        <f>'Pencapaian Sales Value'!I21</f>
        <v>216000</v>
      </c>
      <c r="V21" s="258">
        <f>'Pencapaian Product Focus'!H21</f>
        <v>0.91146189853067827</v>
      </c>
      <c r="W21" s="258">
        <f>'Pencapaian Product Focus'!L21</f>
        <v>1.014992503748126</v>
      </c>
      <c r="X21" s="63">
        <f>'Pencapaian Product Focus'!N21</f>
        <v>204000</v>
      </c>
      <c r="Y21" s="257">
        <f>'Pencapaian Effective Call'!G21</f>
        <v>0.87052341597796146</v>
      </c>
      <c r="Z21" s="189">
        <f>'Pencapaian Effective Call'!I21</f>
        <v>0</v>
      </c>
      <c r="AA21" s="268">
        <f>'Pencapaian New Open Outlet'!G21</f>
        <v>0.2857142857142857</v>
      </c>
      <c r="AB21" s="189">
        <f>'Pencapaian New Open Outlet'!I21</f>
        <v>0</v>
      </c>
      <c r="AC21" s="258">
        <f>'Pencapaian Active Outlet'!G21</f>
        <v>0.96034696406443631</v>
      </c>
      <c r="AD21" s="63">
        <f>'Pencapaian Active Outlet'!I21</f>
        <v>168000</v>
      </c>
      <c r="AE21" s="258">
        <f>'Pencapaian Item per Outlet'!G21</f>
        <v>0.87923989626140497</v>
      </c>
      <c r="AF21" s="63">
        <f>'Pencapaian Item per Outlet'!I21</f>
        <v>108000</v>
      </c>
      <c r="AG21" s="306">
        <f>'Pencapaian Product Display'!G21</f>
        <v>0</v>
      </c>
      <c r="AH21" s="152">
        <f>'Pencapaian Product Display'!I21</f>
        <v>0</v>
      </c>
      <c r="AI21" s="306">
        <f>'Pencapaian Sales Contract'!G21</f>
        <v>0</v>
      </c>
      <c r="AJ21" s="152">
        <f>'Pencapaian Sales Contract'!I21</f>
        <v>0</v>
      </c>
      <c r="AK21" s="306">
        <f>'Pencapaian Co-Branding'!G21</f>
        <v>0</v>
      </c>
      <c r="AL21" s="152">
        <f>'Pencapaian Co-Branding'!I21</f>
        <v>0</v>
      </c>
      <c r="AM21" s="306">
        <f>'Pencapaian Join Event Activity'!G21</f>
        <v>0</v>
      </c>
      <c r="AN21" s="152">
        <f>'Pencapaian Join Event Activity'!I21</f>
        <v>0</v>
      </c>
      <c r="AO21" s="63">
        <f t="shared" si="2"/>
        <v>696000</v>
      </c>
      <c r="AP21" s="110">
        <v>1.1348463044394058E-4</v>
      </c>
      <c r="AQ21" s="63">
        <f t="shared" si="0"/>
        <v>0</v>
      </c>
      <c r="AR21" s="110">
        <v>1.1348463044394058E-4</v>
      </c>
      <c r="AS21" s="63">
        <f t="shared" si="1"/>
        <v>-696000</v>
      </c>
      <c r="AT21" s="63">
        <f t="shared" si="3"/>
        <v>0</v>
      </c>
      <c r="AU21" s="63">
        <f t="shared" ref="AU21:AU27" si="14">AT21</f>
        <v>0</v>
      </c>
      <c r="AV21" s="63">
        <v>0</v>
      </c>
    </row>
    <row r="22" spans="2:48" ht="16" x14ac:dyDescent="0.2">
      <c r="B22" s="12" t="s">
        <v>768</v>
      </c>
      <c r="C22" s="254">
        <f>'Pencapaian Sales Value'!G94</f>
        <v>0.75324508466871232</v>
      </c>
      <c r="D22" s="266"/>
      <c r="E22" s="266"/>
      <c r="F22" s="254">
        <f>'Pencapaian Effective Call'!G94</f>
        <v>0.6101398601398601</v>
      </c>
      <c r="G22" s="254">
        <f>'Pencapaian New Open Outlet'!G94</f>
        <v>0.3</v>
      </c>
      <c r="H22" s="254">
        <f>'Pencapaian Active Outlet'!G94</f>
        <v>0.68924302788844627</v>
      </c>
      <c r="I22" s="266"/>
      <c r="J22" s="266"/>
      <c r="K22" s="266"/>
      <c r="L22" s="266"/>
      <c r="M22" s="266"/>
      <c r="N22" s="16">
        <f>AO94</f>
        <v>435000</v>
      </c>
      <c r="O22" s="3"/>
      <c r="P22" s="397"/>
      <c r="Q22" s="52" t="s">
        <v>356</v>
      </c>
      <c r="R22" s="52" t="s">
        <v>147</v>
      </c>
      <c r="S22" s="12" t="s">
        <v>468</v>
      </c>
      <c r="T22" s="269">
        <f>'Pencapaian Sales Value'!G22</f>
        <v>0.64073129846153853</v>
      </c>
      <c r="U22" s="15">
        <f>'Pencapaian Sales Value'!I22</f>
        <v>0</v>
      </c>
      <c r="V22" s="304">
        <f>'Pencapaian Product Focus'!H22</f>
        <v>0</v>
      </c>
      <c r="W22" s="304">
        <f>'Pencapaian Product Focus'!L22</f>
        <v>0</v>
      </c>
      <c r="X22" s="178">
        <f>'Pencapaian Product Focus'!N22</f>
        <v>0</v>
      </c>
      <c r="Y22" s="304">
        <f>'Pencapaian Effective Call'!G22</f>
        <v>0</v>
      </c>
      <c r="Z22" s="178">
        <f>'Pencapaian Effective Call'!I22</f>
        <v>0</v>
      </c>
      <c r="AA22" s="269">
        <f>'Pencapaian New Open Outlet'!G22</f>
        <v>0.2</v>
      </c>
      <c r="AB22" s="14">
        <f>'Pencapaian New Open Outlet'!I22</f>
        <v>0</v>
      </c>
      <c r="AC22" s="269">
        <f>'Pencapaian Active Outlet'!G22</f>
        <v>0.4</v>
      </c>
      <c r="AD22" s="14">
        <f>'Pencapaian Active Outlet'!I22</f>
        <v>0</v>
      </c>
      <c r="AE22" s="272">
        <f>'Pencapaian Item per Outlet'!G22</f>
        <v>0</v>
      </c>
      <c r="AF22" s="261">
        <f>'Pencapaian Item per Outlet'!I22</f>
        <v>0</v>
      </c>
      <c r="AG22" s="255">
        <f>'Pencapaian Product Display'!G22</f>
        <v>0</v>
      </c>
      <c r="AH22" s="170">
        <f>'Pencapaian Product Display'!I22</f>
        <v>0</v>
      </c>
      <c r="AI22" s="269">
        <f>'Pencapaian Sales Contract'!G22</f>
        <v>0</v>
      </c>
      <c r="AJ22" s="15">
        <f>'Pencapaian Sales Contract'!I22</f>
        <v>0</v>
      </c>
      <c r="AK22" s="269">
        <f>'Pencapaian Co-Branding'!G22</f>
        <v>0</v>
      </c>
      <c r="AL22" s="15">
        <f>'Pencapaian Co-Branding'!I22</f>
        <v>0</v>
      </c>
      <c r="AM22" s="255">
        <f>'Pencapaian Join Event Activity'!G22</f>
        <v>0</v>
      </c>
      <c r="AN22" s="170">
        <f>'Pencapaian Join Event Activity'!I22</f>
        <v>0</v>
      </c>
      <c r="AO22" s="15">
        <f t="shared" si="2"/>
        <v>0</v>
      </c>
      <c r="AP22" s="13">
        <v>4.9192364767302686E-3</v>
      </c>
      <c r="AQ22" s="15">
        <f t="shared" si="0"/>
        <v>0</v>
      </c>
      <c r="AR22" s="13">
        <v>0</v>
      </c>
      <c r="AS22" s="15">
        <f t="shared" si="1"/>
        <v>0</v>
      </c>
      <c r="AT22" s="15">
        <f t="shared" si="3"/>
        <v>0</v>
      </c>
      <c r="AU22" s="15">
        <f t="shared" si="14"/>
        <v>0</v>
      </c>
      <c r="AV22" s="15">
        <v>0</v>
      </c>
    </row>
    <row r="23" spans="2:48" ht="17" thickBot="1" x14ac:dyDescent="0.25">
      <c r="B23" s="17" t="s">
        <v>228</v>
      </c>
      <c r="C23" s="256">
        <f>'Pencapaian Sales Value'!G95</f>
        <v>0.71673364607047563</v>
      </c>
      <c r="D23" s="260"/>
      <c r="E23" s="260"/>
      <c r="F23" s="256">
        <f>'Pencapaian Effective Call'!G95</f>
        <v>0.69969742813918301</v>
      </c>
      <c r="G23" s="256">
        <f>'Pencapaian New Open Outlet'!G95</f>
        <v>1.2749999999999999</v>
      </c>
      <c r="H23" s="256">
        <f>'Pencapaian Active Outlet'!G95</f>
        <v>0.88888888888888884</v>
      </c>
      <c r="I23" s="260"/>
      <c r="J23" s="260"/>
      <c r="K23" s="260"/>
      <c r="L23" s="260"/>
      <c r="M23" s="260"/>
      <c r="N23" s="18">
        <f>SUM(N21:N22)</f>
        <v>2083500</v>
      </c>
      <c r="O23" s="3"/>
      <c r="P23" s="397"/>
      <c r="Q23" s="52" t="s">
        <v>357</v>
      </c>
      <c r="R23" s="52" t="s">
        <v>813</v>
      </c>
      <c r="S23" s="12" t="s">
        <v>468</v>
      </c>
      <c r="T23" s="269">
        <f>'Pencapaian Sales Value'!G23</f>
        <v>0.87744112415430275</v>
      </c>
      <c r="U23" s="15">
        <f>'Pencapaian Sales Value'!I23</f>
        <v>130000</v>
      </c>
      <c r="V23" s="304">
        <f>'Pencapaian Product Focus'!H23</f>
        <v>0</v>
      </c>
      <c r="W23" s="304">
        <f>'Pencapaian Product Focus'!L23</f>
        <v>0</v>
      </c>
      <c r="X23" s="178">
        <f>'Pencapaian Product Focus'!N23</f>
        <v>0</v>
      </c>
      <c r="Y23" s="304">
        <f>'Pencapaian Effective Call'!G23</f>
        <v>0</v>
      </c>
      <c r="Z23" s="178">
        <f>'Pencapaian Effective Call'!I23</f>
        <v>0</v>
      </c>
      <c r="AA23" s="269">
        <f>'Pencapaian New Open Outlet'!G23</f>
        <v>0.2</v>
      </c>
      <c r="AB23" s="14">
        <f>'Pencapaian New Open Outlet'!I23</f>
        <v>0</v>
      </c>
      <c r="AC23" s="269">
        <f>'Pencapaian Active Outlet'!G23</f>
        <v>0.90909090909090906</v>
      </c>
      <c r="AD23" s="14">
        <f>'Pencapaian Active Outlet'!I23</f>
        <v>98000</v>
      </c>
      <c r="AE23" s="272">
        <f>'Pencapaian Item per Outlet'!G23</f>
        <v>0</v>
      </c>
      <c r="AF23" s="261">
        <f>'Pencapaian Item per Outlet'!I23</f>
        <v>0</v>
      </c>
      <c r="AG23" s="255">
        <f>'Pencapaian Product Display'!G23</f>
        <v>0</v>
      </c>
      <c r="AH23" s="170">
        <f>'Pencapaian Product Display'!I23</f>
        <v>0</v>
      </c>
      <c r="AI23" s="269">
        <f>'Pencapaian Sales Contract'!G23</f>
        <v>0</v>
      </c>
      <c r="AJ23" s="15">
        <f>'Pencapaian Sales Contract'!I23</f>
        <v>0</v>
      </c>
      <c r="AK23" s="269">
        <f>'Pencapaian Co-Branding'!G23</f>
        <v>0</v>
      </c>
      <c r="AL23" s="15">
        <f>'Pencapaian Co-Branding'!I23</f>
        <v>0</v>
      </c>
      <c r="AM23" s="255">
        <f>'Pencapaian Join Event Activity'!G23</f>
        <v>0</v>
      </c>
      <c r="AN23" s="170">
        <f>'Pencapaian Join Event Activity'!I23</f>
        <v>0</v>
      </c>
      <c r="AO23" s="15">
        <f t="shared" si="2"/>
        <v>228000</v>
      </c>
      <c r="AP23" s="13">
        <v>2.9823281483504795E-2</v>
      </c>
      <c r="AQ23" s="15">
        <f t="shared" si="0"/>
        <v>-22800</v>
      </c>
      <c r="AR23" s="13">
        <v>0</v>
      </c>
      <c r="AS23" s="15">
        <f t="shared" si="1"/>
        <v>0</v>
      </c>
      <c r="AT23" s="15">
        <f t="shared" si="3"/>
        <v>205200</v>
      </c>
      <c r="AU23" s="15">
        <f t="shared" si="14"/>
        <v>205200</v>
      </c>
      <c r="AV23" s="15">
        <v>0</v>
      </c>
    </row>
    <row r="24" spans="2:48" ht="17" thickTop="1" x14ac:dyDescent="0.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3"/>
      <c r="P24" s="397"/>
      <c r="Q24" s="78"/>
      <c r="R24" s="78" t="s">
        <v>146</v>
      </c>
      <c r="S24" s="64" t="s">
        <v>20</v>
      </c>
      <c r="T24" s="258">
        <f>'Pencapaian Sales Value'!G24</f>
        <v>0.74853023259459472</v>
      </c>
      <c r="U24" s="63">
        <f>'Pencapaian Sales Value'!I24</f>
        <v>110000</v>
      </c>
      <c r="V24" s="268">
        <f>'Pencapaian Product Focus'!H24</f>
        <v>0</v>
      </c>
      <c r="W24" s="268">
        <f>'Pencapaian Product Focus'!L24</f>
        <v>0</v>
      </c>
      <c r="X24" s="189">
        <f>'Pencapaian Product Focus'!N24</f>
        <v>0</v>
      </c>
      <c r="Y24" s="268">
        <f>'Pencapaian Effective Call'!G24</f>
        <v>0</v>
      </c>
      <c r="Z24" s="189">
        <f>'Pencapaian Effective Call'!I24</f>
        <v>0</v>
      </c>
      <c r="AA24" s="258">
        <f>'Pencapaian New Open Outlet'!G24</f>
        <v>0.2</v>
      </c>
      <c r="AB24" s="63">
        <f>'Pencapaian New Open Outlet'!I24</f>
        <v>0</v>
      </c>
      <c r="AC24" s="258">
        <f>'Pencapaian Active Outlet'!G24</f>
        <v>0.69473684210526321</v>
      </c>
      <c r="AD24" s="63">
        <f>'Pencapaian Active Outlet'!I24</f>
        <v>0</v>
      </c>
      <c r="AE24" s="257">
        <f>'Pencapaian Item per Outlet'!G24</f>
        <v>0</v>
      </c>
      <c r="AF24" s="224">
        <f>'Pencapaian Item per Outlet'!I24</f>
        <v>0</v>
      </c>
      <c r="AG24" s="306">
        <f>'Pencapaian Product Display'!G24</f>
        <v>0</v>
      </c>
      <c r="AH24" s="152">
        <f>'Pencapaian Product Display'!I24</f>
        <v>0</v>
      </c>
      <c r="AI24" s="258">
        <f>'Pencapaian Sales Contract'!G24</f>
        <v>0</v>
      </c>
      <c r="AJ24" s="63">
        <f>'Pencapaian Sales Contract'!I24</f>
        <v>0</v>
      </c>
      <c r="AK24" s="258">
        <f>'Pencapaian Co-Branding'!G24</f>
        <v>0</v>
      </c>
      <c r="AL24" s="63">
        <f>'Pencapaian Co-Branding'!I24</f>
        <v>0</v>
      </c>
      <c r="AM24" s="258">
        <f>'Pencapaian Join Event Activity'!G24</f>
        <v>1</v>
      </c>
      <c r="AN24" s="63">
        <f>'Pencapaian Join Event Activity'!I24</f>
        <v>50000</v>
      </c>
      <c r="AO24" s="63">
        <f t="shared" si="2"/>
        <v>160000</v>
      </c>
      <c r="AP24" s="110">
        <v>1.8218764475788244E-2</v>
      </c>
      <c r="AQ24" s="63">
        <f t="shared" si="0"/>
        <v>-16000</v>
      </c>
      <c r="AR24" s="110">
        <v>0</v>
      </c>
      <c r="AS24" s="63">
        <f t="shared" si="1"/>
        <v>0</v>
      </c>
      <c r="AT24" s="63">
        <f t="shared" si="3"/>
        <v>144000</v>
      </c>
      <c r="AU24" s="63">
        <f t="shared" si="14"/>
        <v>144000</v>
      </c>
      <c r="AV24" s="63">
        <v>0</v>
      </c>
    </row>
    <row r="25" spans="2:48" ht="16" x14ac:dyDescent="0.2">
      <c r="B25" s="6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  <c r="O25" s="3"/>
      <c r="P25" s="397"/>
      <c r="Q25" s="52" t="s">
        <v>358</v>
      </c>
      <c r="R25" s="52" t="s">
        <v>258</v>
      </c>
      <c r="S25" s="38" t="s">
        <v>469</v>
      </c>
      <c r="T25" s="302">
        <f>'Pencapaian Sales Value'!G25</f>
        <v>0.61852158697361526</v>
      </c>
      <c r="U25" s="262">
        <f>'Pencapaian Sales Value'!I25</f>
        <v>0</v>
      </c>
      <c r="V25" s="302">
        <f>'Pencapaian Product Focus'!H25</f>
        <v>0.87777777777777777</v>
      </c>
      <c r="W25" s="302">
        <f>'Pencapaian Product Focus'!L25</f>
        <v>0.73333333333333328</v>
      </c>
      <c r="X25" s="262">
        <f>'Pencapaian Product Focus'!N25</f>
        <v>48500</v>
      </c>
      <c r="Y25" s="302">
        <f>'Pencapaian Effective Call'!G25</f>
        <v>0.78666666666666663</v>
      </c>
      <c r="Z25" s="262">
        <f>'Pencapaian Effective Call'!I25</f>
        <v>16000</v>
      </c>
      <c r="AA25" s="302">
        <f>'Pencapaian New Open Outlet'!G25</f>
        <v>0.2</v>
      </c>
      <c r="AB25" s="14">
        <f>'Pencapaian New Open Outlet'!I25</f>
        <v>0</v>
      </c>
      <c r="AC25" s="255" t="e">
        <f>'Pencapaian Active Outlet'!G25</f>
        <v>#DIV/0!</v>
      </c>
      <c r="AD25" s="170">
        <f>'Pencapaian Active Outlet'!I25</f>
        <v>0</v>
      </c>
      <c r="AE25" s="302">
        <f>'Pencapaian Item per Outlet'!G25</f>
        <v>0.59166666666666667</v>
      </c>
      <c r="AF25" s="262">
        <f>'Pencapaian Item per Outlet'!I25</f>
        <v>0</v>
      </c>
      <c r="AG25" s="255">
        <f>'Pencapaian Product Display'!G25</f>
        <v>0.8666666666666667</v>
      </c>
      <c r="AH25" s="170">
        <f>'Pencapaian Product Display'!I25</f>
        <v>0</v>
      </c>
      <c r="AI25" s="255">
        <f>'Pencapaian Sales Contract'!G25</f>
        <v>0</v>
      </c>
      <c r="AJ25" s="170">
        <f>'Pencapaian Sales Contract'!I25</f>
        <v>0</v>
      </c>
      <c r="AK25" s="255">
        <f>'Pencapaian Co-Branding'!G25</f>
        <v>0</v>
      </c>
      <c r="AL25" s="170">
        <f>'Pencapaian Co-Branding'!I25</f>
        <v>0</v>
      </c>
      <c r="AM25" s="255">
        <f>'Pencapaian Join Event Activity'!G25</f>
        <v>0</v>
      </c>
      <c r="AN25" s="170">
        <f>'Pencapaian Join Event Activity'!I25</f>
        <v>0</v>
      </c>
      <c r="AO25" s="262">
        <f t="shared" si="2"/>
        <v>64500</v>
      </c>
      <c r="AP25" s="13">
        <v>0.4102269130830592</v>
      </c>
      <c r="AQ25" s="15">
        <f t="shared" si="0"/>
        <v>-6450</v>
      </c>
      <c r="AR25" s="13">
        <v>0</v>
      </c>
      <c r="AS25" s="15">
        <f t="shared" si="1"/>
        <v>0</v>
      </c>
      <c r="AT25" s="262">
        <f t="shared" si="3"/>
        <v>58050</v>
      </c>
      <c r="AU25" s="15">
        <f t="shared" si="14"/>
        <v>58050</v>
      </c>
      <c r="AV25" s="15">
        <v>0</v>
      </c>
    </row>
    <row r="26" spans="2:48" ht="14.5" customHeight="1" x14ac:dyDescent="0.2">
      <c r="B26" s="394" t="s">
        <v>0</v>
      </c>
      <c r="C26" s="401" t="s">
        <v>4</v>
      </c>
      <c r="D26" s="398" t="s">
        <v>139</v>
      </c>
      <c r="E26" s="398"/>
      <c r="F26" s="399" t="s">
        <v>134</v>
      </c>
      <c r="G26" s="399" t="s">
        <v>135</v>
      </c>
      <c r="H26" s="399" t="s">
        <v>5</v>
      </c>
      <c r="I26" s="399" t="s">
        <v>137</v>
      </c>
      <c r="J26" s="399" t="s">
        <v>424</v>
      </c>
      <c r="K26" s="399" t="s">
        <v>431</v>
      </c>
      <c r="L26" s="399" t="s">
        <v>438</v>
      </c>
      <c r="M26" s="399" t="s">
        <v>445</v>
      </c>
      <c r="N26" s="398" t="s">
        <v>1</v>
      </c>
      <c r="O26" s="3"/>
      <c r="P26" s="397"/>
      <c r="Q26" s="52" t="s">
        <v>525</v>
      </c>
      <c r="R26" s="52" t="s">
        <v>578</v>
      </c>
      <c r="S26" s="38" t="s">
        <v>469</v>
      </c>
      <c r="T26" s="302">
        <f>'Pencapaian Sales Value'!G26</f>
        <v>0.80266516302210489</v>
      </c>
      <c r="U26" s="262">
        <f>'Pencapaian Sales Value'!I26</f>
        <v>162500</v>
      </c>
      <c r="V26" s="302">
        <f>'Pencapaian Product Focus'!H26</f>
        <v>0.4</v>
      </c>
      <c r="W26" s="302">
        <f>'Pencapaian Product Focus'!L26</f>
        <v>1</v>
      </c>
      <c r="X26" s="262">
        <f>'Pencapaian Product Focus'!N26</f>
        <v>65000</v>
      </c>
      <c r="Y26" s="302">
        <f>'Pencapaian Effective Call'!G26</f>
        <v>0.8545454545454545</v>
      </c>
      <c r="Z26" s="262">
        <f>'Pencapaian Effective Call'!I26</f>
        <v>32500</v>
      </c>
      <c r="AA26" s="302">
        <f>'Pencapaian New Open Outlet'!G26</f>
        <v>0</v>
      </c>
      <c r="AB26" s="14">
        <f>'Pencapaian New Open Outlet'!I26</f>
        <v>0</v>
      </c>
      <c r="AC26" s="255" t="e">
        <f>'Pencapaian Active Outlet'!G26</f>
        <v>#DIV/0!</v>
      </c>
      <c r="AD26" s="170">
        <f>'Pencapaian Active Outlet'!I26</f>
        <v>0</v>
      </c>
      <c r="AE26" s="302">
        <f>'Pencapaian Item per Outlet'!G26</f>
        <v>0.56321839080459768</v>
      </c>
      <c r="AF26" s="262">
        <f>'Pencapaian Item per Outlet'!I26</f>
        <v>0</v>
      </c>
      <c r="AG26" s="255">
        <f>'Pencapaian Product Display'!G26</f>
        <v>0.92</v>
      </c>
      <c r="AH26" s="170">
        <f>'Pencapaian Product Display'!I26</f>
        <v>0</v>
      </c>
      <c r="AI26" s="255">
        <f>'Pencapaian Sales Contract'!G26</f>
        <v>0</v>
      </c>
      <c r="AJ26" s="170">
        <f>'Pencapaian Sales Contract'!I26</f>
        <v>0</v>
      </c>
      <c r="AK26" s="255">
        <f>'Pencapaian Co-Branding'!G26</f>
        <v>0</v>
      </c>
      <c r="AL26" s="170">
        <f>'Pencapaian Co-Branding'!I26</f>
        <v>0</v>
      </c>
      <c r="AM26" s="255">
        <f>'Pencapaian Join Event Activity'!G26</f>
        <v>0</v>
      </c>
      <c r="AN26" s="170">
        <f>'Pencapaian Join Event Activity'!I26</f>
        <v>0</v>
      </c>
      <c r="AO26" s="262">
        <f t="shared" si="2"/>
        <v>260000</v>
      </c>
      <c r="AP26" s="13">
        <v>0.26249417587816132</v>
      </c>
      <c r="AQ26" s="15">
        <f t="shared" si="0"/>
        <v>-26000</v>
      </c>
      <c r="AR26" s="13">
        <v>9.1284340044287711E-3</v>
      </c>
      <c r="AS26" s="15">
        <f t="shared" si="1"/>
        <v>-234000</v>
      </c>
      <c r="AT26" s="262">
        <f t="shared" si="3"/>
        <v>0</v>
      </c>
      <c r="AU26" s="15">
        <f t="shared" si="14"/>
        <v>0</v>
      </c>
      <c r="AV26" s="15">
        <v>0</v>
      </c>
    </row>
    <row r="27" spans="2:48" ht="16" x14ac:dyDescent="0.2">
      <c r="B27" s="394"/>
      <c r="C27" s="401"/>
      <c r="D27" s="292" t="s">
        <v>514</v>
      </c>
      <c r="E27" s="292" t="s">
        <v>515</v>
      </c>
      <c r="F27" s="400"/>
      <c r="G27" s="400"/>
      <c r="H27" s="400"/>
      <c r="I27" s="400"/>
      <c r="J27" s="400"/>
      <c r="K27" s="400"/>
      <c r="L27" s="400"/>
      <c r="M27" s="400"/>
      <c r="N27" s="398"/>
      <c r="O27" s="3"/>
      <c r="P27" s="397"/>
      <c r="Q27" s="78"/>
      <c r="R27" s="78" t="s">
        <v>587</v>
      </c>
      <c r="S27" s="64" t="s">
        <v>20</v>
      </c>
      <c r="T27" s="258">
        <f>'Pencapaian Sales Value'!G27</f>
        <v>0.70172623374999976</v>
      </c>
      <c r="U27" s="63">
        <f>'Pencapaian Sales Value'!I27</f>
        <v>120000</v>
      </c>
      <c r="V27" s="258">
        <f>'Pencapaian Product Focus'!H27</f>
        <v>0.68666666666666654</v>
      </c>
      <c r="W27" s="258">
        <f>'Pencapaian Product Focus'!L27</f>
        <v>0.84</v>
      </c>
      <c r="X27" s="63">
        <f>'Pencapaian Product Focus'!N27</f>
        <v>0</v>
      </c>
      <c r="Y27" s="258">
        <f>'Pencapaian Effective Call'!G27</f>
        <v>0.81538461538461537</v>
      </c>
      <c r="Z27" s="63">
        <f>'Pencapaian Effective Call'!I27</f>
        <v>40000</v>
      </c>
      <c r="AA27" s="257">
        <f>'Pencapaian New Open Outlet'!G27</f>
        <v>0.1</v>
      </c>
      <c r="AB27" s="224">
        <f>'Pencapaian New Open Outlet'!I27</f>
        <v>0</v>
      </c>
      <c r="AC27" s="258" t="e">
        <f>'Pencapaian Active Outlet'!G27</f>
        <v>#DIV/0!</v>
      </c>
      <c r="AD27" s="63">
        <f>'Pencapaian Active Outlet'!I27</f>
        <v>0</v>
      </c>
      <c r="AE27" s="257">
        <f>'Pencapaian Item per Outlet'!G27</f>
        <v>0.57744252873563218</v>
      </c>
      <c r="AF27" s="224">
        <f>'Pencapaian Item per Outlet'!I27</f>
        <v>0</v>
      </c>
      <c r="AG27" s="258">
        <f>'Pencapaian Product Display'!G27</f>
        <v>0.89090909090909087</v>
      </c>
      <c r="AH27" s="63">
        <f>'Pencapaian Product Display'!I27</f>
        <v>40000</v>
      </c>
      <c r="AI27" s="268">
        <f>'Pencapaian Sales Contract'!G27</f>
        <v>0</v>
      </c>
      <c r="AJ27" s="189">
        <f>'Pencapaian Sales Contract'!I27</f>
        <v>0</v>
      </c>
      <c r="AK27" s="268">
        <f>'Pencapaian Co-Branding'!G27</f>
        <v>0</v>
      </c>
      <c r="AL27" s="189">
        <f>'Pencapaian Co-Branding'!I27</f>
        <v>0</v>
      </c>
      <c r="AM27" s="268">
        <f>'Pencapaian Join Event Activity'!G27</f>
        <v>0</v>
      </c>
      <c r="AN27" s="189">
        <f>'Pencapaian Join Event Activity'!I27</f>
        <v>0</v>
      </c>
      <c r="AO27" s="63">
        <f t="shared" si="2"/>
        <v>200000</v>
      </c>
      <c r="AP27" s="110">
        <v>0.32255814909545122</v>
      </c>
      <c r="AQ27" s="63">
        <f t="shared" si="0"/>
        <v>-20000</v>
      </c>
      <c r="AR27" s="110">
        <v>4.5580746178887433E-3</v>
      </c>
      <c r="AS27" s="63">
        <f t="shared" si="1"/>
        <v>-180000</v>
      </c>
      <c r="AT27" s="63">
        <f t="shared" si="3"/>
        <v>0</v>
      </c>
      <c r="AU27" s="63">
        <f t="shared" si="14"/>
        <v>0</v>
      </c>
      <c r="AV27" s="63">
        <v>0</v>
      </c>
    </row>
    <row r="28" spans="2:48" s="75" customFormat="1" ht="16" x14ac:dyDescent="0.2">
      <c r="B28" s="12" t="s">
        <v>22</v>
      </c>
      <c r="C28" s="254">
        <f>'Pencapaian Sales Value'!G109</f>
        <v>0.74106037044822692</v>
      </c>
      <c r="D28" s="254">
        <f>'Pencapaian Product Focus'!H109</f>
        <v>0.98861111111481448</v>
      </c>
      <c r="E28" s="254">
        <f>'Pencapaian Product Focus'!L109</f>
        <v>0.56399999999999995</v>
      </c>
      <c r="F28" s="254">
        <f>'Pencapaian Effective Call'!G109</f>
        <v>0.84285714285714286</v>
      </c>
      <c r="G28" s="254">
        <f>'Pencapaian New Open Outlet'!G109</f>
        <v>0.46153846153846156</v>
      </c>
      <c r="H28" s="254">
        <f>'Pencapaian Active Outlet'!G109</f>
        <v>0.82499999999999996</v>
      </c>
      <c r="I28" s="266"/>
      <c r="J28" s="266"/>
      <c r="K28" s="266"/>
      <c r="L28" s="266"/>
      <c r="M28" s="266"/>
      <c r="N28" s="14">
        <f>AO109</f>
        <v>829500</v>
      </c>
      <c r="O28" s="82"/>
      <c r="P28" s="397"/>
      <c r="Q28" s="73"/>
      <c r="R28" s="73" t="s">
        <v>24</v>
      </c>
      <c r="S28" s="41"/>
      <c r="T28" s="273">
        <f>'Pencapaian Sales Value'!G28</f>
        <v>0.88311920608572148</v>
      </c>
      <c r="U28" s="39">
        <f>'Pencapaian Sales Value'!I28</f>
        <v>6174500</v>
      </c>
      <c r="V28" s="273">
        <f>'Pencapaian Product Focus'!H28</f>
        <v>0.92620649451231651</v>
      </c>
      <c r="W28" s="273">
        <f>'Pencapaian Product Focus'!L28</f>
        <v>0.98741672834937089</v>
      </c>
      <c r="X28" s="39">
        <f>'Pencapaian Product Focus'!N28</f>
        <v>2848000</v>
      </c>
      <c r="Y28" s="273">
        <f>'Pencapaian Effective Call'!G28</f>
        <v>0.93160482789450161</v>
      </c>
      <c r="Z28" s="39">
        <f>'Pencapaian Effective Call'!I28</f>
        <v>1551000</v>
      </c>
      <c r="AA28" s="263">
        <f>'Pencapaian New Open Outlet'!G28</f>
        <v>0.27102803738317754</v>
      </c>
      <c r="AB28" s="227">
        <f>'Pencapaian New Open Outlet'!I28</f>
        <v>150000</v>
      </c>
      <c r="AC28" s="264">
        <f>'Pencapaian Active Outlet'!G28</f>
        <v>0.94270668469972096</v>
      </c>
      <c r="AD28" s="23">
        <f>'Pencapaian Active Outlet'!I28</f>
        <v>509000</v>
      </c>
      <c r="AE28" s="273">
        <f>'Pencapaian Item per Outlet'!G28</f>
        <v>0.79537524742680166</v>
      </c>
      <c r="AF28" s="39">
        <f>'Pencapaian Item per Outlet'!I28</f>
        <v>1626000</v>
      </c>
      <c r="AG28" s="263">
        <f>'Pencapaian Product Display'!G28</f>
        <v>0.89090909090909087</v>
      </c>
      <c r="AH28" s="148">
        <f>'Pencapaian Product Display'!I28</f>
        <v>40000</v>
      </c>
      <c r="AI28" s="263">
        <f>'Pencapaian Sales Contract'!G28</f>
        <v>0</v>
      </c>
      <c r="AJ28" s="148">
        <f>'Pencapaian Sales Contract'!I28</f>
        <v>0</v>
      </c>
      <c r="AK28" s="263">
        <f>'Pencapaian Co-Branding'!G28</f>
        <v>0</v>
      </c>
      <c r="AL28" s="148">
        <f>'Pencapaian Co-Branding'!I28</f>
        <v>0</v>
      </c>
      <c r="AM28" s="263">
        <f>'Pencapaian Join Event Activity'!G28</f>
        <v>1</v>
      </c>
      <c r="AN28" s="148">
        <f>'Pencapaian Join Event Activity'!I28</f>
        <v>50000</v>
      </c>
      <c r="AO28" s="39">
        <f t="shared" si="2"/>
        <v>12948500</v>
      </c>
      <c r="AP28" s="111">
        <v>1.0519745600328046E-2</v>
      </c>
      <c r="AQ28" s="39">
        <f>SUM(AQ5:AQ27)</f>
        <v>-287750</v>
      </c>
      <c r="AR28" s="111">
        <v>9.6859241247181766E-5</v>
      </c>
      <c r="AS28" s="39">
        <f>SUM(AS5:AS27)</f>
        <v>-1605000</v>
      </c>
      <c r="AT28" s="39">
        <f t="shared" si="3"/>
        <v>11055750</v>
      </c>
      <c r="AU28" s="39">
        <f>SUM(AU5:AU27)</f>
        <v>6865125</v>
      </c>
      <c r="AV28" s="39">
        <f>SUM(AV5:AV27)</f>
        <v>4190625</v>
      </c>
    </row>
    <row r="29" spans="2:48" s="75" customFormat="1" ht="16" x14ac:dyDescent="0.2">
      <c r="B29" s="12" t="s">
        <v>23</v>
      </c>
      <c r="C29" s="254">
        <f>'Pencapaian Sales Value'!G115</f>
        <v>0.75907663934426228</v>
      </c>
      <c r="D29" s="254">
        <f>'Pencapaian Product Focus'!H115</f>
        <v>0.74888888888888883</v>
      </c>
      <c r="E29" s="254">
        <f>'Pencapaian Product Focus'!L115</f>
        <v>0.68421052631578949</v>
      </c>
      <c r="F29" s="254">
        <f>'Pencapaian Effective Call'!G115</f>
        <v>0.88468468468468464</v>
      </c>
      <c r="G29" s="254">
        <f>'Pencapaian New Open Outlet'!G115</f>
        <v>0.40625</v>
      </c>
      <c r="H29" s="254">
        <f>'Pencapaian Active Outlet'!G115</f>
        <v>0.80508474576271183</v>
      </c>
      <c r="I29" s="266"/>
      <c r="J29" s="266"/>
      <c r="K29" s="266"/>
      <c r="L29" s="266"/>
      <c r="M29" s="266"/>
      <c r="N29" s="14">
        <f>AO115</f>
        <v>1033500</v>
      </c>
      <c r="O29" s="82"/>
      <c r="P29" s="397" t="s">
        <v>32</v>
      </c>
      <c r="Q29" s="52" t="s">
        <v>359</v>
      </c>
      <c r="R29" s="52" t="s">
        <v>103</v>
      </c>
      <c r="S29" s="12" t="s">
        <v>14</v>
      </c>
      <c r="T29" s="269">
        <f>'Pencapaian Sales Value'!G29</f>
        <v>1.0094697390891114</v>
      </c>
      <c r="U29" s="15">
        <f>'Pencapaian Sales Value'!I29</f>
        <v>600000</v>
      </c>
      <c r="V29" s="269">
        <f>'Pencapaian Product Focus'!H29</f>
        <v>1.1028</v>
      </c>
      <c r="W29" s="269">
        <f>'Pencapaian Product Focus'!L29</f>
        <v>0.9642857142857143</v>
      </c>
      <c r="X29" s="15">
        <f>'Pencapaian Product Focus'!N29</f>
        <v>240000</v>
      </c>
      <c r="Y29" s="269">
        <f>'Pencapaian Effective Call'!G29</f>
        <v>1.0874999999999999</v>
      </c>
      <c r="Z29" s="15">
        <f>'Pencapaian Effective Call'!I29</f>
        <v>180000</v>
      </c>
      <c r="AA29" s="269">
        <f>'Pencapaian New Open Outlet'!G29</f>
        <v>1.3333333333333333</v>
      </c>
      <c r="AB29" s="14">
        <f>'Pencapaian New Open Outlet'!I29</f>
        <v>225000</v>
      </c>
      <c r="AC29" s="255">
        <f>'Pencapaian Active Outlet'!G29</f>
        <v>1.0584415584415585</v>
      </c>
      <c r="AD29" s="170">
        <f>'Pencapaian Active Outlet'!I29</f>
        <v>0</v>
      </c>
      <c r="AE29" s="272">
        <f>'Pencapaian Item per Outlet'!G29</f>
        <v>0</v>
      </c>
      <c r="AF29" s="261">
        <f>'Pencapaian Item per Outlet'!I29</f>
        <v>0</v>
      </c>
      <c r="AG29" s="255">
        <f>'Pencapaian Product Display'!G29</f>
        <v>0</v>
      </c>
      <c r="AH29" s="170">
        <f>'Pencapaian Product Display'!I29</f>
        <v>0</v>
      </c>
      <c r="AI29" s="255">
        <f>'Pencapaian Sales Contract'!G29</f>
        <v>0</v>
      </c>
      <c r="AJ29" s="170">
        <f>'Pencapaian Sales Contract'!I29</f>
        <v>0</v>
      </c>
      <c r="AK29" s="255">
        <f>'Pencapaian Co-Branding'!G29</f>
        <v>0</v>
      </c>
      <c r="AL29" s="170">
        <f>'Pencapaian Co-Branding'!I29</f>
        <v>0</v>
      </c>
      <c r="AM29" s="255">
        <f>'Pencapaian Join Event Activity'!G29</f>
        <v>0</v>
      </c>
      <c r="AN29" s="170">
        <f>'Pencapaian Join Event Activity'!I29</f>
        <v>0</v>
      </c>
      <c r="AO29" s="15">
        <f t="shared" si="2"/>
        <v>1245000</v>
      </c>
      <c r="AP29" s="13">
        <v>0</v>
      </c>
      <c r="AQ29" s="15">
        <f t="shared" ref="AQ29:AQ33" si="15">IF(AP29&gt;=0.5%,-(AO29*10%),0)</f>
        <v>0</v>
      </c>
      <c r="AR29" s="13">
        <v>0</v>
      </c>
      <c r="AS29" s="15">
        <f t="shared" ref="AS29:AS33" si="16">IF(AR29&gt;0,-(AO29+AQ29),0)</f>
        <v>0</v>
      </c>
      <c r="AT29" s="15">
        <f t="shared" si="3"/>
        <v>1245000</v>
      </c>
      <c r="AU29" s="15">
        <f t="shared" ref="AU29" si="17">AT29*55%</f>
        <v>684750</v>
      </c>
      <c r="AV29" s="15">
        <f t="shared" ref="AV29" si="18">AT29*45%</f>
        <v>560250</v>
      </c>
    </row>
    <row r="30" spans="2:48" s="75" customFormat="1" ht="16" x14ac:dyDescent="0.2">
      <c r="B30" s="12" t="s">
        <v>965</v>
      </c>
      <c r="C30" s="254">
        <f>'Pencapaian Sales Value'!G128</f>
        <v>0.78995613690328459</v>
      </c>
      <c r="D30" s="254">
        <f>'Pencapaian Product Focus'!H128</f>
        <v>1.0919540229885061</v>
      </c>
      <c r="E30" s="254">
        <f>'Pencapaian Product Focus'!L128</f>
        <v>0.54333333333333333</v>
      </c>
      <c r="F30" s="254">
        <f>'Pencapaian Effective Call'!G133</f>
        <v>0.69444444444444442</v>
      </c>
      <c r="G30" s="254">
        <f>'Pencapaian New Open Outlet'!G128</f>
        <v>0.27500000000000002</v>
      </c>
      <c r="H30" s="254">
        <f>'Pencapaian Active Outlet'!G133</f>
        <v>0.80454545454545456</v>
      </c>
      <c r="I30" s="266"/>
      <c r="J30" s="266"/>
      <c r="K30" s="266"/>
      <c r="L30" s="266"/>
      <c r="M30" s="266"/>
      <c r="N30" s="14">
        <f>AO128</f>
        <v>1043250</v>
      </c>
      <c r="O30" s="82"/>
      <c r="P30" s="397"/>
      <c r="Q30" s="52" t="s">
        <v>360</v>
      </c>
      <c r="R30" s="52" t="s">
        <v>104</v>
      </c>
      <c r="S30" s="12" t="s">
        <v>18</v>
      </c>
      <c r="T30" s="269">
        <f>'Pencapaian Sales Value'!G30</f>
        <v>1.0317738936931706</v>
      </c>
      <c r="U30" s="15">
        <f>'Pencapaian Sales Value'!I30</f>
        <v>450000</v>
      </c>
      <c r="V30" s="269">
        <f>'Pencapaian Product Focus'!H30</f>
        <v>1.0909090909090908</v>
      </c>
      <c r="W30" s="269">
        <f>'Pencapaian Product Focus'!L30</f>
        <v>0.93333333333333335</v>
      </c>
      <c r="X30" s="15">
        <f>'Pencapaian Product Focus'!N30</f>
        <v>157500</v>
      </c>
      <c r="Y30" s="269">
        <f>'Pencapaian Effective Call'!G30</f>
        <v>0.91466666666666663</v>
      </c>
      <c r="Z30" s="15">
        <f>'Pencapaian Effective Call'!I30</f>
        <v>101250</v>
      </c>
      <c r="AA30" s="269">
        <f>'Pencapaian New Open Outlet'!G30</f>
        <v>2</v>
      </c>
      <c r="AB30" s="14">
        <f>'Pencapaian New Open Outlet'!I30</f>
        <v>168750</v>
      </c>
      <c r="AC30" s="255">
        <f>'Pencapaian Active Outlet'!G30</f>
        <v>1.0094339622641511</v>
      </c>
      <c r="AD30" s="170">
        <f>'Pencapaian Active Outlet'!I30</f>
        <v>0</v>
      </c>
      <c r="AE30" s="272">
        <f>'Pencapaian Item per Outlet'!G30</f>
        <v>0</v>
      </c>
      <c r="AF30" s="261">
        <f>'Pencapaian Item per Outlet'!I30</f>
        <v>0</v>
      </c>
      <c r="AG30" s="255">
        <f>'Pencapaian Product Display'!G30</f>
        <v>0</v>
      </c>
      <c r="AH30" s="170">
        <f>'Pencapaian Product Display'!I30</f>
        <v>0</v>
      </c>
      <c r="AI30" s="255">
        <f>'Pencapaian Sales Contract'!G30</f>
        <v>0</v>
      </c>
      <c r="AJ30" s="170">
        <f>'Pencapaian Sales Contract'!I30</f>
        <v>0</v>
      </c>
      <c r="AK30" s="255">
        <f>'Pencapaian Co-Branding'!G30</f>
        <v>0</v>
      </c>
      <c r="AL30" s="170">
        <f>'Pencapaian Co-Branding'!I30</f>
        <v>0</v>
      </c>
      <c r="AM30" s="255">
        <f>'Pencapaian Join Event Activity'!G30</f>
        <v>0</v>
      </c>
      <c r="AN30" s="170">
        <f>'Pencapaian Join Event Activity'!I30</f>
        <v>0</v>
      </c>
      <c r="AO30" s="15">
        <f t="shared" si="2"/>
        <v>877500</v>
      </c>
      <c r="AP30" s="13">
        <v>0</v>
      </c>
      <c r="AQ30" s="15">
        <f t="shared" si="15"/>
        <v>0</v>
      </c>
      <c r="AR30" s="13">
        <v>0</v>
      </c>
      <c r="AS30" s="15">
        <f t="shared" si="16"/>
        <v>0</v>
      </c>
      <c r="AT30" s="15">
        <f t="shared" si="3"/>
        <v>877500</v>
      </c>
      <c r="AU30" s="15">
        <f t="shared" ref="AU30" si="19">AT30*70%</f>
        <v>614250</v>
      </c>
      <c r="AV30" s="15">
        <f t="shared" ref="AV30" si="20">AT30*30%</f>
        <v>263250</v>
      </c>
    </row>
    <row r="31" spans="2:48" ht="16" x14ac:dyDescent="0.2">
      <c r="B31" s="12" t="s">
        <v>26</v>
      </c>
      <c r="C31" s="254">
        <f>'Pencapaian Sales Value'!G133</f>
        <v>0.32588611124999994</v>
      </c>
      <c r="D31" s="266"/>
      <c r="E31" s="266"/>
      <c r="F31" s="254">
        <f>'Pencapaian Effective Call'!G133</f>
        <v>0.69444444444444442</v>
      </c>
      <c r="G31" s="254">
        <f>'Pencapaian New Open Outlet'!G133</f>
        <v>0.69230769230769229</v>
      </c>
      <c r="H31" s="254">
        <f>'Pencapaian Active Outlet'!G133</f>
        <v>0.80454545454545456</v>
      </c>
      <c r="I31" s="266"/>
      <c r="J31" s="266"/>
      <c r="K31" s="266"/>
      <c r="L31" s="266"/>
      <c r="M31" s="266"/>
      <c r="N31" s="14">
        <f>AO133</f>
        <v>468000</v>
      </c>
      <c r="O31" s="3"/>
      <c r="P31" s="397"/>
      <c r="Q31" s="193"/>
      <c r="R31" s="193" t="s">
        <v>148</v>
      </c>
      <c r="S31" s="193"/>
      <c r="T31" s="272">
        <f>'Pencapaian Sales Value'!G31</f>
        <v>0</v>
      </c>
      <c r="U31" s="261">
        <f>'Pencapaian Sales Value'!I31</f>
        <v>0</v>
      </c>
      <c r="V31" s="272">
        <f>'Pencapaian Product Focus'!H31</f>
        <v>0</v>
      </c>
      <c r="W31" s="272">
        <f>'Pencapaian Product Focus'!L31</f>
        <v>0</v>
      </c>
      <c r="X31" s="261">
        <f>'Pencapaian Product Focus'!N31</f>
        <v>0</v>
      </c>
      <c r="Y31" s="272">
        <f>'Pencapaian Effective Call'!G31</f>
        <v>0</v>
      </c>
      <c r="Z31" s="261">
        <f>'Pencapaian Effective Call'!I31</f>
        <v>0</v>
      </c>
      <c r="AA31" s="272">
        <f>'Pencapaian New Open Outlet'!G31</f>
        <v>0</v>
      </c>
      <c r="AB31" s="170">
        <f>'Pencapaian New Open Outlet'!I31</f>
        <v>0</v>
      </c>
      <c r="AC31" s="255" t="e">
        <f>'Pencapaian Active Outlet'!G31</f>
        <v>#DIV/0!</v>
      </c>
      <c r="AD31" s="170">
        <f>'Pencapaian Active Outlet'!I31</f>
        <v>0</v>
      </c>
      <c r="AE31" s="272">
        <f>'Pencapaian Item per Outlet'!G31</f>
        <v>0</v>
      </c>
      <c r="AF31" s="261">
        <f>'Pencapaian Item per Outlet'!I31</f>
        <v>0</v>
      </c>
      <c r="AG31" s="255">
        <f>'Pencapaian Product Display'!G31</f>
        <v>0</v>
      </c>
      <c r="AH31" s="170">
        <f>'Pencapaian Product Display'!I31</f>
        <v>0</v>
      </c>
      <c r="AI31" s="255">
        <f>'Pencapaian Sales Contract'!G31</f>
        <v>0</v>
      </c>
      <c r="AJ31" s="170">
        <f>'Pencapaian Sales Contract'!I31</f>
        <v>0</v>
      </c>
      <c r="AK31" s="255">
        <f>'Pencapaian Co-Branding'!G31</f>
        <v>0</v>
      </c>
      <c r="AL31" s="170">
        <f>'Pencapaian Co-Branding'!I31</f>
        <v>0</v>
      </c>
      <c r="AM31" s="255">
        <f>'Pencapaian Join Event Activity'!G31</f>
        <v>0</v>
      </c>
      <c r="AN31" s="170">
        <f>'Pencapaian Join Event Activity'!I31</f>
        <v>0</v>
      </c>
      <c r="AO31" s="261">
        <f t="shared" si="2"/>
        <v>0</v>
      </c>
      <c r="AP31" s="328">
        <v>0</v>
      </c>
      <c r="AQ31" s="261">
        <f t="shared" si="15"/>
        <v>0</v>
      </c>
      <c r="AR31" s="328">
        <v>0</v>
      </c>
      <c r="AS31" s="261">
        <f t="shared" si="16"/>
        <v>0</v>
      </c>
      <c r="AT31" s="261">
        <f t="shared" si="3"/>
        <v>0</v>
      </c>
      <c r="AU31" s="261"/>
      <c r="AV31" s="261"/>
    </row>
    <row r="32" spans="2:48" ht="16" x14ac:dyDescent="0.2">
      <c r="B32" s="12" t="s">
        <v>27</v>
      </c>
      <c r="C32" s="254">
        <f>'Pencapaian Sales Value'!G146</f>
        <v>0.25089458944444443</v>
      </c>
      <c r="D32" s="266"/>
      <c r="E32" s="266"/>
      <c r="F32" s="266"/>
      <c r="G32" s="266"/>
      <c r="H32" s="254">
        <f>'Pencapaian Active Outlet'!G146</f>
        <v>0.421875</v>
      </c>
      <c r="I32" s="266"/>
      <c r="J32" s="266"/>
      <c r="K32" s="266"/>
      <c r="L32" s="266"/>
      <c r="M32" s="266"/>
      <c r="N32" s="14">
        <f>AO146</f>
        <v>198000</v>
      </c>
      <c r="O32" s="3"/>
      <c r="P32" s="397"/>
      <c r="Q32" s="52" t="s">
        <v>361</v>
      </c>
      <c r="R32" s="52" t="s">
        <v>295</v>
      </c>
      <c r="S32" s="12" t="s">
        <v>18</v>
      </c>
      <c r="T32" s="269">
        <f>'Pencapaian Sales Value'!G32</f>
        <v>0.85903128223381919</v>
      </c>
      <c r="U32" s="15">
        <f>'Pencapaian Sales Value'!I32</f>
        <v>225000</v>
      </c>
      <c r="V32" s="269">
        <f>'Pencapaian Product Focus'!H32</f>
        <v>0.92</v>
      </c>
      <c r="W32" s="269">
        <f>'Pencapaian Product Focus'!L32</f>
        <v>1.02</v>
      </c>
      <c r="X32" s="15">
        <f>'Pencapaian Product Focus'!N32</f>
        <v>157500</v>
      </c>
      <c r="Y32" s="269">
        <f>'Pencapaian Effective Call'!G32</f>
        <v>0.67666666666666664</v>
      </c>
      <c r="Z32" s="15">
        <f>'Pencapaian Effective Call'!I32</f>
        <v>0</v>
      </c>
      <c r="AA32" s="269">
        <f>'Pencapaian New Open Outlet'!G32</f>
        <v>1.2666666666666666</v>
      </c>
      <c r="AB32" s="14">
        <f>'Pencapaian New Open Outlet'!I32</f>
        <v>168750</v>
      </c>
      <c r="AC32" s="255">
        <f>'Pencapaian Active Outlet'!G32</f>
        <v>1.18</v>
      </c>
      <c r="AD32" s="170">
        <f>'Pencapaian Active Outlet'!I32</f>
        <v>0</v>
      </c>
      <c r="AE32" s="272">
        <f>'Pencapaian Item per Outlet'!G32</f>
        <v>0</v>
      </c>
      <c r="AF32" s="261">
        <f>'Pencapaian Item per Outlet'!I32</f>
        <v>0</v>
      </c>
      <c r="AG32" s="255">
        <f>'Pencapaian Product Display'!G32</f>
        <v>0</v>
      </c>
      <c r="AH32" s="170">
        <f>'Pencapaian Product Display'!I32</f>
        <v>0</v>
      </c>
      <c r="AI32" s="255">
        <f>'Pencapaian Sales Contract'!G32</f>
        <v>0</v>
      </c>
      <c r="AJ32" s="170">
        <f>'Pencapaian Sales Contract'!I32</f>
        <v>0</v>
      </c>
      <c r="AK32" s="255">
        <f>'Pencapaian Co-Branding'!G32</f>
        <v>0</v>
      </c>
      <c r="AL32" s="170">
        <f>'Pencapaian Co-Branding'!I32</f>
        <v>0</v>
      </c>
      <c r="AM32" s="255">
        <f>'Pencapaian Join Event Activity'!G32</f>
        <v>0</v>
      </c>
      <c r="AN32" s="170">
        <f>'Pencapaian Join Event Activity'!I32</f>
        <v>0</v>
      </c>
      <c r="AO32" s="15">
        <f t="shared" si="2"/>
        <v>551250</v>
      </c>
      <c r="AP32" s="13">
        <v>0</v>
      </c>
      <c r="AQ32" s="15">
        <f t="shared" si="15"/>
        <v>0</v>
      </c>
      <c r="AR32" s="13">
        <v>0</v>
      </c>
      <c r="AS32" s="15">
        <f t="shared" si="16"/>
        <v>0</v>
      </c>
      <c r="AT32" s="262">
        <f t="shared" si="3"/>
        <v>551250</v>
      </c>
      <c r="AU32" s="15">
        <f t="shared" ref="AU32" si="21">AT32*70%</f>
        <v>385875</v>
      </c>
      <c r="AV32" s="15">
        <f t="shared" ref="AV32" si="22">AT32*30%</f>
        <v>165375</v>
      </c>
    </row>
    <row r="33" spans="2:61" ht="17" thickBot="1" x14ac:dyDescent="0.25">
      <c r="B33" s="25" t="s">
        <v>28</v>
      </c>
      <c r="C33" s="256">
        <f>'Pencapaian Sales Value'!G147</f>
        <v>0.70096801555164223</v>
      </c>
      <c r="D33" s="256">
        <f>'Pencapaian Product Focus'!H147</f>
        <v>0.98188202247378276</v>
      </c>
      <c r="E33" s="256">
        <f>'Pencapaian Product Focus'!L147</f>
        <v>0.5976047904191617</v>
      </c>
      <c r="F33" s="256">
        <f>'Pencapaian Effective Call'!G147</f>
        <v>0.80128617363344057</v>
      </c>
      <c r="G33" s="256">
        <f>'Pencapaian New Open Outlet'!G147</f>
        <v>0.43548387096774194</v>
      </c>
      <c r="H33" s="256">
        <f>'Pencapaian Active Outlet'!G147</f>
        <v>0.71034482758620687</v>
      </c>
      <c r="I33" s="260"/>
      <c r="J33" s="260"/>
      <c r="K33" s="260"/>
      <c r="L33" s="260"/>
      <c r="M33" s="260"/>
      <c r="N33" s="26">
        <f>SUM(N28:N32)</f>
        <v>3572250</v>
      </c>
      <c r="O33" s="3"/>
      <c r="P33" s="397"/>
      <c r="Q33" s="78"/>
      <c r="R33" s="78" t="s">
        <v>72</v>
      </c>
      <c r="S33" s="64" t="s">
        <v>20</v>
      </c>
      <c r="T33" s="258">
        <f>'Pencapaian Sales Value'!G33</f>
        <v>1.0046478887999999</v>
      </c>
      <c r="U33" s="63">
        <f>'Pencapaian Sales Value'!I33</f>
        <v>480000</v>
      </c>
      <c r="V33" s="258">
        <f>'Pencapaian Product Focus'!H33</f>
        <v>1.0950657894736842</v>
      </c>
      <c r="W33" s="258">
        <f>'Pencapaian Product Focus'!L33</f>
        <v>0.9642857142857143</v>
      </c>
      <c r="X33" s="63">
        <f>'Pencapaian Product Focus'!N33</f>
        <v>204000</v>
      </c>
      <c r="Y33" s="257">
        <f>'Pencapaian Effective Call'!G33</f>
        <v>0.91255813953488374</v>
      </c>
      <c r="Z33" s="189">
        <f>'Pencapaian Effective Call'!I33</f>
        <v>0</v>
      </c>
      <c r="AA33" s="258">
        <f>'Pencapaian New Open Outlet'!G33</f>
        <v>1.35</v>
      </c>
      <c r="AB33" s="63">
        <f>'Pencapaian New Open Outlet'!I33</f>
        <v>336000</v>
      </c>
      <c r="AC33" s="258">
        <f>'Pencapaian Active Outlet'!G33</f>
        <v>1.0622317596566524</v>
      </c>
      <c r="AD33" s="63">
        <f>'Pencapaian Active Outlet'!I33</f>
        <v>240000</v>
      </c>
      <c r="AE33" s="257">
        <f>'Pencapaian Item per Outlet'!G33</f>
        <v>0</v>
      </c>
      <c r="AF33" s="224">
        <f>'Pencapaian Item per Outlet'!I33</f>
        <v>0</v>
      </c>
      <c r="AG33" s="306">
        <f>'Pencapaian Product Display'!G33</f>
        <v>0</v>
      </c>
      <c r="AH33" s="152">
        <f>'Pencapaian Product Display'!I33</f>
        <v>0</v>
      </c>
      <c r="AI33" s="306">
        <f>'Pencapaian Sales Contract'!G33</f>
        <v>0</v>
      </c>
      <c r="AJ33" s="152">
        <f>'Pencapaian Sales Contract'!I33</f>
        <v>0</v>
      </c>
      <c r="AK33" s="306">
        <f>'Pencapaian Co-Branding'!G33</f>
        <v>0</v>
      </c>
      <c r="AL33" s="152">
        <f>'Pencapaian Co-Branding'!I33</f>
        <v>0</v>
      </c>
      <c r="AM33" s="306">
        <f>'Pencapaian Join Event Activity'!G33</f>
        <v>0</v>
      </c>
      <c r="AN33" s="152">
        <f>'Pencapaian Join Event Activity'!I33</f>
        <v>0</v>
      </c>
      <c r="AO33" s="63">
        <f t="shared" si="2"/>
        <v>1260000</v>
      </c>
      <c r="AP33" s="110">
        <v>0</v>
      </c>
      <c r="AQ33" s="63">
        <f t="shared" si="15"/>
        <v>0</v>
      </c>
      <c r="AR33" s="110">
        <v>0</v>
      </c>
      <c r="AS33" s="63">
        <f t="shared" si="16"/>
        <v>0</v>
      </c>
      <c r="AT33" s="63">
        <f t="shared" si="3"/>
        <v>1260000</v>
      </c>
      <c r="AU33" s="63">
        <f>AT33</f>
        <v>1260000</v>
      </c>
      <c r="AV33" s="63">
        <v>0</v>
      </c>
    </row>
    <row r="34" spans="2:61" ht="17" thickTop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"/>
      <c r="O34" s="3"/>
      <c r="P34" s="397"/>
      <c r="Q34" s="77"/>
      <c r="R34" s="77" t="s">
        <v>34</v>
      </c>
      <c r="S34" s="42"/>
      <c r="T34" s="264">
        <f>'Pencapaian Sales Value'!G34</f>
        <v>1.0046478887999999</v>
      </c>
      <c r="U34" s="23">
        <f>'Pencapaian Sales Value'!I34</f>
        <v>1755000</v>
      </c>
      <c r="V34" s="264">
        <f>'Pencapaian Product Focus'!H34</f>
        <v>1.0950657894736842</v>
      </c>
      <c r="W34" s="264">
        <f>'Pencapaian Product Focus'!L34</f>
        <v>0.9642857142857143</v>
      </c>
      <c r="X34" s="23">
        <f>'Pencapaian Product Focus'!N34</f>
        <v>759000</v>
      </c>
      <c r="Y34" s="264">
        <f>'Pencapaian Effective Call'!G34</f>
        <v>0.91255813953488374</v>
      </c>
      <c r="Z34" s="23">
        <f>'Pencapaian Effective Call'!I34</f>
        <v>281250</v>
      </c>
      <c r="AA34" s="264">
        <f>'Pencapaian New Open Outlet'!G34</f>
        <v>1.35</v>
      </c>
      <c r="AB34" s="23">
        <f>'Pencapaian New Open Outlet'!I34</f>
        <v>898500</v>
      </c>
      <c r="AC34" s="264">
        <f>'Pencapaian Active Outlet'!G34</f>
        <v>1.0622317596566524</v>
      </c>
      <c r="AD34" s="23">
        <f>'Pencapaian Active Outlet'!I34</f>
        <v>240000</v>
      </c>
      <c r="AE34" s="263">
        <f>'Pencapaian Item per Outlet'!G34</f>
        <v>0</v>
      </c>
      <c r="AF34" s="227">
        <f>'Pencapaian Item per Outlet'!I34</f>
        <v>0</v>
      </c>
      <c r="AG34" s="307">
        <f>'Pencapaian Product Display'!G34</f>
        <v>0</v>
      </c>
      <c r="AH34" s="157">
        <f>'Pencapaian Product Display'!I34</f>
        <v>0</v>
      </c>
      <c r="AI34" s="307">
        <f>'Pencapaian Sales Contract'!G34</f>
        <v>0</v>
      </c>
      <c r="AJ34" s="157">
        <f>'Pencapaian Sales Contract'!I34</f>
        <v>0</v>
      </c>
      <c r="AK34" s="307">
        <f>'Pencapaian Co-Branding'!G34</f>
        <v>0</v>
      </c>
      <c r="AL34" s="157">
        <f>'Pencapaian Co-Branding'!I34</f>
        <v>0</v>
      </c>
      <c r="AM34" s="307">
        <f>'Pencapaian Join Event Activity'!G34</f>
        <v>0</v>
      </c>
      <c r="AN34" s="157">
        <f>'Pencapaian Join Event Activity'!I34</f>
        <v>0</v>
      </c>
      <c r="AO34" s="23">
        <f t="shared" si="2"/>
        <v>3933750</v>
      </c>
      <c r="AP34" s="112">
        <v>0</v>
      </c>
      <c r="AQ34" s="23">
        <f>SUM(AQ29:AQ33)</f>
        <v>0</v>
      </c>
      <c r="AR34" s="112">
        <v>0</v>
      </c>
      <c r="AS34" s="23">
        <f>SUM(AS29:AS33)</f>
        <v>0</v>
      </c>
      <c r="AT34" s="23">
        <f t="shared" si="3"/>
        <v>3933750</v>
      </c>
      <c r="AU34" s="23">
        <f t="shared" ref="AU34:AV34" si="23">SUM(AU29:AU33)</f>
        <v>2944875</v>
      </c>
      <c r="AV34" s="23">
        <f t="shared" si="23"/>
        <v>988875</v>
      </c>
    </row>
    <row r="35" spans="2:61" ht="16" x14ac:dyDescent="0.2">
      <c r="B35" s="6" t="s">
        <v>29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7"/>
      <c r="O35" s="3"/>
      <c r="P35" s="397" t="s">
        <v>256</v>
      </c>
      <c r="Q35" s="52" t="s">
        <v>362</v>
      </c>
      <c r="R35" s="74" t="s">
        <v>106</v>
      </c>
      <c r="S35" s="12" t="s">
        <v>14</v>
      </c>
      <c r="T35" s="269">
        <f>'Pencapaian Sales Value'!G35</f>
        <v>0.96998171778662345</v>
      </c>
      <c r="U35" s="15">
        <f>'Pencapaian Sales Value'!I35</f>
        <v>450000</v>
      </c>
      <c r="V35" s="304">
        <f>'Pencapaian Product Focus'!H35</f>
        <v>0</v>
      </c>
      <c r="W35" s="304">
        <f>'Pencapaian Product Focus'!L35</f>
        <v>0</v>
      </c>
      <c r="X35" s="178">
        <f>'Pencapaian Product Focus'!N35</f>
        <v>0</v>
      </c>
      <c r="Y35" s="269">
        <f>'Pencapaian Effective Call'!G35</f>
        <v>0.97666666666666668</v>
      </c>
      <c r="Z35" s="15">
        <f>'Pencapaian Effective Call'!I35</f>
        <v>180000</v>
      </c>
      <c r="AA35" s="269">
        <f>'Pencapaian New Open Outlet'!G35</f>
        <v>0</v>
      </c>
      <c r="AB35" s="15">
        <f>'Pencapaian New Open Outlet'!I35</f>
        <v>0</v>
      </c>
      <c r="AC35" s="269">
        <f>'Pencapaian Active Outlet'!G35</f>
        <v>1.0666666666666667</v>
      </c>
      <c r="AD35" s="15">
        <f>'Pencapaian Active Outlet'!I35</f>
        <v>120000</v>
      </c>
      <c r="AE35" s="272">
        <f>'Pencapaian Item per Outlet'!G35</f>
        <v>0</v>
      </c>
      <c r="AF35" s="261">
        <f>'Pencapaian Item per Outlet'!I35</f>
        <v>0</v>
      </c>
      <c r="AG35" s="255">
        <f>'Pencapaian Product Display'!G35</f>
        <v>0</v>
      </c>
      <c r="AH35" s="170">
        <f>'Pencapaian Product Display'!I35</f>
        <v>0</v>
      </c>
      <c r="AI35" s="255">
        <f>'Pencapaian Sales Contract'!G35</f>
        <v>0</v>
      </c>
      <c r="AJ35" s="170">
        <f>'Pencapaian Sales Contract'!I35</f>
        <v>0</v>
      </c>
      <c r="AK35" s="255">
        <f>'Pencapaian Co-Branding'!G35</f>
        <v>0</v>
      </c>
      <c r="AL35" s="170">
        <f>'Pencapaian Co-Branding'!I35</f>
        <v>0</v>
      </c>
      <c r="AM35" s="255">
        <f>'Pencapaian Join Event Activity'!G35</f>
        <v>0</v>
      </c>
      <c r="AN35" s="170">
        <f>'Pencapaian Join Event Activity'!I35</f>
        <v>0</v>
      </c>
      <c r="AO35" s="15">
        <f t="shared" si="2"/>
        <v>750000</v>
      </c>
      <c r="AP35" s="13">
        <v>0</v>
      </c>
      <c r="AQ35" s="15">
        <f t="shared" ref="AQ35:AQ38" si="24">IF(AP35&gt;=0.5%,-(AO35*10%),0)</f>
        <v>0</v>
      </c>
      <c r="AR35" s="13">
        <v>0</v>
      </c>
      <c r="AS35" s="15">
        <f t="shared" ref="AS35:AS38" si="25">IF(AR35&gt;0,-(AO35+AQ35),0)</f>
        <v>0</v>
      </c>
      <c r="AT35" s="15">
        <f t="shared" si="3"/>
        <v>750000</v>
      </c>
      <c r="AU35" s="15">
        <f t="shared" ref="AU35" si="26">AT35*55%</f>
        <v>412500.00000000006</v>
      </c>
      <c r="AV35" s="15">
        <f t="shared" ref="AV35" si="27">AT35*45%</f>
        <v>337500</v>
      </c>
    </row>
    <row r="36" spans="2:61" ht="14.5" customHeight="1" x14ac:dyDescent="0.2">
      <c r="B36" s="394" t="s">
        <v>0</v>
      </c>
      <c r="C36" s="401" t="s">
        <v>4</v>
      </c>
      <c r="D36" s="398" t="s">
        <v>139</v>
      </c>
      <c r="E36" s="398"/>
      <c r="F36" s="399" t="s">
        <v>134</v>
      </c>
      <c r="G36" s="399" t="s">
        <v>135</v>
      </c>
      <c r="H36" s="399" t="s">
        <v>5</v>
      </c>
      <c r="I36" s="399" t="s">
        <v>137</v>
      </c>
      <c r="J36" s="399" t="s">
        <v>424</v>
      </c>
      <c r="K36" s="399" t="s">
        <v>431</v>
      </c>
      <c r="L36" s="399" t="s">
        <v>438</v>
      </c>
      <c r="M36" s="399" t="s">
        <v>445</v>
      </c>
      <c r="N36" s="398" t="s">
        <v>1</v>
      </c>
      <c r="O36" s="3"/>
      <c r="P36" s="397"/>
      <c r="Q36" s="52" t="s">
        <v>363</v>
      </c>
      <c r="R36" s="52" t="s">
        <v>298</v>
      </c>
      <c r="S36" s="12" t="s">
        <v>18</v>
      </c>
      <c r="T36" s="269">
        <f>'Pencapaian Sales Value'!G36</f>
        <v>0.99833741100300144</v>
      </c>
      <c r="U36" s="15">
        <f>'Pencapaian Sales Value'!I36</f>
        <v>337500</v>
      </c>
      <c r="V36" s="304">
        <f>'Pencapaian Product Focus'!H36</f>
        <v>0</v>
      </c>
      <c r="W36" s="304">
        <f>'Pencapaian Product Focus'!L36</f>
        <v>0</v>
      </c>
      <c r="X36" s="178">
        <f>'Pencapaian Product Focus'!N36</f>
        <v>0</v>
      </c>
      <c r="Y36" s="269">
        <f>'Pencapaian Effective Call'!G36</f>
        <v>1.0285714285714285</v>
      </c>
      <c r="Z36" s="15">
        <f>'Pencapaian Effective Call'!I36</f>
        <v>180000</v>
      </c>
      <c r="AA36" s="269">
        <f>'Pencapaian New Open Outlet'!G36</f>
        <v>0.2</v>
      </c>
      <c r="AB36" s="15">
        <f>'Pencapaian New Open Outlet'!I36</f>
        <v>0</v>
      </c>
      <c r="AC36" s="269">
        <f>'Pencapaian Active Outlet'!G36</f>
        <v>1.1363636363636365</v>
      </c>
      <c r="AD36" s="15">
        <f>'Pencapaian Active Outlet'!I36</f>
        <v>112500</v>
      </c>
      <c r="AE36" s="272">
        <f>'Pencapaian Item per Outlet'!G36</f>
        <v>0</v>
      </c>
      <c r="AF36" s="261">
        <f>'Pencapaian Item per Outlet'!I36</f>
        <v>0</v>
      </c>
      <c r="AG36" s="255">
        <f>'Pencapaian Product Display'!G36</f>
        <v>0</v>
      </c>
      <c r="AH36" s="170">
        <f>'Pencapaian Product Display'!I36</f>
        <v>0</v>
      </c>
      <c r="AI36" s="255">
        <f>'Pencapaian Sales Contract'!G36</f>
        <v>0</v>
      </c>
      <c r="AJ36" s="170">
        <f>'Pencapaian Sales Contract'!I36</f>
        <v>0</v>
      </c>
      <c r="AK36" s="255">
        <f>'Pencapaian Co-Branding'!G36</f>
        <v>0</v>
      </c>
      <c r="AL36" s="170">
        <f>'Pencapaian Co-Branding'!I36</f>
        <v>0</v>
      </c>
      <c r="AM36" s="255">
        <f>'Pencapaian Join Event Activity'!G36</f>
        <v>0</v>
      </c>
      <c r="AN36" s="170">
        <f>'Pencapaian Join Event Activity'!I36</f>
        <v>0</v>
      </c>
      <c r="AO36" s="15">
        <f t="shared" si="2"/>
        <v>630000</v>
      </c>
      <c r="AP36" s="13">
        <v>0</v>
      </c>
      <c r="AQ36" s="15">
        <f t="shared" si="24"/>
        <v>0</v>
      </c>
      <c r="AR36" s="13">
        <v>0</v>
      </c>
      <c r="AS36" s="15">
        <f t="shared" si="25"/>
        <v>0</v>
      </c>
      <c r="AT36" s="15">
        <f t="shared" si="3"/>
        <v>630000</v>
      </c>
      <c r="AU36" s="15">
        <f t="shared" ref="AU36:AU37" si="28">AT36*70%</f>
        <v>441000</v>
      </c>
      <c r="AV36" s="15">
        <f t="shared" ref="AV36:AV37" si="29">AT36*30%</f>
        <v>189000</v>
      </c>
    </row>
    <row r="37" spans="2:61" ht="14.5" customHeight="1" x14ac:dyDescent="0.2">
      <c r="B37" s="394"/>
      <c r="C37" s="401"/>
      <c r="D37" s="292" t="s">
        <v>514</v>
      </c>
      <c r="E37" s="292" t="s">
        <v>515</v>
      </c>
      <c r="F37" s="400"/>
      <c r="G37" s="400"/>
      <c r="H37" s="400"/>
      <c r="I37" s="400"/>
      <c r="J37" s="400"/>
      <c r="K37" s="400"/>
      <c r="L37" s="400"/>
      <c r="M37" s="400"/>
      <c r="N37" s="398"/>
      <c r="O37" s="3"/>
      <c r="P37" s="397"/>
      <c r="Q37" s="52" t="s">
        <v>364</v>
      </c>
      <c r="R37" s="52" t="s">
        <v>274</v>
      </c>
      <c r="S37" s="12" t="s">
        <v>18</v>
      </c>
      <c r="T37" s="269">
        <f>'Pencapaian Sales Value'!G37</f>
        <v>0.80220533186498721</v>
      </c>
      <c r="U37" s="15">
        <f>'Pencapaian Sales Value'!I37</f>
        <v>225000</v>
      </c>
      <c r="V37" s="304">
        <f>'Pencapaian Product Focus'!H37</f>
        <v>0</v>
      </c>
      <c r="W37" s="304">
        <f>'Pencapaian Product Focus'!L37</f>
        <v>0</v>
      </c>
      <c r="X37" s="178">
        <f>'Pencapaian Product Focus'!N37</f>
        <v>0</v>
      </c>
      <c r="Y37" s="269">
        <f>'Pencapaian Effective Call'!G37</f>
        <v>0.7038461538461539</v>
      </c>
      <c r="Z37" s="15">
        <f>'Pencapaian Effective Call'!I37</f>
        <v>45000</v>
      </c>
      <c r="AA37" s="269">
        <f>'Pencapaian New Open Outlet'!G37</f>
        <v>0.2</v>
      </c>
      <c r="AB37" s="15">
        <f>'Pencapaian New Open Outlet'!I37</f>
        <v>0</v>
      </c>
      <c r="AC37" s="269">
        <f>'Pencapaian Active Outlet'!G37</f>
        <v>1.1111111111111112</v>
      </c>
      <c r="AD37" s="15">
        <f>'Pencapaian Active Outlet'!I37</f>
        <v>112500</v>
      </c>
      <c r="AE37" s="272">
        <f>'Pencapaian Item per Outlet'!G37</f>
        <v>0</v>
      </c>
      <c r="AF37" s="261">
        <f>'Pencapaian Item per Outlet'!I37</f>
        <v>0</v>
      </c>
      <c r="AG37" s="255">
        <f>'Pencapaian Product Display'!G37</f>
        <v>0</v>
      </c>
      <c r="AH37" s="170">
        <f>'Pencapaian Product Display'!I37</f>
        <v>0</v>
      </c>
      <c r="AI37" s="255">
        <f>'Pencapaian Sales Contract'!G37</f>
        <v>0</v>
      </c>
      <c r="AJ37" s="170">
        <f>'Pencapaian Sales Contract'!I37</f>
        <v>0</v>
      </c>
      <c r="AK37" s="255">
        <f>'Pencapaian Co-Branding'!G37</f>
        <v>0</v>
      </c>
      <c r="AL37" s="170">
        <f>'Pencapaian Co-Branding'!I37</f>
        <v>0</v>
      </c>
      <c r="AM37" s="255">
        <f>'Pencapaian Join Event Activity'!G37</f>
        <v>0</v>
      </c>
      <c r="AN37" s="170">
        <f>'Pencapaian Join Event Activity'!I37</f>
        <v>0</v>
      </c>
      <c r="AO37" s="15">
        <f t="shared" si="2"/>
        <v>382500</v>
      </c>
      <c r="AP37" s="13">
        <v>0</v>
      </c>
      <c r="AQ37" s="15">
        <f t="shared" si="24"/>
        <v>0</v>
      </c>
      <c r="AR37" s="13">
        <v>0</v>
      </c>
      <c r="AS37" s="15">
        <f t="shared" si="25"/>
        <v>0</v>
      </c>
      <c r="AT37" s="15">
        <f t="shared" si="3"/>
        <v>382500</v>
      </c>
      <c r="AU37" s="15">
        <f t="shared" si="28"/>
        <v>267750</v>
      </c>
      <c r="AV37" s="15">
        <f t="shared" si="29"/>
        <v>114750</v>
      </c>
    </row>
    <row r="38" spans="2:61" ht="16" x14ac:dyDescent="0.2">
      <c r="B38" s="12" t="s">
        <v>31</v>
      </c>
      <c r="C38" s="254">
        <f>'Pencapaian Sales Value'!G165</f>
        <v>0.99046014666666671</v>
      </c>
      <c r="D38" s="266"/>
      <c r="E38" s="266"/>
      <c r="F38" s="266"/>
      <c r="G38" s="266"/>
      <c r="H38" s="254">
        <f>'Pencapaian Active Outlet'!G165</f>
        <v>1.1282051282051282</v>
      </c>
      <c r="I38" s="266"/>
      <c r="J38" s="266"/>
      <c r="K38" s="266"/>
      <c r="L38" s="266"/>
      <c r="M38" s="266"/>
      <c r="N38" s="14">
        <f>AO165</f>
        <v>2969000</v>
      </c>
      <c r="O38" s="3"/>
      <c r="P38" s="397"/>
      <c r="Q38" s="78"/>
      <c r="R38" s="78" t="s">
        <v>259</v>
      </c>
      <c r="S38" s="64" t="s">
        <v>20</v>
      </c>
      <c r="T38" s="258">
        <f>'Pencapaian Sales Value'!G38</f>
        <v>0.95821433341119688</v>
      </c>
      <c r="U38" s="63">
        <f>'Pencapaian Sales Value'!I38</f>
        <v>336000</v>
      </c>
      <c r="V38" s="268">
        <f>'Pencapaian Product Focus'!H38</f>
        <v>0</v>
      </c>
      <c r="W38" s="268">
        <f>'Pencapaian Product Focus'!L38</f>
        <v>0</v>
      </c>
      <c r="X38" s="189">
        <f>'Pencapaian Product Focus'!N38</f>
        <v>0</v>
      </c>
      <c r="Y38" s="258">
        <f>'Pencapaian Effective Call'!G38</f>
        <v>0.91868131868131864</v>
      </c>
      <c r="Z38" s="63">
        <f>'Pencapaian Effective Call'!I38</f>
        <v>168000</v>
      </c>
      <c r="AA38" s="258">
        <f>'Pencapaian New Open Outlet'!G38</f>
        <v>0.14285714285714285</v>
      </c>
      <c r="AB38" s="63">
        <f>'Pencapaian New Open Outlet'!I38</f>
        <v>0</v>
      </c>
      <c r="AC38" s="258">
        <f>'Pencapaian Active Outlet'!G38</f>
        <v>1.1049180327868853</v>
      </c>
      <c r="AD38" s="63">
        <f>'Pencapaian Active Outlet'!I38</f>
        <v>336000</v>
      </c>
      <c r="AE38" s="257">
        <f>'Pencapaian Item per Outlet'!G38</f>
        <v>0</v>
      </c>
      <c r="AF38" s="224">
        <f>'Pencapaian Item per Outlet'!I38</f>
        <v>0</v>
      </c>
      <c r="AG38" s="268">
        <f>'Pencapaian Product Display'!G38</f>
        <v>0</v>
      </c>
      <c r="AH38" s="189">
        <f>'Pencapaian Product Display'!I38</f>
        <v>0</v>
      </c>
      <c r="AI38" s="268">
        <f>'Pencapaian Sales Contract'!G38</f>
        <v>0</v>
      </c>
      <c r="AJ38" s="189">
        <f>'Pencapaian Sales Contract'!I38</f>
        <v>0</v>
      </c>
      <c r="AK38" s="268">
        <f>'Pencapaian Co-Branding'!G38</f>
        <v>0</v>
      </c>
      <c r="AL38" s="189">
        <f>'Pencapaian Co-Branding'!I38</f>
        <v>0</v>
      </c>
      <c r="AM38" s="268">
        <f>'Pencapaian Join Event Activity'!G38</f>
        <v>0</v>
      </c>
      <c r="AN38" s="189">
        <f>'Pencapaian Join Event Activity'!I38</f>
        <v>0</v>
      </c>
      <c r="AO38" s="63">
        <f t="shared" si="2"/>
        <v>840000</v>
      </c>
      <c r="AP38" s="110">
        <v>0</v>
      </c>
      <c r="AQ38" s="63">
        <f t="shared" si="24"/>
        <v>0</v>
      </c>
      <c r="AR38" s="110">
        <v>0</v>
      </c>
      <c r="AS38" s="63">
        <f t="shared" si="25"/>
        <v>0</v>
      </c>
      <c r="AT38" s="63">
        <f t="shared" si="3"/>
        <v>840000</v>
      </c>
      <c r="AU38" s="63">
        <f>AT38</f>
        <v>840000</v>
      </c>
      <c r="AV38" s="63">
        <v>0</v>
      </c>
    </row>
    <row r="39" spans="2:61" ht="16" x14ac:dyDescent="0.2">
      <c r="B39" s="12" t="s">
        <v>572</v>
      </c>
      <c r="C39" s="254">
        <f>'Pencapaian Sales Value'!G181</f>
        <v>0.71644363200000005</v>
      </c>
      <c r="D39" s="266"/>
      <c r="E39" s="266"/>
      <c r="F39" s="266"/>
      <c r="G39" s="266"/>
      <c r="H39" s="254">
        <f>'Pencapaian Active Outlet'!G181</f>
        <v>0.4</v>
      </c>
      <c r="I39" s="266"/>
      <c r="J39" s="266"/>
      <c r="K39" s="266"/>
      <c r="L39" s="266"/>
      <c r="M39" s="266"/>
      <c r="N39" s="14">
        <f>AO181</f>
        <v>450000</v>
      </c>
      <c r="O39" s="3"/>
      <c r="P39" s="397"/>
      <c r="Q39" s="77"/>
      <c r="R39" s="77" t="s">
        <v>257</v>
      </c>
      <c r="S39" s="42"/>
      <c r="T39" s="264">
        <f>'Pencapaian Sales Value'!G39</f>
        <v>0.95821433341119688</v>
      </c>
      <c r="U39" s="23">
        <f>'Pencapaian Sales Value'!I39</f>
        <v>1348500</v>
      </c>
      <c r="V39" s="274">
        <f>'Pencapaian Product Focus'!H39</f>
        <v>0</v>
      </c>
      <c r="W39" s="274">
        <f>'Pencapaian Product Focus'!L39</f>
        <v>0</v>
      </c>
      <c r="X39" s="190">
        <f>'Pencapaian Product Focus'!N39</f>
        <v>0</v>
      </c>
      <c r="Y39" s="264">
        <f>'Pencapaian Effective Call'!G39</f>
        <v>0.91868131868131864</v>
      </c>
      <c r="Z39" s="23">
        <f>'Pencapaian Effective Call'!I39</f>
        <v>573000</v>
      </c>
      <c r="AA39" s="264">
        <f>'Pencapaian New Open Outlet'!G39</f>
        <v>0.14285714285714285</v>
      </c>
      <c r="AB39" s="23">
        <f>'Pencapaian New Open Outlet'!I39</f>
        <v>0</v>
      </c>
      <c r="AC39" s="264">
        <f>'Pencapaian Active Outlet'!G39</f>
        <v>1.1049180327868853</v>
      </c>
      <c r="AD39" s="23">
        <f>'Pencapaian Active Outlet'!I39</f>
        <v>681000</v>
      </c>
      <c r="AE39" s="263">
        <f>'Pencapaian Item per Outlet'!G39</f>
        <v>0</v>
      </c>
      <c r="AF39" s="227">
        <f>'Pencapaian Item per Outlet'!I39</f>
        <v>0</v>
      </c>
      <c r="AG39" s="274">
        <f>'Pencapaian Product Display'!G39</f>
        <v>0</v>
      </c>
      <c r="AH39" s="190">
        <f>'Pencapaian Product Display'!I39</f>
        <v>0</v>
      </c>
      <c r="AI39" s="274">
        <f>'Pencapaian Sales Contract'!G39</f>
        <v>0</v>
      </c>
      <c r="AJ39" s="190">
        <f>'Pencapaian Sales Contract'!I39</f>
        <v>0</v>
      </c>
      <c r="AK39" s="274">
        <f>'Pencapaian Co-Branding'!G39</f>
        <v>0</v>
      </c>
      <c r="AL39" s="190">
        <f>'Pencapaian Co-Branding'!I39</f>
        <v>0</v>
      </c>
      <c r="AM39" s="274">
        <f>'Pencapaian Join Event Activity'!G39</f>
        <v>0</v>
      </c>
      <c r="AN39" s="190">
        <f>'Pencapaian Join Event Activity'!I39</f>
        <v>0</v>
      </c>
      <c r="AO39" s="23">
        <f t="shared" si="2"/>
        <v>2602500</v>
      </c>
      <c r="AP39" s="112">
        <v>0</v>
      </c>
      <c r="AQ39" s="23">
        <f>SUM(AQ35:AQ38)</f>
        <v>0</v>
      </c>
      <c r="AR39" s="112">
        <v>0</v>
      </c>
      <c r="AS39" s="23">
        <f>SUM(AS35:AS38)</f>
        <v>0</v>
      </c>
      <c r="AT39" s="23">
        <f t="shared" si="3"/>
        <v>2602500</v>
      </c>
      <c r="AU39" s="23">
        <f t="shared" ref="AU39:AV39" si="30">SUM(AU35:AU38)</f>
        <v>1961250</v>
      </c>
      <c r="AV39" s="23">
        <f t="shared" si="30"/>
        <v>641250</v>
      </c>
    </row>
    <row r="40" spans="2:61" ht="16" x14ac:dyDescent="0.2">
      <c r="B40" s="12" t="s">
        <v>573</v>
      </c>
      <c r="C40" s="254">
        <f>'Pencapaian Sales Value'!G199</f>
        <v>0.76989445248868782</v>
      </c>
      <c r="D40" s="266"/>
      <c r="E40" s="266"/>
      <c r="F40" s="266"/>
      <c r="G40" s="266"/>
      <c r="H40" s="254">
        <f>'Pencapaian Active Outlet'!G199</f>
        <v>0.66352941176470592</v>
      </c>
      <c r="I40" s="266"/>
      <c r="J40" s="266"/>
      <c r="K40" s="266"/>
      <c r="L40" s="266"/>
      <c r="M40" s="266"/>
      <c r="N40" s="14">
        <f>AO199</f>
        <v>1173000</v>
      </c>
      <c r="O40" s="3"/>
      <c r="Q40" s="80"/>
      <c r="R40" s="80" t="s">
        <v>110</v>
      </c>
      <c r="S40" s="205"/>
      <c r="T40" s="270">
        <f>'Pencapaian Sales Value'!G40</f>
        <v>0.89525819216102509</v>
      </c>
      <c r="U40" s="43">
        <f>'Pencapaian Sales Value'!I40</f>
        <v>9278000</v>
      </c>
      <c r="V40" s="270">
        <f>'Pencapaian Product Focus'!H40</f>
        <v>0.93931294151482914</v>
      </c>
      <c r="W40" s="270">
        <f>'Pencapaian Product Focus'!L40</f>
        <v>0.98344573881054564</v>
      </c>
      <c r="X40" s="43">
        <f>'Pencapaian Product Focus'!N40</f>
        <v>3607000</v>
      </c>
      <c r="Y40" s="270">
        <f>'Pencapaian Effective Call'!G40</f>
        <v>0.92789788408463658</v>
      </c>
      <c r="Z40" s="43">
        <f>'Pencapaian Effective Call'!I40</f>
        <v>2405250</v>
      </c>
      <c r="AA40" s="270">
        <f>'Pencapaian New Open Outlet'!G40</f>
        <v>0.37654320987654322</v>
      </c>
      <c r="AB40" s="43">
        <f>'Pencapaian New Open Outlet'!I40</f>
        <v>1048500</v>
      </c>
      <c r="AC40" s="270">
        <f>'Pencapaian Active Outlet'!G40</f>
        <v>0.98463255665623584</v>
      </c>
      <c r="AD40" s="43">
        <f>'Pencapaian Active Outlet'!I40</f>
        <v>1430000</v>
      </c>
      <c r="AE40" s="270">
        <f>'Pencapaian Item per Outlet'!G40</f>
        <v>0.79537524742680166</v>
      </c>
      <c r="AF40" s="43">
        <f>'Pencapaian Item per Outlet'!I40</f>
        <v>1626000</v>
      </c>
      <c r="AG40" s="263">
        <f>'Pencapaian Product Display'!G40</f>
        <v>0.89090909090909087</v>
      </c>
      <c r="AH40" s="148">
        <f>'Pencapaian Product Display'!I40</f>
        <v>40000</v>
      </c>
      <c r="AI40" s="263">
        <f>'Pencapaian Sales Contract'!G40</f>
        <v>0</v>
      </c>
      <c r="AJ40" s="148">
        <f>'Pencapaian Sales Contract'!I40</f>
        <v>0</v>
      </c>
      <c r="AK40" s="263">
        <f>'Pencapaian Co-Branding'!G40</f>
        <v>0</v>
      </c>
      <c r="AL40" s="148">
        <f>'Pencapaian Co-Branding'!I40</f>
        <v>0</v>
      </c>
      <c r="AM40" s="263">
        <f>'Pencapaian Join Event Activity'!G40</f>
        <v>1</v>
      </c>
      <c r="AN40" s="148">
        <f>'Pencapaian Join Event Activity'!I40</f>
        <v>50000</v>
      </c>
      <c r="AO40" s="43">
        <f t="shared" si="2"/>
        <v>19484750</v>
      </c>
      <c r="AP40" s="136">
        <v>9.1240406788677085E-3</v>
      </c>
      <c r="AQ40" s="43">
        <f>SUM(AQ39,AQ34,AQ28)</f>
        <v>-287750</v>
      </c>
      <c r="AR40" s="136">
        <v>8.4008462831647641E-5</v>
      </c>
      <c r="AS40" s="43">
        <f>SUM(AS39,AS34,AS28)</f>
        <v>-1605000</v>
      </c>
      <c r="AT40" s="43">
        <f t="shared" si="3"/>
        <v>17592000</v>
      </c>
      <c r="AU40" s="43">
        <f t="shared" ref="AU40:AV40" si="31">SUM(AU39,AU34,AU28)</f>
        <v>11771250</v>
      </c>
      <c r="AV40" s="43">
        <f t="shared" si="31"/>
        <v>5820750</v>
      </c>
    </row>
    <row r="41" spans="2:61" ht="32" customHeight="1" x14ac:dyDescent="0.2">
      <c r="B41" s="12" t="s">
        <v>574</v>
      </c>
      <c r="C41" s="254">
        <f>'Pencapaian Sales Value'!G215</f>
        <v>0.47776870454545456</v>
      </c>
      <c r="D41" s="266"/>
      <c r="E41" s="266"/>
      <c r="F41" s="266"/>
      <c r="G41" s="266"/>
      <c r="H41" s="254">
        <f>'Pencapaian Active Outlet'!G215</f>
        <v>0.3037037037037037</v>
      </c>
      <c r="I41" s="266"/>
      <c r="J41" s="266"/>
      <c r="K41" s="266"/>
      <c r="L41" s="266"/>
      <c r="M41" s="266"/>
      <c r="N41" s="14">
        <f>AO215</f>
        <v>390000</v>
      </c>
      <c r="O41" s="3"/>
      <c r="P41" s="79" t="s">
        <v>517</v>
      </c>
      <c r="Q41" s="465" t="s">
        <v>974</v>
      </c>
      <c r="R41" s="466"/>
      <c r="S41" s="466"/>
      <c r="T41" s="466"/>
      <c r="U41" s="466"/>
      <c r="V41" s="466"/>
      <c r="W41" s="466"/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  <c r="AI41" s="466"/>
      <c r="AJ41" s="466"/>
      <c r="AK41" s="466"/>
      <c r="AL41" s="466"/>
      <c r="AM41" s="466"/>
      <c r="AN41" s="466"/>
      <c r="AO41" s="466"/>
      <c r="AP41" s="466"/>
      <c r="AQ41" s="466"/>
      <c r="AR41" s="466"/>
      <c r="AS41" s="466"/>
      <c r="AT41" s="466"/>
      <c r="AU41" s="466"/>
      <c r="AV41" s="466"/>
      <c r="AW41" s="2"/>
      <c r="AX41" s="300"/>
      <c r="AY41" s="2"/>
      <c r="AZ41" s="300"/>
      <c r="BA41" s="2"/>
      <c r="BB41" s="2"/>
      <c r="BC41" s="1" t="s">
        <v>785</v>
      </c>
      <c r="BD41" s="133"/>
      <c r="BE41" s="1"/>
      <c r="BF41" s="2"/>
      <c r="BG41" s="2"/>
      <c r="BH41" s="2"/>
      <c r="BI41" s="2"/>
    </row>
    <row r="42" spans="2:61" x14ac:dyDescent="0.2">
      <c r="B42" s="12" t="s">
        <v>769</v>
      </c>
      <c r="C42" s="254">
        <f>'Pencapaian Sales Value'!G220</f>
        <v>0.24207575000000001</v>
      </c>
      <c r="D42" s="266"/>
      <c r="E42" s="266"/>
      <c r="F42" s="266"/>
      <c r="G42" s="266"/>
      <c r="H42" s="254">
        <f>'Pencapaian Active Outlet'!G220</f>
        <v>0.29333333333333333</v>
      </c>
      <c r="I42" s="266"/>
      <c r="J42" s="266"/>
      <c r="K42" s="266"/>
      <c r="L42" s="266"/>
      <c r="M42" s="266"/>
      <c r="N42" s="14">
        <f>AO220</f>
        <v>0</v>
      </c>
      <c r="O42" s="3"/>
      <c r="P42" s="8"/>
      <c r="Q42" s="8"/>
      <c r="R42" s="8"/>
      <c r="T42" s="300"/>
      <c r="U42" s="2"/>
      <c r="V42" s="300"/>
      <c r="X42" s="2"/>
      <c r="Y42" s="300"/>
      <c r="Z42" s="2"/>
      <c r="AA42" s="300"/>
      <c r="AB42" s="2"/>
      <c r="AC42" s="300"/>
      <c r="AD42" s="2"/>
      <c r="AE42" s="300"/>
      <c r="AF42" s="2"/>
      <c r="AG42" s="300"/>
      <c r="AH42" s="2"/>
      <c r="AI42" s="300"/>
      <c r="AJ42" s="2"/>
      <c r="AK42" s="300"/>
      <c r="AL42" s="2"/>
      <c r="AM42" s="300"/>
      <c r="AN42" s="2"/>
      <c r="AO42" s="2"/>
      <c r="AP42" s="1"/>
      <c r="AQ42" s="133"/>
      <c r="AR42" s="1"/>
      <c r="AS42" s="2"/>
      <c r="AT42" s="2"/>
      <c r="AU42" s="2"/>
      <c r="AV42" s="2"/>
    </row>
    <row r="43" spans="2:61" x14ac:dyDescent="0.2">
      <c r="B43" s="12" t="s">
        <v>770</v>
      </c>
      <c r="C43" s="254">
        <f>'Pencapaian Sales Value'!G225</f>
        <v>-1.01475E-3</v>
      </c>
      <c r="D43" s="266"/>
      <c r="E43" s="266"/>
      <c r="F43" s="266"/>
      <c r="G43" s="266"/>
      <c r="H43" s="254">
        <f>'Pencapaian Active Outlet'!G225</f>
        <v>1.3333333333333334E-2</v>
      </c>
      <c r="I43" s="266"/>
      <c r="J43" s="266"/>
      <c r="K43" s="266"/>
      <c r="L43" s="266"/>
      <c r="M43" s="266"/>
      <c r="N43" s="14">
        <f>AO225</f>
        <v>0</v>
      </c>
      <c r="O43" s="3"/>
      <c r="U43" s="2"/>
      <c r="X43" s="2"/>
      <c r="Z43" s="2"/>
      <c r="AB43" s="2"/>
      <c r="AD43" s="2"/>
      <c r="AF43" s="2"/>
      <c r="AH43" s="2"/>
      <c r="AJ43" s="2"/>
      <c r="AL43" s="2"/>
      <c r="AN43" s="2"/>
      <c r="AO43" s="2"/>
      <c r="AP43" s="1"/>
      <c r="AQ43" s="2"/>
      <c r="AR43" s="1"/>
      <c r="AS43" s="2"/>
      <c r="AT43" s="2"/>
      <c r="AU43" s="2"/>
      <c r="AV43" s="2"/>
    </row>
    <row r="44" spans="2:61" x14ac:dyDescent="0.2">
      <c r="B44" s="12" t="s">
        <v>771</v>
      </c>
      <c r="C44" s="269">
        <f>'Pencapaian Sales Value'!G242</f>
        <v>0.40937878846153847</v>
      </c>
      <c r="D44" s="266"/>
      <c r="E44" s="266"/>
      <c r="F44" s="266"/>
      <c r="G44" s="266"/>
      <c r="H44" s="269">
        <f>'Pencapaian Active Outlet'!G242</f>
        <v>0.30847457627118646</v>
      </c>
      <c r="I44" s="266"/>
      <c r="J44" s="266"/>
      <c r="K44" s="266"/>
      <c r="L44" s="266"/>
      <c r="M44" s="266"/>
      <c r="N44" s="14">
        <f>AO242</f>
        <v>180000</v>
      </c>
      <c r="O44" s="3"/>
      <c r="U44" s="2"/>
      <c r="X44" s="2"/>
      <c r="Z44" s="2"/>
      <c r="AB44" s="2"/>
      <c r="AD44" s="2"/>
      <c r="AF44" s="2"/>
      <c r="AH44" s="2"/>
      <c r="AJ44" s="2"/>
      <c r="AL44" s="2"/>
      <c r="AN44" s="2"/>
      <c r="AO44" s="2"/>
      <c r="AP44" s="1"/>
      <c r="AQ44" s="2"/>
      <c r="AR44" s="1"/>
      <c r="AS44" s="2"/>
      <c r="AT44" s="2"/>
      <c r="AU44" s="2"/>
      <c r="AV44" s="2"/>
    </row>
    <row r="45" spans="2:61" s="75" customFormat="1" x14ac:dyDescent="0.2">
      <c r="B45" s="12" t="s">
        <v>773</v>
      </c>
      <c r="C45" s="269">
        <f>'Pencapaian Sales Value'!G249</f>
        <v>0.24224722222222222</v>
      </c>
      <c r="D45" s="266"/>
      <c r="E45" s="266"/>
      <c r="F45" s="266"/>
      <c r="G45" s="266"/>
      <c r="H45" s="269">
        <f>'Pencapaian Active Outlet'!G249</f>
        <v>4.4444444444444446E-2</v>
      </c>
      <c r="I45" s="266"/>
      <c r="J45" s="266"/>
      <c r="K45" s="266"/>
      <c r="L45" s="266"/>
      <c r="M45" s="266"/>
      <c r="N45" s="14">
        <f>AO249</f>
        <v>60000</v>
      </c>
      <c r="O45" s="82"/>
      <c r="P45"/>
      <c r="Q45"/>
      <c r="R45"/>
      <c r="S45"/>
      <c r="T45" s="303"/>
      <c r="U45" s="2"/>
      <c r="V45" s="303"/>
      <c r="W45" s="303"/>
      <c r="X45" s="2"/>
      <c r="Y45" s="303"/>
      <c r="Z45" s="2"/>
      <c r="AA45" s="303"/>
      <c r="AB45" s="2"/>
      <c r="AC45" s="303"/>
      <c r="AD45" s="2"/>
      <c r="AE45" s="303"/>
      <c r="AF45" s="2"/>
      <c r="AG45" s="303"/>
      <c r="AH45" s="2"/>
      <c r="AI45" s="303"/>
      <c r="AJ45" s="2"/>
      <c r="AK45" s="303"/>
      <c r="AL45" s="2"/>
      <c r="AM45" s="303"/>
      <c r="AN45" s="2"/>
      <c r="AO45" s="2"/>
      <c r="AP45" s="1"/>
      <c r="AQ45" s="2"/>
      <c r="AR45" s="1"/>
      <c r="AS45" s="2"/>
      <c r="AT45" s="2"/>
      <c r="AU45" s="2"/>
      <c r="AV45" s="2"/>
    </row>
    <row r="46" spans="2:61" x14ac:dyDescent="0.2">
      <c r="B46" s="12" t="s">
        <v>772</v>
      </c>
      <c r="C46" s="269">
        <f>'Pencapaian Sales Value'!G258</f>
        <v>0.53519257109915452</v>
      </c>
      <c r="D46" s="266"/>
      <c r="E46" s="266"/>
      <c r="F46" s="266"/>
      <c r="G46" s="266"/>
      <c r="H46" s="254">
        <f>'Pencapaian Active Outlet'!G258</f>
        <v>0.4702702702702703</v>
      </c>
      <c r="I46" s="266"/>
      <c r="J46" s="266"/>
      <c r="K46" s="266"/>
      <c r="L46" s="266"/>
      <c r="M46" s="266"/>
      <c r="N46" s="14">
        <f>AO258</f>
        <v>0</v>
      </c>
      <c r="O46" s="3"/>
      <c r="U46" s="2"/>
      <c r="X46" s="2"/>
      <c r="Z46" s="2"/>
      <c r="AB46" s="2"/>
      <c r="AD46" s="2"/>
      <c r="AF46" s="2"/>
      <c r="AH46" s="2"/>
      <c r="AJ46" s="2"/>
      <c r="AL46" s="2"/>
      <c r="AN46" s="2"/>
      <c r="AO46" s="2"/>
      <c r="AP46" s="1"/>
      <c r="AQ46" s="2"/>
      <c r="AR46" s="1"/>
      <c r="AS46" s="2"/>
      <c r="AT46" s="2"/>
      <c r="AU46" s="2"/>
      <c r="AV46" s="2"/>
    </row>
    <row r="47" spans="2:61" x14ac:dyDescent="0.2">
      <c r="B47" s="218" t="s">
        <v>774</v>
      </c>
      <c r="C47" s="269">
        <f>'Pencapaian Sales Value'!G274</f>
        <v>0.58794207843137258</v>
      </c>
      <c r="D47" s="318"/>
      <c r="E47" s="318"/>
      <c r="F47" s="318"/>
      <c r="G47" s="318"/>
      <c r="H47" s="269">
        <f>'Pencapaian Active Outlet'!G274</f>
        <v>0.18461538461538463</v>
      </c>
      <c r="I47" s="318"/>
      <c r="J47" s="318"/>
      <c r="K47" s="318"/>
      <c r="L47" s="318"/>
      <c r="M47" s="318"/>
      <c r="N47" s="319">
        <f>AO274</f>
        <v>180000</v>
      </c>
      <c r="O47" s="3"/>
      <c r="U47" s="2"/>
      <c r="X47" s="2"/>
      <c r="Z47" s="2"/>
      <c r="AB47" s="2"/>
      <c r="AD47" s="2"/>
      <c r="AF47" s="2"/>
      <c r="AH47" s="2"/>
      <c r="AJ47" s="2"/>
      <c r="AL47" s="2"/>
      <c r="AN47" s="2"/>
      <c r="AO47" s="2"/>
      <c r="AP47" s="1"/>
      <c r="AQ47" s="2"/>
      <c r="AR47" s="1"/>
      <c r="AS47" s="2"/>
      <c r="AT47" s="2"/>
      <c r="AU47" s="2"/>
      <c r="AV47" s="2"/>
    </row>
    <row r="48" spans="2:61" s="61" customFormat="1" ht="14.5" customHeight="1" x14ac:dyDescent="0.2">
      <c r="B48" s="74" t="s">
        <v>775</v>
      </c>
      <c r="C48" s="269">
        <f>'Pencapaian Sales Value'!G280</f>
        <v>0.29983033333333331</v>
      </c>
      <c r="D48" s="318"/>
      <c r="E48" s="318"/>
      <c r="F48" s="318"/>
      <c r="G48" s="318"/>
      <c r="H48" s="269">
        <f>'Pencapaian Active Outlet'!G280</f>
        <v>0.3</v>
      </c>
      <c r="I48" s="318"/>
      <c r="J48" s="318"/>
      <c r="K48" s="318"/>
      <c r="L48" s="318"/>
      <c r="M48" s="318"/>
      <c r="N48" s="319">
        <f>AO280</f>
        <v>0</v>
      </c>
      <c r="O48" s="316"/>
      <c r="P48" s="388" t="s">
        <v>0</v>
      </c>
      <c r="Q48" s="388" t="s">
        <v>270</v>
      </c>
      <c r="R48" s="388" t="s">
        <v>2</v>
      </c>
      <c r="S48" s="394" t="s">
        <v>3</v>
      </c>
      <c r="T48" s="388" t="s">
        <v>4</v>
      </c>
      <c r="U48" s="388"/>
      <c r="V48" s="388" t="s">
        <v>139</v>
      </c>
      <c r="W48" s="388"/>
      <c r="X48" s="388"/>
      <c r="Y48" s="388" t="s">
        <v>134</v>
      </c>
      <c r="Z48" s="388"/>
      <c r="AA48" s="388" t="s">
        <v>135</v>
      </c>
      <c r="AB48" s="388"/>
      <c r="AC48" s="388" t="s">
        <v>5</v>
      </c>
      <c r="AD48" s="388"/>
      <c r="AE48" s="388" t="s">
        <v>137</v>
      </c>
      <c r="AF48" s="388"/>
      <c r="AG48" s="388" t="s">
        <v>424</v>
      </c>
      <c r="AH48" s="388"/>
      <c r="AI48" s="388" t="s">
        <v>431</v>
      </c>
      <c r="AJ48" s="388"/>
      <c r="AK48" s="388" t="s">
        <v>438</v>
      </c>
      <c r="AL48" s="388"/>
      <c r="AM48" s="388" t="s">
        <v>445</v>
      </c>
      <c r="AN48" s="388"/>
      <c r="AO48" s="389" t="s">
        <v>141</v>
      </c>
      <c r="AP48" s="391" t="s">
        <v>6</v>
      </c>
      <c r="AQ48" s="391"/>
      <c r="AR48" s="391"/>
      <c r="AS48" s="391"/>
      <c r="AT48" s="385" t="s">
        <v>7</v>
      </c>
      <c r="AU48" s="385" t="s">
        <v>2</v>
      </c>
      <c r="AV48" s="385" t="s">
        <v>144</v>
      </c>
    </row>
    <row r="49" spans="2:48" s="61" customFormat="1" ht="32" x14ac:dyDescent="0.2">
      <c r="B49" s="12" t="s">
        <v>776</v>
      </c>
      <c r="C49" s="269">
        <f>'Pencapaian Sales Value'!G288</f>
        <v>4.6463533333333334E-2</v>
      </c>
      <c r="D49" s="266"/>
      <c r="E49" s="266"/>
      <c r="F49" s="266"/>
      <c r="G49" s="266"/>
      <c r="H49" s="269">
        <f>'Pencapaian Active Outlet'!G288</f>
        <v>6.6765578635014824E-2</v>
      </c>
      <c r="I49" s="266"/>
      <c r="J49" s="266"/>
      <c r="K49" s="266"/>
      <c r="L49" s="266"/>
      <c r="M49" s="266"/>
      <c r="N49" s="14">
        <f>AO288</f>
        <v>0</v>
      </c>
      <c r="O49" s="316"/>
      <c r="P49" s="388"/>
      <c r="Q49" s="388"/>
      <c r="R49" s="388"/>
      <c r="S49" s="394"/>
      <c r="T49" s="253" t="s">
        <v>9</v>
      </c>
      <c r="U49" s="54" t="s">
        <v>10</v>
      </c>
      <c r="V49" s="253" t="s">
        <v>514</v>
      </c>
      <c r="W49" s="296" t="s">
        <v>515</v>
      </c>
      <c r="X49" s="54" t="s">
        <v>10</v>
      </c>
      <c r="Y49" s="253" t="s">
        <v>9</v>
      </c>
      <c r="Z49" s="54" t="s">
        <v>10</v>
      </c>
      <c r="AA49" s="253" t="s">
        <v>9</v>
      </c>
      <c r="AB49" s="54" t="s">
        <v>10</v>
      </c>
      <c r="AC49" s="253" t="s">
        <v>9</v>
      </c>
      <c r="AD49" s="54" t="s">
        <v>10</v>
      </c>
      <c r="AE49" s="253" t="s">
        <v>9</v>
      </c>
      <c r="AF49" s="54" t="s">
        <v>10</v>
      </c>
      <c r="AG49" s="253" t="s">
        <v>9</v>
      </c>
      <c r="AH49" s="54" t="s">
        <v>10</v>
      </c>
      <c r="AI49" s="253" t="s">
        <v>9</v>
      </c>
      <c r="AJ49" s="54" t="s">
        <v>10</v>
      </c>
      <c r="AK49" s="253" t="s">
        <v>9</v>
      </c>
      <c r="AL49" s="54" t="s">
        <v>10</v>
      </c>
      <c r="AM49" s="253" t="s">
        <v>9</v>
      </c>
      <c r="AN49" s="54" t="s">
        <v>10</v>
      </c>
      <c r="AO49" s="390"/>
      <c r="AP49" s="135" t="s">
        <v>798</v>
      </c>
      <c r="AQ49" s="134" t="s">
        <v>143</v>
      </c>
      <c r="AR49" s="135" t="s">
        <v>11</v>
      </c>
      <c r="AS49" s="134" t="s">
        <v>143</v>
      </c>
      <c r="AT49" s="385"/>
      <c r="AU49" s="385"/>
      <c r="AV49" s="385"/>
    </row>
    <row r="50" spans="2:48" ht="16" x14ac:dyDescent="0.2">
      <c r="B50" s="12" t="s">
        <v>950</v>
      </c>
      <c r="C50" s="254" t="e">
        <f>'Pencapaian Sales Value'!G292</f>
        <v>#DIV/0!</v>
      </c>
      <c r="D50" s="266"/>
      <c r="E50" s="266"/>
      <c r="F50" s="266"/>
      <c r="G50" s="266"/>
      <c r="H50" s="269" t="e">
        <f>'Pencapaian Active Outlet'!G292</f>
        <v>#DIV/0!</v>
      </c>
      <c r="I50" s="266"/>
      <c r="J50" s="266"/>
      <c r="K50" s="266"/>
      <c r="L50" s="266"/>
      <c r="M50" s="266"/>
      <c r="N50" s="14">
        <f>AO292</f>
        <v>0</v>
      </c>
      <c r="O50" s="3"/>
      <c r="P50" s="397" t="s">
        <v>25</v>
      </c>
      <c r="Q50" s="193"/>
      <c r="R50" s="193" t="s">
        <v>148</v>
      </c>
      <c r="S50" s="193"/>
      <c r="T50" s="272">
        <f>'Pencapaian Sales Value'!G50</f>
        <v>0</v>
      </c>
      <c r="U50" s="261">
        <f>'Pencapaian Sales Value'!I50</f>
        <v>0</v>
      </c>
      <c r="V50" s="272">
        <f>'Pencapaian Product Focus'!H50</f>
        <v>0</v>
      </c>
      <c r="W50" s="272">
        <f>'Pencapaian Product Focus'!L50</f>
        <v>0</v>
      </c>
      <c r="X50" s="261">
        <f>'Pencapaian Product Focus'!N50</f>
        <v>0</v>
      </c>
      <c r="Y50" s="272">
        <f>'Pencapaian Effective Call'!G50</f>
        <v>0</v>
      </c>
      <c r="Z50" s="261">
        <f>'Pencapaian Effective Call'!I50</f>
        <v>0</v>
      </c>
      <c r="AA50" s="255">
        <f>'Pencapaian New Open Outlet'!G50</f>
        <v>0</v>
      </c>
      <c r="AB50" s="170">
        <f>'Pencapaian New Open Outlet'!I50</f>
        <v>0</v>
      </c>
      <c r="AC50" s="255">
        <f>'Pencapaian Active Outlet'!G50</f>
        <v>0</v>
      </c>
      <c r="AD50" s="170">
        <f>'Pencapaian Active Outlet'!I50</f>
        <v>0</v>
      </c>
      <c r="AE50" s="272">
        <f>'Pencapaian Item per Outlet'!G50</f>
        <v>0</v>
      </c>
      <c r="AF50" s="261">
        <f>'Pencapaian Item per Outlet'!I50</f>
        <v>0</v>
      </c>
      <c r="AG50" s="255">
        <f>'Pencapaian Product Display'!G50</f>
        <v>0</v>
      </c>
      <c r="AH50" s="170">
        <f>'Pencapaian Product Display'!I50</f>
        <v>0</v>
      </c>
      <c r="AI50" s="255">
        <f>'Pencapaian Sales Contract'!G50</f>
        <v>0</v>
      </c>
      <c r="AJ50" s="170">
        <f>'Pencapaian Sales Contract'!I50</f>
        <v>0</v>
      </c>
      <c r="AK50" s="255">
        <f>'Pencapaian Co-Branding'!G50</f>
        <v>0</v>
      </c>
      <c r="AL50" s="170">
        <f>'Pencapaian Co-Branding'!I50</f>
        <v>0</v>
      </c>
      <c r="AM50" s="255">
        <f>'Pencapaian Join Event Activity'!G50</f>
        <v>0</v>
      </c>
      <c r="AN50" s="170">
        <f>'Pencapaian Join Event Activity'!I50</f>
        <v>0</v>
      </c>
      <c r="AO50" s="261">
        <f t="shared" ref="AO50:AO77" si="32">SUM(AN50,AL50,AJ50,AH50,AF50,AD50,AB50,Z50,X50,U50)</f>
        <v>0</v>
      </c>
      <c r="AP50" s="328">
        <v>0</v>
      </c>
      <c r="AQ50" s="261">
        <f t="shared" ref="AQ50:AQ63" si="33">IF(AP50&gt;=0.5%,-(AO50*10%),0)</f>
        <v>0</v>
      </c>
      <c r="AR50" s="328">
        <v>0</v>
      </c>
      <c r="AS50" s="261">
        <f t="shared" ref="AS50:AS63" si="34">IF(AR50&gt;0,-(AO50+AQ50),0)</f>
        <v>0</v>
      </c>
      <c r="AT50" s="261">
        <f t="shared" ref="AT50:AT77" si="35">SUM(AS50,AQ50,AO50)</f>
        <v>0</v>
      </c>
      <c r="AU50" s="261"/>
      <c r="AV50" s="261"/>
    </row>
    <row r="51" spans="2:48" ht="16" x14ac:dyDescent="0.2">
      <c r="B51" s="12" t="s">
        <v>777</v>
      </c>
      <c r="C51" s="254">
        <f>'Pencapaian Sales Value'!G299</f>
        <v>0.1402112857142857</v>
      </c>
      <c r="D51" s="266"/>
      <c r="E51" s="266"/>
      <c r="F51" s="266"/>
      <c r="G51" s="266"/>
      <c r="H51" s="269">
        <f>'Pencapaian Active Outlet'!G299</f>
        <v>4.1666666666666664E-2</v>
      </c>
      <c r="I51" s="266"/>
      <c r="J51" s="266"/>
      <c r="K51" s="266"/>
      <c r="L51" s="266"/>
      <c r="M51" s="266"/>
      <c r="N51" s="14">
        <f>AO299</f>
        <v>90000</v>
      </c>
      <c r="O51" s="3"/>
      <c r="P51" s="397"/>
      <c r="Q51" s="52" t="s">
        <v>365</v>
      </c>
      <c r="R51" s="52" t="s">
        <v>151</v>
      </c>
      <c r="S51" s="12" t="s">
        <v>18</v>
      </c>
      <c r="T51" s="269">
        <f>'Pencapaian Sales Value'!G51</f>
        <v>0.85832202145066661</v>
      </c>
      <c r="U51" s="15">
        <f>'Pencapaian Sales Value'!I51</f>
        <v>225000</v>
      </c>
      <c r="V51" s="269">
        <f>'Pencapaian Product Focus'!H51</f>
        <v>0.59999999999999987</v>
      </c>
      <c r="W51" s="269">
        <f>'Pencapaian Product Focus'!L51</f>
        <v>0.64</v>
      </c>
      <c r="X51" s="15">
        <f>'Pencapaian Product Focus'!N51</f>
        <v>0</v>
      </c>
      <c r="Y51" s="269">
        <f>'Pencapaian Effective Call'!G51</f>
        <v>0.94588235294117651</v>
      </c>
      <c r="Z51" s="15">
        <f>'Pencapaian Effective Call'!I51</f>
        <v>101250</v>
      </c>
      <c r="AA51" s="255">
        <f>'Pencapaian New Open Outlet'!G51</f>
        <v>0.18181818181818182</v>
      </c>
      <c r="AB51" s="170">
        <f>'Pencapaian New Open Outlet'!I51</f>
        <v>0</v>
      </c>
      <c r="AC51" s="255">
        <f>'Pencapaian Active Outlet'!G51</f>
        <v>1.0207336523125996</v>
      </c>
      <c r="AD51" s="170">
        <f>'Pencapaian Active Outlet'!I51</f>
        <v>0</v>
      </c>
      <c r="AE51" s="269">
        <f>'Pencapaian Item per Outlet'!G51</f>
        <v>0.45766871165644174</v>
      </c>
      <c r="AF51" s="15">
        <f>'Pencapaian Item per Outlet'!I51</f>
        <v>0</v>
      </c>
      <c r="AG51" s="255">
        <f>'Pencapaian Product Display'!G51</f>
        <v>0</v>
      </c>
      <c r="AH51" s="170">
        <f>'Pencapaian Product Display'!I51</f>
        <v>0</v>
      </c>
      <c r="AI51" s="255">
        <f>'Pencapaian Sales Contract'!G51</f>
        <v>0</v>
      </c>
      <c r="AJ51" s="170">
        <f>'Pencapaian Sales Contract'!I51</f>
        <v>0</v>
      </c>
      <c r="AK51" s="255">
        <f>'Pencapaian Co-Branding'!G51</f>
        <v>0</v>
      </c>
      <c r="AL51" s="170">
        <f>'Pencapaian Co-Branding'!I51</f>
        <v>0</v>
      </c>
      <c r="AM51" s="255">
        <f>'Pencapaian Join Event Activity'!G51</f>
        <v>0</v>
      </c>
      <c r="AN51" s="170">
        <f>'Pencapaian Join Event Activity'!I51</f>
        <v>0</v>
      </c>
      <c r="AO51" s="15">
        <f t="shared" si="32"/>
        <v>326250</v>
      </c>
      <c r="AP51" s="13">
        <v>0</v>
      </c>
      <c r="AQ51" s="15">
        <f t="shared" si="33"/>
        <v>0</v>
      </c>
      <c r="AR51" s="13">
        <v>0</v>
      </c>
      <c r="AS51" s="15">
        <f t="shared" si="34"/>
        <v>0</v>
      </c>
      <c r="AT51" s="15">
        <f t="shared" si="35"/>
        <v>326250</v>
      </c>
      <c r="AU51" s="15">
        <f>AT51*70%</f>
        <v>228375</v>
      </c>
      <c r="AV51" s="15">
        <f>AT51*30%</f>
        <v>97875</v>
      </c>
    </row>
    <row r="52" spans="2:48" ht="16" x14ac:dyDescent="0.2">
      <c r="B52" s="12" t="s">
        <v>778</v>
      </c>
      <c r="C52" s="254">
        <f>'Pencapaian Sales Value'!G307</f>
        <v>6.0630428571428571E-2</v>
      </c>
      <c r="D52" s="266"/>
      <c r="E52" s="266"/>
      <c r="F52" s="266"/>
      <c r="G52" s="266"/>
      <c r="H52" s="254">
        <f>'Pencapaian Active Outlet'!G307</f>
        <v>3.2000000000000001E-2</v>
      </c>
      <c r="I52" s="266"/>
      <c r="J52" s="266"/>
      <c r="K52" s="266"/>
      <c r="L52" s="266"/>
      <c r="M52" s="266"/>
      <c r="N52" s="14">
        <f>AO307</f>
        <v>0</v>
      </c>
      <c r="O52" s="3"/>
      <c r="P52" s="397"/>
      <c r="Q52" s="52" t="s">
        <v>366</v>
      </c>
      <c r="R52" s="52" t="s">
        <v>241</v>
      </c>
      <c r="S52" s="12" t="s">
        <v>18</v>
      </c>
      <c r="T52" s="269">
        <f>'Pencapaian Sales Value'!G52</f>
        <v>0.79612219178720056</v>
      </c>
      <c r="U52" s="15">
        <f>'Pencapaian Sales Value'!I52</f>
        <v>112500</v>
      </c>
      <c r="V52" s="269">
        <f>'Pencapaian Product Focus'!H52</f>
        <v>0.5395833333333333</v>
      </c>
      <c r="W52" s="269">
        <f>'Pencapaian Product Focus'!L52</f>
        <v>0.7142857142857143</v>
      </c>
      <c r="X52" s="15">
        <f>'Pencapaian Product Focus'!N52</f>
        <v>22500</v>
      </c>
      <c r="Y52" s="269">
        <f>'Pencapaian Effective Call'!G52</f>
        <v>0.98</v>
      </c>
      <c r="Z52" s="15">
        <f>'Pencapaian Effective Call'!I52</f>
        <v>101250</v>
      </c>
      <c r="AA52" s="255">
        <f>'Pencapaian New Open Outlet'!G52</f>
        <v>0.10810810810810811</v>
      </c>
      <c r="AB52" s="170">
        <f>'Pencapaian New Open Outlet'!I52</f>
        <v>0</v>
      </c>
      <c r="AC52" s="255">
        <f>'Pencapaian Active Outlet'!G52</f>
        <v>1.0590894413948984</v>
      </c>
      <c r="AD52" s="170">
        <f>'Pencapaian Active Outlet'!I52</f>
        <v>0</v>
      </c>
      <c r="AE52" s="269">
        <f>'Pencapaian Item per Outlet'!G52</f>
        <v>0.60481927710843375</v>
      </c>
      <c r="AF52" s="15">
        <f>'Pencapaian Item per Outlet'!I52</f>
        <v>0</v>
      </c>
      <c r="AG52" s="255">
        <f>'Pencapaian Product Display'!G52</f>
        <v>0</v>
      </c>
      <c r="AH52" s="170">
        <f>'Pencapaian Product Display'!I52</f>
        <v>0</v>
      </c>
      <c r="AI52" s="255">
        <f>'Pencapaian Sales Contract'!G52</f>
        <v>0</v>
      </c>
      <c r="AJ52" s="170">
        <f>'Pencapaian Sales Contract'!I52</f>
        <v>0</v>
      </c>
      <c r="AK52" s="255">
        <f>'Pencapaian Co-Branding'!G52</f>
        <v>0</v>
      </c>
      <c r="AL52" s="170">
        <f>'Pencapaian Co-Branding'!I52</f>
        <v>0</v>
      </c>
      <c r="AM52" s="255">
        <f>'Pencapaian Join Event Activity'!G52</f>
        <v>0</v>
      </c>
      <c r="AN52" s="170">
        <f>'Pencapaian Join Event Activity'!I52</f>
        <v>0</v>
      </c>
      <c r="AO52" s="15">
        <f t="shared" si="32"/>
        <v>236250</v>
      </c>
      <c r="AP52" s="13">
        <v>0</v>
      </c>
      <c r="AQ52" s="15">
        <f t="shared" si="33"/>
        <v>0</v>
      </c>
      <c r="AR52" s="13">
        <v>0</v>
      </c>
      <c r="AS52" s="15">
        <f t="shared" si="34"/>
        <v>0</v>
      </c>
      <c r="AT52" s="15">
        <f t="shared" si="35"/>
        <v>236250</v>
      </c>
      <c r="AU52" s="15">
        <f>AT52*70%</f>
        <v>165375</v>
      </c>
      <c r="AV52" s="15">
        <f>AT52*30%</f>
        <v>70875</v>
      </c>
    </row>
    <row r="53" spans="2:48" ht="16" x14ac:dyDescent="0.2">
      <c r="B53" s="12" t="s">
        <v>779</v>
      </c>
      <c r="C53" s="254">
        <f>'Pencapaian Sales Value'!G313</f>
        <v>-1.4740909090909091E-2</v>
      </c>
      <c r="D53" s="266"/>
      <c r="E53" s="266"/>
      <c r="F53" s="266"/>
      <c r="G53" s="266"/>
      <c r="H53" s="254">
        <f>'Pencapaian Active Outlet'!G313</f>
        <v>0.09</v>
      </c>
      <c r="I53" s="266"/>
      <c r="J53" s="266"/>
      <c r="K53" s="266"/>
      <c r="L53" s="266"/>
      <c r="M53" s="266"/>
      <c r="N53" s="14">
        <f>AO313</f>
        <v>0</v>
      </c>
      <c r="O53" s="3"/>
      <c r="P53" s="397"/>
      <c r="Q53" s="52" t="s">
        <v>368</v>
      </c>
      <c r="R53" s="52" t="s">
        <v>107</v>
      </c>
      <c r="S53" s="12" t="s">
        <v>18</v>
      </c>
      <c r="T53" s="269">
        <f>'Pencapaian Sales Value'!G53</f>
        <v>0.81550126167231629</v>
      </c>
      <c r="U53" s="15">
        <f>'Pencapaian Sales Value'!I53</f>
        <v>225000</v>
      </c>
      <c r="V53" s="269">
        <f>'Pencapaian Product Focus'!H53</f>
        <v>0.38854166666666667</v>
      </c>
      <c r="W53" s="269">
        <f>'Pencapaian Product Focus'!L53</f>
        <v>0.6</v>
      </c>
      <c r="X53" s="15">
        <f>'Pencapaian Product Focus'!N53</f>
        <v>0</v>
      </c>
      <c r="Y53" s="269">
        <f>'Pencapaian Effective Call'!G53</f>
        <v>0.98719999999999997</v>
      </c>
      <c r="Z53" s="15">
        <f>'Pencapaian Effective Call'!I53</f>
        <v>101250</v>
      </c>
      <c r="AA53" s="255">
        <f>'Pencapaian New Open Outlet'!G53</f>
        <v>3.9603960396039604E-2</v>
      </c>
      <c r="AB53" s="170">
        <f>'Pencapaian New Open Outlet'!I53</f>
        <v>0</v>
      </c>
      <c r="AC53" s="255">
        <f>'Pencapaian Active Outlet'!G53</f>
        <v>1.0526315789473686</v>
      </c>
      <c r="AD53" s="170">
        <f>'Pencapaian Active Outlet'!I53</f>
        <v>0</v>
      </c>
      <c r="AE53" s="269">
        <f>'Pencapaian Item per Outlet'!G53</f>
        <v>0.55652173913043479</v>
      </c>
      <c r="AF53" s="15">
        <f>'Pencapaian Item per Outlet'!I53</f>
        <v>0</v>
      </c>
      <c r="AG53" s="255">
        <f>'Pencapaian Product Display'!G53</f>
        <v>0</v>
      </c>
      <c r="AH53" s="170">
        <f>'Pencapaian Product Display'!I53</f>
        <v>0</v>
      </c>
      <c r="AI53" s="255">
        <f>'Pencapaian Sales Contract'!G53</f>
        <v>0</v>
      </c>
      <c r="AJ53" s="170">
        <f>'Pencapaian Sales Contract'!I53</f>
        <v>0</v>
      </c>
      <c r="AK53" s="255">
        <f>'Pencapaian Co-Branding'!G53</f>
        <v>0</v>
      </c>
      <c r="AL53" s="170">
        <f>'Pencapaian Co-Branding'!I53</f>
        <v>0</v>
      </c>
      <c r="AM53" s="255">
        <f>'Pencapaian Join Event Activity'!G53</f>
        <v>0</v>
      </c>
      <c r="AN53" s="170">
        <f>'Pencapaian Join Event Activity'!I53</f>
        <v>0</v>
      </c>
      <c r="AO53" s="15">
        <f t="shared" si="32"/>
        <v>326250</v>
      </c>
      <c r="AP53" s="13">
        <v>0</v>
      </c>
      <c r="AQ53" s="15">
        <f t="shared" si="33"/>
        <v>0</v>
      </c>
      <c r="AR53" s="13">
        <v>0</v>
      </c>
      <c r="AS53" s="15">
        <f t="shared" si="34"/>
        <v>0</v>
      </c>
      <c r="AT53" s="15">
        <f t="shared" si="35"/>
        <v>326250</v>
      </c>
      <c r="AU53" s="15">
        <f>AT53*70%</f>
        <v>228375</v>
      </c>
      <c r="AV53" s="15">
        <f>AT53*30%</f>
        <v>97875</v>
      </c>
    </row>
    <row r="54" spans="2:48" ht="17" thickBot="1" x14ac:dyDescent="0.25">
      <c r="B54" s="25" t="s">
        <v>33</v>
      </c>
      <c r="C54" s="256">
        <f>'Pencapaian Sales Value'!G315</f>
        <v>0.67362980081876866</v>
      </c>
      <c r="D54" s="260"/>
      <c r="E54" s="260"/>
      <c r="F54" s="260"/>
      <c r="G54" s="260"/>
      <c r="H54" s="256">
        <f>'Pencapaian Active Outlet'!G315</f>
        <v>0.40988658777120313</v>
      </c>
      <c r="I54" s="260"/>
      <c r="J54" s="260"/>
      <c r="K54" s="260"/>
      <c r="L54" s="260"/>
      <c r="M54" s="260"/>
      <c r="N54" s="26">
        <f>SUM(N38:N53)</f>
        <v>5492000</v>
      </c>
      <c r="O54" s="3"/>
      <c r="P54" s="397"/>
      <c r="Q54" s="52" t="s">
        <v>369</v>
      </c>
      <c r="R54" s="52" t="s">
        <v>262</v>
      </c>
      <c r="S54" s="12" t="s">
        <v>18</v>
      </c>
      <c r="T54" s="269">
        <f>'Pencapaian Sales Value'!G54</f>
        <v>0.71289233400325058</v>
      </c>
      <c r="U54" s="15">
        <f>'Pencapaian Sales Value'!I54</f>
        <v>112500</v>
      </c>
      <c r="V54" s="269">
        <f>'Pencapaian Product Focus'!H54</f>
        <v>0.84999999999999987</v>
      </c>
      <c r="W54" s="269">
        <f>'Pencapaian Product Focus'!L54</f>
        <v>0.65714285714285714</v>
      </c>
      <c r="X54" s="15">
        <f>'Pencapaian Product Focus'!N54</f>
        <v>45000</v>
      </c>
      <c r="Y54" s="269">
        <f>'Pencapaian Effective Call'!G54</f>
        <v>0.92</v>
      </c>
      <c r="Z54" s="15">
        <f>'Pencapaian Effective Call'!I54</f>
        <v>101250</v>
      </c>
      <c r="AA54" s="255">
        <f>'Pencapaian New Open Outlet'!G54</f>
        <v>0.4</v>
      </c>
      <c r="AB54" s="170">
        <f>'Pencapaian New Open Outlet'!I54</f>
        <v>0</v>
      </c>
      <c r="AC54" s="255">
        <f>'Pencapaian Active Outlet'!G54</f>
        <v>0.93301435406698563</v>
      </c>
      <c r="AD54" s="170">
        <f>'Pencapaian Active Outlet'!I54</f>
        <v>0</v>
      </c>
      <c r="AE54" s="269">
        <f>'Pencapaian Item per Outlet'!G54</f>
        <v>0.45645933014354068</v>
      </c>
      <c r="AF54" s="15">
        <f>'Pencapaian Item per Outlet'!I54</f>
        <v>0</v>
      </c>
      <c r="AG54" s="255">
        <f>'Pencapaian Product Display'!G54</f>
        <v>0</v>
      </c>
      <c r="AH54" s="170">
        <f>'Pencapaian Product Display'!I54</f>
        <v>0</v>
      </c>
      <c r="AI54" s="255">
        <f>'Pencapaian Sales Contract'!G54</f>
        <v>0</v>
      </c>
      <c r="AJ54" s="170">
        <f>'Pencapaian Sales Contract'!I54</f>
        <v>0</v>
      </c>
      <c r="AK54" s="255">
        <f>'Pencapaian Co-Branding'!G54</f>
        <v>0</v>
      </c>
      <c r="AL54" s="170">
        <f>'Pencapaian Co-Branding'!I54</f>
        <v>0</v>
      </c>
      <c r="AM54" s="255">
        <f>'Pencapaian Join Event Activity'!G54</f>
        <v>0</v>
      </c>
      <c r="AN54" s="170">
        <f>'Pencapaian Join Event Activity'!I54</f>
        <v>0</v>
      </c>
      <c r="AO54" s="15">
        <f t="shared" si="32"/>
        <v>258750</v>
      </c>
      <c r="AP54" s="13">
        <v>0</v>
      </c>
      <c r="AQ54" s="15">
        <f t="shared" si="33"/>
        <v>0</v>
      </c>
      <c r="AR54" s="13">
        <v>0</v>
      </c>
      <c r="AS54" s="15">
        <f t="shared" si="34"/>
        <v>0</v>
      </c>
      <c r="AT54" s="15">
        <f t="shared" si="35"/>
        <v>258750</v>
      </c>
      <c r="AU54" s="15">
        <f>AT54*70%</f>
        <v>181125</v>
      </c>
      <c r="AV54" s="15">
        <f>AT54*30%</f>
        <v>77625</v>
      </c>
    </row>
    <row r="55" spans="2:48" ht="17" thickTop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"/>
      <c r="P55" s="397"/>
      <c r="Q55" s="78"/>
      <c r="R55" s="78" t="s">
        <v>177</v>
      </c>
      <c r="S55" s="64" t="s">
        <v>20</v>
      </c>
      <c r="T55" s="258">
        <f>'Pencapaian Sales Value'!G55</f>
        <v>0.81042837727931771</v>
      </c>
      <c r="U55" s="63">
        <f>'Pencapaian Sales Value'!I55</f>
        <v>216000</v>
      </c>
      <c r="V55" s="258">
        <f>'Pencapaian Product Focus'!H55</f>
        <v>0.56846846846846855</v>
      </c>
      <c r="W55" s="258">
        <f>'Pencapaian Product Focus'!L55</f>
        <v>0.6470588235294118</v>
      </c>
      <c r="X55" s="63">
        <f>'Pencapaian Product Focus'!N55</f>
        <v>0</v>
      </c>
      <c r="Y55" s="257">
        <f>'Pencapaian Effective Call'!G55</f>
        <v>0</v>
      </c>
      <c r="Z55" s="189">
        <f>'Pencapaian Effective Call'!I55</f>
        <v>0</v>
      </c>
      <c r="AA55" s="268">
        <f>'Pencapaian New Open Outlet'!G55</f>
        <v>0.19302949061662197</v>
      </c>
      <c r="AB55" s="189">
        <f>'Pencapaian New Open Outlet'!I55</f>
        <v>0</v>
      </c>
      <c r="AC55" s="258">
        <f>'Pencapaian Active Outlet'!G55</f>
        <v>1.0107573460399972</v>
      </c>
      <c r="AD55" s="63">
        <f>'Pencapaian Active Outlet'!I55</f>
        <v>240000</v>
      </c>
      <c r="AE55" s="258">
        <f>'Pencapaian Item per Outlet'!G55</f>
        <v>0.51886726450971277</v>
      </c>
      <c r="AF55" s="63">
        <f>'Pencapaian Item per Outlet'!I55</f>
        <v>0</v>
      </c>
      <c r="AG55" s="297">
        <f>'Pencapaian Product Display'!G55</f>
        <v>0</v>
      </c>
      <c r="AH55" s="314">
        <f>'Pencapaian Product Display'!I55</f>
        <v>0</v>
      </c>
      <c r="AI55" s="306">
        <f>'Pencapaian Sales Contract'!G55</f>
        <v>0</v>
      </c>
      <c r="AJ55" s="152">
        <f>'Pencapaian Sales Contract'!I55</f>
        <v>0</v>
      </c>
      <c r="AK55" s="306">
        <f>'Pencapaian Co-Branding'!G55</f>
        <v>0</v>
      </c>
      <c r="AL55" s="152">
        <f>'Pencapaian Co-Branding'!I55</f>
        <v>0</v>
      </c>
      <c r="AM55" s="297">
        <f>'Pencapaian Join Event Activity'!G55</f>
        <v>0</v>
      </c>
      <c r="AN55" s="314">
        <f>'Pencapaian Join Event Activity'!I55</f>
        <v>0</v>
      </c>
      <c r="AO55" s="63">
        <f t="shared" si="32"/>
        <v>456000</v>
      </c>
      <c r="AP55" s="110">
        <v>0</v>
      </c>
      <c r="AQ55" s="63">
        <f t="shared" si="33"/>
        <v>0</v>
      </c>
      <c r="AR55" s="110">
        <v>0</v>
      </c>
      <c r="AS55" s="63">
        <f t="shared" si="34"/>
        <v>0</v>
      </c>
      <c r="AT55" s="63">
        <f t="shared" si="35"/>
        <v>456000</v>
      </c>
      <c r="AU55" s="63">
        <f>AT55</f>
        <v>456000</v>
      </c>
      <c r="AV55" s="63">
        <v>0</v>
      </c>
    </row>
    <row r="56" spans="2:48" s="21" customFormat="1" ht="16" x14ac:dyDescent="0.2">
      <c r="B56" s="6" t="s">
        <v>951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7"/>
      <c r="O56" s="31"/>
      <c r="P56" s="397"/>
      <c r="Q56" s="52" t="s">
        <v>370</v>
      </c>
      <c r="R56" s="52" t="s">
        <v>244</v>
      </c>
      <c r="S56" s="12" t="s">
        <v>18</v>
      </c>
      <c r="T56" s="269">
        <f>'Pencapaian Sales Value'!G56</f>
        <v>0.95812507516018885</v>
      </c>
      <c r="U56" s="15">
        <f>'Pencapaian Sales Value'!I56</f>
        <v>337500</v>
      </c>
      <c r="V56" s="269">
        <f>'Pencapaian Product Focus'!H56</f>
        <v>0.40583333333333338</v>
      </c>
      <c r="W56" s="269">
        <f>'Pencapaian Product Focus'!L56</f>
        <v>0.68571428571428572</v>
      </c>
      <c r="X56" s="15">
        <f>'Pencapaian Product Focus'!N56</f>
        <v>0</v>
      </c>
      <c r="Y56" s="269">
        <f>'Pencapaian Effective Call'!G56</f>
        <v>1.04</v>
      </c>
      <c r="Z56" s="15">
        <f>'Pencapaian Effective Call'!I56</f>
        <v>135000</v>
      </c>
      <c r="AA56" s="255">
        <f>'Pencapaian New Open Outlet'!G56</f>
        <v>9.1954022988505746E-2</v>
      </c>
      <c r="AB56" s="170">
        <f>'Pencapaian New Open Outlet'!I56</f>
        <v>0</v>
      </c>
      <c r="AC56" s="255">
        <f>'Pencapaian Active Outlet'!G56</f>
        <v>1.0275689223057645</v>
      </c>
      <c r="AD56" s="170">
        <f>'Pencapaian Active Outlet'!I56</f>
        <v>0</v>
      </c>
      <c r="AE56" s="269">
        <f>'Pencapaian Item per Outlet'!G56</f>
        <v>0.49090909090909091</v>
      </c>
      <c r="AF56" s="15">
        <f>'Pencapaian Item per Outlet'!I56</f>
        <v>0</v>
      </c>
      <c r="AG56" s="255">
        <f>'Pencapaian Product Display'!G56</f>
        <v>0</v>
      </c>
      <c r="AH56" s="170">
        <f>'Pencapaian Product Display'!I56</f>
        <v>0</v>
      </c>
      <c r="AI56" s="255">
        <f>'Pencapaian Sales Contract'!G56</f>
        <v>0</v>
      </c>
      <c r="AJ56" s="170">
        <f>'Pencapaian Sales Contract'!I56</f>
        <v>0</v>
      </c>
      <c r="AK56" s="255">
        <f>'Pencapaian Co-Branding'!G56</f>
        <v>0</v>
      </c>
      <c r="AL56" s="170">
        <f>'Pencapaian Co-Branding'!I56</f>
        <v>0</v>
      </c>
      <c r="AM56" s="255">
        <f>'Pencapaian Join Event Activity'!G56</f>
        <v>0</v>
      </c>
      <c r="AN56" s="170">
        <f>'Pencapaian Join Event Activity'!I56</f>
        <v>0</v>
      </c>
      <c r="AO56" s="15">
        <f t="shared" si="32"/>
        <v>472500</v>
      </c>
      <c r="AP56" s="13">
        <v>0</v>
      </c>
      <c r="AQ56" s="15">
        <f t="shared" si="33"/>
        <v>0</v>
      </c>
      <c r="AR56" s="13">
        <v>0</v>
      </c>
      <c r="AS56" s="15">
        <f t="shared" si="34"/>
        <v>0</v>
      </c>
      <c r="AT56" s="15">
        <f t="shared" si="35"/>
        <v>472500</v>
      </c>
      <c r="AU56" s="15">
        <f t="shared" ref="AU56" si="36">AT56*70%</f>
        <v>330750</v>
      </c>
      <c r="AV56" s="15">
        <f t="shared" ref="AV56" si="37">AT56*30%</f>
        <v>141750</v>
      </c>
    </row>
    <row r="57" spans="2:48" ht="16" x14ac:dyDescent="0.2">
      <c r="B57" s="394" t="s">
        <v>0</v>
      </c>
      <c r="C57" s="401" t="s">
        <v>4</v>
      </c>
      <c r="D57" s="398" t="s">
        <v>139</v>
      </c>
      <c r="E57" s="398"/>
      <c r="F57" s="399" t="s">
        <v>134</v>
      </c>
      <c r="G57" s="399" t="s">
        <v>135</v>
      </c>
      <c r="H57" s="399" t="s">
        <v>5</v>
      </c>
      <c r="I57" s="399" t="s">
        <v>137</v>
      </c>
      <c r="J57" s="399" t="s">
        <v>424</v>
      </c>
      <c r="K57" s="399" t="s">
        <v>431</v>
      </c>
      <c r="L57" s="399" t="s">
        <v>438</v>
      </c>
      <c r="M57" s="399" t="s">
        <v>445</v>
      </c>
      <c r="N57" s="398" t="s">
        <v>1</v>
      </c>
      <c r="O57" s="3"/>
      <c r="P57" s="397"/>
      <c r="Q57" s="52" t="s">
        <v>367</v>
      </c>
      <c r="R57" s="52" t="s">
        <v>242</v>
      </c>
      <c r="S57" s="12" t="s">
        <v>18</v>
      </c>
      <c r="T57" s="269">
        <f>'Pencapaian Sales Value'!G57</f>
        <v>0.72169732428908873</v>
      </c>
      <c r="U57" s="15">
        <f>'Pencapaian Sales Value'!I57</f>
        <v>112500</v>
      </c>
      <c r="V57" s="269">
        <f>'Pencapaian Product Focus'!H57</f>
        <v>0.40666666666666673</v>
      </c>
      <c r="W57" s="269">
        <f>'Pencapaian Product Focus'!L57</f>
        <v>0.48571428571428571</v>
      </c>
      <c r="X57" s="15">
        <f>'Pencapaian Product Focus'!N57</f>
        <v>0</v>
      </c>
      <c r="Y57" s="269">
        <f>'Pencapaian Effective Call'!G57</f>
        <v>1.0422222222222222</v>
      </c>
      <c r="Z57" s="15">
        <f>'Pencapaian Effective Call'!I57</f>
        <v>135000</v>
      </c>
      <c r="AA57" s="255">
        <f>'Pencapaian New Open Outlet'!G57</f>
        <v>0.42168674698795194</v>
      </c>
      <c r="AB57" s="170">
        <f>'Pencapaian New Open Outlet'!I57</f>
        <v>0</v>
      </c>
      <c r="AC57" s="255">
        <f>'Pencapaian Active Outlet'!G57</f>
        <v>1.1216566005176878</v>
      </c>
      <c r="AD57" s="170">
        <f>'Pencapaian Active Outlet'!I57</f>
        <v>0</v>
      </c>
      <c r="AE57" s="269">
        <f>'Pencapaian Item per Outlet'!G57</f>
        <v>0.59083969465648856</v>
      </c>
      <c r="AF57" s="15">
        <f>'Pencapaian Item per Outlet'!I57</f>
        <v>0</v>
      </c>
      <c r="AG57" s="255">
        <f>'Pencapaian Product Display'!G57</f>
        <v>0</v>
      </c>
      <c r="AH57" s="170">
        <f>'Pencapaian Product Display'!I57</f>
        <v>0</v>
      </c>
      <c r="AI57" s="255">
        <f>'Pencapaian Sales Contract'!G57</f>
        <v>0</v>
      </c>
      <c r="AJ57" s="170">
        <f>'Pencapaian Sales Contract'!I57</f>
        <v>0</v>
      </c>
      <c r="AK57" s="255">
        <f>'Pencapaian Co-Branding'!G57</f>
        <v>0</v>
      </c>
      <c r="AL57" s="170">
        <f>'Pencapaian Co-Branding'!I57</f>
        <v>0</v>
      </c>
      <c r="AM57" s="255">
        <f>'Pencapaian Join Event Activity'!G57</f>
        <v>0</v>
      </c>
      <c r="AN57" s="170">
        <f>'Pencapaian Join Event Activity'!I57</f>
        <v>0</v>
      </c>
      <c r="AO57" s="15">
        <f t="shared" si="32"/>
        <v>247500</v>
      </c>
      <c r="AP57" s="13">
        <v>0</v>
      </c>
      <c r="AQ57" s="15">
        <f t="shared" si="33"/>
        <v>0</v>
      </c>
      <c r="AR57" s="13">
        <v>0</v>
      </c>
      <c r="AS57" s="15">
        <f t="shared" si="34"/>
        <v>0</v>
      </c>
      <c r="AT57" s="15">
        <f t="shared" si="35"/>
        <v>247500</v>
      </c>
      <c r="AU57" s="15">
        <f>AT57*70%</f>
        <v>173250</v>
      </c>
      <c r="AV57" s="15">
        <f>AT57*30%</f>
        <v>74250</v>
      </c>
    </row>
    <row r="58" spans="2:48" ht="14.5" customHeight="1" x14ac:dyDescent="0.2">
      <c r="B58" s="394"/>
      <c r="C58" s="401"/>
      <c r="D58" s="292" t="s">
        <v>514</v>
      </c>
      <c r="E58" s="292" t="s">
        <v>515</v>
      </c>
      <c r="F58" s="400"/>
      <c r="G58" s="400"/>
      <c r="H58" s="400"/>
      <c r="I58" s="400"/>
      <c r="J58" s="400"/>
      <c r="K58" s="400"/>
      <c r="L58" s="400"/>
      <c r="M58" s="400"/>
      <c r="N58" s="398"/>
      <c r="O58" s="3"/>
      <c r="P58" s="397"/>
      <c r="Q58" s="193"/>
      <c r="R58" s="193" t="s">
        <v>148</v>
      </c>
      <c r="S58" s="193"/>
      <c r="T58" s="272">
        <f>'Pencapaian Sales Value'!G58</f>
        <v>0</v>
      </c>
      <c r="U58" s="261">
        <f>'Pencapaian Sales Value'!I58</f>
        <v>0</v>
      </c>
      <c r="V58" s="272">
        <f>'Pencapaian Product Focus'!H58</f>
        <v>0</v>
      </c>
      <c r="W58" s="272">
        <f>'Pencapaian Product Focus'!L58</f>
        <v>0</v>
      </c>
      <c r="X58" s="261">
        <f>'Pencapaian Product Focus'!N58</f>
        <v>0</v>
      </c>
      <c r="Y58" s="272">
        <f>'Pencapaian Effective Call'!G58</f>
        <v>0</v>
      </c>
      <c r="Z58" s="261">
        <f>'Pencapaian Effective Call'!I58</f>
        <v>0</v>
      </c>
      <c r="AA58" s="255">
        <f>'Pencapaian New Open Outlet'!G58</f>
        <v>0</v>
      </c>
      <c r="AB58" s="170">
        <f>'Pencapaian New Open Outlet'!I58</f>
        <v>0</v>
      </c>
      <c r="AC58" s="255">
        <f>'Pencapaian Active Outlet'!G58</f>
        <v>0</v>
      </c>
      <c r="AD58" s="170">
        <f>'Pencapaian Active Outlet'!I58</f>
        <v>0</v>
      </c>
      <c r="AE58" s="272">
        <f>'Pencapaian Item per Outlet'!G58</f>
        <v>0</v>
      </c>
      <c r="AF58" s="261">
        <f>'Pencapaian Item per Outlet'!I58</f>
        <v>0</v>
      </c>
      <c r="AG58" s="255">
        <f>'Pencapaian Product Display'!G58</f>
        <v>0</v>
      </c>
      <c r="AH58" s="170">
        <f>'Pencapaian Product Display'!I58</f>
        <v>0</v>
      </c>
      <c r="AI58" s="255">
        <f>'Pencapaian Sales Contract'!G58</f>
        <v>0</v>
      </c>
      <c r="AJ58" s="170">
        <f>'Pencapaian Sales Contract'!I58</f>
        <v>0</v>
      </c>
      <c r="AK58" s="255">
        <f>'Pencapaian Co-Branding'!G58</f>
        <v>0</v>
      </c>
      <c r="AL58" s="170">
        <f>'Pencapaian Co-Branding'!I58</f>
        <v>0</v>
      </c>
      <c r="AM58" s="255">
        <f>'Pencapaian Join Event Activity'!G58</f>
        <v>0</v>
      </c>
      <c r="AN58" s="170">
        <f>'Pencapaian Join Event Activity'!I58</f>
        <v>0</v>
      </c>
      <c r="AO58" s="261">
        <f t="shared" si="32"/>
        <v>0</v>
      </c>
      <c r="AP58" s="328">
        <v>0</v>
      </c>
      <c r="AQ58" s="261">
        <f t="shared" si="33"/>
        <v>0</v>
      </c>
      <c r="AR58" s="328">
        <v>0</v>
      </c>
      <c r="AS58" s="261">
        <f t="shared" si="34"/>
        <v>0</v>
      </c>
      <c r="AT58" s="261">
        <f t="shared" si="35"/>
        <v>0</v>
      </c>
      <c r="AU58" s="261"/>
      <c r="AV58" s="261"/>
    </row>
    <row r="59" spans="2:48" ht="16" x14ac:dyDescent="0.2">
      <c r="B59" s="12" t="s">
        <v>952</v>
      </c>
      <c r="C59" s="254">
        <f>'Pencapaian Sales Value'!G337</f>
        <v>1.0635301962962971</v>
      </c>
      <c r="D59" s="266"/>
      <c r="E59" s="266"/>
      <c r="F59" s="266"/>
      <c r="G59" s="266"/>
      <c r="H59" s="254">
        <f>'Pencapaian Active Outlet'!G336</f>
        <v>0.93</v>
      </c>
      <c r="I59" s="266"/>
      <c r="J59" s="266"/>
      <c r="K59" s="266"/>
      <c r="L59" s="266"/>
      <c r="M59" s="266"/>
      <c r="N59" s="14">
        <f>AO337</f>
        <v>1935000</v>
      </c>
      <c r="O59" s="1"/>
      <c r="P59" s="397"/>
      <c r="Q59" s="52" t="s">
        <v>371</v>
      </c>
      <c r="R59" s="52" t="s">
        <v>303</v>
      </c>
      <c r="S59" s="12" t="s">
        <v>471</v>
      </c>
      <c r="T59" s="269">
        <f>'Pencapaian Sales Value'!G59</f>
        <v>1.0382770762990579</v>
      </c>
      <c r="U59" s="15">
        <f>'Pencapaian Sales Value'!I59</f>
        <v>600000</v>
      </c>
      <c r="V59" s="269">
        <f>'Pencapaian Product Focus'!H59</f>
        <v>0.73899999999999999</v>
      </c>
      <c r="W59" s="269">
        <f>'Pencapaian Product Focus'!L59</f>
        <v>0.65333333333333332</v>
      </c>
      <c r="X59" s="15">
        <f>'Pencapaian Product Focus'!N59</f>
        <v>20000</v>
      </c>
      <c r="Y59" s="269">
        <f>'Pencapaian Effective Call'!G59</f>
        <v>0.99199999999999999</v>
      </c>
      <c r="Z59" s="15">
        <f>'Pencapaian Effective Call'!I59</f>
        <v>105000</v>
      </c>
      <c r="AA59" s="255">
        <f>'Pencapaian New Open Outlet'!G59</f>
        <v>0</v>
      </c>
      <c r="AB59" s="170">
        <f>'Pencapaian New Open Outlet'!I59</f>
        <v>0</v>
      </c>
      <c r="AC59" s="255">
        <f>'Pencapaian Active Outlet'!G59</f>
        <v>1.04547081990691</v>
      </c>
      <c r="AD59" s="170">
        <f>'Pencapaian Active Outlet'!I59</f>
        <v>0</v>
      </c>
      <c r="AE59" s="269">
        <f>'Pencapaian Item per Outlet'!G59</f>
        <v>0.64459459459459456</v>
      </c>
      <c r="AF59" s="15">
        <f>'Pencapaian Item per Outlet'!I59</f>
        <v>0</v>
      </c>
      <c r="AG59" s="255">
        <f>'Pencapaian Product Display'!G59</f>
        <v>0</v>
      </c>
      <c r="AH59" s="170">
        <f>'Pencapaian Product Display'!I59</f>
        <v>0</v>
      </c>
      <c r="AI59" s="255">
        <f>'Pencapaian Sales Contract'!G59</f>
        <v>0</v>
      </c>
      <c r="AJ59" s="170">
        <f>'Pencapaian Sales Contract'!I59</f>
        <v>0</v>
      </c>
      <c r="AK59" s="255">
        <f>'Pencapaian Co-Branding'!G59</f>
        <v>0</v>
      </c>
      <c r="AL59" s="170">
        <f>'Pencapaian Co-Branding'!I59</f>
        <v>0</v>
      </c>
      <c r="AM59" s="255">
        <f>'Pencapaian Join Event Activity'!G59</f>
        <v>0</v>
      </c>
      <c r="AN59" s="170">
        <f>'Pencapaian Join Event Activity'!I59</f>
        <v>0</v>
      </c>
      <c r="AO59" s="15">
        <f t="shared" si="32"/>
        <v>725000</v>
      </c>
      <c r="AP59" s="13">
        <v>0</v>
      </c>
      <c r="AQ59" s="15">
        <f t="shared" si="33"/>
        <v>0</v>
      </c>
      <c r="AR59" s="13">
        <v>0</v>
      </c>
      <c r="AS59" s="15">
        <f t="shared" si="34"/>
        <v>0</v>
      </c>
      <c r="AT59" s="15">
        <f t="shared" si="35"/>
        <v>725000</v>
      </c>
      <c r="AU59" s="15">
        <f>AT59*55%</f>
        <v>398750.00000000006</v>
      </c>
      <c r="AV59" s="15">
        <f>AT59*45%</f>
        <v>326250</v>
      </c>
    </row>
    <row r="60" spans="2:48" ht="17" thickBot="1" x14ac:dyDescent="0.25">
      <c r="B60" s="17" t="s">
        <v>953</v>
      </c>
      <c r="C60" s="256">
        <f>'Pencapaian Sales Value'!G338</f>
        <v>1.0635301962962971</v>
      </c>
      <c r="D60" s="260"/>
      <c r="E60" s="260"/>
      <c r="F60" s="260"/>
      <c r="G60" s="260"/>
      <c r="H60" s="256">
        <f>'Pencapaian Active Outlet'!G337</f>
        <v>0.93</v>
      </c>
      <c r="I60" s="260"/>
      <c r="J60" s="260"/>
      <c r="K60" s="260"/>
      <c r="L60" s="260"/>
      <c r="M60" s="260"/>
      <c r="N60" s="18">
        <f>SUM(N59:N59)</f>
        <v>1935000</v>
      </c>
      <c r="O60" s="3"/>
      <c r="P60" s="397"/>
      <c r="Q60" s="52" t="s">
        <v>372</v>
      </c>
      <c r="R60" s="52" t="s">
        <v>108</v>
      </c>
      <c r="S60" s="12" t="s">
        <v>471</v>
      </c>
      <c r="T60" s="269">
        <f>'Pencapaian Sales Value'!G60</f>
        <v>1.031812480002642</v>
      </c>
      <c r="U60" s="15">
        <f>'Pencapaian Sales Value'!I60</f>
        <v>600000</v>
      </c>
      <c r="V60" s="269">
        <f>'Pencapaian Product Focus'!H60</f>
        <v>1.1142222222222222</v>
      </c>
      <c r="W60" s="269">
        <f>'Pencapaian Product Focus'!L60</f>
        <v>0.8545454545454545</v>
      </c>
      <c r="X60" s="15">
        <f>'Pencapaian Product Focus'!N60</f>
        <v>175000</v>
      </c>
      <c r="Y60" s="269">
        <f>'Pencapaian Effective Call'!G60</f>
        <v>1.0032000000000001</v>
      </c>
      <c r="Z60" s="15">
        <f>'Pencapaian Effective Call'!I60</f>
        <v>150000</v>
      </c>
      <c r="AA60" s="255">
        <f>'Pencapaian New Open Outlet'!G60</f>
        <v>9.3749999999999958E-2</v>
      </c>
      <c r="AB60" s="170">
        <f>'Pencapaian New Open Outlet'!I60</f>
        <v>0</v>
      </c>
      <c r="AC60" s="255">
        <f>'Pencapaian Active Outlet'!G60</f>
        <v>1.0656270305393112</v>
      </c>
      <c r="AD60" s="170">
        <f>'Pencapaian Active Outlet'!I60</f>
        <v>0</v>
      </c>
      <c r="AE60" s="269">
        <f>'Pencapaian Item per Outlet'!G60</f>
        <v>0.8829268292682928</v>
      </c>
      <c r="AF60" s="15">
        <f>'Pencapaian Item per Outlet'!I60</f>
        <v>20000</v>
      </c>
      <c r="AG60" s="255">
        <f>'Pencapaian Product Display'!G60</f>
        <v>0</v>
      </c>
      <c r="AH60" s="170">
        <f>'Pencapaian Product Display'!I60</f>
        <v>0</v>
      </c>
      <c r="AI60" s="255">
        <f>'Pencapaian Sales Contract'!G60</f>
        <v>0</v>
      </c>
      <c r="AJ60" s="170">
        <f>'Pencapaian Sales Contract'!I60</f>
        <v>0</v>
      </c>
      <c r="AK60" s="255">
        <f>'Pencapaian Co-Branding'!G60</f>
        <v>0</v>
      </c>
      <c r="AL60" s="170">
        <f>'Pencapaian Co-Branding'!I60</f>
        <v>0</v>
      </c>
      <c r="AM60" s="255">
        <f>'Pencapaian Join Event Activity'!G60</f>
        <v>0</v>
      </c>
      <c r="AN60" s="170">
        <f>'Pencapaian Join Event Activity'!I60</f>
        <v>0</v>
      </c>
      <c r="AO60" s="15">
        <f t="shared" si="32"/>
        <v>945000</v>
      </c>
      <c r="AP60" s="13">
        <v>0</v>
      </c>
      <c r="AQ60" s="15">
        <f t="shared" si="33"/>
        <v>0</v>
      </c>
      <c r="AR60" s="13">
        <v>0</v>
      </c>
      <c r="AS60" s="15">
        <f t="shared" si="34"/>
        <v>0</v>
      </c>
      <c r="AT60" s="15">
        <f t="shared" si="35"/>
        <v>945000</v>
      </c>
      <c r="AU60" s="15">
        <f>AT60*55%</f>
        <v>519750.00000000006</v>
      </c>
      <c r="AV60" s="15">
        <f>AT60*45%</f>
        <v>425250</v>
      </c>
    </row>
    <row r="61" spans="2:48" ht="17" thickTop="1" x14ac:dyDescent="0.2">
      <c r="C61" s="1"/>
      <c r="D61" s="1"/>
      <c r="E61" s="1"/>
      <c r="F61" s="1"/>
      <c r="G61" s="1"/>
      <c r="H61" s="1"/>
      <c r="I61" s="1"/>
      <c r="J61" s="1"/>
      <c r="O61" s="3"/>
      <c r="P61" s="397"/>
      <c r="Q61" s="52" t="s">
        <v>373</v>
      </c>
      <c r="R61" s="52" t="s">
        <v>268</v>
      </c>
      <c r="S61" s="12" t="s">
        <v>468</v>
      </c>
      <c r="T61" s="269">
        <f>'Pencapaian Sales Value'!G61</f>
        <v>0.52143946355958903</v>
      </c>
      <c r="U61" s="15">
        <f>'Pencapaian Sales Value'!I61</f>
        <v>0</v>
      </c>
      <c r="V61" s="304">
        <f>'Pencapaian Product Focus'!H61</f>
        <v>0</v>
      </c>
      <c r="W61" s="304">
        <f>'Pencapaian Product Focus'!L61</f>
        <v>0</v>
      </c>
      <c r="X61" s="178">
        <f>'Pencapaian Product Focus'!N61</f>
        <v>0</v>
      </c>
      <c r="Y61" s="304">
        <f>'Pencapaian Effective Call'!G61</f>
        <v>0</v>
      </c>
      <c r="Z61" s="178">
        <f>'Pencapaian Effective Call'!I61</f>
        <v>0</v>
      </c>
      <c r="AA61" s="269">
        <f>'Pencapaian New Open Outlet'!G61</f>
        <v>0.35</v>
      </c>
      <c r="AB61" s="15">
        <f>'Pencapaian New Open Outlet'!I61</f>
        <v>0</v>
      </c>
      <c r="AC61" s="269">
        <f>'Pencapaian Active Outlet'!G61</f>
        <v>0.95906432748538006</v>
      </c>
      <c r="AD61" s="15">
        <f>'Pencapaian Active Outlet'!I61</f>
        <v>98000</v>
      </c>
      <c r="AE61" s="272">
        <f>'Pencapaian Item per Outlet'!G61</f>
        <v>0</v>
      </c>
      <c r="AF61" s="261">
        <f>'Pencapaian Item per Outlet'!I61</f>
        <v>0</v>
      </c>
      <c r="AG61" s="255">
        <f>'Pencapaian Product Display'!G61</f>
        <v>0</v>
      </c>
      <c r="AH61" s="170">
        <f>'Pencapaian Product Display'!I61</f>
        <v>0</v>
      </c>
      <c r="AI61" s="269">
        <f>'Pencapaian Sales Contract'!G61</f>
        <v>0</v>
      </c>
      <c r="AJ61" s="15">
        <f>'Pencapaian Sales Contract'!I61</f>
        <v>0</v>
      </c>
      <c r="AK61" s="269">
        <f>'Pencapaian Co-Branding'!G61</f>
        <v>0</v>
      </c>
      <c r="AL61" s="15">
        <f>'Pencapaian Co-Branding'!I61</f>
        <v>0</v>
      </c>
      <c r="AM61" s="255">
        <f>'Pencapaian Join Event Activity'!G61</f>
        <v>0</v>
      </c>
      <c r="AN61" s="170">
        <f>'Pencapaian Join Event Activity'!I61</f>
        <v>0</v>
      </c>
      <c r="AO61" s="15">
        <f t="shared" si="32"/>
        <v>98000</v>
      </c>
      <c r="AP61" s="13">
        <v>0</v>
      </c>
      <c r="AQ61" s="15">
        <f t="shared" si="33"/>
        <v>0</v>
      </c>
      <c r="AR61" s="13">
        <v>0</v>
      </c>
      <c r="AS61" s="15">
        <f t="shared" si="34"/>
        <v>0</v>
      </c>
      <c r="AT61" s="15">
        <f t="shared" si="35"/>
        <v>98000</v>
      </c>
      <c r="AU61" s="15">
        <f>AT61</f>
        <v>98000</v>
      </c>
      <c r="AV61" s="15">
        <v>0</v>
      </c>
    </row>
    <row r="62" spans="2:48" ht="16" x14ac:dyDescent="0.2">
      <c r="C62" s="1"/>
      <c r="D62" s="1"/>
      <c r="E62" s="1"/>
      <c r="F62" s="1"/>
      <c r="G62" s="1"/>
      <c r="H62" s="1"/>
      <c r="I62" s="1"/>
      <c r="J62" s="1"/>
      <c r="O62" s="3"/>
      <c r="P62" s="397"/>
      <c r="Q62" s="78"/>
      <c r="R62" s="78" t="s">
        <v>177</v>
      </c>
      <c r="S62" s="64" t="s">
        <v>20</v>
      </c>
      <c r="T62" s="258">
        <f>'Pencapaian Sales Value'!G62</f>
        <v>0.91155863018281413</v>
      </c>
      <c r="U62" s="63">
        <f>'Pencapaian Sales Value'!I62</f>
        <v>336000</v>
      </c>
      <c r="V62" s="258">
        <f>'Pencapaian Product Focus'!H62</f>
        <v>0.84208333333333329</v>
      </c>
      <c r="W62" s="258">
        <f>'Pencapaian Product Focus'!L62</f>
        <v>0.68500000000000005</v>
      </c>
      <c r="X62" s="63">
        <f>'Pencapaian Product Focus'!N62</f>
        <v>54000</v>
      </c>
      <c r="Y62" s="257">
        <f>'Pencapaian Effective Call'!G62</f>
        <v>1.0171428571428571</v>
      </c>
      <c r="Z62" s="189">
        <f>'Pencapaian Effective Call'!I62</f>
        <v>0</v>
      </c>
      <c r="AA62" s="271">
        <f>'Pencapaian New Open Outlet'!G62</f>
        <v>0.1953648726297644</v>
      </c>
      <c r="AB62" s="189">
        <f>'Pencapaian New Open Outlet'!I62</f>
        <v>0</v>
      </c>
      <c r="AC62" s="258">
        <f>'Pencapaian Active Outlet'!G62</f>
        <v>1.0526315789473686</v>
      </c>
      <c r="AD62" s="63">
        <f>'Pencapaian Active Outlet'!I62</f>
        <v>240000</v>
      </c>
      <c r="AE62" s="258">
        <f>'Pencapaian Item per Outlet'!G62</f>
        <v>0.65231755235711675</v>
      </c>
      <c r="AF62" s="63">
        <f>'Pencapaian Item per Outlet'!I62</f>
        <v>0</v>
      </c>
      <c r="AG62" s="297">
        <f>'Pencapaian Product Display'!G62</f>
        <v>0</v>
      </c>
      <c r="AH62" s="314">
        <f>'Pencapaian Product Display'!I62</f>
        <v>0</v>
      </c>
      <c r="AI62" s="306">
        <f>'Pencapaian Sales Contract'!G62</f>
        <v>0</v>
      </c>
      <c r="AJ62" s="152">
        <f>'Pencapaian Sales Contract'!I62</f>
        <v>0</v>
      </c>
      <c r="AK62" s="306">
        <f>'Pencapaian Co-Branding'!G62</f>
        <v>0</v>
      </c>
      <c r="AL62" s="152">
        <f>'Pencapaian Co-Branding'!I62</f>
        <v>0</v>
      </c>
      <c r="AM62" s="297">
        <f>'Pencapaian Join Event Activity'!G62</f>
        <v>0</v>
      </c>
      <c r="AN62" s="314">
        <f>'Pencapaian Join Event Activity'!I62</f>
        <v>0</v>
      </c>
      <c r="AO62" s="63">
        <f t="shared" si="32"/>
        <v>630000</v>
      </c>
      <c r="AP62" s="110">
        <v>0</v>
      </c>
      <c r="AQ62" s="63">
        <f t="shared" si="33"/>
        <v>0</v>
      </c>
      <c r="AR62" s="110">
        <v>0</v>
      </c>
      <c r="AS62" s="63">
        <f t="shared" si="34"/>
        <v>0</v>
      </c>
      <c r="AT62" s="63">
        <f t="shared" si="35"/>
        <v>630000</v>
      </c>
      <c r="AU62" s="63">
        <f>AT62</f>
        <v>630000</v>
      </c>
      <c r="AV62" s="63">
        <v>0</v>
      </c>
    </row>
    <row r="63" spans="2:48" ht="16" x14ac:dyDescent="0.2">
      <c r="C63" s="1"/>
      <c r="D63" s="1"/>
      <c r="E63" s="1"/>
      <c r="F63" s="1"/>
      <c r="G63" s="1"/>
      <c r="H63" s="1"/>
      <c r="I63" s="1"/>
      <c r="J63" s="1"/>
      <c r="K63" s="29" t="s">
        <v>88</v>
      </c>
      <c r="L63" s="130">
        <f>SUM(N60,N54,N33,N23,N16,N8)</f>
        <v>38696750</v>
      </c>
      <c r="M63" s="30"/>
      <c r="N63" s="31"/>
      <c r="O63" s="3"/>
      <c r="P63" s="397"/>
      <c r="Q63" s="52" t="s">
        <v>374</v>
      </c>
      <c r="R63" s="52" t="s">
        <v>249</v>
      </c>
      <c r="S63" s="12" t="s">
        <v>471</v>
      </c>
      <c r="T63" s="269">
        <f>'Pencapaian Sales Value'!G63</f>
        <v>0.84277090909090913</v>
      </c>
      <c r="U63" s="15">
        <f>'Pencapaian Sales Value'!I63</f>
        <v>180000</v>
      </c>
      <c r="V63" s="269">
        <f>'Pencapaian Product Focus'!H63</f>
        <v>0.54166666666666663</v>
      </c>
      <c r="W63" s="269">
        <f>'Pencapaian Product Focus'!L63</f>
        <v>0.08</v>
      </c>
      <c r="X63" s="15">
        <f>'Pencapaian Product Focus'!N63</f>
        <v>0</v>
      </c>
      <c r="Y63" s="269" t="e">
        <f>'Pencapaian Effective Call'!G63</f>
        <v>#DIV/0!</v>
      </c>
      <c r="Z63" s="15">
        <f>'Pencapaian Effective Call'!I63</f>
        <v>0</v>
      </c>
      <c r="AA63" s="255">
        <f>'Pencapaian New Open Outlet'!G63</f>
        <v>0</v>
      </c>
      <c r="AB63" s="170">
        <f>'Pencapaian New Open Outlet'!I63</f>
        <v>0</v>
      </c>
      <c r="AC63" s="255" t="e">
        <f>'Pencapaian Active Outlet'!G63</f>
        <v>#DIV/0!</v>
      </c>
      <c r="AD63" s="170">
        <f>'Pencapaian Active Outlet'!I63</f>
        <v>0</v>
      </c>
      <c r="AE63" s="269">
        <f>'Pencapaian Item per Outlet'!G63</f>
        <v>0.47499999999999998</v>
      </c>
      <c r="AF63" s="15">
        <f>'Pencapaian Item per Outlet'!I63</f>
        <v>0</v>
      </c>
      <c r="AG63" s="255">
        <f>'Pencapaian Product Display'!G63</f>
        <v>0</v>
      </c>
      <c r="AH63" s="170">
        <f>'Pencapaian Product Display'!I63</f>
        <v>0</v>
      </c>
      <c r="AI63" s="255">
        <f>'Pencapaian Sales Contract'!G63</f>
        <v>0</v>
      </c>
      <c r="AJ63" s="170">
        <f>'Pencapaian Sales Contract'!I63</f>
        <v>0</v>
      </c>
      <c r="AK63" s="255">
        <f>'Pencapaian Co-Branding'!G63</f>
        <v>0</v>
      </c>
      <c r="AL63" s="170">
        <f>'Pencapaian Co-Branding'!I63</f>
        <v>0</v>
      </c>
      <c r="AM63" s="255">
        <f>'Pencapaian Join Event Activity'!G63</f>
        <v>0</v>
      </c>
      <c r="AN63" s="170">
        <f>'Pencapaian Join Event Activity'!I63</f>
        <v>0</v>
      </c>
      <c r="AO63" s="15">
        <f t="shared" si="32"/>
        <v>180000</v>
      </c>
      <c r="AP63" s="13">
        <v>0</v>
      </c>
      <c r="AQ63" s="15">
        <f t="shared" si="33"/>
        <v>0</v>
      </c>
      <c r="AR63" s="13">
        <v>0</v>
      </c>
      <c r="AS63" s="15">
        <f t="shared" si="34"/>
        <v>0</v>
      </c>
      <c r="AT63" s="15">
        <f t="shared" si="35"/>
        <v>180000</v>
      </c>
      <c r="AU63" s="15">
        <f t="shared" ref="AU63" si="38">AT63*70%</f>
        <v>125999.99999999999</v>
      </c>
      <c r="AV63" s="15">
        <f t="shared" ref="AV63" si="39">AT63*30%</f>
        <v>54000</v>
      </c>
    </row>
    <row r="64" spans="2:48" ht="16" x14ac:dyDescent="0.2">
      <c r="C64" s="1"/>
      <c r="D64" s="1"/>
      <c r="E64" s="1"/>
      <c r="F64" s="1"/>
      <c r="G64" s="1"/>
      <c r="H64" s="1"/>
      <c r="I64" s="1"/>
      <c r="J64" s="1"/>
      <c r="K64" s="1" t="s">
        <v>84</v>
      </c>
      <c r="L64" s="131">
        <f>'Pencapaian ASM'!M7</f>
        <v>3002500</v>
      </c>
      <c r="M64" s="1"/>
      <c r="N64" s="3"/>
      <c r="O64" s="3"/>
      <c r="P64" s="397"/>
      <c r="Q64" s="73"/>
      <c r="R64" s="73" t="s">
        <v>30</v>
      </c>
      <c r="S64" s="41"/>
      <c r="T64" s="273">
        <f>'Pencapaian Sales Value'!G64</f>
        <v>0.86073580391585169</v>
      </c>
      <c r="U64" s="39">
        <f>'Pencapaian Sales Value'!I64</f>
        <v>3057000</v>
      </c>
      <c r="V64" s="273">
        <f>'Pencapaian Product Focus'!H64</f>
        <v>0.75020833333333337</v>
      </c>
      <c r="W64" s="273">
        <f>'Pencapaian Product Focus'!L64</f>
        <v>0.63037974683544307</v>
      </c>
      <c r="X64" s="39">
        <f>'Pencapaian Product Focus'!N64</f>
        <v>316500</v>
      </c>
      <c r="Y64" s="273">
        <f>'Pencapaian Effective Call'!G64</f>
        <v>0.9922352941176471</v>
      </c>
      <c r="Z64" s="39">
        <f>'Pencapaian Effective Call'!I64</f>
        <v>930000</v>
      </c>
      <c r="AA64" s="263">
        <f>'Pencapaian New Open Outlet'!G64</f>
        <v>0.19415680473372782</v>
      </c>
      <c r="AB64" s="227">
        <f>'Pencapaian New Open Outlet'!I64</f>
        <v>0</v>
      </c>
      <c r="AC64" s="264">
        <f>'Pencapaian Active Outlet'!G64</f>
        <v>1.0290043995437512</v>
      </c>
      <c r="AD64" s="23">
        <f>'Pencapaian Active Outlet'!I64</f>
        <v>578000</v>
      </c>
      <c r="AE64" s="273">
        <f>'Pencapaian Item per Outlet'!G64</f>
        <v>0.54872827228894328</v>
      </c>
      <c r="AF64" s="39">
        <f>'Pencapaian Item per Outlet'!I64</f>
        <v>20000</v>
      </c>
      <c r="AG64" s="308">
        <f>'Pencapaian Product Display'!G64</f>
        <v>0</v>
      </c>
      <c r="AH64" s="315">
        <f>'Pencapaian Product Display'!I64</f>
        <v>0</v>
      </c>
      <c r="AI64" s="263">
        <f>'Pencapaian Sales Contract'!G64</f>
        <v>0</v>
      </c>
      <c r="AJ64" s="148">
        <f>'Pencapaian Sales Contract'!I64</f>
        <v>0</v>
      </c>
      <c r="AK64" s="263">
        <f>'Pencapaian Co-Branding'!G64</f>
        <v>0</v>
      </c>
      <c r="AL64" s="148">
        <f>'Pencapaian Co-Branding'!I64</f>
        <v>0</v>
      </c>
      <c r="AM64" s="308">
        <f>'Pencapaian Join Event Activity'!G64</f>
        <v>0</v>
      </c>
      <c r="AN64" s="315">
        <f>'Pencapaian Join Event Activity'!I64</f>
        <v>0</v>
      </c>
      <c r="AO64" s="39">
        <f t="shared" si="32"/>
        <v>4901500</v>
      </c>
      <c r="AP64" s="111">
        <v>0</v>
      </c>
      <c r="AQ64" s="39">
        <f>SUM(AQ50:AQ63)</f>
        <v>0</v>
      </c>
      <c r="AR64" s="111">
        <v>0</v>
      </c>
      <c r="AS64" s="39">
        <f>SUM(AS50:AS63)</f>
        <v>0</v>
      </c>
      <c r="AT64" s="39">
        <f t="shared" si="35"/>
        <v>4901500</v>
      </c>
      <c r="AU64" s="39">
        <f t="shared" ref="AU64:AV64" si="40">SUM(AU50:AU63)</f>
        <v>3535750</v>
      </c>
      <c r="AV64" s="39">
        <f t="shared" si="40"/>
        <v>1365750</v>
      </c>
    </row>
    <row r="65" spans="2:48" ht="16" x14ac:dyDescent="0.2">
      <c r="C65" s="1"/>
      <c r="D65" s="1"/>
      <c r="E65" s="1"/>
      <c r="F65" s="1"/>
      <c r="G65" s="1"/>
      <c r="H65" s="1"/>
      <c r="I65" s="1"/>
      <c r="J65" s="1"/>
      <c r="K65" s="1"/>
      <c r="L65" s="132">
        <f>SUM(L63:L64)</f>
        <v>41699250</v>
      </c>
      <c r="M65" s="1"/>
      <c r="N65" s="3"/>
      <c r="O65" s="3"/>
      <c r="P65" s="397" t="s">
        <v>59</v>
      </c>
      <c r="Q65" s="52" t="s">
        <v>375</v>
      </c>
      <c r="R65" s="52" t="s">
        <v>211</v>
      </c>
      <c r="S65" s="12" t="s">
        <v>470</v>
      </c>
      <c r="T65" s="269">
        <f>'Pencapaian Sales Value'!G65</f>
        <v>0.71110568750000003</v>
      </c>
      <c r="U65" s="15">
        <f>'Pencapaian Sales Value'!I65</f>
        <v>82500</v>
      </c>
      <c r="V65" s="269">
        <f>'Pencapaian Product Focus'!H65</f>
        <v>0.64470588235294113</v>
      </c>
      <c r="W65" s="269">
        <f>'Pencapaian Product Focus'!L65</f>
        <v>1</v>
      </c>
      <c r="X65" s="15">
        <f>'Pencapaian Product Focus'!N65</f>
        <v>66000</v>
      </c>
      <c r="Y65" s="269">
        <f>'Pencapaian Effective Call'!G65</f>
        <v>0.79294117647058826</v>
      </c>
      <c r="Z65" s="15">
        <f>'Pencapaian Effective Call'!I65</f>
        <v>24750</v>
      </c>
      <c r="AA65" s="269">
        <f>'Pencapaian New Open Outlet'!G65</f>
        <v>9.5465393794749456E-2</v>
      </c>
      <c r="AB65" s="15">
        <f>'Pencapaian New Open Outlet'!I65</f>
        <v>0</v>
      </c>
      <c r="AC65" s="255">
        <f>'Pencapaian Active Outlet'!G65</f>
        <v>0.69412662090007626</v>
      </c>
      <c r="AD65" s="170">
        <f>'Pencapaian Active Outlet'!I65</f>
        <v>0</v>
      </c>
      <c r="AE65" s="272">
        <f>'Pencapaian Item per Outlet'!G65</f>
        <v>0</v>
      </c>
      <c r="AF65" s="261">
        <f>'Pencapaian Item per Outlet'!I65</f>
        <v>0</v>
      </c>
      <c r="AG65" s="272">
        <f>'Pencapaian Product Display'!G65</f>
        <v>0</v>
      </c>
      <c r="AH65" s="261">
        <f>'Pencapaian Product Display'!I65</f>
        <v>0</v>
      </c>
      <c r="AI65" s="255">
        <f>'Pencapaian Sales Contract'!G65</f>
        <v>0</v>
      </c>
      <c r="AJ65" s="170">
        <f>'Pencapaian Sales Contract'!I65</f>
        <v>0</v>
      </c>
      <c r="AK65" s="255">
        <f>'Pencapaian Co-Branding'!G65</f>
        <v>0</v>
      </c>
      <c r="AL65" s="170">
        <f>'Pencapaian Co-Branding'!I65</f>
        <v>0</v>
      </c>
      <c r="AM65" s="272">
        <f>'Pencapaian Join Event Activity'!G65</f>
        <v>0</v>
      </c>
      <c r="AN65" s="261">
        <f>'Pencapaian Join Event Activity'!I65</f>
        <v>0</v>
      </c>
      <c r="AO65" s="15">
        <f t="shared" si="32"/>
        <v>173250</v>
      </c>
      <c r="AP65" s="13">
        <v>2.3510921504196237E-3</v>
      </c>
      <c r="AQ65" s="15">
        <f t="shared" ref="AQ65:AQ70" si="41">IF(AP65&gt;=0.5%,-(AO65*10%),0)</f>
        <v>0</v>
      </c>
      <c r="AR65" s="13">
        <v>0</v>
      </c>
      <c r="AS65" s="15">
        <f t="shared" ref="AS65:AS70" si="42">IF(AR65&gt;0,-(AO65+AQ65),0)</f>
        <v>0</v>
      </c>
      <c r="AT65" s="15">
        <f t="shared" si="35"/>
        <v>173250</v>
      </c>
      <c r="AU65" s="15">
        <f>AT65</f>
        <v>173250</v>
      </c>
      <c r="AV65" s="15">
        <v>0</v>
      </c>
    </row>
    <row r="66" spans="2:48" ht="16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  <c r="O66" s="3"/>
      <c r="P66" s="397"/>
      <c r="Q66" s="52" t="s">
        <v>376</v>
      </c>
      <c r="R66" s="52" t="s">
        <v>145</v>
      </c>
      <c r="S66" s="12" t="s">
        <v>18</v>
      </c>
      <c r="T66" s="269">
        <f>'Pencapaian Sales Value'!G66</f>
        <v>0.87298369415384613</v>
      </c>
      <c r="U66" s="15">
        <f>'Pencapaian Sales Value'!I66</f>
        <v>225000</v>
      </c>
      <c r="V66" s="269">
        <f>'Pencapaian Product Focus'!H66</f>
        <v>1.028888888888889</v>
      </c>
      <c r="W66" s="269">
        <f>'Pencapaian Product Focus'!L66</f>
        <v>1.016</v>
      </c>
      <c r="X66" s="15">
        <f>'Pencapaian Product Focus'!N66</f>
        <v>180000</v>
      </c>
      <c r="Y66" s="269">
        <f>'Pencapaian Effective Call'!G66</f>
        <v>0.86571428571428577</v>
      </c>
      <c r="Z66" s="15">
        <f>'Pencapaian Effective Call'!I66</f>
        <v>67500</v>
      </c>
      <c r="AA66" s="269">
        <f>'Pencapaian New Open Outlet'!G66</f>
        <v>0.20408163265306123</v>
      </c>
      <c r="AB66" s="15">
        <f>'Pencapaian New Open Outlet'!I66</f>
        <v>0</v>
      </c>
      <c r="AC66" s="255">
        <f>'Pencapaian Active Outlet'!G66</f>
        <v>0.92520775623268703</v>
      </c>
      <c r="AD66" s="170">
        <f>'Pencapaian Active Outlet'!I66</f>
        <v>0</v>
      </c>
      <c r="AE66" s="272">
        <f>'Pencapaian Item per Outlet'!G66</f>
        <v>0</v>
      </c>
      <c r="AF66" s="261">
        <f>'Pencapaian Item per Outlet'!I66</f>
        <v>0</v>
      </c>
      <c r="AG66" s="272">
        <f>'Pencapaian Product Display'!G66</f>
        <v>0</v>
      </c>
      <c r="AH66" s="261">
        <f>'Pencapaian Product Display'!I66</f>
        <v>0</v>
      </c>
      <c r="AI66" s="255">
        <f>'Pencapaian Sales Contract'!G66</f>
        <v>0</v>
      </c>
      <c r="AJ66" s="170">
        <f>'Pencapaian Sales Contract'!I66</f>
        <v>0</v>
      </c>
      <c r="AK66" s="255">
        <f>'Pencapaian Co-Branding'!G66</f>
        <v>0</v>
      </c>
      <c r="AL66" s="170">
        <f>'Pencapaian Co-Branding'!I66</f>
        <v>0</v>
      </c>
      <c r="AM66" s="272">
        <f>'Pencapaian Join Event Activity'!G66</f>
        <v>0</v>
      </c>
      <c r="AN66" s="261">
        <f>'Pencapaian Join Event Activity'!I66</f>
        <v>0</v>
      </c>
      <c r="AO66" s="15">
        <f t="shared" si="32"/>
        <v>472500</v>
      </c>
      <c r="AP66" s="13">
        <v>0</v>
      </c>
      <c r="AQ66" s="15">
        <f t="shared" si="41"/>
        <v>0</v>
      </c>
      <c r="AR66" s="13">
        <v>0</v>
      </c>
      <c r="AS66" s="15">
        <f t="shared" si="42"/>
        <v>0</v>
      </c>
      <c r="AT66" s="15">
        <f t="shared" si="35"/>
        <v>472500</v>
      </c>
      <c r="AU66" s="15">
        <f t="shared" ref="AU66:AU67" si="43">AT66*70%</f>
        <v>330750</v>
      </c>
      <c r="AV66" s="15">
        <f t="shared" ref="AV66:AV67" si="44">AT66*30%</f>
        <v>141750</v>
      </c>
    </row>
    <row r="67" spans="2:48" ht="16" x14ac:dyDescent="0.2">
      <c r="C67" s="1"/>
      <c r="D67" s="1"/>
      <c r="E67" s="1"/>
      <c r="F67" s="1"/>
      <c r="G67" s="1"/>
      <c r="H67" s="1"/>
      <c r="I67" s="1"/>
      <c r="J67" s="1"/>
      <c r="K67" s="29" t="s">
        <v>78</v>
      </c>
      <c r="L67" s="29"/>
      <c r="M67" s="2">
        <f>'Pencapaian Sales Value'!I340</f>
        <v>18617500</v>
      </c>
      <c r="N67" s="3"/>
      <c r="O67" s="3"/>
      <c r="P67" s="397"/>
      <c r="Q67" s="52" t="s">
        <v>377</v>
      </c>
      <c r="R67" s="52" t="s">
        <v>287</v>
      </c>
      <c r="S67" s="12" t="s">
        <v>18</v>
      </c>
      <c r="T67" s="269">
        <f>'Pencapaian Sales Value'!G67</f>
        <v>0.71329625105075856</v>
      </c>
      <c r="U67" s="15">
        <f>'Pencapaian Sales Value'!I67</f>
        <v>112500</v>
      </c>
      <c r="V67" s="269">
        <f>'Pencapaian Product Focus'!H67</f>
        <v>0.4</v>
      </c>
      <c r="W67" s="269">
        <f>'Pencapaian Product Focus'!L67</f>
        <v>0.66666666666666663</v>
      </c>
      <c r="X67" s="15">
        <f>'Pencapaian Product Focus'!N67</f>
        <v>0</v>
      </c>
      <c r="Y67" s="269">
        <f>'Pencapaian Effective Call'!G67</f>
        <v>0.88500000000000001</v>
      </c>
      <c r="Z67" s="15">
        <f>'Pencapaian Effective Call'!I67</f>
        <v>67500</v>
      </c>
      <c r="AA67" s="269">
        <f>'Pencapaian New Open Outlet'!G67</f>
        <v>0</v>
      </c>
      <c r="AB67" s="15">
        <f>'Pencapaian New Open Outlet'!I67</f>
        <v>0</v>
      </c>
      <c r="AC67" s="255">
        <f>'Pencapaian Active Outlet'!G67</f>
        <v>0.88324258923169996</v>
      </c>
      <c r="AD67" s="170">
        <f>'Pencapaian Active Outlet'!I67</f>
        <v>0</v>
      </c>
      <c r="AE67" s="272">
        <f>'Pencapaian Item per Outlet'!G67</f>
        <v>0</v>
      </c>
      <c r="AF67" s="261">
        <f>'Pencapaian Item per Outlet'!I67</f>
        <v>0</v>
      </c>
      <c r="AG67" s="272">
        <f>'Pencapaian Product Display'!G67</f>
        <v>0</v>
      </c>
      <c r="AH67" s="261">
        <f>'Pencapaian Product Display'!I67</f>
        <v>0</v>
      </c>
      <c r="AI67" s="255">
        <f>'Pencapaian Sales Contract'!G67</f>
        <v>0</v>
      </c>
      <c r="AJ67" s="170">
        <f>'Pencapaian Sales Contract'!I67</f>
        <v>0</v>
      </c>
      <c r="AK67" s="255">
        <f>'Pencapaian Co-Branding'!G67</f>
        <v>0</v>
      </c>
      <c r="AL67" s="170">
        <f>'Pencapaian Co-Branding'!I67</f>
        <v>0</v>
      </c>
      <c r="AM67" s="272">
        <f>'Pencapaian Join Event Activity'!G67</f>
        <v>0</v>
      </c>
      <c r="AN67" s="261">
        <f>'Pencapaian Join Event Activity'!I67</f>
        <v>0</v>
      </c>
      <c r="AO67" s="15">
        <f t="shared" si="32"/>
        <v>180000</v>
      </c>
      <c r="AP67" s="13">
        <v>1.0811471165576486E-2</v>
      </c>
      <c r="AQ67" s="15">
        <f t="shared" si="41"/>
        <v>-18000</v>
      </c>
      <c r="AR67" s="13">
        <v>6.3604987628884972E-3</v>
      </c>
      <c r="AS67" s="15">
        <f t="shared" si="42"/>
        <v>-162000</v>
      </c>
      <c r="AT67" s="15">
        <f t="shared" si="35"/>
        <v>0</v>
      </c>
      <c r="AU67" s="15">
        <f t="shared" si="43"/>
        <v>0</v>
      </c>
      <c r="AV67" s="15">
        <f t="shared" si="44"/>
        <v>0</v>
      </c>
    </row>
    <row r="68" spans="2:48" ht="16" x14ac:dyDescent="0.2">
      <c r="C68" s="1"/>
      <c r="D68" s="1"/>
      <c r="E68" s="1"/>
      <c r="F68" s="1"/>
      <c r="G68" s="1"/>
      <c r="H68" s="1"/>
      <c r="I68" s="1"/>
      <c r="J68" s="1"/>
      <c r="K68" s="29" t="s">
        <v>80</v>
      </c>
      <c r="L68" s="29"/>
      <c r="M68" s="2">
        <f>'Pencapaian Sales Value'!I341</f>
        <v>5062000</v>
      </c>
      <c r="N68" s="3"/>
      <c r="O68" s="3"/>
      <c r="P68" s="397"/>
      <c r="Q68" s="52" t="s">
        <v>379</v>
      </c>
      <c r="R68" s="52" t="s">
        <v>380</v>
      </c>
      <c r="S68" s="12" t="s">
        <v>469</v>
      </c>
      <c r="T68" s="269">
        <f>'Pencapaian Sales Value'!G68</f>
        <v>0.59131893666666657</v>
      </c>
      <c r="U68" s="15">
        <f>'Pencapaian Sales Value'!I68</f>
        <v>0</v>
      </c>
      <c r="V68" s="269">
        <f>'Pencapaian Product Focus'!H68</f>
        <v>0.54583333333333339</v>
      </c>
      <c r="W68" s="269">
        <f>'Pencapaian Product Focus'!L68</f>
        <v>0.4</v>
      </c>
      <c r="X68" s="15">
        <f>'Pencapaian Product Focus'!N68</f>
        <v>0</v>
      </c>
      <c r="Y68" s="269">
        <f>'Pencapaian Effective Call'!G68</f>
        <v>6.6666666666666666E-2</v>
      </c>
      <c r="Z68" s="15">
        <f>'Pencapaian Effective Call'!I68</f>
        <v>0</v>
      </c>
      <c r="AA68" s="269">
        <f>'Pencapaian New Open Outlet'!G68</f>
        <v>0</v>
      </c>
      <c r="AB68" s="15">
        <f>'Pencapaian New Open Outlet'!I68</f>
        <v>0</v>
      </c>
      <c r="AC68" s="269">
        <f>'Pencapaian Active Outlet'!G68</f>
        <v>0.8521303258145364</v>
      </c>
      <c r="AD68" s="15">
        <f>'Pencapaian Active Outlet'!I68</f>
        <v>0</v>
      </c>
      <c r="AE68" s="269">
        <f>'Pencapaian Item per Outlet'!G68</f>
        <v>0.50909090909090904</v>
      </c>
      <c r="AF68" s="15">
        <f>'Pencapaian Item per Outlet'!I68</f>
        <v>0</v>
      </c>
      <c r="AG68" s="272">
        <f>'Pencapaian Product Display'!G68</f>
        <v>0</v>
      </c>
      <c r="AH68" s="261">
        <f>'Pencapaian Product Display'!I68</f>
        <v>0</v>
      </c>
      <c r="AI68" s="255">
        <f>'Pencapaian Sales Contract'!G68</f>
        <v>0</v>
      </c>
      <c r="AJ68" s="170">
        <f>'Pencapaian Sales Contract'!I68</f>
        <v>0</v>
      </c>
      <c r="AK68" s="255">
        <f>'Pencapaian Co-Branding'!G68</f>
        <v>0</v>
      </c>
      <c r="AL68" s="170">
        <f>'Pencapaian Co-Branding'!I68</f>
        <v>0</v>
      </c>
      <c r="AM68" s="272">
        <f>'Pencapaian Join Event Activity'!G68</f>
        <v>0</v>
      </c>
      <c r="AN68" s="261">
        <f>'Pencapaian Join Event Activity'!I68</f>
        <v>0</v>
      </c>
      <c r="AO68" s="15">
        <f t="shared" si="32"/>
        <v>0</v>
      </c>
      <c r="AP68" s="13">
        <v>0.30601928803441386</v>
      </c>
      <c r="AQ68" s="15">
        <f t="shared" si="41"/>
        <v>0</v>
      </c>
      <c r="AR68" s="13">
        <v>1.0719877672782799E-2</v>
      </c>
      <c r="AS68" s="15">
        <f t="shared" si="42"/>
        <v>0</v>
      </c>
      <c r="AT68" s="15">
        <f t="shared" si="35"/>
        <v>0</v>
      </c>
      <c r="AU68" s="15">
        <f>AT68</f>
        <v>0</v>
      </c>
      <c r="AV68" s="15">
        <v>0</v>
      </c>
    </row>
    <row r="69" spans="2:48" ht="16" x14ac:dyDescent="0.2">
      <c r="C69" s="1"/>
      <c r="D69" s="1"/>
      <c r="E69" s="1"/>
      <c r="F69" s="1"/>
      <c r="G69" s="1"/>
      <c r="H69" s="1"/>
      <c r="I69" s="1"/>
      <c r="J69" s="1"/>
      <c r="K69" s="29" t="s">
        <v>138</v>
      </c>
      <c r="L69" s="29"/>
      <c r="M69" s="2">
        <f>'Pencapaian Sales Value'!I342</f>
        <v>4324500</v>
      </c>
      <c r="N69" s="3"/>
      <c r="O69" s="3"/>
      <c r="P69" s="397"/>
      <c r="Q69" s="52" t="s">
        <v>378</v>
      </c>
      <c r="R69" s="52" t="s">
        <v>210</v>
      </c>
      <c r="S69" s="12" t="s">
        <v>467</v>
      </c>
      <c r="T69" s="269">
        <f>'Pencapaian Sales Value'!G69</f>
        <v>0.41715999999999998</v>
      </c>
      <c r="U69" s="15">
        <f>'Pencapaian Sales Value'!I69</f>
        <v>0</v>
      </c>
      <c r="V69" s="304">
        <f>'Pencapaian Product Focus'!H69</f>
        <v>0</v>
      </c>
      <c r="W69" s="304">
        <f>'Pencapaian Product Focus'!L69</f>
        <v>0</v>
      </c>
      <c r="X69" s="178">
        <f>'Pencapaian Product Focus'!N69</f>
        <v>0</v>
      </c>
      <c r="Y69" s="304">
        <f>'Pencapaian Effective Call'!G69</f>
        <v>0</v>
      </c>
      <c r="Z69" s="178">
        <f>'Pencapaian Effective Call'!I69</f>
        <v>0</v>
      </c>
      <c r="AA69" s="269" t="e">
        <f>'Pencapaian New Open Outlet'!G69</f>
        <v>#DIV/0!</v>
      </c>
      <c r="AB69" s="15">
        <f>'Pencapaian New Open Outlet'!I69</f>
        <v>0</v>
      </c>
      <c r="AC69" s="269" t="e">
        <f>'Pencapaian Active Outlet'!G69</f>
        <v>#DIV/0!</v>
      </c>
      <c r="AD69" s="15">
        <f>'Pencapaian Active Outlet'!I69</f>
        <v>0</v>
      </c>
      <c r="AE69" s="272">
        <f>'Pencapaian Item per Outlet'!G69</f>
        <v>0</v>
      </c>
      <c r="AF69" s="261">
        <f>'Pencapaian Item per Outlet'!I69</f>
        <v>0</v>
      </c>
      <c r="AG69" s="272">
        <f>'Pencapaian Product Display'!G69</f>
        <v>0</v>
      </c>
      <c r="AH69" s="261">
        <f>'Pencapaian Product Display'!I69</f>
        <v>0</v>
      </c>
      <c r="AI69" s="255">
        <f>'Pencapaian Sales Contract'!G69</f>
        <v>0</v>
      </c>
      <c r="AJ69" s="170">
        <f>'Pencapaian Sales Contract'!I69</f>
        <v>0</v>
      </c>
      <c r="AK69" s="255">
        <f>'Pencapaian Co-Branding'!G69</f>
        <v>0</v>
      </c>
      <c r="AL69" s="170">
        <f>'Pencapaian Co-Branding'!I69</f>
        <v>0</v>
      </c>
      <c r="AM69" s="272">
        <f>'Pencapaian Join Event Activity'!G69</f>
        <v>0</v>
      </c>
      <c r="AN69" s="261">
        <f>'Pencapaian Join Event Activity'!I69</f>
        <v>0</v>
      </c>
      <c r="AO69" s="15">
        <f t="shared" si="32"/>
        <v>0</v>
      </c>
      <c r="AP69" s="13">
        <v>0</v>
      </c>
      <c r="AQ69" s="15">
        <f t="shared" si="41"/>
        <v>0</v>
      </c>
      <c r="AR69" s="13">
        <v>0</v>
      </c>
      <c r="AS69" s="15">
        <f t="shared" si="42"/>
        <v>0</v>
      </c>
      <c r="AT69" s="15">
        <f t="shared" si="35"/>
        <v>0</v>
      </c>
      <c r="AU69" s="15">
        <f>AT69</f>
        <v>0</v>
      </c>
      <c r="AV69" s="15">
        <v>0</v>
      </c>
    </row>
    <row r="70" spans="2:48" ht="16" x14ac:dyDescent="0.2">
      <c r="C70" s="1"/>
      <c r="D70" s="1"/>
      <c r="E70" s="1"/>
      <c r="F70" s="1"/>
      <c r="G70" s="1"/>
      <c r="H70" s="1"/>
      <c r="I70" s="1"/>
      <c r="J70" s="1"/>
      <c r="K70" s="29" t="s">
        <v>153</v>
      </c>
      <c r="L70" s="29"/>
      <c r="M70" s="2">
        <f>'Pencapaian Sales Value'!I343</f>
        <v>1949250</v>
      </c>
      <c r="N70" s="3"/>
      <c r="O70" s="3"/>
      <c r="P70" s="397"/>
      <c r="Q70" s="78"/>
      <c r="R70" s="78" t="s">
        <v>74</v>
      </c>
      <c r="S70" s="64" t="s">
        <v>20</v>
      </c>
      <c r="T70" s="258">
        <f>'Pencapaian Sales Value'!G70</f>
        <v>0.73837175952201439</v>
      </c>
      <c r="U70" s="63">
        <f>'Pencapaian Sales Value'!I70</f>
        <v>120000</v>
      </c>
      <c r="V70" s="258">
        <f>'Pencapaian Product Focus'!H70</f>
        <v>0.70340277777777782</v>
      </c>
      <c r="W70" s="258">
        <f>'Pencapaian Product Focus'!L70</f>
        <v>0.86799999999999999</v>
      </c>
      <c r="X70" s="63">
        <f>'Pencapaian Product Focus'!N70</f>
        <v>84000</v>
      </c>
      <c r="Y70" s="257">
        <f>'Pencapaian Effective Call'!G70</f>
        <v>0.65741935483870972</v>
      </c>
      <c r="Z70" s="189">
        <f>'Pencapaian Effective Call'!I70</f>
        <v>0</v>
      </c>
      <c r="AA70" s="258">
        <f>'Pencapaian New Open Outlet'!G70</f>
        <v>8.8407758231844838E-2</v>
      </c>
      <c r="AB70" s="63">
        <f>'Pencapaian New Open Outlet'!I70</f>
        <v>0</v>
      </c>
      <c r="AC70" s="258">
        <f>'Pencapaian Active Outlet'!G70</f>
        <v>0.85245901639344257</v>
      </c>
      <c r="AD70" s="63">
        <f>'Pencapaian Active Outlet'!I70</f>
        <v>108000</v>
      </c>
      <c r="AE70" s="268">
        <f>'Pencapaian Item per Outlet'!G70</f>
        <v>0.50909090909090904</v>
      </c>
      <c r="AF70" s="189">
        <f>'Pencapaian Item per Outlet'!I70</f>
        <v>0</v>
      </c>
      <c r="AG70" s="268">
        <f>'Pencapaian Product Display'!G70</f>
        <v>0</v>
      </c>
      <c r="AH70" s="189">
        <f>'Pencapaian Product Display'!I70</f>
        <v>0</v>
      </c>
      <c r="AI70" s="306">
        <f>'Pencapaian Sales Contract'!G70</f>
        <v>0</v>
      </c>
      <c r="AJ70" s="152">
        <f>'Pencapaian Sales Contract'!I70</f>
        <v>0</v>
      </c>
      <c r="AK70" s="306">
        <f>'Pencapaian Co-Branding'!G70</f>
        <v>0</v>
      </c>
      <c r="AL70" s="152">
        <f>'Pencapaian Co-Branding'!I70</f>
        <v>0</v>
      </c>
      <c r="AM70" s="268">
        <f>'Pencapaian Join Event Activity'!G70</f>
        <v>0</v>
      </c>
      <c r="AN70" s="189">
        <f>'Pencapaian Join Event Activity'!I70</f>
        <v>0</v>
      </c>
      <c r="AO70" s="63">
        <f t="shared" si="32"/>
        <v>312000</v>
      </c>
      <c r="AP70" s="110">
        <v>9.2738999771003923E-3</v>
      </c>
      <c r="AQ70" s="63">
        <f t="shared" si="41"/>
        <v>-31200</v>
      </c>
      <c r="AR70" s="110">
        <v>1.2804986884637401E-3</v>
      </c>
      <c r="AS70" s="63">
        <f t="shared" si="42"/>
        <v>-280800</v>
      </c>
      <c r="AT70" s="63">
        <f t="shared" si="35"/>
        <v>0</v>
      </c>
      <c r="AU70" s="63">
        <f>AT70</f>
        <v>0</v>
      </c>
      <c r="AV70" s="63">
        <v>0</v>
      </c>
    </row>
    <row r="71" spans="2:48" ht="16" x14ac:dyDescent="0.2">
      <c r="C71" s="1"/>
      <c r="D71" s="1"/>
      <c r="E71" s="1"/>
      <c r="F71" s="1"/>
      <c r="G71" s="1"/>
      <c r="H71" s="1"/>
      <c r="I71" s="1"/>
      <c r="J71" s="1"/>
      <c r="K71" s="29" t="s">
        <v>79</v>
      </c>
      <c r="L71" s="29"/>
      <c r="M71" s="2">
        <f>'Pencapaian Sales Value'!I344</f>
        <v>7007500</v>
      </c>
      <c r="N71" s="3"/>
      <c r="O71" s="3"/>
      <c r="P71" s="397"/>
      <c r="Q71" s="77"/>
      <c r="R71" s="77" t="s">
        <v>36</v>
      </c>
      <c r="S71" s="42"/>
      <c r="T71" s="264">
        <f>'Pencapaian Sales Value'!G71</f>
        <v>0.73837175952201439</v>
      </c>
      <c r="U71" s="23">
        <f>'Pencapaian Sales Value'!I71</f>
        <v>540000</v>
      </c>
      <c r="V71" s="264">
        <f>'Pencapaian Product Focus'!H71</f>
        <v>0.70340277777777782</v>
      </c>
      <c r="W71" s="264">
        <f>'Pencapaian Product Focus'!L71</f>
        <v>0.86799999999999999</v>
      </c>
      <c r="X71" s="23">
        <f>'Pencapaian Product Focus'!N71</f>
        <v>330000</v>
      </c>
      <c r="Y71" s="264">
        <f>'Pencapaian Effective Call'!G71</f>
        <v>0.65741935483870972</v>
      </c>
      <c r="Z71" s="23">
        <f>'Pencapaian Effective Call'!I71</f>
        <v>159750</v>
      </c>
      <c r="AA71" s="264">
        <f>'Pencapaian New Open Outlet'!G71</f>
        <v>8.8407758231844838E-2</v>
      </c>
      <c r="AB71" s="23">
        <f>'Pencapaian New Open Outlet'!I71</f>
        <v>0</v>
      </c>
      <c r="AC71" s="264">
        <f>'Pencapaian Active Outlet'!G71</f>
        <v>0.85245901639344257</v>
      </c>
      <c r="AD71" s="23">
        <f>'Pencapaian Active Outlet'!I71</f>
        <v>108000</v>
      </c>
      <c r="AE71" s="264">
        <f>'Pencapaian Item per Outlet'!G71</f>
        <v>0.50909090909090904</v>
      </c>
      <c r="AF71" s="23">
        <f>'Pencapaian Item per Outlet'!I71</f>
        <v>0</v>
      </c>
      <c r="AG71" s="308">
        <f>'Pencapaian Product Display'!G71</f>
        <v>0</v>
      </c>
      <c r="AH71" s="315">
        <f>'Pencapaian Product Display'!I71</f>
        <v>0</v>
      </c>
      <c r="AI71" s="307">
        <f>'Pencapaian Sales Contract'!G71</f>
        <v>0</v>
      </c>
      <c r="AJ71" s="157">
        <f>'Pencapaian Sales Contract'!I71</f>
        <v>0</v>
      </c>
      <c r="AK71" s="307">
        <f>'Pencapaian Co-Branding'!G71</f>
        <v>0</v>
      </c>
      <c r="AL71" s="157">
        <f>'Pencapaian Co-Branding'!I71</f>
        <v>0</v>
      </c>
      <c r="AM71" s="308">
        <f>'Pencapaian Join Event Activity'!G71</f>
        <v>0</v>
      </c>
      <c r="AN71" s="315">
        <f>'Pencapaian Join Event Activity'!I71</f>
        <v>0</v>
      </c>
      <c r="AO71" s="23">
        <f t="shared" si="32"/>
        <v>1137750</v>
      </c>
      <c r="AP71" s="112">
        <v>9.2738999771003923E-3</v>
      </c>
      <c r="AQ71" s="23">
        <f>SUM(AQ65:AQ70)</f>
        <v>-49200</v>
      </c>
      <c r="AR71" s="112">
        <v>1.2804986884637401E-3</v>
      </c>
      <c r="AS71" s="23">
        <f>SUM(AS65:AS70)</f>
        <v>-442800</v>
      </c>
      <c r="AT71" s="23">
        <f t="shared" si="35"/>
        <v>645750</v>
      </c>
      <c r="AU71" s="23">
        <f t="shared" ref="AU71:AV71" si="45">SUM(AU65:AU70)</f>
        <v>504000</v>
      </c>
      <c r="AV71" s="23">
        <f t="shared" si="45"/>
        <v>141750</v>
      </c>
    </row>
    <row r="72" spans="2:48" ht="16" x14ac:dyDescent="0.2">
      <c r="B72" s="61"/>
      <c r="C72" s="320"/>
      <c r="D72" s="320"/>
      <c r="E72" s="320"/>
      <c r="F72" s="320"/>
      <c r="G72" s="320"/>
      <c r="H72" s="320"/>
      <c r="I72" s="320"/>
      <c r="J72" s="320"/>
      <c r="K72" s="29" t="s">
        <v>136</v>
      </c>
      <c r="L72" s="29"/>
      <c r="M72" s="2">
        <f>'Pencapaian Sales Value'!I345</f>
        <v>1646000</v>
      </c>
      <c r="N72" s="32"/>
      <c r="O72" s="3"/>
      <c r="P72" s="397" t="s">
        <v>131</v>
      </c>
      <c r="Q72" s="52" t="s">
        <v>381</v>
      </c>
      <c r="R72" s="74" t="s">
        <v>132</v>
      </c>
      <c r="S72" s="12" t="s">
        <v>18</v>
      </c>
      <c r="T72" s="269">
        <f>'Pencapaian Sales Value'!G72</f>
        <v>0.42190237520671947</v>
      </c>
      <c r="U72" s="15">
        <f>'Pencapaian Sales Value'!I72</f>
        <v>0</v>
      </c>
      <c r="V72" s="304">
        <f>'Pencapaian Product Focus'!H72</f>
        <v>0</v>
      </c>
      <c r="W72" s="304">
        <f>'Pencapaian Product Focus'!L72</f>
        <v>0</v>
      </c>
      <c r="X72" s="178">
        <f>'Pencapaian Product Focus'!N72</f>
        <v>0</v>
      </c>
      <c r="Y72" s="269">
        <f>'Pencapaian Effective Call'!G72</f>
        <v>0.25666666666666665</v>
      </c>
      <c r="Z72" s="15">
        <f>'Pencapaian Effective Call'!I72</f>
        <v>0</v>
      </c>
      <c r="AA72" s="269">
        <f>'Pencapaian New Open Outlet'!G72</f>
        <v>0.625</v>
      </c>
      <c r="AB72" s="15">
        <f>'Pencapaian New Open Outlet'!I72</f>
        <v>0</v>
      </c>
      <c r="AC72" s="269">
        <f>'Pencapaian Active Outlet'!G72</f>
        <v>0.36297640653357538</v>
      </c>
      <c r="AD72" s="15">
        <f>'Pencapaian Active Outlet'!I72</f>
        <v>0</v>
      </c>
      <c r="AE72" s="272">
        <f>'Pencapaian Item per Outlet'!G72</f>
        <v>0</v>
      </c>
      <c r="AF72" s="261">
        <f>'Pencapaian Item per Outlet'!I72</f>
        <v>0</v>
      </c>
      <c r="AG72" s="272">
        <f>'Pencapaian Product Display'!G72</f>
        <v>0</v>
      </c>
      <c r="AH72" s="261">
        <f>'Pencapaian Product Display'!I72</f>
        <v>0</v>
      </c>
      <c r="AI72" s="255">
        <f>'Pencapaian Sales Contract'!G72</f>
        <v>0</v>
      </c>
      <c r="AJ72" s="170">
        <f>'Pencapaian Sales Contract'!I72</f>
        <v>0</v>
      </c>
      <c r="AK72" s="255">
        <f>'Pencapaian Co-Branding'!G72</f>
        <v>0</v>
      </c>
      <c r="AL72" s="170">
        <f>'Pencapaian Co-Branding'!I72</f>
        <v>0</v>
      </c>
      <c r="AM72" s="272">
        <f>'Pencapaian Join Event Activity'!G72</f>
        <v>0</v>
      </c>
      <c r="AN72" s="261">
        <f>'Pencapaian Join Event Activity'!I72</f>
        <v>0</v>
      </c>
      <c r="AO72" s="15">
        <f t="shared" si="32"/>
        <v>0</v>
      </c>
      <c r="AP72" s="13">
        <v>0.26045180263870621</v>
      </c>
      <c r="AQ72" s="15">
        <f t="shared" ref="AQ72:AQ75" si="46">IF(AP72&gt;=0.5%,-(AO72*10%),0)</f>
        <v>0</v>
      </c>
      <c r="AR72" s="13">
        <v>0.23275766595070935</v>
      </c>
      <c r="AS72" s="15">
        <f t="shared" ref="AS72:AS75" si="47">IF(AR72&gt;0,-(AO72+AQ72),0)</f>
        <v>0</v>
      </c>
      <c r="AT72" s="15">
        <f t="shared" si="35"/>
        <v>0</v>
      </c>
      <c r="AU72" s="15">
        <f t="shared" ref="AU72:AU74" si="48">AT72*70%</f>
        <v>0</v>
      </c>
      <c r="AV72" s="15">
        <f t="shared" ref="AV72:AV74" si="49">AT72*30%</f>
        <v>0</v>
      </c>
    </row>
    <row r="73" spans="2:48" ht="16" x14ac:dyDescent="0.2">
      <c r="B73" s="61"/>
      <c r="C73" s="320"/>
      <c r="D73" s="320"/>
      <c r="E73" s="320"/>
      <c r="F73" s="320"/>
      <c r="G73" s="320"/>
      <c r="H73" s="320"/>
      <c r="I73" s="320"/>
      <c r="J73" s="320"/>
      <c r="K73" s="29" t="s">
        <v>414</v>
      </c>
      <c r="L73" s="29"/>
      <c r="M73" s="2">
        <f>'Pencapaian Sales Value'!I346</f>
        <v>40000</v>
      </c>
      <c r="N73" s="31"/>
      <c r="O73" s="3"/>
      <c r="P73" s="397"/>
      <c r="Q73" s="52" t="s">
        <v>382</v>
      </c>
      <c r="R73" s="52" t="s">
        <v>667</v>
      </c>
      <c r="S73" s="12" t="s">
        <v>18</v>
      </c>
      <c r="T73" s="269">
        <f>'Pencapaian Sales Value'!G73</f>
        <v>0.55771933428870979</v>
      </c>
      <c r="U73" s="15">
        <f>'Pencapaian Sales Value'!I73</f>
        <v>0</v>
      </c>
      <c r="V73" s="304">
        <f>'Pencapaian Product Focus'!H73</f>
        <v>0</v>
      </c>
      <c r="W73" s="304">
        <f>'Pencapaian Product Focus'!L73</f>
        <v>0</v>
      </c>
      <c r="X73" s="178">
        <f>'Pencapaian Product Focus'!N73</f>
        <v>0</v>
      </c>
      <c r="Y73" s="269">
        <f>'Pencapaian Effective Call'!G73</f>
        <v>0.40333333333333332</v>
      </c>
      <c r="Z73" s="15">
        <f>'Pencapaian Effective Call'!I73</f>
        <v>0</v>
      </c>
      <c r="AA73" s="269">
        <f>'Pencapaian New Open Outlet'!G73</f>
        <v>0.6875</v>
      </c>
      <c r="AB73" s="15">
        <f>'Pencapaian New Open Outlet'!I73</f>
        <v>0</v>
      </c>
      <c r="AC73" s="269">
        <f>'Pencapaian Active Outlet'!G73</f>
        <v>0.49001814882032674</v>
      </c>
      <c r="AD73" s="15">
        <f>'Pencapaian Active Outlet'!I73</f>
        <v>0</v>
      </c>
      <c r="AE73" s="272">
        <f>'Pencapaian Item per Outlet'!G73</f>
        <v>0</v>
      </c>
      <c r="AF73" s="261">
        <f>'Pencapaian Item per Outlet'!I73</f>
        <v>0</v>
      </c>
      <c r="AG73" s="272">
        <f>'Pencapaian Product Display'!G73</f>
        <v>0</v>
      </c>
      <c r="AH73" s="261">
        <f>'Pencapaian Product Display'!I73</f>
        <v>0</v>
      </c>
      <c r="AI73" s="255">
        <f>'Pencapaian Sales Contract'!G73</f>
        <v>0</v>
      </c>
      <c r="AJ73" s="170">
        <f>'Pencapaian Sales Contract'!I73</f>
        <v>0</v>
      </c>
      <c r="AK73" s="255">
        <f>'Pencapaian Co-Branding'!G73</f>
        <v>0</v>
      </c>
      <c r="AL73" s="170">
        <f>'Pencapaian Co-Branding'!I73</f>
        <v>0</v>
      </c>
      <c r="AM73" s="272">
        <f>'Pencapaian Join Event Activity'!G73</f>
        <v>0</v>
      </c>
      <c r="AN73" s="261">
        <f>'Pencapaian Join Event Activity'!I73</f>
        <v>0</v>
      </c>
      <c r="AO73" s="15">
        <f t="shared" si="32"/>
        <v>0</v>
      </c>
      <c r="AP73" s="13">
        <v>0.23824660984783133</v>
      </c>
      <c r="AQ73" s="15">
        <f t="shared" si="46"/>
        <v>0</v>
      </c>
      <c r="AR73" s="13">
        <v>7.7162623787999041E-2</v>
      </c>
      <c r="AS73" s="15">
        <f t="shared" si="47"/>
        <v>0</v>
      </c>
      <c r="AT73" s="15">
        <f t="shared" si="35"/>
        <v>0</v>
      </c>
      <c r="AU73" s="15">
        <f t="shared" si="48"/>
        <v>0</v>
      </c>
      <c r="AV73" s="15">
        <f t="shared" si="49"/>
        <v>0</v>
      </c>
    </row>
    <row r="74" spans="2:48" ht="16" x14ac:dyDescent="0.2">
      <c r="C74" s="1"/>
      <c r="D74" s="1"/>
      <c r="E74" s="1"/>
      <c r="F74" s="1"/>
      <c r="G74" s="1"/>
      <c r="H74" s="1"/>
      <c r="I74" s="1"/>
      <c r="J74" s="1"/>
      <c r="K74" s="29" t="s">
        <v>415</v>
      </c>
      <c r="L74" s="29"/>
      <c r="M74" s="2">
        <f>'Pencapaian Sales Value'!I347</f>
        <v>0</v>
      </c>
      <c r="N74" s="31"/>
      <c r="O74" s="3"/>
      <c r="P74" s="397"/>
      <c r="Q74" s="52" t="s">
        <v>383</v>
      </c>
      <c r="R74" s="52" t="s">
        <v>613</v>
      </c>
      <c r="S74" s="12" t="s">
        <v>18</v>
      </c>
      <c r="T74" s="269">
        <f>'Pencapaian Sales Value'!G74</f>
        <v>0.6784480916727792</v>
      </c>
      <c r="U74" s="15">
        <f>'Pencapaian Sales Value'!I74</f>
        <v>0</v>
      </c>
      <c r="V74" s="304">
        <f>'Pencapaian Product Focus'!H74</f>
        <v>0</v>
      </c>
      <c r="W74" s="304">
        <f>'Pencapaian Product Focus'!L74</f>
        <v>0</v>
      </c>
      <c r="X74" s="178">
        <f>'Pencapaian Product Focus'!N74</f>
        <v>0</v>
      </c>
      <c r="Y74" s="269">
        <f>'Pencapaian Effective Call'!G74</f>
        <v>0.87333333333333329</v>
      </c>
      <c r="Z74" s="15">
        <f>'Pencapaian Effective Call'!I74</f>
        <v>90000</v>
      </c>
      <c r="AA74" s="269">
        <f>'Pencapaian New Open Outlet'!G74</f>
        <v>0.3125</v>
      </c>
      <c r="AB74" s="15">
        <f>'Pencapaian New Open Outlet'!I74</f>
        <v>0</v>
      </c>
      <c r="AC74" s="269">
        <f>'Pencapaian Active Outlet'!G74</f>
        <v>0.66813740939174282</v>
      </c>
      <c r="AD74" s="15">
        <f>'Pencapaian Active Outlet'!I74</f>
        <v>0</v>
      </c>
      <c r="AE74" s="272">
        <f>'Pencapaian Item per Outlet'!G74</f>
        <v>0</v>
      </c>
      <c r="AF74" s="261">
        <f>'Pencapaian Item per Outlet'!I74</f>
        <v>0</v>
      </c>
      <c r="AG74" s="272">
        <f>'Pencapaian Product Display'!G74</f>
        <v>0</v>
      </c>
      <c r="AH74" s="261">
        <f>'Pencapaian Product Display'!I74</f>
        <v>0</v>
      </c>
      <c r="AI74" s="255">
        <f>'Pencapaian Sales Contract'!G74</f>
        <v>0</v>
      </c>
      <c r="AJ74" s="170">
        <f>'Pencapaian Sales Contract'!I74</f>
        <v>0</v>
      </c>
      <c r="AK74" s="255">
        <f>'Pencapaian Co-Branding'!G74</f>
        <v>0</v>
      </c>
      <c r="AL74" s="170">
        <f>'Pencapaian Co-Branding'!I74</f>
        <v>0</v>
      </c>
      <c r="AM74" s="272">
        <f>'Pencapaian Join Event Activity'!G74</f>
        <v>0</v>
      </c>
      <c r="AN74" s="261">
        <f>'Pencapaian Join Event Activity'!I74</f>
        <v>0</v>
      </c>
      <c r="AO74" s="15">
        <f t="shared" si="32"/>
        <v>90000</v>
      </c>
      <c r="AP74" s="13">
        <v>4.2278134524878642E-2</v>
      </c>
      <c r="AQ74" s="15">
        <f t="shared" si="46"/>
        <v>-9000</v>
      </c>
      <c r="AR74" s="13">
        <v>0</v>
      </c>
      <c r="AS74" s="15">
        <f t="shared" si="47"/>
        <v>0</v>
      </c>
      <c r="AT74" s="15">
        <f t="shared" si="35"/>
        <v>81000</v>
      </c>
      <c r="AU74" s="15">
        <f t="shared" si="48"/>
        <v>56700</v>
      </c>
      <c r="AV74" s="15">
        <f t="shared" si="49"/>
        <v>24300</v>
      </c>
    </row>
    <row r="75" spans="2:48" ht="16" x14ac:dyDescent="0.2">
      <c r="C75" s="1"/>
      <c r="D75" s="1"/>
      <c r="E75" s="1"/>
      <c r="F75" s="1"/>
      <c r="G75" s="1"/>
      <c r="H75" s="1"/>
      <c r="I75" s="1"/>
      <c r="J75" s="1"/>
      <c r="K75" s="29" t="s">
        <v>416</v>
      </c>
      <c r="L75" s="29"/>
      <c r="M75" s="2">
        <f>'Pencapaian Sales Value'!I348</f>
        <v>0</v>
      </c>
      <c r="N75" s="3"/>
      <c r="O75" s="3"/>
      <c r="P75" s="397"/>
      <c r="Q75" s="78"/>
      <c r="R75" s="78" t="s">
        <v>483</v>
      </c>
      <c r="S75" s="64" t="s">
        <v>20</v>
      </c>
      <c r="T75" s="258">
        <f>'Pencapaian Sales Value'!G75</f>
        <v>0.55375184252973098</v>
      </c>
      <c r="U75" s="63">
        <f>'Pencapaian Sales Value'!I75</f>
        <v>0</v>
      </c>
      <c r="V75" s="268">
        <f>'Pencapaian Product Focus'!H75</f>
        <v>0</v>
      </c>
      <c r="W75" s="268">
        <f>'Pencapaian Product Focus'!L75</f>
        <v>0</v>
      </c>
      <c r="X75" s="189">
        <f>'Pencapaian Product Focus'!N75</f>
        <v>0</v>
      </c>
      <c r="Y75" s="258">
        <f>'Pencapaian Effective Call'!G75</f>
        <v>0.51111111111111107</v>
      </c>
      <c r="Z75" s="63">
        <f>'Pencapaian Effective Call'!I75</f>
        <v>0</v>
      </c>
      <c r="AA75" s="258">
        <f>'Pencapaian New Open Outlet'!G75</f>
        <v>0.54166666666666663</v>
      </c>
      <c r="AB75" s="63">
        <f>'Pencapaian New Open Outlet'!I75</f>
        <v>0</v>
      </c>
      <c r="AC75" s="258">
        <f>'Pencapaian Active Outlet'!G75</f>
        <v>0.5276348766653477</v>
      </c>
      <c r="AD75" s="63">
        <f>'Pencapaian Active Outlet'!I75</f>
        <v>0</v>
      </c>
      <c r="AE75" s="268">
        <f>'Pencapaian Item per Outlet'!G75</f>
        <v>0</v>
      </c>
      <c r="AF75" s="189">
        <f>'Pencapaian Item per Outlet'!I75</f>
        <v>0</v>
      </c>
      <c r="AG75" s="268">
        <f>'Pencapaian Product Display'!G75</f>
        <v>0</v>
      </c>
      <c r="AH75" s="189">
        <f>'Pencapaian Product Display'!I75</f>
        <v>0</v>
      </c>
      <c r="AI75" s="268">
        <f>'Pencapaian Sales Contract'!G75</f>
        <v>0</v>
      </c>
      <c r="AJ75" s="189">
        <f>'Pencapaian Sales Contract'!I75</f>
        <v>0</v>
      </c>
      <c r="AK75" s="268">
        <f>'Pencapaian Co-Branding'!G75</f>
        <v>0</v>
      </c>
      <c r="AL75" s="189">
        <f>'Pencapaian Co-Branding'!I75</f>
        <v>0</v>
      </c>
      <c r="AM75" s="268">
        <f>'Pencapaian Join Event Activity'!G75</f>
        <v>0</v>
      </c>
      <c r="AN75" s="189">
        <f>'Pencapaian Join Event Activity'!I75</f>
        <v>0</v>
      </c>
      <c r="AO75" s="63">
        <f t="shared" si="32"/>
        <v>0</v>
      </c>
      <c r="AP75" s="110">
        <v>0</v>
      </c>
      <c r="AQ75" s="63">
        <f t="shared" si="46"/>
        <v>0</v>
      </c>
      <c r="AR75" s="110">
        <v>0</v>
      </c>
      <c r="AS75" s="63">
        <f t="shared" si="47"/>
        <v>0</v>
      </c>
      <c r="AT75" s="63">
        <f t="shared" si="35"/>
        <v>0</v>
      </c>
      <c r="AU75" s="63">
        <f>AT75</f>
        <v>0</v>
      </c>
      <c r="AV75" s="63">
        <v>0</v>
      </c>
    </row>
    <row r="76" spans="2:48" ht="16" x14ac:dyDescent="0.2">
      <c r="C76" s="1"/>
      <c r="D76" s="1"/>
      <c r="E76" s="1"/>
      <c r="F76" s="1"/>
      <c r="G76" s="1"/>
      <c r="H76" s="1"/>
      <c r="I76" s="1"/>
      <c r="J76" s="1"/>
      <c r="K76" s="29" t="s">
        <v>417</v>
      </c>
      <c r="L76" s="29"/>
      <c r="M76" s="2">
        <f>'Pencapaian Sales Value'!I349</f>
        <v>50000</v>
      </c>
      <c r="N76" s="3"/>
      <c r="O76" s="3"/>
      <c r="P76" s="397"/>
      <c r="Q76" s="77"/>
      <c r="R76" s="77" t="s">
        <v>133</v>
      </c>
      <c r="S76" s="42"/>
      <c r="T76" s="264">
        <f>'Pencapaian Sales Value'!G76</f>
        <v>0.55375184252973098</v>
      </c>
      <c r="U76" s="23">
        <f>'Pencapaian Sales Value'!I76</f>
        <v>0</v>
      </c>
      <c r="V76" s="274">
        <f>'Pencapaian Product Focus'!H76</f>
        <v>0</v>
      </c>
      <c r="W76" s="274">
        <f>'Pencapaian Product Focus'!L76</f>
        <v>0</v>
      </c>
      <c r="X76" s="190">
        <f>'Pencapaian Product Focus'!N76</f>
        <v>0</v>
      </c>
      <c r="Y76" s="264">
        <f>'Pencapaian Effective Call'!G76</f>
        <v>0.51111111111111107</v>
      </c>
      <c r="Z76" s="23">
        <f>'Pencapaian Effective Call'!I76</f>
        <v>90000</v>
      </c>
      <c r="AA76" s="264">
        <f>'Pencapaian New Open Outlet'!G76</f>
        <v>0.54166666666666663</v>
      </c>
      <c r="AB76" s="23">
        <f>'Pencapaian New Open Outlet'!I76</f>
        <v>0</v>
      </c>
      <c r="AC76" s="264">
        <f>'Pencapaian Active Outlet'!G76</f>
        <v>0.5276348766653477</v>
      </c>
      <c r="AD76" s="23">
        <f>'Pencapaian Active Outlet'!I76</f>
        <v>0</v>
      </c>
      <c r="AE76" s="274">
        <f>'Pencapaian Item per Outlet'!G76</f>
        <v>0</v>
      </c>
      <c r="AF76" s="190">
        <f>'Pencapaian Item per Outlet'!I76</f>
        <v>0</v>
      </c>
      <c r="AG76" s="274">
        <f>'Pencapaian Product Display'!G76</f>
        <v>0</v>
      </c>
      <c r="AH76" s="190">
        <f>'Pencapaian Product Display'!I76</f>
        <v>0</v>
      </c>
      <c r="AI76" s="274">
        <f>'Pencapaian Sales Contract'!G76</f>
        <v>0</v>
      </c>
      <c r="AJ76" s="190">
        <f>'Pencapaian Sales Contract'!I76</f>
        <v>0</v>
      </c>
      <c r="AK76" s="274">
        <f>'Pencapaian Co-Branding'!G76</f>
        <v>0</v>
      </c>
      <c r="AL76" s="190">
        <f>'Pencapaian Co-Branding'!I76</f>
        <v>0</v>
      </c>
      <c r="AM76" s="274">
        <f>'Pencapaian Join Event Activity'!G76</f>
        <v>0</v>
      </c>
      <c r="AN76" s="190">
        <f>'Pencapaian Join Event Activity'!I76</f>
        <v>0</v>
      </c>
      <c r="AO76" s="23">
        <f t="shared" si="32"/>
        <v>90000</v>
      </c>
      <c r="AP76" s="112">
        <v>0.16107054461546902</v>
      </c>
      <c r="AQ76" s="23">
        <f>SUM(AQ72:AQ75)</f>
        <v>-9000</v>
      </c>
      <c r="AR76" s="112">
        <v>8.4134201573812711E-2</v>
      </c>
      <c r="AS76" s="23">
        <f>SUM(AS72:AS75)</f>
        <v>0</v>
      </c>
      <c r="AT76" s="23">
        <f t="shared" si="35"/>
        <v>81000</v>
      </c>
      <c r="AU76" s="23">
        <f t="shared" ref="AU76:AV76" si="50">SUM(AU72:AU75)</f>
        <v>56700</v>
      </c>
      <c r="AV76" s="23">
        <f t="shared" si="50"/>
        <v>24300</v>
      </c>
    </row>
    <row r="77" spans="2:48" ht="16" x14ac:dyDescent="0.2">
      <c r="C77" s="1"/>
      <c r="D77" s="1"/>
      <c r="E77" s="1"/>
      <c r="F77" s="1"/>
      <c r="G77" s="1"/>
      <c r="H77" s="1"/>
      <c r="I77" s="1"/>
      <c r="J77" s="1"/>
      <c r="K77" s="47" t="s">
        <v>418</v>
      </c>
      <c r="L77" s="47"/>
      <c r="M77" s="46">
        <f>'Pencapaian Sales Value'!I350</f>
        <v>220000</v>
      </c>
      <c r="N77" s="3"/>
      <c r="O77" s="3"/>
      <c r="P77" s="79"/>
      <c r="Q77" s="80"/>
      <c r="R77" s="80" t="s">
        <v>109</v>
      </c>
      <c r="S77" s="205"/>
      <c r="T77" s="270">
        <f>'Pencapaian Sales Value'!G77</f>
        <v>0.82895214655144445</v>
      </c>
      <c r="U77" s="43">
        <f>'Pencapaian Sales Value'!I77</f>
        <v>3597000</v>
      </c>
      <c r="V77" s="270">
        <f>'Pencapaian Product Focus'!H77</f>
        <v>0.72680555555555559</v>
      </c>
      <c r="W77" s="270">
        <f>'Pencapaian Product Focus'!L77</f>
        <v>0.72248062015503878</v>
      </c>
      <c r="X77" s="43">
        <f>'Pencapaian Product Focus'!N77</f>
        <v>646500</v>
      </c>
      <c r="Y77" s="270">
        <f>'Pencapaian Effective Call'!G77</f>
        <v>0.85014925373134331</v>
      </c>
      <c r="Z77" s="43">
        <f>'Pencapaian Effective Call'!I77</f>
        <v>1179750</v>
      </c>
      <c r="AA77" s="270">
        <f>'Pencapaian New Open Outlet'!G77</f>
        <v>0.22117760034694525</v>
      </c>
      <c r="AB77" s="43">
        <f>'Pencapaian New Open Outlet'!I77</f>
        <v>0</v>
      </c>
      <c r="AC77" s="270">
        <f>'Pencapaian Active Outlet'!G77</f>
        <v>0.89526292916123429</v>
      </c>
      <c r="AD77" s="43">
        <f>'Pencapaian Active Outlet'!I77</f>
        <v>686000</v>
      </c>
      <c r="AE77" s="270">
        <f>'Pencapaian Item per Outlet'!G77</f>
        <v>0.53551581788959846</v>
      </c>
      <c r="AF77" s="43">
        <f>'Pencapaian Item per Outlet'!I77</f>
        <v>20000</v>
      </c>
      <c r="AG77" s="308">
        <f>'Pencapaian Product Display'!G77</f>
        <v>0</v>
      </c>
      <c r="AH77" s="315">
        <f>'Pencapaian Product Display'!I77</f>
        <v>0</v>
      </c>
      <c r="AI77" s="263">
        <f>'Pencapaian Sales Contract'!G77</f>
        <v>0</v>
      </c>
      <c r="AJ77" s="148">
        <f>'Pencapaian Sales Contract'!I77</f>
        <v>0</v>
      </c>
      <c r="AK77" s="263">
        <f>'Pencapaian Co-Branding'!G77</f>
        <v>0</v>
      </c>
      <c r="AL77" s="148">
        <f>'Pencapaian Co-Branding'!I77</f>
        <v>0</v>
      </c>
      <c r="AM77" s="308">
        <f>'Pencapaian Join Event Activity'!G77</f>
        <v>0</v>
      </c>
      <c r="AN77" s="315">
        <f>'Pencapaian Join Event Activity'!I77</f>
        <v>0</v>
      </c>
      <c r="AO77" s="43">
        <f t="shared" si="32"/>
        <v>6129250</v>
      </c>
      <c r="AP77" s="136">
        <v>5.3274450274115965E-3</v>
      </c>
      <c r="AQ77" s="43">
        <f>SUM(AQ76,AQ71,AQ64)</f>
        <v>-58200</v>
      </c>
      <c r="AR77" s="136">
        <v>2.2532300831001216E-3</v>
      </c>
      <c r="AS77" s="43">
        <f>SUM(AS76,AS71,AS64)</f>
        <v>-442800</v>
      </c>
      <c r="AT77" s="43">
        <f t="shared" si="35"/>
        <v>5628250</v>
      </c>
      <c r="AU77" s="43">
        <f t="shared" ref="AU77:AV77" si="51">SUM(AU76,AU71,AU64)</f>
        <v>4096450</v>
      </c>
      <c r="AV77" s="43">
        <f t="shared" si="51"/>
        <v>1531800</v>
      </c>
    </row>
    <row r="78" spans="2:48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  <c r="O78" s="3"/>
      <c r="U78" s="2"/>
      <c r="X78" s="2"/>
      <c r="Z78" s="2"/>
      <c r="AB78" s="2"/>
      <c r="AD78" s="2"/>
      <c r="AF78" s="2"/>
      <c r="AH78" s="2"/>
      <c r="AJ78" s="2"/>
      <c r="AL78" s="2"/>
      <c r="AN78" s="2"/>
      <c r="AO78" s="2"/>
      <c r="AP78" s="1" t="s">
        <v>785</v>
      </c>
      <c r="AQ78" s="2"/>
      <c r="AR78" s="1"/>
      <c r="AS78" s="2"/>
      <c r="AT78" s="2"/>
      <c r="AU78" s="2"/>
      <c r="AV78" s="2"/>
    </row>
    <row r="79" spans="2:48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29">
        <f>SUM(M67:M77)</f>
        <v>38916750</v>
      </c>
      <c r="N79" s="267">
        <f>M79-L63</f>
        <v>220000</v>
      </c>
      <c r="O79" s="3"/>
      <c r="U79" s="2"/>
      <c r="X79" s="2"/>
      <c r="Z79" s="2"/>
      <c r="AB79" s="2"/>
      <c r="AD79" s="2"/>
      <c r="AF79" s="2"/>
      <c r="AH79" s="2"/>
      <c r="AJ79" s="2"/>
      <c r="AL79" s="2"/>
      <c r="AN79" s="2"/>
      <c r="AO79" s="2"/>
      <c r="AP79" s="1"/>
      <c r="AQ79" s="2"/>
      <c r="AR79" s="1"/>
      <c r="AS79" s="2"/>
      <c r="AT79" s="2"/>
      <c r="AU79" s="2"/>
      <c r="AV79" s="2"/>
    </row>
    <row r="80" spans="2:48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67" t="s">
        <v>516</v>
      </c>
      <c r="O80" s="3"/>
      <c r="U80" s="2"/>
      <c r="X80" s="2"/>
      <c r="Z80" s="2"/>
      <c r="AB80" s="2"/>
      <c r="AD80" s="2"/>
      <c r="AF80" s="2"/>
      <c r="AH80" s="2"/>
      <c r="AJ80" s="2"/>
      <c r="AL80" s="2"/>
      <c r="AN80" s="2"/>
      <c r="AO80" s="2"/>
      <c r="AP80" s="1"/>
      <c r="AQ80" s="2"/>
      <c r="AR80" s="1"/>
      <c r="AS80" s="2"/>
      <c r="AT80" s="2"/>
      <c r="AU80" s="2"/>
      <c r="AV80" s="2"/>
    </row>
    <row r="81" spans="2:48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"/>
      <c r="O81" s="3"/>
      <c r="U81" s="2"/>
      <c r="X81" s="2"/>
      <c r="Z81" s="2"/>
      <c r="AB81" s="2"/>
      <c r="AD81" s="2"/>
      <c r="AF81" s="2"/>
      <c r="AH81" s="2"/>
      <c r="AJ81" s="2"/>
      <c r="AL81" s="2"/>
      <c r="AN81" s="2"/>
      <c r="AO81" s="2"/>
      <c r="AP81" s="1"/>
      <c r="AQ81" s="2"/>
      <c r="AR81" s="1"/>
      <c r="AS81" s="2"/>
      <c r="AT81" s="2"/>
      <c r="AU81" s="2"/>
      <c r="AV81" s="2"/>
    </row>
    <row r="82" spans="2:48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"/>
      <c r="O82" s="3"/>
      <c r="U82" s="2"/>
      <c r="X82" s="2"/>
      <c r="Z82" s="2"/>
      <c r="AB82" s="2"/>
      <c r="AD82" s="2"/>
      <c r="AF82" s="2"/>
      <c r="AH82" s="2"/>
      <c r="AJ82" s="2"/>
      <c r="AL82" s="2"/>
      <c r="AN82" s="2"/>
      <c r="AO82" s="2"/>
      <c r="AP82" s="1"/>
      <c r="AQ82" s="2"/>
      <c r="AR82" s="1"/>
      <c r="AS82" s="2"/>
      <c r="AT82" s="2"/>
      <c r="AU82" s="2"/>
      <c r="AV82" s="2"/>
    </row>
    <row r="83" spans="2:48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"/>
      <c r="O83" s="3"/>
      <c r="P83" s="4"/>
      <c r="Q83" s="5"/>
      <c r="R83" s="5"/>
      <c r="U83" s="2"/>
      <c r="X83" s="2"/>
      <c r="Z83" s="2"/>
      <c r="AB83" s="2"/>
      <c r="AD83" s="2"/>
      <c r="AF83" s="2"/>
      <c r="AH83" s="2"/>
      <c r="AJ83" s="2"/>
      <c r="AL83" s="2"/>
      <c r="AN83" s="2"/>
      <c r="AO83" s="2"/>
      <c r="AP83" s="1"/>
      <c r="AQ83" s="2"/>
      <c r="AR83" s="1"/>
      <c r="AS83" s="2"/>
      <c r="AT83" s="2"/>
      <c r="AU83" s="2"/>
      <c r="AV83" s="2"/>
    </row>
    <row r="84" spans="2:48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"/>
      <c r="O84" s="3"/>
      <c r="P84" s="8"/>
      <c r="Q84" s="8"/>
      <c r="R84" s="8"/>
      <c r="U84" s="2"/>
      <c r="X84" s="2"/>
      <c r="Z84" s="2"/>
      <c r="AB84" s="2"/>
      <c r="AD84" s="2"/>
      <c r="AF84" s="2"/>
      <c r="AH84" s="2"/>
      <c r="AJ84" s="2"/>
      <c r="AL84" s="2"/>
      <c r="AN84" s="2"/>
      <c r="AO84" s="2"/>
      <c r="AP84" s="1"/>
      <c r="AQ84" s="2"/>
      <c r="AR84" s="1"/>
      <c r="AS84" s="2"/>
      <c r="AT84" s="2"/>
      <c r="AU84" s="2"/>
      <c r="AV84" s="2"/>
    </row>
    <row r="85" spans="2:48" s="61" customFormat="1" ht="14.5" customHeight="1" x14ac:dyDescent="0.2">
      <c r="B8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"/>
      <c r="O85" s="316"/>
      <c r="P85" s="388" t="s">
        <v>0</v>
      </c>
      <c r="Q85" s="388" t="s">
        <v>270</v>
      </c>
      <c r="R85" s="388" t="s">
        <v>2</v>
      </c>
      <c r="S85" s="394" t="s">
        <v>3</v>
      </c>
      <c r="T85" s="388" t="s">
        <v>4</v>
      </c>
      <c r="U85" s="388"/>
      <c r="V85" s="388" t="s">
        <v>139</v>
      </c>
      <c r="W85" s="388"/>
      <c r="X85" s="388"/>
      <c r="Y85" s="388" t="s">
        <v>134</v>
      </c>
      <c r="Z85" s="388"/>
      <c r="AA85" s="388" t="s">
        <v>135</v>
      </c>
      <c r="AB85" s="388"/>
      <c r="AC85" s="388" t="s">
        <v>5</v>
      </c>
      <c r="AD85" s="388"/>
      <c r="AE85" s="388" t="s">
        <v>137</v>
      </c>
      <c r="AF85" s="388"/>
      <c r="AG85" s="388" t="s">
        <v>424</v>
      </c>
      <c r="AH85" s="388"/>
      <c r="AI85" s="388" t="s">
        <v>431</v>
      </c>
      <c r="AJ85" s="388"/>
      <c r="AK85" s="388" t="s">
        <v>438</v>
      </c>
      <c r="AL85" s="388"/>
      <c r="AM85" s="388" t="s">
        <v>445</v>
      </c>
      <c r="AN85" s="388"/>
      <c r="AO85" s="389" t="s">
        <v>141</v>
      </c>
      <c r="AP85" s="391" t="s">
        <v>6</v>
      </c>
      <c r="AQ85" s="391"/>
      <c r="AR85" s="391"/>
      <c r="AS85" s="391"/>
      <c r="AT85" s="385" t="s">
        <v>7</v>
      </c>
      <c r="AU85" s="385" t="s">
        <v>2</v>
      </c>
      <c r="AV85" s="385" t="s">
        <v>144</v>
      </c>
    </row>
    <row r="86" spans="2:48" s="61" customFormat="1" ht="32" x14ac:dyDescent="0.2">
      <c r="B8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"/>
      <c r="O86" s="316"/>
      <c r="P86" s="388"/>
      <c r="Q86" s="388"/>
      <c r="R86" s="388"/>
      <c r="S86" s="394"/>
      <c r="T86" s="253" t="s">
        <v>9</v>
      </c>
      <c r="U86" s="54" t="s">
        <v>10</v>
      </c>
      <c r="V86" s="253" t="s">
        <v>514</v>
      </c>
      <c r="W86" s="296" t="s">
        <v>515</v>
      </c>
      <c r="X86" s="54" t="s">
        <v>10</v>
      </c>
      <c r="Y86" s="253" t="s">
        <v>9</v>
      </c>
      <c r="Z86" s="54" t="s">
        <v>10</v>
      </c>
      <c r="AA86" s="253" t="s">
        <v>9</v>
      </c>
      <c r="AB86" s="54" t="s">
        <v>10</v>
      </c>
      <c r="AC86" s="253" t="s">
        <v>9</v>
      </c>
      <c r="AD86" s="54" t="s">
        <v>10</v>
      </c>
      <c r="AE86" s="253" t="s">
        <v>9</v>
      </c>
      <c r="AF86" s="54" t="s">
        <v>10</v>
      </c>
      <c r="AG86" s="253" t="s">
        <v>9</v>
      </c>
      <c r="AH86" s="54" t="s">
        <v>10</v>
      </c>
      <c r="AI86" s="253" t="s">
        <v>9</v>
      </c>
      <c r="AJ86" s="54" t="s">
        <v>10</v>
      </c>
      <c r="AK86" s="253" t="s">
        <v>9</v>
      </c>
      <c r="AL86" s="54" t="s">
        <v>10</v>
      </c>
      <c r="AM86" s="253" t="s">
        <v>9</v>
      </c>
      <c r="AN86" s="54" t="s">
        <v>10</v>
      </c>
      <c r="AO86" s="390"/>
      <c r="AP86" s="135" t="s">
        <v>798</v>
      </c>
      <c r="AQ86" s="134" t="s">
        <v>143</v>
      </c>
      <c r="AR86" s="135" t="s">
        <v>11</v>
      </c>
      <c r="AS86" s="134" t="s">
        <v>143</v>
      </c>
      <c r="AT86" s="385"/>
      <c r="AU86" s="385"/>
      <c r="AV86" s="385"/>
    </row>
    <row r="87" spans="2:48" ht="16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"/>
      <c r="O87" s="3"/>
      <c r="P87" s="397" t="s">
        <v>37</v>
      </c>
      <c r="Q87" s="52" t="s">
        <v>385</v>
      </c>
      <c r="R87" s="74" t="s">
        <v>98</v>
      </c>
      <c r="S87" s="12" t="s">
        <v>18</v>
      </c>
      <c r="T87" s="269">
        <f>'Pencapaian Sales Value'!G87</f>
        <v>0.42701404814428112</v>
      </c>
      <c r="U87" s="15">
        <f>'Pencapaian Sales Value'!I87</f>
        <v>0</v>
      </c>
      <c r="V87" s="304">
        <f>'Pencapaian Product Focus'!H87</f>
        <v>0</v>
      </c>
      <c r="W87" s="304">
        <f>'Pencapaian Product Focus'!L87</f>
        <v>0</v>
      </c>
      <c r="X87" s="178">
        <f>'Pencapaian Product Focus'!N87</f>
        <v>0</v>
      </c>
      <c r="Y87" s="269">
        <f>'Pencapaian Effective Call'!G87</f>
        <v>0.63733333333333331</v>
      </c>
      <c r="Z87" s="15">
        <f>'Pencapaian Effective Call'!I87</f>
        <v>0</v>
      </c>
      <c r="AA87" s="269">
        <f>'Pencapaian New Open Outlet'!G87</f>
        <v>3.7</v>
      </c>
      <c r="AB87" s="15">
        <f>'Pencapaian New Open Outlet'!I87</f>
        <v>225000</v>
      </c>
      <c r="AC87" s="269">
        <f>'Pencapaian Active Outlet'!G87</f>
        <v>0.84571428571428575</v>
      </c>
      <c r="AD87" s="15">
        <f>'Pencapaian Active Outlet'!I87</f>
        <v>45000</v>
      </c>
      <c r="AE87" s="255">
        <f>'Pencapaian Item per Outlet'!G87</f>
        <v>0</v>
      </c>
      <c r="AF87" s="170">
        <f>'Pencapaian Item per Outlet'!I87</f>
        <v>0</v>
      </c>
      <c r="AG87" s="255">
        <f>'Pencapaian Product Display'!G87</f>
        <v>0</v>
      </c>
      <c r="AH87" s="170">
        <f>'Pencapaian Product Display'!I87</f>
        <v>0</v>
      </c>
      <c r="AI87" s="255">
        <f>'Pencapaian Sales Contract'!G87</f>
        <v>0</v>
      </c>
      <c r="AJ87" s="170">
        <f>'Pencapaian Sales Contract'!I87</f>
        <v>0</v>
      </c>
      <c r="AK87" s="255">
        <f>'Pencapaian Co-Branding'!G87</f>
        <v>0</v>
      </c>
      <c r="AL87" s="170">
        <f>'Pencapaian Co-Branding'!I87</f>
        <v>0</v>
      </c>
      <c r="AM87" s="255">
        <f>'Pencapaian Join Event Activity'!G87</f>
        <v>0</v>
      </c>
      <c r="AN87" s="170">
        <f>'Pencapaian Join Event Activity'!I87</f>
        <v>0</v>
      </c>
      <c r="AO87" s="15">
        <f t="shared" ref="AO87:AO95" si="52">SUM(AN87,AL87,AJ87,AH87,AF87,AD87,AB87,Z87,X87,U87)</f>
        <v>270000</v>
      </c>
      <c r="AP87" s="13">
        <v>4.6681903121176763E-3</v>
      </c>
      <c r="AQ87" s="15">
        <f t="shared" ref="AQ87:AQ89" si="53">IF(AP87&gt;=0.5%,-(AO87*10%),0)</f>
        <v>0</v>
      </c>
      <c r="AR87" s="13">
        <v>0</v>
      </c>
      <c r="AS87" s="15">
        <f t="shared" ref="AS87:AS89" si="54">IF(AR87&gt;0,-(AO87+AQ87),0)</f>
        <v>0</v>
      </c>
      <c r="AT87" s="15">
        <f t="shared" ref="AT87:AT95" si="55">SUM(AS87,AQ87,AO87)</f>
        <v>270000</v>
      </c>
      <c r="AU87" s="15">
        <f t="shared" ref="AU87:AU88" si="56">AT87*70%</f>
        <v>189000</v>
      </c>
      <c r="AV87" s="15">
        <f t="shared" ref="AV87:AV88" si="57">AT87*30%</f>
        <v>81000</v>
      </c>
    </row>
    <row r="88" spans="2:48" ht="16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"/>
      <c r="O88" s="3"/>
      <c r="P88" s="397"/>
      <c r="Q88" s="52" t="s">
        <v>384</v>
      </c>
      <c r="R88" s="52" t="s">
        <v>310</v>
      </c>
      <c r="S88" s="12" t="s">
        <v>18</v>
      </c>
      <c r="T88" s="269">
        <f>'Pencapaian Sales Value'!G88</f>
        <v>1.0391522807435349</v>
      </c>
      <c r="U88" s="15">
        <f>'Pencapaian Sales Value'!I88</f>
        <v>450000</v>
      </c>
      <c r="V88" s="304">
        <f>'Pencapaian Product Focus'!H88</f>
        <v>0</v>
      </c>
      <c r="W88" s="304">
        <f>'Pencapaian Product Focus'!L88</f>
        <v>0</v>
      </c>
      <c r="X88" s="178">
        <f>'Pencapaian Product Focus'!N88</f>
        <v>0</v>
      </c>
      <c r="Y88" s="269">
        <f>'Pencapaian Effective Call'!G88</f>
        <v>0.89866666666666661</v>
      </c>
      <c r="Z88" s="15">
        <f>'Pencapaian Effective Call'!I88</f>
        <v>90000</v>
      </c>
      <c r="AA88" s="269">
        <f>'Pencapaian New Open Outlet'!G88</f>
        <v>0.8</v>
      </c>
      <c r="AB88" s="15">
        <f>'Pencapaian New Open Outlet'!I88</f>
        <v>90000</v>
      </c>
      <c r="AC88" s="269">
        <f>'Pencapaian Active Outlet'!G88</f>
        <v>1.2733333333333334</v>
      </c>
      <c r="AD88" s="15">
        <f>'Pencapaian Active Outlet'!I88</f>
        <v>112500</v>
      </c>
      <c r="AE88" s="255">
        <f>'Pencapaian Item per Outlet'!G88</f>
        <v>0</v>
      </c>
      <c r="AF88" s="170">
        <f>'Pencapaian Item per Outlet'!I88</f>
        <v>0</v>
      </c>
      <c r="AG88" s="255">
        <f>'Pencapaian Product Display'!G88</f>
        <v>0</v>
      </c>
      <c r="AH88" s="170">
        <f>'Pencapaian Product Display'!I88</f>
        <v>0</v>
      </c>
      <c r="AI88" s="255">
        <f>'Pencapaian Sales Contract'!G88</f>
        <v>0</v>
      </c>
      <c r="AJ88" s="170">
        <f>'Pencapaian Sales Contract'!I88</f>
        <v>0</v>
      </c>
      <c r="AK88" s="255">
        <f>'Pencapaian Co-Branding'!G88</f>
        <v>0</v>
      </c>
      <c r="AL88" s="170">
        <f>'Pencapaian Co-Branding'!I88</f>
        <v>0</v>
      </c>
      <c r="AM88" s="255">
        <f>'Pencapaian Join Event Activity'!G88</f>
        <v>0</v>
      </c>
      <c r="AN88" s="170">
        <f>'Pencapaian Join Event Activity'!I88</f>
        <v>0</v>
      </c>
      <c r="AO88" s="15">
        <f t="shared" si="52"/>
        <v>742500</v>
      </c>
      <c r="AP88" s="13">
        <v>0</v>
      </c>
      <c r="AQ88" s="15">
        <f t="shared" si="53"/>
        <v>0</v>
      </c>
      <c r="AR88" s="13">
        <v>0</v>
      </c>
      <c r="AS88" s="15">
        <f t="shared" si="54"/>
        <v>0</v>
      </c>
      <c r="AT88" s="15">
        <f t="shared" si="55"/>
        <v>742500</v>
      </c>
      <c r="AU88" s="15">
        <f t="shared" si="56"/>
        <v>519749.99999999994</v>
      </c>
      <c r="AV88" s="15">
        <f t="shared" si="57"/>
        <v>222750</v>
      </c>
    </row>
    <row r="89" spans="2:48" ht="16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"/>
      <c r="O89" s="3"/>
      <c r="P89" s="397"/>
      <c r="Q89" s="78"/>
      <c r="R89" s="78" t="s">
        <v>230</v>
      </c>
      <c r="S89" s="64" t="s">
        <v>20</v>
      </c>
      <c r="T89" s="258">
        <f>'Pencapaian Sales Value'!G89</f>
        <v>0.65077411352056969</v>
      </c>
      <c r="U89" s="63">
        <f>'Pencapaian Sales Value'!I89</f>
        <v>0</v>
      </c>
      <c r="V89" s="268">
        <f>'Pencapaian Product Focus'!H89</f>
        <v>0</v>
      </c>
      <c r="W89" s="268">
        <f>'Pencapaian Product Focus'!L89</f>
        <v>0</v>
      </c>
      <c r="X89" s="189">
        <f>'Pencapaian Product Focus'!N89</f>
        <v>0</v>
      </c>
      <c r="Y89" s="258">
        <f>'Pencapaian Effective Call'!G89</f>
        <v>0.76800000000000002</v>
      </c>
      <c r="Z89" s="63">
        <f>'Pencapaian Effective Call'!I89</f>
        <v>60000</v>
      </c>
      <c r="AA89" s="258">
        <f>'Pencapaian New Open Outlet'!G89</f>
        <v>2.25</v>
      </c>
      <c r="AB89" s="63">
        <f>'Pencapaian New Open Outlet'!I89</f>
        <v>336000</v>
      </c>
      <c r="AC89" s="258">
        <f>'Pencapaian Active Outlet'!G89</f>
        <v>1.043076923076923</v>
      </c>
      <c r="AD89" s="63">
        <f>'Pencapaian Active Outlet'!I89</f>
        <v>240000</v>
      </c>
      <c r="AE89" s="268">
        <f>'Pencapaian Item per Outlet'!G89</f>
        <v>0</v>
      </c>
      <c r="AF89" s="189">
        <f>'Pencapaian Item per Outlet'!I89</f>
        <v>0</v>
      </c>
      <c r="AG89" s="268">
        <f>'Pencapaian Product Display'!G89</f>
        <v>0</v>
      </c>
      <c r="AH89" s="189">
        <f>'Pencapaian Product Display'!I89</f>
        <v>0</v>
      </c>
      <c r="AI89" s="268">
        <f>'Pencapaian Sales Contract'!G89</f>
        <v>0</v>
      </c>
      <c r="AJ89" s="189">
        <f>'Pencapaian Sales Contract'!I89</f>
        <v>0</v>
      </c>
      <c r="AK89" s="268">
        <f>'Pencapaian Co-Branding'!G89</f>
        <v>0</v>
      </c>
      <c r="AL89" s="189">
        <f>'Pencapaian Co-Branding'!I89</f>
        <v>0</v>
      </c>
      <c r="AM89" s="268">
        <f>'Pencapaian Join Event Activity'!G89</f>
        <v>0</v>
      </c>
      <c r="AN89" s="189">
        <f>'Pencapaian Join Event Activity'!I89</f>
        <v>0</v>
      </c>
      <c r="AO89" s="63">
        <f t="shared" si="52"/>
        <v>636000</v>
      </c>
      <c r="AP89" s="110">
        <v>1.9434158899491493E-3</v>
      </c>
      <c r="AQ89" s="63">
        <f t="shared" si="53"/>
        <v>0</v>
      </c>
      <c r="AR89" s="110">
        <v>0</v>
      </c>
      <c r="AS89" s="63">
        <f t="shared" si="54"/>
        <v>0</v>
      </c>
      <c r="AT89" s="63">
        <f t="shared" si="55"/>
        <v>636000</v>
      </c>
      <c r="AU89" s="63">
        <f>AT89</f>
        <v>636000</v>
      </c>
      <c r="AV89" s="63">
        <v>0</v>
      </c>
    </row>
    <row r="90" spans="2:48" ht="16" x14ac:dyDescent="0.2">
      <c r="B90" s="61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16"/>
      <c r="O90" s="3"/>
      <c r="P90" s="397"/>
      <c r="Q90" s="77"/>
      <c r="R90" s="77" t="s">
        <v>38</v>
      </c>
      <c r="S90" s="42"/>
      <c r="T90" s="264">
        <f>'Pencapaian Sales Value'!G90</f>
        <v>0.65077411352056969</v>
      </c>
      <c r="U90" s="23">
        <f>'Pencapaian Sales Value'!I90</f>
        <v>450000</v>
      </c>
      <c r="V90" s="274">
        <f>'Pencapaian Product Focus'!H90</f>
        <v>0</v>
      </c>
      <c r="W90" s="274">
        <f>'Pencapaian Product Focus'!L90</f>
        <v>0</v>
      </c>
      <c r="X90" s="190">
        <f>'Pencapaian Product Focus'!N90</f>
        <v>0</v>
      </c>
      <c r="Y90" s="264">
        <f>'Pencapaian Effective Call'!G90</f>
        <v>0.76800000000000002</v>
      </c>
      <c r="Z90" s="23">
        <f>'Pencapaian Effective Call'!I90</f>
        <v>150000</v>
      </c>
      <c r="AA90" s="264">
        <f>'Pencapaian New Open Outlet'!G90</f>
        <v>2.25</v>
      </c>
      <c r="AB90" s="23">
        <f>'Pencapaian New Open Outlet'!I90</f>
        <v>651000</v>
      </c>
      <c r="AC90" s="264">
        <f>'Pencapaian Active Outlet'!G90</f>
        <v>1.043076923076923</v>
      </c>
      <c r="AD90" s="23">
        <f>'Pencapaian Active Outlet'!I90</f>
        <v>397500</v>
      </c>
      <c r="AE90" s="274">
        <f>'Pencapaian Item per Outlet'!G90</f>
        <v>0</v>
      </c>
      <c r="AF90" s="190">
        <f>'Pencapaian Item per Outlet'!I90</f>
        <v>0</v>
      </c>
      <c r="AG90" s="274">
        <f>'Pencapaian Product Display'!G90</f>
        <v>0</v>
      </c>
      <c r="AH90" s="190">
        <f>'Pencapaian Product Display'!I90</f>
        <v>0</v>
      </c>
      <c r="AI90" s="274">
        <f>'Pencapaian Sales Contract'!G90</f>
        <v>0</v>
      </c>
      <c r="AJ90" s="190">
        <f>'Pencapaian Sales Contract'!I90</f>
        <v>0</v>
      </c>
      <c r="AK90" s="274">
        <f>'Pencapaian Co-Branding'!G90</f>
        <v>0</v>
      </c>
      <c r="AL90" s="190">
        <f>'Pencapaian Co-Branding'!I90</f>
        <v>0</v>
      </c>
      <c r="AM90" s="274">
        <f>'Pencapaian Join Event Activity'!G90</f>
        <v>0</v>
      </c>
      <c r="AN90" s="190">
        <f>'Pencapaian Join Event Activity'!I90</f>
        <v>0</v>
      </c>
      <c r="AO90" s="23">
        <f t="shared" si="52"/>
        <v>1648500</v>
      </c>
      <c r="AP90" s="112">
        <v>1.9434158899491493E-3</v>
      </c>
      <c r="AQ90" s="23">
        <f>SUM(AQ87:AQ89)</f>
        <v>0</v>
      </c>
      <c r="AR90" s="112">
        <v>0</v>
      </c>
      <c r="AS90" s="23">
        <f>SUM(AS87:AS89)</f>
        <v>0</v>
      </c>
      <c r="AT90" s="23">
        <f t="shared" si="55"/>
        <v>1648500</v>
      </c>
      <c r="AU90" s="23">
        <f t="shared" ref="AU90:AV90" si="58">SUM(AU87:AU89)</f>
        <v>1344750</v>
      </c>
      <c r="AV90" s="23">
        <f t="shared" si="58"/>
        <v>303750</v>
      </c>
    </row>
    <row r="91" spans="2:48" ht="16" x14ac:dyDescent="0.2">
      <c r="B91" s="61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16"/>
      <c r="O91" s="3"/>
      <c r="P91" s="397" t="s">
        <v>614</v>
      </c>
      <c r="Q91" s="52" t="s">
        <v>386</v>
      </c>
      <c r="R91" s="69" t="s">
        <v>265</v>
      </c>
      <c r="S91" s="12" t="s">
        <v>18</v>
      </c>
      <c r="T91" s="269">
        <f>'Pencapaian Sales Value'!G91</f>
        <v>0.80873936723578732</v>
      </c>
      <c r="U91" s="15">
        <f>'Pencapaian Sales Value'!I91</f>
        <v>225000</v>
      </c>
      <c r="V91" s="304">
        <f>'Pencapaian Product Focus'!H91</f>
        <v>0</v>
      </c>
      <c r="W91" s="304">
        <f>'Pencapaian Product Focus'!L91</f>
        <v>0</v>
      </c>
      <c r="X91" s="178">
        <f>'Pencapaian Product Focus'!N91</f>
        <v>0</v>
      </c>
      <c r="Y91" s="269">
        <f>'Pencapaian Effective Call'!G91</f>
        <v>0.73076923076923073</v>
      </c>
      <c r="Z91" s="15">
        <f>'Pencapaian Effective Call'!I91</f>
        <v>45000</v>
      </c>
      <c r="AA91" s="269">
        <f>'Pencapaian New Open Outlet'!G91</f>
        <v>0.3</v>
      </c>
      <c r="AB91" s="15">
        <f>'Pencapaian New Open Outlet'!I91</f>
        <v>0</v>
      </c>
      <c r="AC91" s="269">
        <f>'Pencapaian Active Outlet'!G91</f>
        <v>0.60843373493975905</v>
      </c>
      <c r="AD91" s="15">
        <f>'Pencapaian Active Outlet'!I91</f>
        <v>0</v>
      </c>
      <c r="AE91" s="255">
        <f>'Pencapaian Item per Outlet'!G91</f>
        <v>0</v>
      </c>
      <c r="AF91" s="170">
        <f>'Pencapaian Item per Outlet'!I91</f>
        <v>0</v>
      </c>
      <c r="AG91" s="255">
        <f>'Pencapaian Product Display'!G91</f>
        <v>0</v>
      </c>
      <c r="AH91" s="170">
        <f>'Pencapaian Product Display'!I91</f>
        <v>0</v>
      </c>
      <c r="AI91" s="255">
        <f>'Pencapaian Sales Contract'!G91</f>
        <v>0</v>
      </c>
      <c r="AJ91" s="170">
        <f>'Pencapaian Sales Contract'!I91</f>
        <v>0</v>
      </c>
      <c r="AK91" s="255">
        <f>'Pencapaian Co-Branding'!G91</f>
        <v>0</v>
      </c>
      <c r="AL91" s="170">
        <f>'Pencapaian Co-Branding'!I91</f>
        <v>0</v>
      </c>
      <c r="AM91" s="255">
        <f>'Pencapaian Join Event Activity'!G91</f>
        <v>0</v>
      </c>
      <c r="AN91" s="170">
        <f>'Pencapaian Join Event Activity'!I91</f>
        <v>0</v>
      </c>
      <c r="AO91" s="15">
        <f t="shared" si="52"/>
        <v>270000</v>
      </c>
      <c r="AP91" s="13">
        <v>0</v>
      </c>
      <c r="AQ91" s="15">
        <f t="shared" ref="AQ91:AQ93" si="59">IF(AP91&gt;=0.5%,-(AO91*10%),0)</f>
        <v>0</v>
      </c>
      <c r="AR91" s="13">
        <v>0</v>
      </c>
      <c r="AS91" s="15">
        <f t="shared" ref="AS91:AS93" si="60">IF(AR91&gt;0,-(AO91+AQ91),0)</f>
        <v>0</v>
      </c>
      <c r="AT91" s="15">
        <f t="shared" si="55"/>
        <v>270000</v>
      </c>
      <c r="AU91" s="15">
        <f t="shared" ref="AU91:AU92" si="61">AT91*70%</f>
        <v>189000</v>
      </c>
      <c r="AV91" s="15">
        <f t="shared" ref="AV91:AV92" si="62">AT91*30%</f>
        <v>81000</v>
      </c>
    </row>
    <row r="92" spans="2:48" ht="16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"/>
      <c r="O92" s="3"/>
      <c r="P92" s="397"/>
      <c r="Q92" s="52" t="s">
        <v>387</v>
      </c>
      <c r="R92" s="52" t="s">
        <v>97</v>
      </c>
      <c r="S92" s="38" t="s">
        <v>18</v>
      </c>
      <c r="T92" s="269">
        <f>'Pencapaian Sales Value'!G92</f>
        <v>0.65018427418700186</v>
      </c>
      <c r="U92" s="15">
        <f>'Pencapaian Sales Value'!I92</f>
        <v>0</v>
      </c>
      <c r="V92" s="304">
        <f>'Pencapaian Product Focus'!H92</f>
        <v>0</v>
      </c>
      <c r="W92" s="304">
        <f>'Pencapaian Product Focus'!L92</f>
        <v>0</v>
      </c>
      <c r="X92" s="178">
        <f>'Pencapaian Product Focus'!N92</f>
        <v>0</v>
      </c>
      <c r="Y92" s="269">
        <f>'Pencapaian Effective Call'!G92</f>
        <v>0.4653846153846154</v>
      </c>
      <c r="Z92" s="15">
        <f>'Pencapaian Effective Call'!I92</f>
        <v>0</v>
      </c>
      <c r="AA92" s="269">
        <f>'Pencapaian New Open Outlet'!G92</f>
        <v>0.3</v>
      </c>
      <c r="AB92" s="15">
        <f>'Pencapaian New Open Outlet'!I92</f>
        <v>0</v>
      </c>
      <c r="AC92" s="269">
        <f>'Pencapaian Active Outlet'!G92</f>
        <v>0.84705882352941175</v>
      </c>
      <c r="AD92" s="15">
        <f>'Pencapaian Active Outlet'!I92</f>
        <v>45000</v>
      </c>
      <c r="AE92" s="255">
        <f>'Pencapaian Item per Outlet'!G92</f>
        <v>0</v>
      </c>
      <c r="AF92" s="170">
        <f>'Pencapaian Item per Outlet'!I92</f>
        <v>0</v>
      </c>
      <c r="AG92" s="255">
        <f>'Pencapaian Product Display'!G92</f>
        <v>0</v>
      </c>
      <c r="AH92" s="170">
        <f>'Pencapaian Product Display'!I92</f>
        <v>0</v>
      </c>
      <c r="AI92" s="255">
        <f>'Pencapaian Sales Contract'!G92</f>
        <v>0</v>
      </c>
      <c r="AJ92" s="170">
        <f>'Pencapaian Sales Contract'!I92</f>
        <v>0</v>
      </c>
      <c r="AK92" s="255">
        <f>'Pencapaian Co-Branding'!G92</f>
        <v>0</v>
      </c>
      <c r="AL92" s="170">
        <f>'Pencapaian Co-Branding'!I92</f>
        <v>0</v>
      </c>
      <c r="AM92" s="255">
        <f>'Pencapaian Join Event Activity'!G92</f>
        <v>0</v>
      </c>
      <c r="AN92" s="170">
        <f>'Pencapaian Join Event Activity'!I92</f>
        <v>0</v>
      </c>
      <c r="AO92" s="15">
        <f t="shared" si="52"/>
        <v>45000</v>
      </c>
      <c r="AP92" s="13">
        <v>7.3689782953943886E-3</v>
      </c>
      <c r="AQ92" s="15">
        <f t="shared" si="59"/>
        <v>-4500</v>
      </c>
      <c r="AR92" s="13">
        <v>0</v>
      </c>
      <c r="AS92" s="15">
        <f t="shared" si="60"/>
        <v>0</v>
      </c>
      <c r="AT92" s="262">
        <f t="shared" si="55"/>
        <v>40500</v>
      </c>
      <c r="AU92" s="15">
        <f t="shared" si="61"/>
        <v>28350</v>
      </c>
      <c r="AV92" s="15">
        <f t="shared" si="62"/>
        <v>12150</v>
      </c>
    </row>
    <row r="93" spans="2:48" ht="16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"/>
      <c r="O93" s="3"/>
      <c r="P93" s="397"/>
      <c r="Q93" s="78"/>
      <c r="R93" s="78" t="s">
        <v>497</v>
      </c>
      <c r="S93" s="64" t="s">
        <v>20</v>
      </c>
      <c r="T93" s="258">
        <f>'Pencapaian Sales Value'!G93</f>
        <v>0.75324508466871232</v>
      </c>
      <c r="U93" s="63">
        <f>'Pencapaian Sales Value'!I93</f>
        <v>120000</v>
      </c>
      <c r="V93" s="268">
        <f>'Pencapaian Product Focus'!H93</f>
        <v>0</v>
      </c>
      <c r="W93" s="268">
        <f>'Pencapaian Product Focus'!L93</f>
        <v>0</v>
      </c>
      <c r="X93" s="189">
        <f>'Pencapaian Product Focus'!N93</f>
        <v>0</v>
      </c>
      <c r="Y93" s="258">
        <f>'Pencapaian Effective Call'!G93</f>
        <v>0.6101398601398601</v>
      </c>
      <c r="Z93" s="63">
        <f>'Pencapaian Effective Call'!I93</f>
        <v>0</v>
      </c>
      <c r="AA93" s="258">
        <f>'Pencapaian New Open Outlet'!G93</f>
        <v>0.3</v>
      </c>
      <c r="AB93" s="63">
        <f>'Pencapaian New Open Outlet'!I93</f>
        <v>0</v>
      </c>
      <c r="AC93" s="258">
        <f>'Pencapaian Active Outlet'!G93</f>
        <v>0.68924302788844627</v>
      </c>
      <c r="AD93" s="63">
        <f>'Pencapaian Active Outlet'!I93</f>
        <v>0</v>
      </c>
      <c r="AE93" s="268">
        <f>'Pencapaian Item per Outlet'!G93</f>
        <v>0</v>
      </c>
      <c r="AF93" s="189">
        <f>'Pencapaian Item per Outlet'!I93</f>
        <v>0</v>
      </c>
      <c r="AG93" s="268">
        <f>'Pencapaian Product Display'!G93</f>
        <v>0</v>
      </c>
      <c r="AH93" s="189">
        <f>'Pencapaian Product Display'!I93</f>
        <v>0</v>
      </c>
      <c r="AI93" s="268">
        <f>'Pencapaian Sales Contract'!G93</f>
        <v>0</v>
      </c>
      <c r="AJ93" s="189">
        <f>'Pencapaian Sales Contract'!I93</f>
        <v>0</v>
      </c>
      <c r="AK93" s="268">
        <f>'Pencapaian Co-Branding'!G93</f>
        <v>0</v>
      </c>
      <c r="AL93" s="189">
        <f>'Pencapaian Co-Branding'!I93</f>
        <v>0</v>
      </c>
      <c r="AM93" s="268">
        <f>'Pencapaian Join Event Activity'!G93</f>
        <v>0</v>
      </c>
      <c r="AN93" s="189">
        <f>'Pencapaian Join Event Activity'!I93</f>
        <v>0</v>
      </c>
      <c r="AO93" s="63">
        <f t="shared" si="52"/>
        <v>120000</v>
      </c>
      <c r="AP93" s="110">
        <v>2.223842082374184E-3</v>
      </c>
      <c r="AQ93" s="63">
        <f t="shared" si="59"/>
        <v>0</v>
      </c>
      <c r="AR93" s="110">
        <v>0</v>
      </c>
      <c r="AS93" s="63">
        <f t="shared" si="60"/>
        <v>0</v>
      </c>
      <c r="AT93" s="63">
        <f t="shared" si="55"/>
        <v>120000</v>
      </c>
      <c r="AU93" s="63">
        <f>AT93</f>
        <v>120000</v>
      </c>
      <c r="AV93" s="63">
        <v>0</v>
      </c>
    </row>
    <row r="94" spans="2:48" ht="16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"/>
      <c r="O94" s="3"/>
      <c r="P94" s="397"/>
      <c r="Q94" s="77"/>
      <c r="R94" s="77" t="s">
        <v>615</v>
      </c>
      <c r="S94" s="42"/>
      <c r="T94" s="264">
        <f>'Pencapaian Sales Value'!G94</f>
        <v>0.75324508466871232</v>
      </c>
      <c r="U94" s="23">
        <f>'Pencapaian Sales Value'!I94</f>
        <v>345000</v>
      </c>
      <c r="V94" s="274">
        <f>'Pencapaian Product Focus'!H94</f>
        <v>0</v>
      </c>
      <c r="W94" s="274">
        <f>'Pencapaian Product Focus'!L94</f>
        <v>0</v>
      </c>
      <c r="X94" s="190">
        <f>'Pencapaian Product Focus'!N94</f>
        <v>0</v>
      </c>
      <c r="Y94" s="264">
        <f>'Pencapaian Effective Call'!G94</f>
        <v>0.6101398601398601</v>
      </c>
      <c r="Z94" s="23">
        <f>'Pencapaian Effective Call'!I94</f>
        <v>45000</v>
      </c>
      <c r="AA94" s="264">
        <f>'Pencapaian New Open Outlet'!G94</f>
        <v>0.3</v>
      </c>
      <c r="AB94" s="23">
        <f>'Pencapaian New Open Outlet'!I94</f>
        <v>0</v>
      </c>
      <c r="AC94" s="264">
        <f>'Pencapaian Active Outlet'!G94</f>
        <v>0.68924302788844627</v>
      </c>
      <c r="AD94" s="23">
        <f>'Pencapaian Active Outlet'!I94</f>
        <v>45000</v>
      </c>
      <c r="AE94" s="274">
        <f>'Pencapaian Item per Outlet'!G94</f>
        <v>0</v>
      </c>
      <c r="AF94" s="190">
        <f>'Pencapaian Item per Outlet'!I94</f>
        <v>0</v>
      </c>
      <c r="AG94" s="274">
        <f>'Pencapaian Product Display'!G94</f>
        <v>0</v>
      </c>
      <c r="AH94" s="190">
        <f>'Pencapaian Product Display'!I94</f>
        <v>0</v>
      </c>
      <c r="AI94" s="274">
        <f>'Pencapaian Sales Contract'!G94</f>
        <v>0</v>
      </c>
      <c r="AJ94" s="190">
        <f>'Pencapaian Sales Contract'!I94</f>
        <v>0</v>
      </c>
      <c r="AK94" s="274">
        <f>'Pencapaian Co-Branding'!G94</f>
        <v>0</v>
      </c>
      <c r="AL94" s="190">
        <f>'Pencapaian Co-Branding'!I94</f>
        <v>0</v>
      </c>
      <c r="AM94" s="274">
        <f>'Pencapaian Join Event Activity'!G94</f>
        <v>0</v>
      </c>
      <c r="AN94" s="190">
        <f>'Pencapaian Join Event Activity'!I94</f>
        <v>0</v>
      </c>
      <c r="AO94" s="23">
        <f t="shared" si="52"/>
        <v>435000</v>
      </c>
      <c r="AP94" s="112">
        <v>2.223842082374184E-3</v>
      </c>
      <c r="AQ94" s="23">
        <f>SUM(AQ91:AQ93)</f>
        <v>-4500</v>
      </c>
      <c r="AR94" s="112">
        <v>0</v>
      </c>
      <c r="AS94" s="23">
        <f>SUM(AS91:AS93)</f>
        <v>0</v>
      </c>
      <c r="AT94" s="23">
        <f t="shared" si="55"/>
        <v>430500</v>
      </c>
      <c r="AU94" s="23">
        <f t="shared" ref="AU94:AV94" si="63">SUM(AU91:AU93)</f>
        <v>337350</v>
      </c>
      <c r="AV94" s="23">
        <f t="shared" si="63"/>
        <v>93150</v>
      </c>
    </row>
    <row r="95" spans="2:48" ht="16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"/>
      <c r="O95" s="3"/>
      <c r="P95" s="79"/>
      <c r="Q95" s="80"/>
      <c r="R95" s="80" t="s">
        <v>219</v>
      </c>
      <c r="S95" s="205"/>
      <c r="T95" s="270">
        <f>'Pencapaian Sales Value'!G95</f>
        <v>0.71673364607047563</v>
      </c>
      <c r="U95" s="43">
        <f>'Pencapaian Sales Value'!I95</f>
        <v>795000</v>
      </c>
      <c r="V95" s="274">
        <f>'Pencapaian Product Focus'!H95</f>
        <v>0</v>
      </c>
      <c r="W95" s="274">
        <f>'Pencapaian Product Focus'!L95</f>
        <v>0</v>
      </c>
      <c r="X95" s="190">
        <f>'Pencapaian Product Focus'!N95</f>
        <v>0</v>
      </c>
      <c r="Y95" s="270">
        <f>'Pencapaian Effective Call'!G95</f>
        <v>0.69969742813918301</v>
      </c>
      <c r="Z95" s="43">
        <f>'Pencapaian Effective Call'!I95</f>
        <v>195000</v>
      </c>
      <c r="AA95" s="270">
        <f>'Pencapaian New Open Outlet'!G95</f>
        <v>1.2749999999999999</v>
      </c>
      <c r="AB95" s="43">
        <f>'Pencapaian New Open Outlet'!I95</f>
        <v>651000</v>
      </c>
      <c r="AC95" s="270">
        <f>'Pencapaian Active Outlet'!G95</f>
        <v>0.88888888888888884</v>
      </c>
      <c r="AD95" s="43">
        <f>'Pencapaian Active Outlet'!I95</f>
        <v>442500</v>
      </c>
      <c r="AE95" s="274">
        <f>'Pencapaian Item per Outlet'!G95</f>
        <v>0</v>
      </c>
      <c r="AF95" s="190">
        <f>'Pencapaian Item per Outlet'!I95</f>
        <v>0</v>
      </c>
      <c r="AG95" s="308">
        <f>'Pencapaian Product Display'!G95</f>
        <v>0</v>
      </c>
      <c r="AH95" s="315">
        <f>'Pencapaian Product Display'!I95</f>
        <v>0</v>
      </c>
      <c r="AI95" s="308">
        <f>'Pencapaian Sales Contract'!G95</f>
        <v>0</v>
      </c>
      <c r="AJ95" s="315">
        <f>'Pencapaian Sales Contract'!I95</f>
        <v>0</v>
      </c>
      <c r="AK95" s="308">
        <f>'Pencapaian Co-Branding'!G95</f>
        <v>0</v>
      </c>
      <c r="AL95" s="315">
        <f>'Pencapaian Co-Branding'!I95</f>
        <v>0</v>
      </c>
      <c r="AM95" s="308">
        <f>'Pencapaian Join Event Activity'!G95</f>
        <v>0</v>
      </c>
      <c r="AN95" s="315">
        <f>'Pencapaian Join Event Activity'!I95</f>
        <v>0</v>
      </c>
      <c r="AO95" s="43">
        <f t="shared" si="52"/>
        <v>2083500</v>
      </c>
      <c r="AP95" s="136">
        <v>2.1331853405180245E-3</v>
      </c>
      <c r="AQ95" s="43">
        <f>SUM(AQ94,AQ90)</f>
        <v>-4500</v>
      </c>
      <c r="AR95" s="136">
        <v>0</v>
      </c>
      <c r="AS95" s="43">
        <f>SUM(AS94,AS90)</f>
        <v>0</v>
      </c>
      <c r="AT95" s="43">
        <f t="shared" si="55"/>
        <v>2079000</v>
      </c>
      <c r="AU95" s="43">
        <f t="shared" ref="AU95:AV95" si="64">SUM(AU90,AU94)</f>
        <v>1682100</v>
      </c>
      <c r="AV95" s="43">
        <f t="shared" si="64"/>
        <v>396900</v>
      </c>
    </row>
    <row r="96" spans="2:48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"/>
      <c r="O96" s="3"/>
      <c r="U96" s="2"/>
      <c r="X96" s="2"/>
      <c r="Z96" s="2"/>
      <c r="AB96" s="2"/>
      <c r="AD96" s="2"/>
      <c r="AF96" s="2"/>
      <c r="AH96" s="2"/>
      <c r="AJ96" s="2"/>
      <c r="AL96" s="2"/>
      <c r="AN96" s="2"/>
      <c r="AO96" s="2"/>
      <c r="AP96" s="1"/>
      <c r="AQ96" s="2"/>
      <c r="AR96" s="1"/>
      <c r="AS96" s="2"/>
      <c r="AT96" s="2"/>
      <c r="AU96" s="2"/>
      <c r="AV96" s="2"/>
    </row>
    <row r="97" spans="2:48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"/>
      <c r="O97" s="3"/>
      <c r="U97" s="2"/>
      <c r="X97" s="2"/>
      <c r="Z97" s="2"/>
      <c r="AB97" s="2"/>
      <c r="AD97" s="2"/>
      <c r="AF97" s="2"/>
      <c r="AH97" s="2"/>
      <c r="AJ97" s="2"/>
      <c r="AL97" s="2"/>
      <c r="AN97" s="2"/>
      <c r="AO97" s="2"/>
      <c r="AP97" s="1"/>
      <c r="AQ97" s="2"/>
      <c r="AR97" s="1"/>
      <c r="AS97" s="2"/>
      <c r="AT97" s="2"/>
      <c r="AU97" s="2"/>
      <c r="AV97" s="2"/>
    </row>
    <row r="98" spans="2:48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"/>
      <c r="O98" s="3"/>
      <c r="U98" s="2"/>
      <c r="X98" s="2"/>
      <c r="Z98" s="2"/>
      <c r="AB98" s="2"/>
      <c r="AD98" s="2"/>
      <c r="AF98" s="2"/>
      <c r="AH98" s="2"/>
      <c r="AJ98" s="2"/>
      <c r="AL98" s="2"/>
      <c r="AN98" s="2"/>
      <c r="AO98" s="2"/>
      <c r="AP98" s="1"/>
      <c r="AQ98" s="2"/>
      <c r="AR98" s="1"/>
      <c r="AS98" s="2"/>
      <c r="AT98" s="2"/>
      <c r="AU98" s="2"/>
      <c r="AV98" s="2"/>
    </row>
    <row r="99" spans="2:48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"/>
      <c r="O99" s="3"/>
      <c r="U99" s="2"/>
      <c r="X99" s="2"/>
      <c r="Z99" s="2"/>
      <c r="AB99" s="2"/>
      <c r="AD99" s="2"/>
      <c r="AF99" s="2"/>
      <c r="AH99" s="2"/>
      <c r="AJ99" s="2"/>
      <c r="AL99" s="2"/>
      <c r="AN99" s="2"/>
      <c r="AO99" s="2"/>
      <c r="AP99" s="1"/>
      <c r="AQ99" s="2"/>
      <c r="AR99" s="1"/>
      <c r="AS99" s="2"/>
      <c r="AT99" s="2"/>
      <c r="AU99" s="2"/>
      <c r="AV99" s="2"/>
    </row>
    <row r="100" spans="2:48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"/>
      <c r="O100" s="3"/>
      <c r="U100" s="2"/>
      <c r="X100" s="2"/>
      <c r="Z100" s="2"/>
      <c r="AB100" s="2"/>
      <c r="AD100" s="2"/>
      <c r="AF100" s="2"/>
      <c r="AH100" s="2"/>
      <c r="AJ100" s="2"/>
      <c r="AL100" s="2"/>
      <c r="AN100" s="2"/>
      <c r="AO100" s="2"/>
      <c r="AP100" s="1"/>
      <c r="AQ100" s="2"/>
      <c r="AR100" s="1"/>
      <c r="AS100" s="2"/>
      <c r="AT100" s="2"/>
      <c r="AU100" s="2"/>
      <c r="AV100" s="2"/>
    </row>
    <row r="101" spans="2:48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"/>
      <c r="O101" s="3"/>
      <c r="P101" s="4"/>
      <c r="Q101" s="5"/>
      <c r="R101" s="5"/>
      <c r="T101" s="300"/>
      <c r="U101" s="2"/>
      <c r="V101" s="300"/>
      <c r="X101" s="2"/>
      <c r="Y101" s="300"/>
      <c r="Z101" s="2"/>
      <c r="AA101" s="300"/>
      <c r="AB101" s="2"/>
      <c r="AC101" s="300"/>
      <c r="AD101" s="2"/>
      <c r="AE101" s="300"/>
      <c r="AF101" s="2"/>
      <c r="AG101" s="300"/>
      <c r="AH101" s="2"/>
      <c r="AI101" s="300"/>
      <c r="AJ101" s="2"/>
      <c r="AK101" s="300"/>
      <c r="AL101" s="2"/>
      <c r="AM101" s="300"/>
      <c r="AN101" s="2"/>
      <c r="AO101" s="2"/>
      <c r="AP101" s="1"/>
      <c r="AQ101" s="133"/>
      <c r="AR101" s="1"/>
      <c r="AS101" s="2"/>
      <c r="AT101" s="2"/>
      <c r="AU101" s="2"/>
      <c r="AV101" s="2"/>
    </row>
    <row r="102" spans="2:48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"/>
      <c r="O102" s="3"/>
      <c r="P102" s="8"/>
      <c r="Q102" s="8"/>
      <c r="R102" s="8"/>
      <c r="T102" s="300"/>
      <c r="U102" s="2"/>
      <c r="V102" s="300"/>
      <c r="X102" s="2"/>
      <c r="Y102" s="300"/>
      <c r="Z102" s="2"/>
      <c r="AA102" s="300"/>
      <c r="AB102" s="2"/>
      <c r="AC102" s="300"/>
      <c r="AD102" s="2"/>
      <c r="AE102" s="300"/>
      <c r="AF102" s="2"/>
      <c r="AG102" s="300"/>
      <c r="AH102" s="2"/>
      <c r="AI102" s="300"/>
      <c r="AJ102" s="2"/>
      <c r="AK102" s="300"/>
      <c r="AL102" s="2"/>
      <c r="AM102" s="300"/>
      <c r="AN102" s="2"/>
      <c r="AO102" s="2"/>
      <c r="AP102" s="1"/>
      <c r="AQ102" s="133"/>
      <c r="AR102" s="1"/>
      <c r="AS102" s="2"/>
      <c r="AT102" s="2"/>
      <c r="AU102" s="2"/>
      <c r="AV102" s="2"/>
    </row>
    <row r="103" spans="2:48" s="61" customFormat="1" ht="14.5" customHeight="1" x14ac:dyDescent="0.2">
      <c r="B10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"/>
      <c r="O103" s="316"/>
      <c r="P103" s="388" t="s">
        <v>0</v>
      </c>
      <c r="Q103" s="388" t="s">
        <v>270</v>
      </c>
      <c r="R103" s="388" t="s">
        <v>2</v>
      </c>
      <c r="S103" s="394" t="s">
        <v>3</v>
      </c>
      <c r="T103" s="388" t="s">
        <v>4</v>
      </c>
      <c r="U103" s="388"/>
      <c r="V103" s="388" t="s">
        <v>139</v>
      </c>
      <c r="W103" s="388"/>
      <c r="X103" s="388"/>
      <c r="Y103" s="388" t="s">
        <v>134</v>
      </c>
      <c r="Z103" s="388"/>
      <c r="AA103" s="388" t="s">
        <v>135</v>
      </c>
      <c r="AB103" s="388"/>
      <c r="AC103" s="388" t="s">
        <v>5</v>
      </c>
      <c r="AD103" s="388"/>
      <c r="AE103" s="388" t="s">
        <v>137</v>
      </c>
      <c r="AF103" s="388"/>
      <c r="AG103" s="388" t="s">
        <v>424</v>
      </c>
      <c r="AH103" s="388"/>
      <c r="AI103" s="388" t="s">
        <v>431</v>
      </c>
      <c r="AJ103" s="388"/>
      <c r="AK103" s="388" t="s">
        <v>438</v>
      </c>
      <c r="AL103" s="388"/>
      <c r="AM103" s="388" t="s">
        <v>445</v>
      </c>
      <c r="AN103" s="388"/>
      <c r="AO103" s="389" t="s">
        <v>141</v>
      </c>
      <c r="AP103" s="391" t="s">
        <v>6</v>
      </c>
      <c r="AQ103" s="391"/>
      <c r="AR103" s="391"/>
      <c r="AS103" s="391"/>
      <c r="AT103" s="385" t="s">
        <v>7</v>
      </c>
      <c r="AU103" s="385" t="s">
        <v>2</v>
      </c>
      <c r="AV103" s="385" t="s">
        <v>144</v>
      </c>
    </row>
    <row r="104" spans="2:48" s="61" customFormat="1" ht="32" x14ac:dyDescent="0.2">
      <c r="B10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"/>
      <c r="O104" s="316"/>
      <c r="P104" s="388"/>
      <c r="Q104" s="388"/>
      <c r="R104" s="388"/>
      <c r="S104" s="394"/>
      <c r="T104" s="253" t="s">
        <v>9</v>
      </c>
      <c r="U104" s="54" t="s">
        <v>10</v>
      </c>
      <c r="V104" s="253" t="s">
        <v>514</v>
      </c>
      <c r="W104" s="296" t="s">
        <v>515</v>
      </c>
      <c r="X104" s="54" t="s">
        <v>10</v>
      </c>
      <c r="Y104" s="253" t="s">
        <v>9</v>
      </c>
      <c r="Z104" s="54" t="s">
        <v>10</v>
      </c>
      <c r="AA104" s="253" t="s">
        <v>9</v>
      </c>
      <c r="AB104" s="54" t="s">
        <v>10</v>
      </c>
      <c r="AC104" s="253" t="s">
        <v>9</v>
      </c>
      <c r="AD104" s="54" t="s">
        <v>10</v>
      </c>
      <c r="AE104" s="253" t="s">
        <v>9</v>
      </c>
      <c r="AF104" s="54" t="s">
        <v>10</v>
      </c>
      <c r="AG104" s="253" t="s">
        <v>9</v>
      </c>
      <c r="AH104" s="54" t="s">
        <v>10</v>
      </c>
      <c r="AI104" s="253" t="s">
        <v>9</v>
      </c>
      <c r="AJ104" s="54" t="s">
        <v>10</v>
      </c>
      <c r="AK104" s="253" t="s">
        <v>9</v>
      </c>
      <c r="AL104" s="54" t="s">
        <v>10</v>
      </c>
      <c r="AM104" s="253" t="s">
        <v>9</v>
      </c>
      <c r="AN104" s="54" t="s">
        <v>10</v>
      </c>
      <c r="AO104" s="390"/>
      <c r="AP104" s="135" t="s">
        <v>798</v>
      </c>
      <c r="AQ104" s="134" t="s">
        <v>143</v>
      </c>
      <c r="AR104" s="135" t="s">
        <v>11</v>
      </c>
      <c r="AS104" s="134" t="s">
        <v>143</v>
      </c>
      <c r="AT104" s="385"/>
      <c r="AU104" s="385"/>
      <c r="AV104" s="385"/>
    </row>
    <row r="105" spans="2:48" ht="16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"/>
      <c r="O105" s="3"/>
      <c r="P105" s="397" t="s">
        <v>39</v>
      </c>
      <c r="Q105" s="52" t="s">
        <v>388</v>
      </c>
      <c r="R105" s="12" t="s">
        <v>389</v>
      </c>
      <c r="S105" s="12" t="s">
        <v>18</v>
      </c>
      <c r="T105" s="269">
        <f>'Pencapaian Sales Value'!G105</f>
        <v>0.66350592592592594</v>
      </c>
      <c r="U105" s="15">
        <f>'Pencapaian Sales Value'!I105</f>
        <v>0</v>
      </c>
      <c r="V105" s="269">
        <f>'Pencapaian Product Focus'!H105</f>
        <v>0.75574074074073994</v>
      </c>
      <c r="W105" s="269">
        <f>'Pencapaian Product Focus'!L105</f>
        <v>0.375</v>
      </c>
      <c r="X105" s="15">
        <f>'Pencapaian Product Focus'!N105</f>
        <v>22500</v>
      </c>
      <c r="Y105" s="269">
        <f>'Pencapaian Effective Call'!G105</f>
        <v>0.6</v>
      </c>
      <c r="Z105" s="15">
        <f>'Pencapaian Effective Call'!I105</f>
        <v>0</v>
      </c>
      <c r="AA105" s="269">
        <f>'Pencapaian New Open Outlet'!G105</f>
        <v>0.61538461538461542</v>
      </c>
      <c r="AB105" s="15">
        <f>'Pencapaian New Open Outlet'!I105</f>
        <v>0</v>
      </c>
      <c r="AC105" s="255">
        <f>'Pencapaian Active Outlet'!G105</f>
        <v>0.7</v>
      </c>
      <c r="AD105" s="170">
        <f>'Pencapaian Active Outlet'!I105</f>
        <v>0</v>
      </c>
      <c r="AE105" s="255">
        <f>'Pencapaian Item per Outlet'!G105</f>
        <v>0</v>
      </c>
      <c r="AF105" s="309">
        <f>'Pencapaian Item per Outlet'!I105</f>
        <v>0</v>
      </c>
      <c r="AG105" s="255">
        <f>'Pencapaian Product Display'!G105</f>
        <v>0</v>
      </c>
      <c r="AH105" s="309">
        <f>'Pencapaian Product Display'!I105</f>
        <v>0</v>
      </c>
      <c r="AI105" s="255">
        <f>'Pencapaian Sales Contract'!G105</f>
        <v>0</v>
      </c>
      <c r="AJ105" s="309">
        <f>'Pencapaian Sales Contract'!I105</f>
        <v>0</v>
      </c>
      <c r="AK105" s="255">
        <f>'Pencapaian Co-Branding'!G105</f>
        <v>0</v>
      </c>
      <c r="AL105" s="309">
        <f>'Pencapaian Co-Branding'!I105</f>
        <v>0</v>
      </c>
      <c r="AM105" s="255">
        <f>'Pencapaian Join Event Activity'!G105</f>
        <v>0</v>
      </c>
      <c r="AN105" s="309">
        <f>'Pencapaian Join Event Activity'!I105</f>
        <v>0</v>
      </c>
      <c r="AO105" s="15">
        <f t="shared" ref="AO105:AO147" si="65">SUM(AN105,AL105,AJ105,AH105,AF105,AD105,AB105,Z105,X105,U105)</f>
        <v>22500</v>
      </c>
      <c r="AP105" s="13">
        <v>2.402501638323027E-2</v>
      </c>
      <c r="AQ105" s="15">
        <f t="shared" ref="AQ105:AQ108" si="66">IF(AP105&gt;=0.5%,-(AO105*10%),0)</f>
        <v>-2250</v>
      </c>
      <c r="AR105" s="13">
        <v>2.2328082140548579E-2</v>
      </c>
      <c r="AS105" s="15">
        <f t="shared" ref="AS105:AS108" si="67">IF(AR105&gt;0,-(AO105+AQ105),0)</f>
        <v>-20250</v>
      </c>
      <c r="AT105" s="15">
        <f t="shared" ref="AT105:AT147" si="68">SUM(AS105,AQ105,AO105)</f>
        <v>0</v>
      </c>
      <c r="AU105" s="15">
        <f t="shared" ref="AU105:AU106" si="69">AT105*70%</f>
        <v>0</v>
      </c>
      <c r="AV105" s="15">
        <f t="shared" ref="AV105:AV106" si="70">AT105*30%</f>
        <v>0</v>
      </c>
    </row>
    <row r="106" spans="2:48" ht="16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"/>
      <c r="O106" s="3"/>
      <c r="P106" s="397"/>
      <c r="Q106" s="52" t="s">
        <v>390</v>
      </c>
      <c r="R106" s="12" t="s">
        <v>111</v>
      </c>
      <c r="S106" s="12" t="s">
        <v>18</v>
      </c>
      <c r="T106" s="269">
        <f>'Pencapaian Sales Value'!G106</f>
        <v>0.81200815707943019</v>
      </c>
      <c r="U106" s="15">
        <f>'Pencapaian Sales Value'!I106</f>
        <v>225000</v>
      </c>
      <c r="V106" s="269">
        <f>'Pencapaian Product Focus'!H106</f>
        <v>1.221481481488889</v>
      </c>
      <c r="W106" s="269">
        <f>'Pencapaian Product Focus'!L106</f>
        <v>0.7384615384615385</v>
      </c>
      <c r="X106" s="15">
        <f>'Pencapaian Product Focus'!N106</f>
        <v>135000</v>
      </c>
      <c r="Y106" s="269">
        <f>'Pencapaian Effective Call'!G106</f>
        <v>1.0434782608695652</v>
      </c>
      <c r="Z106" s="15">
        <f>'Pencapaian Effective Call'!I106</f>
        <v>135000</v>
      </c>
      <c r="AA106" s="269">
        <f>'Pencapaian New Open Outlet'!G106</f>
        <v>0.30769230769230771</v>
      </c>
      <c r="AB106" s="15">
        <f>'Pencapaian New Open Outlet'!I106</f>
        <v>0</v>
      </c>
      <c r="AC106" s="255">
        <f>'Pencapaian Active Outlet'!G106</f>
        <v>0.93076923076923079</v>
      </c>
      <c r="AD106" s="170">
        <f>'Pencapaian Active Outlet'!I106</f>
        <v>0</v>
      </c>
      <c r="AE106" s="255">
        <f>'Pencapaian Item per Outlet'!G106</f>
        <v>0</v>
      </c>
      <c r="AF106" s="309">
        <f>'Pencapaian Item per Outlet'!I106</f>
        <v>0</v>
      </c>
      <c r="AG106" s="255">
        <f>'Pencapaian Product Display'!G106</f>
        <v>0</v>
      </c>
      <c r="AH106" s="309">
        <f>'Pencapaian Product Display'!I106</f>
        <v>0</v>
      </c>
      <c r="AI106" s="255">
        <f>'Pencapaian Sales Contract'!G106</f>
        <v>0</v>
      </c>
      <c r="AJ106" s="309">
        <f>'Pencapaian Sales Contract'!I106</f>
        <v>0</v>
      </c>
      <c r="AK106" s="255">
        <f>'Pencapaian Co-Branding'!G106</f>
        <v>0</v>
      </c>
      <c r="AL106" s="309">
        <f>'Pencapaian Co-Branding'!I106</f>
        <v>0</v>
      </c>
      <c r="AM106" s="255">
        <f>'Pencapaian Join Event Activity'!G106</f>
        <v>0</v>
      </c>
      <c r="AN106" s="309">
        <f>'Pencapaian Join Event Activity'!I106</f>
        <v>0</v>
      </c>
      <c r="AO106" s="15">
        <f t="shared" si="65"/>
        <v>495000</v>
      </c>
      <c r="AP106" s="13">
        <v>0</v>
      </c>
      <c r="AQ106" s="15">
        <f t="shared" si="66"/>
        <v>0</v>
      </c>
      <c r="AR106" s="13">
        <v>0</v>
      </c>
      <c r="AS106" s="15">
        <f t="shared" si="67"/>
        <v>0</v>
      </c>
      <c r="AT106" s="15">
        <f t="shared" si="68"/>
        <v>495000</v>
      </c>
      <c r="AU106" s="15">
        <f t="shared" si="69"/>
        <v>346500</v>
      </c>
      <c r="AV106" s="15">
        <f t="shared" si="70"/>
        <v>148500</v>
      </c>
    </row>
    <row r="107" spans="2:48" ht="16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"/>
      <c r="O107" s="3"/>
      <c r="P107" s="397"/>
      <c r="Q107" s="117" t="s">
        <v>391</v>
      </c>
      <c r="R107" s="117" t="s">
        <v>271</v>
      </c>
      <c r="S107" s="178"/>
      <c r="T107" s="304">
        <f>'Pencapaian Sales Value'!G107</f>
        <v>0</v>
      </c>
      <c r="U107" s="178">
        <f>'Pencapaian Sales Value'!I107</f>
        <v>0</v>
      </c>
      <c r="V107" s="304">
        <f>'Pencapaian Product Focus'!H107</f>
        <v>0</v>
      </c>
      <c r="W107" s="304">
        <f>'Pencapaian Product Focus'!L107</f>
        <v>0</v>
      </c>
      <c r="X107" s="178">
        <f>'Pencapaian Product Focus'!N107</f>
        <v>0</v>
      </c>
      <c r="Y107" s="304">
        <f>'Pencapaian Effective Call'!G107</f>
        <v>0</v>
      </c>
      <c r="Z107" s="178">
        <f>'Pencapaian Effective Call'!I107</f>
        <v>0</v>
      </c>
      <c r="AA107" s="304">
        <f>'Pencapaian New Open Outlet'!G107</f>
        <v>0</v>
      </c>
      <c r="AB107" s="178">
        <f>'Pencapaian New Open Outlet'!I107</f>
        <v>0</v>
      </c>
      <c r="AC107" s="255">
        <f>'Pencapaian Active Outlet'!G107</f>
        <v>0</v>
      </c>
      <c r="AD107" s="170">
        <f>'Pencapaian Active Outlet'!I107</f>
        <v>0</v>
      </c>
      <c r="AE107" s="255">
        <f>'Pencapaian Item per Outlet'!G107</f>
        <v>0</v>
      </c>
      <c r="AF107" s="309">
        <f>'Pencapaian Item per Outlet'!I107</f>
        <v>0</v>
      </c>
      <c r="AG107" s="255">
        <f>'Pencapaian Product Display'!G107</f>
        <v>0</v>
      </c>
      <c r="AH107" s="309">
        <f>'Pencapaian Product Display'!I107</f>
        <v>0</v>
      </c>
      <c r="AI107" s="255">
        <f>'Pencapaian Sales Contract'!G107</f>
        <v>0</v>
      </c>
      <c r="AJ107" s="309">
        <f>'Pencapaian Sales Contract'!I107</f>
        <v>0</v>
      </c>
      <c r="AK107" s="255">
        <f>'Pencapaian Co-Branding'!G107</f>
        <v>0</v>
      </c>
      <c r="AL107" s="309">
        <f>'Pencapaian Co-Branding'!I107</f>
        <v>0</v>
      </c>
      <c r="AM107" s="255">
        <f>'Pencapaian Join Event Activity'!G107</f>
        <v>0</v>
      </c>
      <c r="AN107" s="309">
        <f>'Pencapaian Join Event Activity'!I107</f>
        <v>0</v>
      </c>
      <c r="AO107" s="178">
        <f t="shared" si="65"/>
        <v>0</v>
      </c>
      <c r="AP107" s="265">
        <v>0</v>
      </c>
      <c r="AQ107" s="178">
        <f t="shared" si="66"/>
        <v>0</v>
      </c>
      <c r="AR107" s="265">
        <v>0</v>
      </c>
      <c r="AS107" s="178">
        <f t="shared" si="67"/>
        <v>0</v>
      </c>
      <c r="AT107" s="178">
        <f t="shared" si="68"/>
        <v>0</v>
      </c>
      <c r="AU107" s="178"/>
      <c r="AV107" s="178"/>
    </row>
    <row r="108" spans="2:48" ht="16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"/>
      <c r="O108" s="3"/>
      <c r="P108" s="397"/>
      <c r="Q108" s="70"/>
      <c r="R108" s="70" t="s">
        <v>891</v>
      </c>
      <c r="S108" s="64" t="s">
        <v>20</v>
      </c>
      <c r="T108" s="258">
        <f>'Pencapaian Sales Value'!G108</f>
        <v>0.74106037044822692</v>
      </c>
      <c r="U108" s="63">
        <f>'Pencapaian Sales Value'!I108</f>
        <v>120000</v>
      </c>
      <c r="V108" s="258">
        <f>'Pencapaian Product Focus'!H108</f>
        <v>0.98861111111481448</v>
      </c>
      <c r="W108" s="258">
        <f>'Pencapaian Product Focus'!L108</f>
        <v>0.56399999999999995</v>
      </c>
      <c r="X108" s="63">
        <f>'Pencapaian Product Focus'!N108</f>
        <v>84000</v>
      </c>
      <c r="Y108" s="257">
        <f>'Pencapaian Effective Call'!G108</f>
        <v>0.84285714285714286</v>
      </c>
      <c r="Z108" s="189">
        <f>'Pencapaian Effective Call'!I108</f>
        <v>0</v>
      </c>
      <c r="AA108" s="258">
        <f>'Pencapaian New Open Outlet'!G108</f>
        <v>0.46153846153846156</v>
      </c>
      <c r="AB108" s="63">
        <f>'Pencapaian New Open Outlet'!I108</f>
        <v>0</v>
      </c>
      <c r="AC108" s="258">
        <f>'Pencapaian Active Outlet'!G108</f>
        <v>0.82499999999999996</v>
      </c>
      <c r="AD108" s="63">
        <f>'Pencapaian Active Outlet'!I108</f>
        <v>108000</v>
      </c>
      <c r="AE108" s="297">
        <f>'Pencapaian Item per Outlet'!G108</f>
        <v>0</v>
      </c>
      <c r="AF108" s="310">
        <f>'Pencapaian Item per Outlet'!I108</f>
        <v>0</v>
      </c>
      <c r="AG108" s="297">
        <f>'Pencapaian Product Display'!G108</f>
        <v>0</v>
      </c>
      <c r="AH108" s="310">
        <f>'Pencapaian Product Display'!I108</f>
        <v>0</v>
      </c>
      <c r="AI108" s="297">
        <f>'Pencapaian Sales Contract'!G108</f>
        <v>0</v>
      </c>
      <c r="AJ108" s="310">
        <f>'Pencapaian Sales Contract'!I108</f>
        <v>0</v>
      </c>
      <c r="AK108" s="297">
        <f>'Pencapaian Co-Branding'!G108</f>
        <v>0</v>
      </c>
      <c r="AL108" s="310">
        <f>'Pencapaian Co-Branding'!I108</f>
        <v>0</v>
      </c>
      <c r="AM108" s="297">
        <f>'Pencapaian Join Event Activity'!G108</f>
        <v>0</v>
      </c>
      <c r="AN108" s="310">
        <f>'Pencapaian Join Event Activity'!I108</f>
        <v>0</v>
      </c>
      <c r="AO108" s="63">
        <f t="shared" si="65"/>
        <v>312000</v>
      </c>
      <c r="AP108" s="110">
        <v>1.0276868083468253E-2</v>
      </c>
      <c r="AQ108" s="63">
        <f t="shared" si="66"/>
        <v>-31200</v>
      </c>
      <c r="AR108" s="110">
        <v>9.5509926426284881E-3</v>
      </c>
      <c r="AS108" s="63">
        <f t="shared" si="67"/>
        <v>-280800</v>
      </c>
      <c r="AT108" s="63">
        <f t="shared" si="68"/>
        <v>0</v>
      </c>
      <c r="AU108" s="63">
        <f>AT108</f>
        <v>0</v>
      </c>
      <c r="AV108" s="63">
        <v>0</v>
      </c>
    </row>
    <row r="109" spans="2:48" ht="16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"/>
      <c r="O109" s="3"/>
      <c r="P109" s="397"/>
      <c r="Q109" s="71"/>
      <c r="R109" s="71" t="s">
        <v>40</v>
      </c>
      <c r="S109" s="42"/>
      <c r="T109" s="264">
        <f>'Pencapaian Sales Value'!G109</f>
        <v>0.74106037044822692</v>
      </c>
      <c r="U109" s="23">
        <f>'Pencapaian Sales Value'!I109</f>
        <v>345000</v>
      </c>
      <c r="V109" s="264">
        <f>'Pencapaian Product Focus'!H109</f>
        <v>0.98861111111481448</v>
      </c>
      <c r="W109" s="264">
        <f>'Pencapaian Product Focus'!L109</f>
        <v>0.56399999999999995</v>
      </c>
      <c r="X109" s="23">
        <f>'Pencapaian Product Focus'!N109</f>
        <v>241500</v>
      </c>
      <c r="Y109" s="264">
        <f>'Pencapaian Effective Call'!G109</f>
        <v>0.84285714285714286</v>
      </c>
      <c r="Z109" s="23">
        <f>'Pencapaian Effective Call'!I109</f>
        <v>135000</v>
      </c>
      <c r="AA109" s="264">
        <f>'Pencapaian New Open Outlet'!G109</f>
        <v>0.46153846153846156</v>
      </c>
      <c r="AB109" s="23">
        <f>'Pencapaian New Open Outlet'!I109</f>
        <v>0</v>
      </c>
      <c r="AC109" s="264">
        <f>'Pencapaian Active Outlet'!G109</f>
        <v>0.82499999999999996</v>
      </c>
      <c r="AD109" s="23">
        <f>'Pencapaian Active Outlet'!I109</f>
        <v>108000</v>
      </c>
      <c r="AE109" s="298">
        <f>'Pencapaian Item per Outlet'!G109</f>
        <v>0</v>
      </c>
      <c r="AF109" s="311">
        <f>'Pencapaian Item per Outlet'!I109</f>
        <v>0</v>
      </c>
      <c r="AG109" s="298">
        <f>'Pencapaian Product Display'!G109</f>
        <v>0</v>
      </c>
      <c r="AH109" s="311">
        <f>'Pencapaian Product Display'!I109</f>
        <v>0</v>
      </c>
      <c r="AI109" s="298">
        <f>'Pencapaian Sales Contract'!G109</f>
        <v>0</v>
      </c>
      <c r="AJ109" s="311">
        <f>'Pencapaian Sales Contract'!I109</f>
        <v>0</v>
      </c>
      <c r="AK109" s="298">
        <f>'Pencapaian Co-Branding'!G109</f>
        <v>0</v>
      </c>
      <c r="AL109" s="311">
        <f>'Pencapaian Co-Branding'!I109</f>
        <v>0</v>
      </c>
      <c r="AM109" s="298">
        <f>'Pencapaian Join Event Activity'!G109</f>
        <v>0</v>
      </c>
      <c r="AN109" s="311">
        <f>'Pencapaian Join Event Activity'!I109</f>
        <v>0</v>
      </c>
      <c r="AO109" s="23">
        <f t="shared" si="65"/>
        <v>829500</v>
      </c>
      <c r="AP109" s="112">
        <v>1.0276868083468253E-2</v>
      </c>
      <c r="AQ109" s="23">
        <f>SUM(AQ105:AQ108)</f>
        <v>-33450</v>
      </c>
      <c r="AR109" s="112">
        <v>9.5509926426284881E-3</v>
      </c>
      <c r="AS109" s="23">
        <f>SUM(AS105:AS108)</f>
        <v>-301050</v>
      </c>
      <c r="AT109" s="23">
        <f t="shared" si="68"/>
        <v>495000</v>
      </c>
      <c r="AU109" s="23">
        <f t="shared" ref="AU109:AV109" si="71">SUM(AU105:AU108)</f>
        <v>346500</v>
      </c>
      <c r="AV109" s="23">
        <f t="shared" si="71"/>
        <v>148500</v>
      </c>
    </row>
    <row r="110" spans="2:48" ht="16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"/>
      <c r="O110" s="3"/>
      <c r="P110" s="397" t="s">
        <v>41</v>
      </c>
      <c r="Q110" s="52" t="s">
        <v>392</v>
      </c>
      <c r="R110" s="52" t="s">
        <v>112</v>
      </c>
      <c r="S110" s="12" t="s">
        <v>470</v>
      </c>
      <c r="T110" s="269">
        <f>'Pencapaian Sales Value'!G110</f>
        <v>0.61720876623376619</v>
      </c>
      <c r="U110" s="15">
        <f>'Pencapaian Sales Value'!I110</f>
        <v>0</v>
      </c>
      <c r="V110" s="269">
        <f>'Pencapaian Product Focus'!H110</f>
        <v>0.8035714285714286</v>
      </c>
      <c r="W110" s="269">
        <f>'Pencapaian Product Focus'!L110</f>
        <v>0.74285714285714288</v>
      </c>
      <c r="X110" s="15">
        <f>'Pencapaian Product Focus'!N110</f>
        <v>49500</v>
      </c>
      <c r="Y110" s="269">
        <f>'Pencapaian Effective Call'!G110</f>
        <v>0.96923076923076923</v>
      </c>
      <c r="Z110" s="15">
        <f>'Pencapaian Effective Call'!I110</f>
        <v>74250</v>
      </c>
      <c r="AA110" s="269">
        <f>'Pencapaian New Open Outlet'!G110</f>
        <v>0.25</v>
      </c>
      <c r="AB110" s="15">
        <f>'Pencapaian New Open Outlet'!I110</f>
        <v>0</v>
      </c>
      <c r="AC110" s="255">
        <f>'Pencapaian Active Outlet'!G110</f>
        <v>0.79354838709677422</v>
      </c>
      <c r="AD110" s="170">
        <f>'Pencapaian Active Outlet'!I110</f>
        <v>0</v>
      </c>
      <c r="AE110" s="255">
        <f>'Pencapaian Item per Outlet'!G110</f>
        <v>0</v>
      </c>
      <c r="AF110" s="309">
        <f>'Pencapaian Item per Outlet'!I110</f>
        <v>0</v>
      </c>
      <c r="AG110" s="255">
        <f>'Pencapaian Product Display'!G110</f>
        <v>0</v>
      </c>
      <c r="AH110" s="309">
        <f>'Pencapaian Product Display'!I110</f>
        <v>0</v>
      </c>
      <c r="AI110" s="255">
        <f>'Pencapaian Sales Contract'!G110</f>
        <v>0</v>
      </c>
      <c r="AJ110" s="309">
        <f>'Pencapaian Sales Contract'!I110</f>
        <v>0</v>
      </c>
      <c r="AK110" s="255">
        <f>'Pencapaian Co-Branding'!G110</f>
        <v>0</v>
      </c>
      <c r="AL110" s="309">
        <f>'Pencapaian Co-Branding'!I110</f>
        <v>0</v>
      </c>
      <c r="AM110" s="255">
        <f>'Pencapaian Join Event Activity'!G110</f>
        <v>0</v>
      </c>
      <c r="AN110" s="309">
        <f>'Pencapaian Join Event Activity'!I110</f>
        <v>0</v>
      </c>
      <c r="AO110" s="15">
        <f t="shared" si="65"/>
        <v>123750</v>
      </c>
      <c r="AP110" s="13">
        <v>0</v>
      </c>
      <c r="AQ110" s="15">
        <f t="shared" ref="AQ110:AQ114" si="72">IF(AP110&gt;=0.5%,-(AO110*10%),0)</f>
        <v>0</v>
      </c>
      <c r="AR110" s="13">
        <v>0</v>
      </c>
      <c r="AS110" s="15">
        <f t="shared" ref="AS110:AS114" si="73">IF(AR110&gt;0,-(AO110+AQ110),0)</f>
        <v>0</v>
      </c>
      <c r="AT110" s="15">
        <f t="shared" si="68"/>
        <v>123750</v>
      </c>
      <c r="AU110" s="15">
        <f t="shared" ref="AU110:AU113" si="74">AT110</f>
        <v>123750</v>
      </c>
      <c r="AV110" s="15">
        <v>0</v>
      </c>
    </row>
    <row r="111" spans="2:48" ht="16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"/>
      <c r="O111" s="3"/>
      <c r="P111" s="397"/>
      <c r="Q111" s="52" t="s">
        <v>393</v>
      </c>
      <c r="R111" s="52" t="s">
        <v>394</v>
      </c>
      <c r="S111" s="12" t="s">
        <v>470</v>
      </c>
      <c r="T111" s="269">
        <f>'Pencapaian Sales Value'!G111</f>
        <v>0.54128965517241379</v>
      </c>
      <c r="U111" s="15">
        <f>'Pencapaian Sales Value'!I111</f>
        <v>0</v>
      </c>
      <c r="V111" s="269">
        <f>'Pencapaian Product Focus'!H111</f>
        <v>0.55714285714285716</v>
      </c>
      <c r="W111" s="269">
        <f>'Pencapaian Product Focus'!L111</f>
        <v>0.54545454545454541</v>
      </c>
      <c r="X111" s="15">
        <f>'Pencapaian Product Focus'!N111</f>
        <v>0</v>
      </c>
      <c r="Y111" s="269">
        <f>'Pencapaian Effective Call'!G111</f>
        <v>0.70869565217391306</v>
      </c>
      <c r="Z111" s="15">
        <f>'Pencapaian Effective Call'!I111</f>
        <v>24750</v>
      </c>
      <c r="AA111" s="269">
        <f>'Pencapaian New Open Outlet'!G111</f>
        <v>0.75</v>
      </c>
      <c r="AB111" s="15">
        <f>'Pencapaian New Open Outlet'!I111</f>
        <v>24750</v>
      </c>
      <c r="AC111" s="255">
        <f>'Pencapaian Active Outlet'!G111</f>
        <v>0.8571428571428571</v>
      </c>
      <c r="AD111" s="170">
        <f>'Pencapaian Active Outlet'!I111</f>
        <v>0</v>
      </c>
      <c r="AE111" s="255">
        <f>'Pencapaian Item per Outlet'!G111</f>
        <v>0</v>
      </c>
      <c r="AF111" s="309">
        <f>'Pencapaian Item per Outlet'!I111</f>
        <v>0</v>
      </c>
      <c r="AG111" s="255">
        <f>'Pencapaian Product Display'!G111</f>
        <v>0</v>
      </c>
      <c r="AH111" s="309">
        <f>'Pencapaian Product Display'!I111</f>
        <v>0</v>
      </c>
      <c r="AI111" s="255">
        <f>'Pencapaian Sales Contract'!G111</f>
        <v>0</v>
      </c>
      <c r="AJ111" s="309">
        <f>'Pencapaian Sales Contract'!I111</f>
        <v>0</v>
      </c>
      <c r="AK111" s="255">
        <f>'Pencapaian Co-Branding'!G111</f>
        <v>0</v>
      </c>
      <c r="AL111" s="309">
        <f>'Pencapaian Co-Branding'!I111</f>
        <v>0</v>
      </c>
      <c r="AM111" s="255">
        <f>'Pencapaian Join Event Activity'!G111</f>
        <v>0</v>
      </c>
      <c r="AN111" s="309">
        <f>'Pencapaian Join Event Activity'!I111</f>
        <v>0</v>
      </c>
      <c r="AO111" s="15">
        <f t="shared" si="65"/>
        <v>49500</v>
      </c>
      <c r="AP111" s="13">
        <v>0</v>
      </c>
      <c r="AQ111" s="15">
        <f t="shared" si="72"/>
        <v>0</v>
      </c>
      <c r="AR111" s="13">
        <v>0</v>
      </c>
      <c r="AS111" s="15">
        <f t="shared" si="73"/>
        <v>0</v>
      </c>
      <c r="AT111" s="15">
        <f t="shared" si="68"/>
        <v>49500</v>
      </c>
      <c r="AU111" s="15">
        <f t="shared" si="74"/>
        <v>49500</v>
      </c>
      <c r="AV111" s="15">
        <v>0</v>
      </c>
    </row>
    <row r="112" spans="2:48" ht="16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"/>
      <c r="O112" s="3"/>
      <c r="P112" s="397"/>
      <c r="Q112" s="52" t="s">
        <v>395</v>
      </c>
      <c r="R112" s="52" t="s">
        <v>113</v>
      </c>
      <c r="S112" s="12" t="s">
        <v>470</v>
      </c>
      <c r="T112" s="269">
        <f>'Pencapaian Sales Value'!G112</f>
        <v>1.0025592105263157</v>
      </c>
      <c r="U112" s="15">
        <f>'Pencapaian Sales Value'!I112</f>
        <v>330000</v>
      </c>
      <c r="V112" s="269">
        <f>'Pencapaian Product Focus'!H112</f>
        <v>0.96875</v>
      </c>
      <c r="W112" s="269">
        <f>'Pencapaian Product Focus'!L112</f>
        <v>0.75</v>
      </c>
      <c r="X112" s="15">
        <f>'Pencapaian Product Focus'!N112</f>
        <v>66000</v>
      </c>
      <c r="Y112" s="269">
        <f>'Pencapaian Effective Call'!G112</f>
        <v>0.94117647058823528</v>
      </c>
      <c r="Z112" s="15">
        <f>'Pencapaian Effective Call'!I112</f>
        <v>74250</v>
      </c>
      <c r="AA112" s="269">
        <f>'Pencapaian New Open Outlet'!G112</f>
        <v>0.375</v>
      </c>
      <c r="AB112" s="15">
        <f>'Pencapaian New Open Outlet'!I112</f>
        <v>0</v>
      </c>
      <c r="AC112" s="255">
        <f>'Pencapaian Active Outlet'!G112</f>
        <v>0.90303030303030307</v>
      </c>
      <c r="AD112" s="170">
        <f>'Pencapaian Active Outlet'!I112</f>
        <v>0</v>
      </c>
      <c r="AE112" s="255">
        <f>'Pencapaian Item per Outlet'!G112</f>
        <v>0</v>
      </c>
      <c r="AF112" s="309">
        <f>'Pencapaian Item per Outlet'!I112</f>
        <v>0</v>
      </c>
      <c r="AG112" s="255">
        <f>'Pencapaian Product Display'!G112</f>
        <v>0</v>
      </c>
      <c r="AH112" s="309">
        <f>'Pencapaian Product Display'!I112</f>
        <v>0</v>
      </c>
      <c r="AI112" s="255">
        <f>'Pencapaian Sales Contract'!G112</f>
        <v>0</v>
      </c>
      <c r="AJ112" s="309">
        <f>'Pencapaian Sales Contract'!I112</f>
        <v>0</v>
      </c>
      <c r="AK112" s="255">
        <f>'Pencapaian Co-Branding'!G112</f>
        <v>0</v>
      </c>
      <c r="AL112" s="309">
        <f>'Pencapaian Co-Branding'!I112</f>
        <v>0</v>
      </c>
      <c r="AM112" s="255">
        <f>'Pencapaian Join Event Activity'!G112</f>
        <v>0</v>
      </c>
      <c r="AN112" s="309">
        <f>'Pencapaian Join Event Activity'!I112</f>
        <v>0</v>
      </c>
      <c r="AO112" s="15">
        <f t="shared" si="65"/>
        <v>470250</v>
      </c>
      <c r="AP112" s="13">
        <v>0</v>
      </c>
      <c r="AQ112" s="15">
        <f t="shared" si="72"/>
        <v>0</v>
      </c>
      <c r="AR112" s="13">
        <v>0</v>
      </c>
      <c r="AS112" s="15">
        <f t="shared" si="73"/>
        <v>0</v>
      </c>
      <c r="AT112" s="15">
        <f t="shared" si="68"/>
        <v>470250</v>
      </c>
      <c r="AU112" s="15">
        <f t="shared" si="74"/>
        <v>470250</v>
      </c>
      <c r="AV112" s="15">
        <v>0</v>
      </c>
    </row>
    <row r="113" spans="3:48" ht="16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"/>
      <c r="O113" s="3"/>
      <c r="P113" s="397"/>
      <c r="Q113" s="52" t="s">
        <v>396</v>
      </c>
      <c r="R113" s="52" t="s">
        <v>253</v>
      </c>
      <c r="S113" s="12" t="s">
        <v>470</v>
      </c>
      <c r="T113" s="269">
        <f>'Pencapaian Sales Value'!G113</f>
        <v>0.72853715083798887</v>
      </c>
      <c r="U113" s="15">
        <f>'Pencapaian Sales Value'!I113</f>
        <v>82500</v>
      </c>
      <c r="V113" s="269">
        <f>'Pencapaian Product Focus'!H113</f>
        <v>0.6489583333333333</v>
      </c>
      <c r="W113" s="269">
        <f>'Pencapaian Product Focus'!L113</f>
        <v>0.66249999999999998</v>
      </c>
      <c r="X113" s="15">
        <f>'Pencapaian Product Focus'!N113</f>
        <v>0</v>
      </c>
      <c r="Y113" s="269">
        <f>'Pencapaian Effective Call'!G113</f>
        <v>0.88214285714285712</v>
      </c>
      <c r="Z113" s="15">
        <f>'Pencapaian Effective Call'!I113</f>
        <v>49500</v>
      </c>
      <c r="AA113" s="269">
        <f>'Pencapaian New Open Outlet'!G113</f>
        <v>0.25</v>
      </c>
      <c r="AB113" s="15">
        <f>'Pencapaian New Open Outlet'!I113</f>
        <v>0</v>
      </c>
      <c r="AC113" s="255">
        <f>'Pencapaian Active Outlet'!G113</f>
        <v>0.68484848484848482</v>
      </c>
      <c r="AD113" s="170">
        <f>'Pencapaian Active Outlet'!I113</f>
        <v>0</v>
      </c>
      <c r="AE113" s="255">
        <f>'Pencapaian Item per Outlet'!G113</f>
        <v>0</v>
      </c>
      <c r="AF113" s="309">
        <f>'Pencapaian Item per Outlet'!I113</f>
        <v>0</v>
      </c>
      <c r="AG113" s="255">
        <f>'Pencapaian Product Display'!G113</f>
        <v>0</v>
      </c>
      <c r="AH113" s="309">
        <f>'Pencapaian Product Display'!I113</f>
        <v>0</v>
      </c>
      <c r="AI113" s="255">
        <f>'Pencapaian Sales Contract'!G113</f>
        <v>0</v>
      </c>
      <c r="AJ113" s="309">
        <f>'Pencapaian Sales Contract'!I113</f>
        <v>0</v>
      </c>
      <c r="AK113" s="255">
        <f>'Pencapaian Co-Branding'!G113</f>
        <v>0</v>
      </c>
      <c r="AL113" s="309">
        <f>'Pencapaian Co-Branding'!I113</f>
        <v>0</v>
      </c>
      <c r="AM113" s="255">
        <f>'Pencapaian Join Event Activity'!G113</f>
        <v>0</v>
      </c>
      <c r="AN113" s="309">
        <f>'Pencapaian Join Event Activity'!I113</f>
        <v>0</v>
      </c>
      <c r="AO113" s="15">
        <f t="shared" si="65"/>
        <v>132000</v>
      </c>
      <c r="AP113" s="13">
        <v>0</v>
      </c>
      <c r="AQ113" s="15">
        <f t="shared" si="72"/>
        <v>0</v>
      </c>
      <c r="AR113" s="13">
        <v>0</v>
      </c>
      <c r="AS113" s="15">
        <f t="shared" si="73"/>
        <v>0</v>
      </c>
      <c r="AT113" s="15">
        <f t="shared" si="68"/>
        <v>132000</v>
      </c>
      <c r="AU113" s="15">
        <f t="shared" si="74"/>
        <v>132000</v>
      </c>
      <c r="AV113" s="15">
        <v>0</v>
      </c>
    </row>
    <row r="114" spans="3:48" ht="16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"/>
      <c r="O114" s="3"/>
      <c r="P114" s="397"/>
      <c r="Q114" s="70"/>
      <c r="R114" s="70" t="s">
        <v>316</v>
      </c>
      <c r="S114" s="64" t="s">
        <v>20</v>
      </c>
      <c r="T114" s="258">
        <f>'Pencapaian Sales Value'!G114</f>
        <v>0.75907663934426228</v>
      </c>
      <c r="U114" s="63">
        <f>'Pencapaian Sales Value'!I114</f>
        <v>120000</v>
      </c>
      <c r="V114" s="258">
        <f>'Pencapaian Product Focus'!H114</f>
        <v>0.74888888888888883</v>
      </c>
      <c r="W114" s="258">
        <f>'Pencapaian Product Focus'!L114</f>
        <v>0.68421052631578949</v>
      </c>
      <c r="X114" s="63">
        <f>'Pencapaian Product Focus'!N114</f>
        <v>30000</v>
      </c>
      <c r="Y114" s="257">
        <f>'Pencapaian Effective Call'!G114</f>
        <v>0.88468468468468464</v>
      </c>
      <c r="Z114" s="189">
        <f>'Pencapaian Effective Call'!I114</f>
        <v>0</v>
      </c>
      <c r="AA114" s="258">
        <f>'Pencapaian New Open Outlet'!G114</f>
        <v>0.40625</v>
      </c>
      <c r="AB114" s="63">
        <f>'Pencapaian New Open Outlet'!I114</f>
        <v>0</v>
      </c>
      <c r="AC114" s="258">
        <f>'Pencapaian Active Outlet'!G114</f>
        <v>0.80508474576271183</v>
      </c>
      <c r="AD114" s="63">
        <f>'Pencapaian Active Outlet'!I114</f>
        <v>108000</v>
      </c>
      <c r="AE114" s="297">
        <f>'Pencapaian Item per Outlet'!G114</f>
        <v>0</v>
      </c>
      <c r="AF114" s="310">
        <f>'Pencapaian Item per Outlet'!I114</f>
        <v>0</v>
      </c>
      <c r="AG114" s="297">
        <f>'Pencapaian Product Display'!G114</f>
        <v>0</v>
      </c>
      <c r="AH114" s="310">
        <f>'Pencapaian Product Display'!I114</f>
        <v>0</v>
      </c>
      <c r="AI114" s="297">
        <f>'Pencapaian Sales Contract'!G114</f>
        <v>0</v>
      </c>
      <c r="AJ114" s="310">
        <f>'Pencapaian Sales Contract'!I114</f>
        <v>0</v>
      </c>
      <c r="AK114" s="297">
        <f>'Pencapaian Co-Branding'!G114</f>
        <v>0</v>
      </c>
      <c r="AL114" s="310">
        <f>'Pencapaian Co-Branding'!I114</f>
        <v>0</v>
      </c>
      <c r="AM114" s="297">
        <f>'Pencapaian Join Event Activity'!G114</f>
        <v>0</v>
      </c>
      <c r="AN114" s="310">
        <f>'Pencapaian Join Event Activity'!I114</f>
        <v>0</v>
      </c>
      <c r="AO114" s="63">
        <f t="shared" si="65"/>
        <v>258000</v>
      </c>
      <c r="AP114" s="110">
        <v>0</v>
      </c>
      <c r="AQ114" s="63">
        <f t="shared" si="72"/>
        <v>0</v>
      </c>
      <c r="AR114" s="110">
        <v>0</v>
      </c>
      <c r="AS114" s="63">
        <f t="shared" si="73"/>
        <v>0</v>
      </c>
      <c r="AT114" s="63">
        <f t="shared" si="68"/>
        <v>258000</v>
      </c>
      <c r="AU114" s="63">
        <f>AT114</f>
        <v>258000</v>
      </c>
      <c r="AV114" s="63">
        <v>0</v>
      </c>
    </row>
    <row r="115" spans="3:48" ht="16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"/>
      <c r="O115" s="3"/>
      <c r="P115" s="397"/>
      <c r="Q115" s="71"/>
      <c r="R115" s="71" t="s">
        <v>42</v>
      </c>
      <c r="S115" s="42"/>
      <c r="T115" s="264">
        <f>'Pencapaian Sales Value'!G115</f>
        <v>0.75907663934426228</v>
      </c>
      <c r="U115" s="23">
        <f>'Pencapaian Sales Value'!I115</f>
        <v>532500</v>
      </c>
      <c r="V115" s="264">
        <f>'Pencapaian Product Focus'!H115</f>
        <v>0.74888888888888883</v>
      </c>
      <c r="W115" s="264">
        <f>'Pencapaian Product Focus'!L115</f>
        <v>0.68421052631578949</v>
      </c>
      <c r="X115" s="23">
        <f>'Pencapaian Product Focus'!N115</f>
        <v>145500</v>
      </c>
      <c r="Y115" s="264">
        <f>'Pencapaian Effective Call'!G115</f>
        <v>0.88468468468468464</v>
      </c>
      <c r="Z115" s="23">
        <f>'Pencapaian Effective Call'!I115</f>
        <v>222750</v>
      </c>
      <c r="AA115" s="264">
        <f>'Pencapaian New Open Outlet'!G115</f>
        <v>0.40625</v>
      </c>
      <c r="AB115" s="23">
        <f>'Pencapaian New Open Outlet'!I115</f>
        <v>24750</v>
      </c>
      <c r="AC115" s="264">
        <f>'Pencapaian Active Outlet'!G115</f>
        <v>0.80508474576271183</v>
      </c>
      <c r="AD115" s="23">
        <f>'Pencapaian Active Outlet'!I115</f>
        <v>108000</v>
      </c>
      <c r="AE115" s="298">
        <f>'Pencapaian Item per Outlet'!G115</f>
        <v>0</v>
      </c>
      <c r="AF115" s="311">
        <f>'Pencapaian Item per Outlet'!I115</f>
        <v>0</v>
      </c>
      <c r="AG115" s="298">
        <f>'Pencapaian Product Display'!G115</f>
        <v>0</v>
      </c>
      <c r="AH115" s="311">
        <f>'Pencapaian Product Display'!I115</f>
        <v>0</v>
      </c>
      <c r="AI115" s="298">
        <f>'Pencapaian Sales Contract'!G115</f>
        <v>0</v>
      </c>
      <c r="AJ115" s="311">
        <f>'Pencapaian Sales Contract'!I115</f>
        <v>0</v>
      </c>
      <c r="AK115" s="298">
        <f>'Pencapaian Co-Branding'!G115</f>
        <v>0</v>
      </c>
      <c r="AL115" s="311">
        <f>'Pencapaian Co-Branding'!I115</f>
        <v>0</v>
      </c>
      <c r="AM115" s="298">
        <f>'Pencapaian Join Event Activity'!G115</f>
        <v>0</v>
      </c>
      <c r="AN115" s="311">
        <f>'Pencapaian Join Event Activity'!I115</f>
        <v>0</v>
      </c>
      <c r="AO115" s="23">
        <f t="shared" si="65"/>
        <v>1033500</v>
      </c>
      <c r="AP115" s="112">
        <v>0</v>
      </c>
      <c r="AQ115" s="23">
        <f>SUM(AQ110:AQ114)</f>
        <v>0</v>
      </c>
      <c r="AR115" s="112">
        <v>0</v>
      </c>
      <c r="AS115" s="23">
        <f>SUM(AS110:AS114)</f>
        <v>0</v>
      </c>
      <c r="AT115" s="23">
        <f t="shared" si="68"/>
        <v>1033500</v>
      </c>
      <c r="AU115" s="23">
        <f t="shared" ref="AU115:AV115" si="75">SUM(AU110:AU114)</f>
        <v>1033500</v>
      </c>
      <c r="AV115" s="23">
        <f t="shared" si="75"/>
        <v>0</v>
      </c>
    </row>
    <row r="116" spans="3:48" ht="16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"/>
      <c r="O116" s="3"/>
      <c r="P116" s="397" t="s">
        <v>43</v>
      </c>
      <c r="Q116" s="52" t="s">
        <v>397</v>
      </c>
      <c r="R116" s="52" t="s">
        <v>114</v>
      </c>
      <c r="S116" s="12" t="s">
        <v>470</v>
      </c>
      <c r="T116" s="269">
        <f>'Pencapaian Sales Value'!G116</f>
        <v>0.68537606837606835</v>
      </c>
      <c r="U116" s="15">
        <f>'Pencapaian Sales Value'!I116</f>
        <v>0</v>
      </c>
      <c r="V116" s="269">
        <f>'Pencapaian Product Focus'!H116</f>
        <v>0.86363636363636365</v>
      </c>
      <c r="W116" s="269">
        <f>'Pencapaian Product Focus'!L116</f>
        <v>0.54545454545454541</v>
      </c>
      <c r="X116" s="15">
        <f>'Pencapaian Product Focus'!N116</f>
        <v>33000</v>
      </c>
      <c r="Y116" s="269">
        <f>'Pencapaian Effective Call'!G116</f>
        <v>0.70357142857142863</v>
      </c>
      <c r="Z116" s="15">
        <f>'Pencapaian Effective Call'!I116</f>
        <v>24750</v>
      </c>
      <c r="AA116" s="269">
        <f>'Pencapaian New Open Outlet'!G116</f>
        <v>0.5</v>
      </c>
      <c r="AB116" s="15">
        <f>'Pencapaian New Open Outlet'!I116</f>
        <v>0</v>
      </c>
      <c r="AC116" s="255">
        <f>'Pencapaian Active Outlet'!G116</f>
        <v>0.71250000000000002</v>
      </c>
      <c r="AD116" s="170">
        <f>'Pencapaian Active Outlet'!I116</f>
        <v>0</v>
      </c>
      <c r="AE116" s="255">
        <f>'Pencapaian Item per Outlet'!G116</f>
        <v>0</v>
      </c>
      <c r="AF116" s="309">
        <f>'Pencapaian Item per Outlet'!I116</f>
        <v>0</v>
      </c>
      <c r="AG116" s="255">
        <f>'Pencapaian Product Display'!G116</f>
        <v>0</v>
      </c>
      <c r="AH116" s="309">
        <f>'Pencapaian Product Display'!I116</f>
        <v>0</v>
      </c>
      <c r="AI116" s="255">
        <f>'Pencapaian Sales Contract'!G116</f>
        <v>0</v>
      </c>
      <c r="AJ116" s="309">
        <f>'Pencapaian Sales Contract'!I116</f>
        <v>0</v>
      </c>
      <c r="AK116" s="255">
        <f>'Pencapaian Co-Branding'!G116</f>
        <v>0</v>
      </c>
      <c r="AL116" s="309">
        <f>'Pencapaian Co-Branding'!I116</f>
        <v>0</v>
      </c>
      <c r="AM116" s="255">
        <f>'Pencapaian Join Event Activity'!G116</f>
        <v>0</v>
      </c>
      <c r="AN116" s="309">
        <f>'Pencapaian Join Event Activity'!I116</f>
        <v>0</v>
      </c>
      <c r="AO116" s="15">
        <f t="shared" si="65"/>
        <v>57750</v>
      </c>
      <c r="AP116" s="13">
        <v>0</v>
      </c>
      <c r="AQ116" s="15">
        <f t="shared" ref="AQ116:AQ127" si="76">IF(AP116&gt;=0.5%,-(AO116*10%),0)</f>
        <v>0</v>
      </c>
      <c r="AR116" s="13">
        <v>0</v>
      </c>
      <c r="AS116" s="15">
        <f t="shared" ref="AS116:AS127" si="77">IF(AR116&gt;0,-(AO116+AQ116),0)</f>
        <v>0</v>
      </c>
      <c r="AT116" s="15">
        <f t="shared" si="68"/>
        <v>57750</v>
      </c>
      <c r="AU116" s="15">
        <f t="shared" ref="AU116:AU117" si="78">AT116</f>
        <v>57750</v>
      </c>
      <c r="AV116" s="15">
        <v>0</v>
      </c>
    </row>
    <row r="117" spans="3:48" ht="16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"/>
      <c r="O117" s="3"/>
      <c r="P117" s="397"/>
      <c r="Q117" s="52" t="s">
        <v>398</v>
      </c>
      <c r="R117" s="52" t="s">
        <v>341</v>
      </c>
      <c r="S117" s="12" t="s">
        <v>470</v>
      </c>
      <c r="T117" s="269">
        <f>'Pencapaian Sales Value'!G117</f>
        <v>0.91852147699035491</v>
      </c>
      <c r="U117" s="15">
        <f>'Pencapaian Sales Value'!I117</f>
        <v>247500</v>
      </c>
      <c r="V117" s="269">
        <f>'Pencapaian Product Focus'!H117</f>
        <v>1.009090909090909</v>
      </c>
      <c r="W117" s="269">
        <f>'Pencapaian Product Focus'!L117</f>
        <v>0.42857142857142855</v>
      </c>
      <c r="X117" s="15">
        <f>'Pencapaian Product Focus'!N117</f>
        <v>66000</v>
      </c>
      <c r="Y117" s="269">
        <f>'Pencapaian Effective Call'!G117</f>
        <v>0.89473684210526316</v>
      </c>
      <c r="Z117" s="15">
        <f>'Pencapaian Effective Call'!I117</f>
        <v>49500</v>
      </c>
      <c r="AA117" s="269">
        <f>'Pencapaian New Open Outlet'!G117</f>
        <v>0.1</v>
      </c>
      <c r="AB117" s="15">
        <f>'Pencapaian New Open Outlet'!I117</f>
        <v>0</v>
      </c>
      <c r="AC117" s="255">
        <f>'Pencapaian Active Outlet'!G117</f>
        <v>0.88500000000000001</v>
      </c>
      <c r="AD117" s="170">
        <f>'Pencapaian Active Outlet'!I117</f>
        <v>0</v>
      </c>
      <c r="AE117" s="255">
        <f>'Pencapaian Item per Outlet'!G117</f>
        <v>0</v>
      </c>
      <c r="AF117" s="309">
        <f>'Pencapaian Item per Outlet'!I117</f>
        <v>0</v>
      </c>
      <c r="AG117" s="255">
        <f>'Pencapaian Product Display'!G117</f>
        <v>0</v>
      </c>
      <c r="AH117" s="309">
        <f>'Pencapaian Product Display'!I117</f>
        <v>0</v>
      </c>
      <c r="AI117" s="255">
        <f>'Pencapaian Sales Contract'!G117</f>
        <v>0</v>
      </c>
      <c r="AJ117" s="309">
        <f>'Pencapaian Sales Contract'!I117</f>
        <v>0</v>
      </c>
      <c r="AK117" s="255">
        <f>'Pencapaian Co-Branding'!G117</f>
        <v>0</v>
      </c>
      <c r="AL117" s="309">
        <f>'Pencapaian Co-Branding'!I117</f>
        <v>0</v>
      </c>
      <c r="AM117" s="255">
        <f>'Pencapaian Join Event Activity'!G117</f>
        <v>0</v>
      </c>
      <c r="AN117" s="309">
        <f>'Pencapaian Join Event Activity'!I117</f>
        <v>0</v>
      </c>
      <c r="AO117" s="15">
        <f t="shared" si="65"/>
        <v>363000</v>
      </c>
      <c r="AP117" s="13">
        <v>0</v>
      </c>
      <c r="AQ117" s="15">
        <f t="shared" si="76"/>
        <v>0</v>
      </c>
      <c r="AR117" s="13">
        <v>0</v>
      </c>
      <c r="AS117" s="15">
        <f t="shared" si="77"/>
        <v>0</v>
      </c>
      <c r="AT117" s="15">
        <f t="shared" si="68"/>
        <v>363000</v>
      </c>
      <c r="AU117" s="15">
        <f t="shared" si="78"/>
        <v>363000</v>
      </c>
      <c r="AV117" s="15">
        <v>0</v>
      </c>
    </row>
    <row r="118" spans="3:48" ht="16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"/>
      <c r="O118" s="3"/>
      <c r="P118" s="397"/>
      <c r="Q118" s="52" t="s">
        <v>399</v>
      </c>
      <c r="R118" s="52" t="s">
        <v>321</v>
      </c>
      <c r="S118" s="12" t="s">
        <v>18</v>
      </c>
      <c r="T118" s="269">
        <f>'Pencapaian Sales Value'!G118</f>
        <v>0.55646715686274506</v>
      </c>
      <c r="U118" s="15">
        <f>'Pencapaian Sales Value'!I118</f>
        <v>0</v>
      </c>
      <c r="V118" s="269">
        <f>'Pencapaian Product Focus'!H118</f>
        <v>1.3100877192982461</v>
      </c>
      <c r="W118" s="269">
        <f>'Pencapaian Product Focus'!L118</f>
        <v>0.69523809523809521</v>
      </c>
      <c r="X118" s="15">
        <f>'Pencapaian Product Focus'!N118</f>
        <v>112500</v>
      </c>
      <c r="Y118" s="269">
        <f>'Pencapaian Effective Call'!G118</f>
        <v>0.48571428571428571</v>
      </c>
      <c r="Z118" s="15">
        <f>'Pencapaian Effective Call'!I118</f>
        <v>0</v>
      </c>
      <c r="AA118" s="269">
        <f>'Pencapaian New Open Outlet'!G118</f>
        <v>0</v>
      </c>
      <c r="AB118" s="15">
        <f>'Pencapaian New Open Outlet'!I118</f>
        <v>0</v>
      </c>
      <c r="AC118" s="255">
        <f>'Pencapaian Active Outlet'!G118</f>
        <v>0.62</v>
      </c>
      <c r="AD118" s="170">
        <f>'Pencapaian Active Outlet'!I118</f>
        <v>0</v>
      </c>
      <c r="AE118" s="255">
        <f>'Pencapaian Item per Outlet'!G118</f>
        <v>0</v>
      </c>
      <c r="AF118" s="309">
        <f>'Pencapaian Item per Outlet'!I118</f>
        <v>0</v>
      </c>
      <c r="AG118" s="255">
        <f>'Pencapaian Product Display'!G118</f>
        <v>0</v>
      </c>
      <c r="AH118" s="309">
        <f>'Pencapaian Product Display'!I118</f>
        <v>0</v>
      </c>
      <c r="AI118" s="255">
        <f>'Pencapaian Sales Contract'!G118</f>
        <v>0</v>
      </c>
      <c r="AJ118" s="309">
        <f>'Pencapaian Sales Contract'!I118</f>
        <v>0</v>
      </c>
      <c r="AK118" s="255">
        <f>'Pencapaian Co-Branding'!G118</f>
        <v>0</v>
      </c>
      <c r="AL118" s="309">
        <f>'Pencapaian Co-Branding'!I118</f>
        <v>0</v>
      </c>
      <c r="AM118" s="255">
        <f>'Pencapaian Join Event Activity'!G118</f>
        <v>0</v>
      </c>
      <c r="AN118" s="309">
        <f>'Pencapaian Join Event Activity'!I118</f>
        <v>0</v>
      </c>
      <c r="AO118" s="15">
        <f t="shared" si="65"/>
        <v>112500</v>
      </c>
      <c r="AP118" s="13">
        <v>0</v>
      </c>
      <c r="AQ118" s="15">
        <f t="shared" si="76"/>
        <v>0</v>
      </c>
      <c r="AR118" s="13">
        <v>0</v>
      </c>
      <c r="AS118" s="15">
        <f t="shared" si="77"/>
        <v>0</v>
      </c>
      <c r="AT118" s="15">
        <f t="shared" si="68"/>
        <v>112500</v>
      </c>
      <c r="AU118" s="15">
        <f t="shared" ref="AU118:AU120" si="79">AT118*70%</f>
        <v>78750</v>
      </c>
      <c r="AV118" s="15">
        <f t="shared" ref="AV118:AV120" si="80">AT118*30%</f>
        <v>33750</v>
      </c>
    </row>
    <row r="119" spans="3:48" ht="16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"/>
      <c r="O119" s="3"/>
      <c r="P119" s="397"/>
      <c r="Q119" s="52" t="s">
        <v>400</v>
      </c>
      <c r="R119" s="52" t="s">
        <v>322</v>
      </c>
      <c r="S119" s="12" t="s">
        <v>18</v>
      </c>
      <c r="T119" s="269">
        <f>'Pencapaian Sales Value'!G119</f>
        <v>0.75767519685039375</v>
      </c>
      <c r="U119" s="15">
        <f>'Pencapaian Sales Value'!I119</f>
        <v>112500</v>
      </c>
      <c r="V119" s="269">
        <f>'Pencapaian Product Focus'!H119</f>
        <v>1.0495098039215691</v>
      </c>
      <c r="W119" s="269">
        <f>'Pencapaian Product Focus'!L119</f>
        <v>0.42857142857142855</v>
      </c>
      <c r="X119" s="15">
        <f>'Pencapaian Product Focus'!N119</f>
        <v>90000</v>
      </c>
      <c r="Y119" s="269">
        <f>'Pencapaian Effective Call'!G119</f>
        <v>0.83214285714285718</v>
      </c>
      <c r="Z119" s="15">
        <f>'Pencapaian Effective Call'!I119</f>
        <v>67500</v>
      </c>
      <c r="AA119" s="269">
        <f>'Pencapaian New Open Outlet'!G119</f>
        <v>0.5</v>
      </c>
      <c r="AB119" s="15">
        <f>'Pencapaian New Open Outlet'!I119</f>
        <v>0</v>
      </c>
      <c r="AC119" s="255">
        <f>'Pencapaian Active Outlet'!G119</f>
        <v>0.94</v>
      </c>
      <c r="AD119" s="170">
        <f>'Pencapaian Active Outlet'!I119</f>
        <v>0</v>
      </c>
      <c r="AE119" s="255">
        <f>'Pencapaian Item per Outlet'!G119</f>
        <v>0</v>
      </c>
      <c r="AF119" s="309">
        <f>'Pencapaian Item per Outlet'!I119</f>
        <v>0</v>
      </c>
      <c r="AG119" s="255">
        <f>'Pencapaian Product Display'!G119</f>
        <v>0</v>
      </c>
      <c r="AH119" s="309">
        <f>'Pencapaian Product Display'!I119</f>
        <v>0</v>
      </c>
      <c r="AI119" s="255">
        <f>'Pencapaian Sales Contract'!G119</f>
        <v>0</v>
      </c>
      <c r="AJ119" s="309">
        <f>'Pencapaian Sales Contract'!I119</f>
        <v>0</v>
      </c>
      <c r="AK119" s="255">
        <f>'Pencapaian Co-Branding'!G119</f>
        <v>0</v>
      </c>
      <c r="AL119" s="309">
        <f>'Pencapaian Co-Branding'!I119</f>
        <v>0</v>
      </c>
      <c r="AM119" s="255">
        <f>'Pencapaian Join Event Activity'!G119</f>
        <v>0</v>
      </c>
      <c r="AN119" s="309">
        <f>'Pencapaian Join Event Activity'!I119</f>
        <v>0</v>
      </c>
      <c r="AO119" s="15">
        <f t="shared" si="65"/>
        <v>270000</v>
      </c>
      <c r="AP119" s="13">
        <v>0</v>
      </c>
      <c r="AQ119" s="15">
        <f t="shared" si="76"/>
        <v>0</v>
      </c>
      <c r="AR119" s="13">
        <v>0</v>
      </c>
      <c r="AS119" s="15">
        <f t="shared" si="77"/>
        <v>0</v>
      </c>
      <c r="AT119" s="15">
        <f t="shared" si="68"/>
        <v>270000</v>
      </c>
      <c r="AU119" s="15">
        <f t="shared" si="79"/>
        <v>189000</v>
      </c>
      <c r="AV119" s="15">
        <f t="shared" si="80"/>
        <v>81000</v>
      </c>
    </row>
    <row r="120" spans="3:48" ht="16" x14ac:dyDescent="0.2">
      <c r="O120" s="3"/>
      <c r="P120" s="397"/>
      <c r="Q120" s="117"/>
      <c r="R120" s="117" t="s">
        <v>474</v>
      </c>
      <c r="S120" s="117"/>
      <c r="T120" s="304">
        <f>'Pencapaian Sales Value'!G120</f>
        <v>0</v>
      </c>
      <c r="U120" s="178">
        <f>'Pencapaian Sales Value'!I120</f>
        <v>0</v>
      </c>
      <c r="V120" s="304">
        <f>'Pencapaian Product Focus'!H120</f>
        <v>0</v>
      </c>
      <c r="W120" s="304">
        <f>'Pencapaian Product Focus'!L120</f>
        <v>0</v>
      </c>
      <c r="X120" s="178">
        <f>'Pencapaian Product Focus'!N120</f>
        <v>0</v>
      </c>
      <c r="Y120" s="304">
        <f>'Pencapaian Effective Call'!G120</f>
        <v>0</v>
      </c>
      <c r="Z120" s="178">
        <f>'Pencapaian Effective Call'!I120</f>
        <v>0</v>
      </c>
      <c r="AA120" s="304">
        <f>'Pencapaian New Open Outlet'!G120</f>
        <v>0</v>
      </c>
      <c r="AB120" s="178">
        <f>'Pencapaian New Open Outlet'!I120</f>
        <v>0</v>
      </c>
      <c r="AC120" s="255">
        <f>'Pencapaian Active Outlet'!G120</f>
        <v>0</v>
      </c>
      <c r="AD120" s="170">
        <f>'Pencapaian Active Outlet'!I120</f>
        <v>0</v>
      </c>
      <c r="AE120" s="255">
        <f>'Pencapaian Item per Outlet'!G120</f>
        <v>0</v>
      </c>
      <c r="AF120" s="309">
        <f>'Pencapaian Item per Outlet'!I120</f>
        <v>0</v>
      </c>
      <c r="AG120" s="255">
        <f>'Pencapaian Product Display'!G120</f>
        <v>0</v>
      </c>
      <c r="AH120" s="309">
        <f>'Pencapaian Product Display'!I120</f>
        <v>0</v>
      </c>
      <c r="AI120" s="255">
        <f>'Pencapaian Sales Contract'!G120</f>
        <v>0</v>
      </c>
      <c r="AJ120" s="309">
        <f>'Pencapaian Sales Contract'!I120</f>
        <v>0</v>
      </c>
      <c r="AK120" s="255">
        <f>'Pencapaian Co-Branding'!G120</f>
        <v>0</v>
      </c>
      <c r="AL120" s="309">
        <f>'Pencapaian Co-Branding'!I120</f>
        <v>0</v>
      </c>
      <c r="AM120" s="255">
        <f>'Pencapaian Join Event Activity'!G120</f>
        <v>0</v>
      </c>
      <c r="AN120" s="309">
        <f>'Pencapaian Join Event Activity'!I120</f>
        <v>0</v>
      </c>
      <c r="AO120" s="178">
        <f t="shared" si="65"/>
        <v>0</v>
      </c>
      <c r="AP120" s="265">
        <v>0</v>
      </c>
      <c r="AQ120" s="178">
        <f t="shared" si="76"/>
        <v>0</v>
      </c>
      <c r="AR120" s="265">
        <v>0</v>
      </c>
      <c r="AS120" s="178">
        <f t="shared" si="77"/>
        <v>0</v>
      </c>
      <c r="AT120" s="178">
        <f t="shared" si="68"/>
        <v>0</v>
      </c>
      <c r="AU120" s="178">
        <f t="shared" si="79"/>
        <v>0</v>
      </c>
      <c r="AV120" s="178">
        <f t="shared" si="80"/>
        <v>0</v>
      </c>
    </row>
    <row r="121" spans="3:48" ht="16" x14ac:dyDescent="0.2">
      <c r="O121" s="3"/>
      <c r="P121" s="396" t="s">
        <v>836</v>
      </c>
      <c r="Q121" s="178"/>
      <c r="R121" s="117" t="s">
        <v>837</v>
      </c>
      <c r="S121" s="178"/>
      <c r="T121" s="255">
        <f>'Pencapaian Sales Value'!G121</f>
        <v>0</v>
      </c>
      <c r="U121" s="170">
        <f>'Pencapaian Sales Value'!I121</f>
        <v>0</v>
      </c>
      <c r="V121" s="255">
        <f>'Pencapaian Product Focus'!H121</f>
        <v>0</v>
      </c>
      <c r="W121" s="255">
        <f>'Pencapaian Product Focus'!L121</f>
        <v>0</v>
      </c>
      <c r="X121" s="170">
        <f>'Pencapaian Product Focus'!N121</f>
        <v>0</v>
      </c>
      <c r="Y121" s="255">
        <f>'Pencapaian Effective Call'!G121</f>
        <v>0</v>
      </c>
      <c r="Z121" s="170">
        <f>'Pencapaian Effective Call'!I121</f>
        <v>0</v>
      </c>
      <c r="AA121" s="255">
        <f>'Pencapaian New Open Outlet'!G121</f>
        <v>0</v>
      </c>
      <c r="AB121" s="170">
        <f>'Pencapaian New Open Outlet'!I121</f>
        <v>0</v>
      </c>
      <c r="AC121" s="255">
        <f>'Pencapaian Active Outlet'!G121</f>
        <v>0</v>
      </c>
      <c r="AD121" s="170">
        <f>'Pencapaian Active Outlet'!I121</f>
        <v>0</v>
      </c>
      <c r="AE121" s="255">
        <f>'Pencapaian Item per Outlet'!G121</f>
        <v>0</v>
      </c>
      <c r="AF121" s="309">
        <f>'Pencapaian Item per Outlet'!I121</f>
        <v>0</v>
      </c>
      <c r="AG121" s="255">
        <f>'Pencapaian Product Display'!G121</f>
        <v>0</v>
      </c>
      <c r="AH121" s="309">
        <f>'Pencapaian Product Display'!I121</f>
        <v>0</v>
      </c>
      <c r="AI121" s="255">
        <f>'Pencapaian Sales Contract'!G121</f>
        <v>0</v>
      </c>
      <c r="AJ121" s="309">
        <f>'Pencapaian Sales Contract'!I121</f>
        <v>0</v>
      </c>
      <c r="AK121" s="255">
        <f>'Pencapaian Co-Branding'!G121</f>
        <v>0</v>
      </c>
      <c r="AL121" s="309">
        <f>'Pencapaian Co-Branding'!I121</f>
        <v>0</v>
      </c>
      <c r="AM121" s="255">
        <f>'Pencapaian Join Event Activity'!G121</f>
        <v>0</v>
      </c>
      <c r="AN121" s="309">
        <f>'Pencapaian Join Event Activity'!I121</f>
        <v>0</v>
      </c>
      <c r="AO121" s="15">
        <f t="shared" si="65"/>
        <v>0</v>
      </c>
      <c r="AP121" s="13">
        <v>0</v>
      </c>
      <c r="AQ121" s="15">
        <f t="shared" si="76"/>
        <v>0</v>
      </c>
      <c r="AR121" s="13">
        <v>0</v>
      </c>
      <c r="AS121" s="15">
        <f t="shared" si="77"/>
        <v>0</v>
      </c>
      <c r="AT121" s="15">
        <f t="shared" si="68"/>
        <v>0</v>
      </c>
      <c r="AU121" s="15">
        <f t="shared" ref="AU121:AU126" si="81">AT121</f>
        <v>0</v>
      </c>
      <c r="AV121" s="15">
        <v>0</v>
      </c>
    </row>
    <row r="122" spans="3:48" ht="16" x14ac:dyDescent="0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"/>
      <c r="O122" s="3"/>
      <c r="P122" s="386"/>
      <c r="Q122" s="178"/>
      <c r="R122" s="117" t="s">
        <v>838</v>
      </c>
      <c r="S122" s="178"/>
      <c r="T122" s="255">
        <f>'Pencapaian Sales Value'!G122</f>
        <v>0</v>
      </c>
      <c r="U122" s="170">
        <f>'Pencapaian Sales Value'!I122</f>
        <v>0</v>
      </c>
      <c r="V122" s="255">
        <f>'Pencapaian Product Focus'!H122</f>
        <v>0</v>
      </c>
      <c r="W122" s="255">
        <f>'Pencapaian Product Focus'!L122</f>
        <v>0</v>
      </c>
      <c r="X122" s="170">
        <f>'Pencapaian Product Focus'!N122</f>
        <v>0</v>
      </c>
      <c r="Y122" s="255">
        <f>'Pencapaian Effective Call'!G122</f>
        <v>0</v>
      </c>
      <c r="Z122" s="170">
        <f>'Pencapaian Effective Call'!I122</f>
        <v>0</v>
      </c>
      <c r="AA122" s="255">
        <f>'Pencapaian New Open Outlet'!G122</f>
        <v>0</v>
      </c>
      <c r="AB122" s="170">
        <f>'Pencapaian New Open Outlet'!I122</f>
        <v>0</v>
      </c>
      <c r="AC122" s="255">
        <f>'Pencapaian Active Outlet'!G122</f>
        <v>0</v>
      </c>
      <c r="AD122" s="170">
        <f>'Pencapaian Active Outlet'!I122</f>
        <v>0</v>
      </c>
      <c r="AE122" s="255">
        <f>'Pencapaian Item per Outlet'!G122</f>
        <v>0</v>
      </c>
      <c r="AF122" s="309">
        <f>'Pencapaian Item per Outlet'!I122</f>
        <v>0</v>
      </c>
      <c r="AG122" s="255">
        <f>'Pencapaian Product Display'!G122</f>
        <v>0</v>
      </c>
      <c r="AH122" s="309">
        <f>'Pencapaian Product Display'!I122</f>
        <v>0</v>
      </c>
      <c r="AI122" s="255">
        <f>'Pencapaian Sales Contract'!G122</f>
        <v>0</v>
      </c>
      <c r="AJ122" s="309">
        <f>'Pencapaian Sales Contract'!I122</f>
        <v>0</v>
      </c>
      <c r="AK122" s="255">
        <f>'Pencapaian Co-Branding'!G122</f>
        <v>0</v>
      </c>
      <c r="AL122" s="309">
        <f>'Pencapaian Co-Branding'!I122</f>
        <v>0</v>
      </c>
      <c r="AM122" s="255">
        <f>'Pencapaian Join Event Activity'!G122</f>
        <v>0</v>
      </c>
      <c r="AN122" s="309">
        <f>'Pencapaian Join Event Activity'!I122</f>
        <v>0</v>
      </c>
      <c r="AO122" s="15">
        <f t="shared" si="65"/>
        <v>0</v>
      </c>
      <c r="AP122" s="13">
        <v>0</v>
      </c>
      <c r="AQ122" s="15">
        <f t="shared" si="76"/>
        <v>0</v>
      </c>
      <c r="AR122" s="13">
        <v>0</v>
      </c>
      <c r="AS122" s="15">
        <f t="shared" si="77"/>
        <v>0</v>
      </c>
      <c r="AT122" s="15">
        <f t="shared" si="68"/>
        <v>0</v>
      </c>
      <c r="AU122" s="15">
        <f t="shared" si="81"/>
        <v>0</v>
      </c>
      <c r="AV122" s="15">
        <v>0</v>
      </c>
    </row>
    <row r="123" spans="3:48" ht="16" x14ac:dyDescent="0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"/>
      <c r="O123" s="3"/>
      <c r="P123" s="386"/>
      <c r="Q123" s="178"/>
      <c r="R123" s="117" t="s">
        <v>839</v>
      </c>
      <c r="S123" s="178"/>
      <c r="T123" s="255">
        <f>'Pencapaian Sales Value'!G123</f>
        <v>0</v>
      </c>
      <c r="U123" s="170">
        <f>'Pencapaian Sales Value'!I123</f>
        <v>0</v>
      </c>
      <c r="V123" s="255">
        <f>'Pencapaian Product Focus'!H123</f>
        <v>0</v>
      </c>
      <c r="W123" s="255">
        <f>'Pencapaian Product Focus'!L123</f>
        <v>0</v>
      </c>
      <c r="X123" s="170">
        <f>'Pencapaian Product Focus'!N123</f>
        <v>0</v>
      </c>
      <c r="Y123" s="255">
        <f>'Pencapaian Effective Call'!G123</f>
        <v>0</v>
      </c>
      <c r="Z123" s="170">
        <f>'Pencapaian Effective Call'!I123</f>
        <v>0</v>
      </c>
      <c r="AA123" s="255">
        <f>'Pencapaian New Open Outlet'!G123</f>
        <v>0</v>
      </c>
      <c r="AB123" s="170">
        <f>'Pencapaian New Open Outlet'!I123</f>
        <v>0</v>
      </c>
      <c r="AC123" s="255">
        <f>'Pencapaian Active Outlet'!G123</f>
        <v>0</v>
      </c>
      <c r="AD123" s="170">
        <f>'Pencapaian Active Outlet'!I123</f>
        <v>0</v>
      </c>
      <c r="AE123" s="255">
        <f>'Pencapaian Item per Outlet'!G123</f>
        <v>0</v>
      </c>
      <c r="AF123" s="309">
        <f>'Pencapaian Item per Outlet'!I123</f>
        <v>0</v>
      </c>
      <c r="AG123" s="255">
        <f>'Pencapaian Product Display'!G123</f>
        <v>0</v>
      </c>
      <c r="AH123" s="309">
        <f>'Pencapaian Product Display'!I123</f>
        <v>0</v>
      </c>
      <c r="AI123" s="255">
        <f>'Pencapaian Sales Contract'!G123</f>
        <v>0</v>
      </c>
      <c r="AJ123" s="309">
        <f>'Pencapaian Sales Contract'!I123</f>
        <v>0</v>
      </c>
      <c r="AK123" s="255">
        <f>'Pencapaian Co-Branding'!G123</f>
        <v>0</v>
      </c>
      <c r="AL123" s="309">
        <f>'Pencapaian Co-Branding'!I123</f>
        <v>0</v>
      </c>
      <c r="AM123" s="255">
        <f>'Pencapaian Join Event Activity'!G123</f>
        <v>0</v>
      </c>
      <c r="AN123" s="309">
        <f>'Pencapaian Join Event Activity'!I123</f>
        <v>0</v>
      </c>
      <c r="AO123" s="15">
        <f t="shared" si="65"/>
        <v>0</v>
      </c>
      <c r="AP123" s="13">
        <v>0</v>
      </c>
      <c r="AQ123" s="15">
        <f t="shared" si="76"/>
        <v>0</v>
      </c>
      <c r="AR123" s="13">
        <v>0</v>
      </c>
      <c r="AS123" s="15">
        <f t="shared" si="77"/>
        <v>0</v>
      </c>
      <c r="AT123" s="15">
        <f t="shared" si="68"/>
        <v>0</v>
      </c>
      <c r="AU123" s="15">
        <f t="shared" si="81"/>
        <v>0</v>
      </c>
      <c r="AV123" s="15">
        <v>0</v>
      </c>
    </row>
    <row r="124" spans="3:48" ht="16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"/>
      <c r="O124" s="3"/>
      <c r="P124" s="386"/>
      <c r="Q124" s="52"/>
      <c r="R124" s="69" t="s">
        <v>893</v>
      </c>
      <c r="S124" s="12" t="s">
        <v>571</v>
      </c>
      <c r="T124" s="269">
        <f>'Pencapaian Sales Value'!G124</f>
        <v>0.12641628975999997</v>
      </c>
      <c r="U124" s="15">
        <f>'Pencapaian Sales Value'!I124</f>
        <v>0</v>
      </c>
      <c r="V124" s="255">
        <f>'Pencapaian Product Focus'!H124</f>
        <v>0</v>
      </c>
      <c r="W124" s="255">
        <f>'Pencapaian Product Focus'!L124</f>
        <v>0</v>
      </c>
      <c r="X124" s="170">
        <f>'Pencapaian Product Focus'!N124</f>
        <v>0</v>
      </c>
      <c r="Y124" s="255">
        <f>'Pencapaian Effective Call'!G124</f>
        <v>0</v>
      </c>
      <c r="Z124" s="170">
        <f>'Pencapaian Effective Call'!I124</f>
        <v>0</v>
      </c>
      <c r="AA124" s="255">
        <f>'Pencapaian New Open Outlet'!G124</f>
        <v>0</v>
      </c>
      <c r="AB124" s="170">
        <f>'Pencapaian New Open Outlet'!I124</f>
        <v>0</v>
      </c>
      <c r="AC124" s="269">
        <f>'Pencapaian Active Outlet'!G124</f>
        <v>0.09</v>
      </c>
      <c r="AD124" s="15">
        <f>'Pencapaian Active Outlet'!I124</f>
        <v>0</v>
      </c>
      <c r="AE124" s="255">
        <f>'Pencapaian Item per Outlet'!G124</f>
        <v>0</v>
      </c>
      <c r="AF124" s="309">
        <f>'Pencapaian Item per Outlet'!I124</f>
        <v>0</v>
      </c>
      <c r="AG124" s="255">
        <f>'Pencapaian Product Display'!G124</f>
        <v>0</v>
      </c>
      <c r="AH124" s="309">
        <f>'Pencapaian Product Display'!I124</f>
        <v>0</v>
      </c>
      <c r="AI124" s="255">
        <f>'Pencapaian Sales Contract'!G124</f>
        <v>0</v>
      </c>
      <c r="AJ124" s="309">
        <f>'Pencapaian Sales Contract'!I124</f>
        <v>0</v>
      </c>
      <c r="AK124" s="255">
        <f>'Pencapaian Co-Branding'!G124</f>
        <v>0</v>
      </c>
      <c r="AL124" s="309">
        <f>'Pencapaian Co-Branding'!I124</f>
        <v>0</v>
      </c>
      <c r="AM124" s="255">
        <f>'Pencapaian Join Event Activity'!G124</f>
        <v>0</v>
      </c>
      <c r="AN124" s="309">
        <f>'Pencapaian Join Event Activity'!I124</f>
        <v>0</v>
      </c>
      <c r="AO124" s="15">
        <f t="shared" si="65"/>
        <v>0</v>
      </c>
      <c r="AP124" s="13">
        <v>0</v>
      </c>
      <c r="AQ124" s="15">
        <f t="shared" si="76"/>
        <v>0</v>
      </c>
      <c r="AR124" s="13">
        <v>0</v>
      </c>
      <c r="AS124" s="15">
        <f t="shared" si="77"/>
        <v>0</v>
      </c>
      <c r="AT124" s="15">
        <f t="shared" si="68"/>
        <v>0</v>
      </c>
      <c r="AU124" s="15">
        <f t="shared" si="81"/>
        <v>0</v>
      </c>
      <c r="AV124" s="15">
        <v>0</v>
      </c>
    </row>
    <row r="125" spans="3:48" ht="16" x14ac:dyDescent="0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"/>
      <c r="O125" s="3"/>
      <c r="P125" s="386"/>
      <c r="Q125" s="178"/>
      <c r="R125" s="117" t="s">
        <v>840</v>
      </c>
      <c r="S125" s="178"/>
      <c r="T125" s="255">
        <f>'Pencapaian Sales Value'!G125</f>
        <v>0</v>
      </c>
      <c r="U125" s="170">
        <f>'Pencapaian Sales Value'!I125</f>
        <v>0</v>
      </c>
      <c r="V125" s="255">
        <f>'Pencapaian Product Focus'!H125</f>
        <v>0</v>
      </c>
      <c r="W125" s="255">
        <f>'Pencapaian Product Focus'!L125</f>
        <v>0</v>
      </c>
      <c r="X125" s="170">
        <f>'Pencapaian Product Focus'!N125</f>
        <v>0</v>
      </c>
      <c r="Y125" s="255">
        <f>'Pencapaian Effective Call'!G125</f>
        <v>0</v>
      </c>
      <c r="Z125" s="170">
        <f>'Pencapaian Effective Call'!I125</f>
        <v>0</v>
      </c>
      <c r="AA125" s="255">
        <f>'Pencapaian New Open Outlet'!G125</f>
        <v>0</v>
      </c>
      <c r="AB125" s="170">
        <f>'Pencapaian New Open Outlet'!I125</f>
        <v>0</v>
      </c>
      <c r="AC125" s="255">
        <f>'Pencapaian Active Outlet'!G125</f>
        <v>0</v>
      </c>
      <c r="AD125" s="170">
        <f>'Pencapaian Active Outlet'!I125</f>
        <v>0</v>
      </c>
      <c r="AE125" s="255">
        <f>'Pencapaian Item per Outlet'!G125</f>
        <v>0</v>
      </c>
      <c r="AF125" s="309">
        <f>'Pencapaian Item per Outlet'!I125</f>
        <v>0</v>
      </c>
      <c r="AG125" s="255">
        <f>'Pencapaian Product Display'!G125</f>
        <v>0</v>
      </c>
      <c r="AH125" s="309">
        <f>'Pencapaian Product Display'!I125</f>
        <v>0</v>
      </c>
      <c r="AI125" s="255">
        <f>'Pencapaian Sales Contract'!G125</f>
        <v>0</v>
      </c>
      <c r="AJ125" s="309">
        <f>'Pencapaian Sales Contract'!I125</f>
        <v>0</v>
      </c>
      <c r="AK125" s="255">
        <f>'Pencapaian Co-Branding'!G125</f>
        <v>0</v>
      </c>
      <c r="AL125" s="309">
        <f>'Pencapaian Co-Branding'!I125</f>
        <v>0</v>
      </c>
      <c r="AM125" s="255">
        <f>'Pencapaian Join Event Activity'!G125</f>
        <v>0</v>
      </c>
      <c r="AN125" s="309">
        <f>'Pencapaian Join Event Activity'!I125</f>
        <v>0</v>
      </c>
      <c r="AO125" s="15">
        <f t="shared" si="65"/>
        <v>0</v>
      </c>
      <c r="AP125" s="13">
        <v>0</v>
      </c>
      <c r="AQ125" s="15">
        <f t="shared" si="76"/>
        <v>0</v>
      </c>
      <c r="AR125" s="13">
        <v>0</v>
      </c>
      <c r="AS125" s="15">
        <f t="shared" si="77"/>
        <v>0</v>
      </c>
      <c r="AT125" s="15">
        <f t="shared" si="68"/>
        <v>0</v>
      </c>
      <c r="AU125" s="15">
        <f t="shared" si="81"/>
        <v>0</v>
      </c>
      <c r="AV125" s="15">
        <v>0</v>
      </c>
    </row>
    <row r="126" spans="3:48" ht="16" x14ac:dyDescent="0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"/>
      <c r="O126" s="3"/>
      <c r="P126" s="386"/>
      <c r="Q126" s="178"/>
      <c r="R126" s="117" t="s">
        <v>841</v>
      </c>
      <c r="S126" s="178"/>
      <c r="T126" s="255">
        <f>'Pencapaian Sales Value'!G126</f>
        <v>0</v>
      </c>
      <c r="U126" s="170">
        <f>'Pencapaian Sales Value'!I126</f>
        <v>0</v>
      </c>
      <c r="V126" s="255">
        <f>'Pencapaian Product Focus'!H126</f>
        <v>0</v>
      </c>
      <c r="W126" s="255">
        <f>'Pencapaian Product Focus'!L126</f>
        <v>0</v>
      </c>
      <c r="X126" s="170">
        <f>'Pencapaian Product Focus'!N126</f>
        <v>0</v>
      </c>
      <c r="Y126" s="255">
        <f>'Pencapaian Effective Call'!G126</f>
        <v>0</v>
      </c>
      <c r="Z126" s="170">
        <f>'Pencapaian Effective Call'!I126</f>
        <v>0</v>
      </c>
      <c r="AA126" s="255">
        <f>'Pencapaian New Open Outlet'!G126</f>
        <v>0</v>
      </c>
      <c r="AB126" s="170">
        <f>'Pencapaian New Open Outlet'!I126</f>
        <v>0</v>
      </c>
      <c r="AC126" s="255">
        <f>'Pencapaian Active Outlet'!G126</f>
        <v>0</v>
      </c>
      <c r="AD126" s="170">
        <f>'Pencapaian Active Outlet'!I126</f>
        <v>0</v>
      </c>
      <c r="AE126" s="255">
        <f>'Pencapaian Item per Outlet'!G126</f>
        <v>0</v>
      </c>
      <c r="AF126" s="309">
        <f>'Pencapaian Item per Outlet'!I126</f>
        <v>0</v>
      </c>
      <c r="AG126" s="255">
        <f>'Pencapaian Product Display'!G126</f>
        <v>0</v>
      </c>
      <c r="AH126" s="309">
        <f>'Pencapaian Product Display'!I126</f>
        <v>0</v>
      </c>
      <c r="AI126" s="255">
        <f>'Pencapaian Sales Contract'!G126</f>
        <v>0</v>
      </c>
      <c r="AJ126" s="309">
        <f>'Pencapaian Sales Contract'!I126</f>
        <v>0</v>
      </c>
      <c r="AK126" s="255">
        <f>'Pencapaian Co-Branding'!G126</f>
        <v>0</v>
      </c>
      <c r="AL126" s="309">
        <f>'Pencapaian Co-Branding'!I126</f>
        <v>0</v>
      </c>
      <c r="AM126" s="255">
        <f>'Pencapaian Join Event Activity'!G126</f>
        <v>0</v>
      </c>
      <c r="AN126" s="309">
        <f>'Pencapaian Join Event Activity'!I126</f>
        <v>0</v>
      </c>
      <c r="AO126" s="15">
        <f t="shared" si="65"/>
        <v>0</v>
      </c>
      <c r="AP126" s="13">
        <v>0</v>
      </c>
      <c r="AQ126" s="15">
        <f t="shared" si="76"/>
        <v>0</v>
      </c>
      <c r="AR126" s="13">
        <v>0</v>
      </c>
      <c r="AS126" s="15">
        <f t="shared" si="77"/>
        <v>0</v>
      </c>
      <c r="AT126" s="15">
        <f t="shared" si="68"/>
        <v>0</v>
      </c>
      <c r="AU126" s="15">
        <f t="shared" si="81"/>
        <v>0</v>
      </c>
      <c r="AV126" s="15">
        <v>0</v>
      </c>
    </row>
    <row r="127" spans="3:48" ht="16" x14ac:dyDescent="0.2">
      <c r="O127" s="3"/>
      <c r="P127" s="386"/>
      <c r="Q127" s="78"/>
      <c r="R127" s="78" t="s">
        <v>275</v>
      </c>
      <c r="S127" s="64" t="s">
        <v>20</v>
      </c>
      <c r="T127" s="258">
        <f>'Pencapaian Sales Value'!G127</f>
        <v>0.78995613690328459</v>
      </c>
      <c r="U127" s="63">
        <f>'Pencapaian Sales Value'!I127</f>
        <v>120000</v>
      </c>
      <c r="V127" s="258">
        <f>'Pencapaian Product Focus'!H127</f>
        <v>1.0919540229885061</v>
      </c>
      <c r="W127" s="258">
        <f>'Pencapaian Product Focus'!L127</f>
        <v>0.54333333333333333</v>
      </c>
      <c r="X127" s="63">
        <f>'Pencapaian Product Focus'!N127</f>
        <v>120000</v>
      </c>
      <c r="Y127" s="257">
        <f>'Pencapaian Effective Call'!G127</f>
        <v>0.74262295081967211</v>
      </c>
      <c r="Z127" s="189">
        <f>'Pencapaian Effective Call'!I127</f>
        <v>0</v>
      </c>
      <c r="AA127" s="258">
        <f>'Pencapaian New Open Outlet'!G127</f>
        <v>0.27500000000000002</v>
      </c>
      <c r="AB127" s="63">
        <f>'Pencapaian New Open Outlet'!I127</f>
        <v>0</v>
      </c>
      <c r="AC127" s="258">
        <f>'Pencapaian Active Outlet'!G127</f>
        <v>0.69242424242424239</v>
      </c>
      <c r="AD127" s="63">
        <f>'Pencapaian Active Outlet'!I127</f>
        <v>0</v>
      </c>
      <c r="AE127" s="297">
        <f>'Pencapaian Item per Outlet'!G127</f>
        <v>0</v>
      </c>
      <c r="AF127" s="310">
        <f>'Pencapaian Item per Outlet'!I127</f>
        <v>0</v>
      </c>
      <c r="AG127" s="297">
        <f>'Pencapaian Product Display'!G127</f>
        <v>0</v>
      </c>
      <c r="AH127" s="310">
        <f>'Pencapaian Product Display'!I127</f>
        <v>0</v>
      </c>
      <c r="AI127" s="297">
        <f>'Pencapaian Sales Contract'!G127</f>
        <v>0</v>
      </c>
      <c r="AJ127" s="310">
        <f>'Pencapaian Sales Contract'!I127</f>
        <v>0</v>
      </c>
      <c r="AK127" s="297">
        <f>'Pencapaian Co-Branding'!G127</f>
        <v>0</v>
      </c>
      <c r="AL127" s="310">
        <f>'Pencapaian Co-Branding'!I127</f>
        <v>0</v>
      </c>
      <c r="AM127" s="297">
        <f>'Pencapaian Join Event Activity'!G127</f>
        <v>0</v>
      </c>
      <c r="AN127" s="310">
        <f>'Pencapaian Join Event Activity'!I127</f>
        <v>0</v>
      </c>
      <c r="AO127" s="63">
        <f t="shared" si="65"/>
        <v>240000</v>
      </c>
      <c r="AP127" s="110">
        <v>0</v>
      </c>
      <c r="AQ127" s="63">
        <f t="shared" si="76"/>
        <v>0</v>
      </c>
      <c r="AR127" s="110">
        <v>0</v>
      </c>
      <c r="AS127" s="63">
        <f t="shared" si="77"/>
        <v>0</v>
      </c>
      <c r="AT127" s="63">
        <f t="shared" si="68"/>
        <v>240000</v>
      </c>
      <c r="AU127" s="63">
        <f>AT127</f>
        <v>240000</v>
      </c>
      <c r="AV127" s="63">
        <v>0</v>
      </c>
    </row>
    <row r="128" spans="3:48" ht="1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"/>
      <c r="O128" s="3"/>
      <c r="P128" s="387"/>
      <c r="Q128" s="77"/>
      <c r="R128" s="77" t="s">
        <v>859</v>
      </c>
      <c r="S128" s="42"/>
      <c r="T128" s="264">
        <f>'Pencapaian Sales Value'!G128</f>
        <v>0.78995613690328459</v>
      </c>
      <c r="U128" s="23">
        <f>'Pencapaian Sales Value'!I128</f>
        <v>480000</v>
      </c>
      <c r="V128" s="274">
        <f>'Pencapaian Product Focus'!H128</f>
        <v>1.0919540229885061</v>
      </c>
      <c r="W128" s="274">
        <f>'Pencapaian Product Focus'!L128</f>
        <v>0.54333333333333333</v>
      </c>
      <c r="X128" s="190">
        <f>'Pencapaian Product Focus'!N128</f>
        <v>421500</v>
      </c>
      <c r="Y128" s="274">
        <f>'Pencapaian Effective Call'!G128</f>
        <v>0.74262295081967211</v>
      </c>
      <c r="Z128" s="190">
        <f>'Pencapaian Effective Call'!I128</f>
        <v>141750</v>
      </c>
      <c r="AA128" s="274">
        <f>'Pencapaian New Open Outlet'!G128</f>
        <v>0.27500000000000002</v>
      </c>
      <c r="AB128" s="190">
        <f>'Pencapaian New Open Outlet'!I128</f>
        <v>0</v>
      </c>
      <c r="AC128" s="264">
        <f>'Pencapaian Active Outlet'!G128</f>
        <v>0.69242424242424239</v>
      </c>
      <c r="AD128" s="23">
        <f>'Pencapaian Active Outlet'!I128</f>
        <v>0</v>
      </c>
      <c r="AE128" s="274">
        <f>'Pencapaian Item per Outlet'!G128</f>
        <v>0</v>
      </c>
      <c r="AF128" s="313">
        <f>'Pencapaian Item per Outlet'!I128</f>
        <v>0</v>
      </c>
      <c r="AG128" s="274">
        <f>'Pencapaian Product Display'!G128</f>
        <v>0</v>
      </c>
      <c r="AH128" s="313">
        <f>'Pencapaian Product Display'!I128</f>
        <v>0</v>
      </c>
      <c r="AI128" s="274">
        <f>'Pencapaian Sales Contract'!G128</f>
        <v>0</v>
      </c>
      <c r="AJ128" s="313">
        <f>'Pencapaian Sales Contract'!I128</f>
        <v>0</v>
      </c>
      <c r="AK128" s="274">
        <f>'Pencapaian Co-Branding'!G128</f>
        <v>0</v>
      </c>
      <c r="AL128" s="313">
        <f>'Pencapaian Co-Branding'!I128</f>
        <v>0</v>
      </c>
      <c r="AM128" s="274">
        <f>'Pencapaian Join Event Activity'!G128</f>
        <v>0</v>
      </c>
      <c r="AN128" s="313">
        <f>'Pencapaian Join Event Activity'!I128</f>
        <v>0</v>
      </c>
      <c r="AO128" s="23">
        <f t="shared" si="65"/>
        <v>1043250</v>
      </c>
      <c r="AP128" s="112">
        <v>0</v>
      </c>
      <c r="AQ128" s="23">
        <f>SUM(AQ116:AQ127)</f>
        <v>0</v>
      </c>
      <c r="AR128" s="112">
        <v>0</v>
      </c>
      <c r="AS128" s="23">
        <f>SUM(AS116:AS127)</f>
        <v>0</v>
      </c>
      <c r="AT128" s="23">
        <f>SUM(AS128,AQ128,AO128)</f>
        <v>1043250</v>
      </c>
      <c r="AU128" s="23">
        <f>SUM(AU121:AU127)</f>
        <v>240000</v>
      </c>
      <c r="AV128" s="23">
        <f>SUM(AV121:AV127)</f>
        <v>0</v>
      </c>
    </row>
    <row r="129" spans="3:48" ht="16" x14ac:dyDescent="0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"/>
      <c r="O129" s="3"/>
      <c r="P129" s="397" t="s">
        <v>45</v>
      </c>
      <c r="Q129" s="117"/>
      <c r="R129" s="117" t="s">
        <v>175</v>
      </c>
      <c r="S129" s="178"/>
      <c r="T129" s="304">
        <f>'Pencapaian Sales Value'!G129</f>
        <v>0</v>
      </c>
      <c r="U129" s="178">
        <f>'Pencapaian Sales Value'!I129</f>
        <v>0</v>
      </c>
      <c r="V129" s="304">
        <f>'Pencapaian Product Focus'!H129</f>
        <v>0</v>
      </c>
      <c r="W129" s="304">
        <f>'Pencapaian Product Focus'!L129</f>
        <v>0</v>
      </c>
      <c r="X129" s="178">
        <f>'Pencapaian Product Focus'!N129</f>
        <v>0</v>
      </c>
      <c r="Y129" s="304">
        <f>'Pencapaian Effective Call'!G129</f>
        <v>0</v>
      </c>
      <c r="Z129" s="178">
        <f>'Pencapaian Effective Call'!I129</f>
        <v>0</v>
      </c>
      <c r="AA129" s="304">
        <f>'Pencapaian New Open Outlet'!G129</f>
        <v>0</v>
      </c>
      <c r="AB129" s="178">
        <f>'Pencapaian New Open Outlet'!I129</f>
        <v>0</v>
      </c>
      <c r="AC129" s="255">
        <f>'Pencapaian Active Outlet'!G129</f>
        <v>0</v>
      </c>
      <c r="AD129" s="170">
        <f>'Pencapaian Active Outlet'!I129</f>
        <v>0</v>
      </c>
      <c r="AE129" s="255">
        <f>'Pencapaian Item per Outlet'!G129</f>
        <v>0</v>
      </c>
      <c r="AF129" s="309">
        <f>'Pencapaian Item per Outlet'!I129</f>
        <v>0</v>
      </c>
      <c r="AG129" s="255">
        <f>'Pencapaian Product Display'!G129</f>
        <v>0</v>
      </c>
      <c r="AH129" s="309">
        <f>'Pencapaian Product Display'!I129</f>
        <v>0</v>
      </c>
      <c r="AI129" s="255">
        <f>'Pencapaian Sales Contract'!G129</f>
        <v>0</v>
      </c>
      <c r="AJ129" s="309">
        <f>'Pencapaian Sales Contract'!I129</f>
        <v>0</v>
      </c>
      <c r="AK129" s="255">
        <f>'Pencapaian Co-Branding'!G129</f>
        <v>0</v>
      </c>
      <c r="AL129" s="309">
        <f>'Pencapaian Co-Branding'!I129</f>
        <v>0</v>
      </c>
      <c r="AM129" s="255">
        <f>'Pencapaian Join Event Activity'!G129</f>
        <v>0</v>
      </c>
      <c r="AN129" s="309">
        <f>'Pencapaian Join Event Activity'!I129</f>
        <v>0</v>
      </c>
      <c r="AO129" s="178">
        <f t="shared" si="65"/>
        <v>0</v>
      </c>
      <c r="AP129" s="265">
        <v>0</v>
      </c>
      <c r="AQ129" s="178">
        <f t="shared" ref="AQ129:AQ132" si="82">IF(AP129&gt;=0.5%,-(AO129*10%),0)</f>
        <v>0</v>
      </c>
      <c r="AR129" s="265">
        <v>0</v>
      </c>
      <c r="AS129" s="178">
        <f t="shared" ref="AS129:AS132" si="83">IF(AR129&gt;0,-(AO129+AQ129),0)</f>
        <v>0</v>
      </c>
      <c r="AT129" s="178">
        <f t="shared" si="68"/>
        <v>0</v>
      </c>
      <c r="AU129" s="178"/>
      <c r="AV129" s="178"/>
    </row>
    <row r="130" spans="3:48" ht="16" x14ac:dyDescent="0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"/>
      <c r="O130" s="3"/>
      <c r="P130" s="397"/>
      <c r="Q130" s="52" t="s">
        <v>401</v>
      </c>
      <c r="R130" s="52" t="s">
        <v>288</v>
      </c>
      <c r="S130" s="12" t="s">
        <v>18</v>
      </c>
      <c r="T130" s="269">
        <f>'Pencapaian Sales Value'!G130</f>
        <v>0.25863680583333332</v>
      </c>
      <c r="U130" s="15">
        <f>'Pencapaian Sales Value'!I130</f>
        <v>0</v>
      </c>
      <c r="V130" s="255">
        <f>'Pencapaian Product Focus'!H130</f>
        <v>0</v>
      </c>
      <c r="W130" s="255">
        <f>'Pencapaian Product Focus'!L130</f>
        <v>0</v>
      </c>
      <c r="X130" s="170">
        <f>'Pencapaian Product Focus'!N130</f>
        <v>0</v>
      </c>
      <c r="Y130" s="269">
        <f>'Pencapaian Effective Call'!G130</f>
        <v>0.58235294117647063</v>
      </c>
      <c r="Z130" s="15">
        <f>'Pencapaian Effective Call'!I130</f>
        <v>0</v>
      </c>
      <c r="AA130" s="269">
        <f>'Pencapaian New Open Outlet'!G130</f>
        <v>1.2307692307692308</v>
      </c>
      <c r="AB130" s="15">
        <f>'Pencapaian New Open Outlet'!I130</f>
        <v>225000</v>
      </c>
      <c r="AC130" s="269">
        <f>'Pencapaian Active Outlet'!G130</f>
        <v>0.70909090909090911</v>
      </c>
      <c r="AD130" s="15">
        <f>'Pencapaian Active Outlet'!I130</f>
        <v>22500</v>
      </c>
      <c r="AE130" s="255">
        <f>'Pencapaian Item per Outlet'!G130</f>
        <v>0</v>
      </c>
      <c r="AF130" s="309">
        <f>'Pencapaian Item per Outlet'!I130</f>
        <v>0</v>
      </c>
      <c r="AG130" s="255">
        <f>'Pencapaian Product Display'!G130</f>
        <v>0</v>
      </c>
      <c r="AH130" s="309">
        <f>'Pencapaian Product Display'!I130</f>
        <v>0</v>
      </c>
      <c r="AI130" s="255">
        <f>'Pencapaian Sales Contract'!G130</f>
        <v>0</v>
      </c>
      <c r="AJ130" s="309">
        <f>'Pencapaian Sales Contract'!I130</f>
        <v>0</v>
      </c>
      <c r="AK130" s="255">
        <f>'Pencapaian Co-Branding'!G130</f>
        <v>0</v>
      </c>
      <c r="AL130" s="309">
        <f>'Pencapaian Co-Branding'!I130</f>
        <v>0</v>
      </c>
      <c r="AM130" s="255">
        <f>'Pencapaian Join Event Activity'!G130</f>
        <v>0</v>
      </c>
      <c r="AN130" s="309">
        <f>'Pencapaian Join Event Activity'!I130</f>
        <v>0</v>
      </c>
      <c r="AO130" s="15">
        <f t="shared" si="65"/>
        <v>247500</v>
      </c>
      <c r="AP130" s="13">
        <v>7.1958478806393056E-2</v>
      </c>
      <c r="AQ130" s="15">
        <f t="shared" si="82"/>
        <v>-24750</v>
      </c>
      <c r="AR130" s="13">
        <v>0</v>
      </c>
      <c r="AS130" s="15">
        <f t="shared" si="83"/>
        <v>0</v>
      </c>
      <c r="AT130" s="15">
        <f t="shared" si="68"/>
        <v>222750</v>
      </c>
      <c r="AU130" s="15">
        <f t="shared" ref="AU130:AU131" si="84">AT130*70%</f>
        <v>155925</v>
      </c>
      <c r="AV130" s="15">
        <f t="shared" ref="AV130:AV131" si="85">AT130*30%</f>
        <v>66825</v>
      </c>
    </row>
    <row r="131" spans="3:48" ht="16" x14ac:dyDescent="0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"/>
      <c r="O131" s="3"/>
      <c r="P131" s="397"/>
      <c r="Q131" s="52" t="s">
        <v>402</v>
      </c>
      <c r="R131" s="52" t="s">
        <v>251</v>
      </c>
      <c r="S131" s="12" t="s">
        <v>18</v>
      </c>
      <c r="T131" s="269">
        <f>'Pencapaian Sales Value'!G131</f>
        <v>0.39313541666666668</v>
      </c>
      <c r="U131" s="15">
        <f>'Pencapaian Sales Value'!I131</f>
        <v>0</v>
      </c>
      <c r="V131" s="255">
        <f>'Pencapaian Product Focus'!H131</f>
        <v>0</v>
      </c>
      <c r="W131" s="255">
        <f>'Pencapaian Product Focus'!L131</f>
        <v>0</v>
      </c>
      <c r="X131" s="170">
        <f>'Pencapaian Product Focus'!N131</f>
        <v>0</v>
      </c>
      <c r="Y131" s="269">
        <f>'Pencapaian Effective Call'!G131</f>
        <v>0.79473684210526319</v>
      </c>
      <c r="Z131" s="15">
        <f>'Pencapaian Effective Call'!I131</f>
        <v>45000</v>
      </c>
      <c r="AA131" s="269">
        <f>'Pencapaian New Open Outlet'!G131</f>
        <v>0.15384615384615385</v>
      </c>
      <c r="AB131" s="15">
        <f>'Pencapaian New Open Outlet'!I131</f>
        <v>0</v>
      </c>
      <c r="AC131" s="269">
        <f>'Pencapaian Active Outlet'!G131</f>
        <v>0.9</v>
      </c>
      <c r="AD131" s="15">
        <f>'Pencapaian Active Outlet'!I131</f>
        <v>67500</v>
      </c>
      <c r="AE131" s="255">
        <f>'Pencapaian Item per Outlet'!G131</f>
        <v>0</v>
      </c>
      <c r="AF131" s="309">
        <f>'Pencapaian Item per Outlet'!I131</f>
        <v>0</v>
      </c>
      <c r="AG131" s="255">
        <f>'Pencapaian Product Display'!G131</f>
        <v>0</v>
      </c>
      <c r="AH131" s="309">
        <f>'Pencapaian Product Display'!I131</f>
        <v>0</v>
      </c>
      <c r="AI131" s="255">
        <f>'Pencapaian Sales Contract'!G131</f>
        <v>0</v>
      </c>
      <c r="AJ131" s="309">
        <f>'Pencapaian Sales Contract'!I131</f>
        <v>0</v>
      </c>
      <c r="AK131" s="255">
        <f>'Pencapaian Co-Branding'!G131</f>
        <v>0</v>
      </c>
      <c r="AL131" s="309">
        <f>'Pencapaian Co-Branding'!I131</f>
        <v>0</v>
      </c>
      <c r="AM131" s="255">
        <f>'Pencapaian Join Event Activity'!G131</f>
        <v>0</v>
      </c>
      <c r="AN131" s="309">
        <f>'Pencapaian Join Event Activity'!I131</f>
        <v>0</v>
      </c>
      <c r="AO131" s="15">
        <f t="shared" si="65"/>
        <v>112500</v>
      </c>
      <c r="AP131" s="13">
        <v>0</v>
      </c>
      <c r="AQ131" s="15">
        <f t="shared" si="82"/>
        <v>0</v>
      </c>
      <c r="AR131" s="13">
        <v>0</v>
      </c>
      <c r="AS131" s="15">
        <f t="shared" si="83"/>
        <v>0</v>
      </c>
      <c r="AT131" s="15">
        <f t="shared" si="68"/>
        <v>112500</v>
      </c>
      <c r="AU131" s="15">
        <f t="shared" si="84"/>
        <v>78750</v>
      </c>
      <c r="AV131" s="15">
        <f t="shared" si="85"/>
        <v>33750</v>
      </c>
    </row>
    <row r="132" spans="3:48" ht="16" x14ac:dyDescent="0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"/>
      <c r="O132" s="3"/>
      <c r="P132" s="397"/>
      <c r="Q132" s="70"/>
      <c r="R132" s="70" t="s">
        <v>315</v>
      </c>
      <c r="S132" s="64" t="s">
        <v>20</v>
      </c>
      <c r="T132" s="258">
        <f>'Pencapaian Sales Value'!G132</f>
        <v>0.32588611124999994</v>
      </c>
      <c r="U132" s="63">
        <f>'Pencapaian Sales Value'!I132</f>
        <v>0</v>
      </c>
      <c r="V132" s="268">
        <f>'Pencapaian Product Focus'!H132</f>
        <v>0</v>
      </c>
      <c r="W132" s="268">
        <f>'Pencapaian Product Focus'!L132</f>
        <v>0</v>
      </c>
      <c r="X132" s="189">
        <f>'Pencapaian Product Focus'!N132</f>
        <v>0</v>
      </c>
      <c r="Y132" s="258">
        <f>'Pencapaian Effective Call'!G132</f>
        <v>0.69444444444444442</v>
      </c>
      <c r="Z132" s="63">
        <f>'Pencapaian Effective Call'!I132</f>
        <v>0</v>
      </c>
      <c r="AA132" s="258">
        <f>'Pencapaian New Open Outlet'!G132</f>
        <v>0.69230769230769229</v>
      </c>
      <c r="AB132" s="63">
        <f>'Pencapaian New Open Outlet'!I132</f>
        <v>0</v>
      </c>
      <c r="AC132" s="258">
        <f>'Pencapaian Active Outlet'!G132</f>
        <v>0.80454545454545456</v>
      </c>
      <c r="AD132" s="63">
        <f>'Pencapaian Active Outlet'!I132</f>
        <v>108000</v>
      </c>
      <c r="AE132" s="268">
        <f>'Pencapaian Item per Outlet'!G132</f>
        <v>0</v>
      </c>
      <c r="AF132" s="312">
        <f>'Pencapaian Item per Outlet'!I132</f>
        <v>0</v>
      </c>
      <c r="AG132" s="268">
        <f>'Pencapaian Product Display'!G132</f>
        <v>0</v>
      </c>
      <c r="AH132" s="312">
        <f>'Pencapaian Product Display'!I132</f>
        <v>0</v>
      </c>
      <c r="AI132" s="268">
        <f>'Pencapaian Sales Contract'!G132</f>
        <v>0</v>
      </c>
      <c r="AJ132" s="312">
        <f>'Pencapaian Sales Contract'!I132</f>
        <v>0</v>
      </c>
      <c r="AK132" s="268">
        <f>'Pencapaian Co-Branding'!G132</f>
        <v>0</v>
      </c>
      <c r="AL132" s="312">
        <f>'Pencapaian Co-Branding'!I132</f>
        <v>0</v>
      </c>
      <c r="AM132" s="268">
        <f>'Pencapaian Join Event Activity'!G132</f>
        <v>0</v>
      </c>
      <c r="AN132" s="312">
        <f>'Pencapaian Join Event Activity'!I132</f>
        <v>0</v>
      </c>
      <c r="AO132" s="63">
        <f t="shared" si="65"/>
        <v>108000</v>
      </c>
      <c r="AP132" s="110">
        <v>2.8554624558445513E-2</v>
      </c>
      <c r="AQ132" s="63">
        <f t="shared" si="82"/>
        <v>-10800</v>
      </c>
      <c r="AR132" s="110">
        <v>0</v>
      </c>
      <c r="AS132" s="63">
        <f t="shared" si="83"/>
        <v>0</v>
      </c>
      <c r="AT132" s="63">
        <f t="shared" si="68"/>
        <v>97200</v>
      </c>
      <c r="AU132" s="63">
        <f>AT132</f>
        <v>97200</v>
      </c>
      <c r="AV132" s="63">
        <v>0</v>
      </c>
    </row>
    <row r="133" spans="3:48" ht="16" x14ac:dyDescent="0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"/>
      <c r="O133" s="3"/>
      <c r="P133" s="397"/>
      <c r="Q133" s="71"/>
      <c r="R133" s="71" t="s">
        <v>46</v>
      </c>
      <c r="S133" s="42"/>
      <c r="T133" s="264">
        <f>'Pencapaian Sales Value'!G133</f>
        <v>0.32588611124999994</v>
      </c>
      <c r="U133" s="23">
        <f>'Pencapaian Sales Value'!I133</f>
        <v>0</v>
      </c>
      <c r="V133" s="274">
        <f>'Pencapaian Product Focus'!H133</f>
        <v>0</v>
      </c>
      <c r="W133" s="274">
        <f>'Pencapaian Product Focus'!L133</f>
        <v>0</v>
      </c>
      <c r="X133" s="190">
        <f>'Pencapaian Product Focus'!N133</f>
        <v>0</v>
      </c>
      <c r="Y133" s="264">
        <f>'Pencapaian Effective Call'!G133</f>
        <v>0.69444444444444442</v>
      </c>
      <c r="Z133" s="23">
        <f>'Pencapaian Effective Call'!I133</f>
        <v>45000</v>
      </c>
      <c r="AA133" s="264">
        <f>'Pencapaian New Open Outlet'!G133</f>
        <v>0.69230769230769229</v>
      </c>
      <c r="AB133" s="23">
        <f>'Pencapaian New Open Outlet'!I133</f>
        <v>225000</v>
      </c>
      <c r="AC133" s="264">
        <f>'Pencapaian Active Outlet'!G133</f>
        <v>0.80454545454545456</v>
      </c>
      <c r="AD133" s="23">
        <f>'Pencapaian Active Outlet'!I133</f>
        <v>198000</v>
      </c>
      <c r="AE133" s="274">
        <f>'Pencapaian Item per Outlet'!G133</f>
        <v>0</v>
      </c>
      <c r="AF133" s="313">
        <f>'Pencapaian Item per Outlet'!I133</f>
        <v>0</v>
      </c>
      <c r="AG133" s="274">
        <f>'Pencapaian Product Display'!G133</f>
        <v>0</v>
      </c>
      <c r="AH133" s="313">
        <f>'Pencapaian Product Display'!I133</f>
        <v>0</v>
      </c>
      <c r="AI133" s="274">
        <f>'Pencapaian Sales Contract'!G133</f>
        <v>0</v>
      </c>
      <c r="AJ133" s="313">
        <f>'Pencapaian Sales Contract'!I133</f>
        <v>0</v>
      </c>
      <c r="AK133" s="274">
        <f>'Pencapaian Co-Branding'!G133</f>
        <v>0</v>
      </c>
      <c r="AL133" s="313">
        <f>'Pencapaian Co-Branding'!I133</f>
        <v>0</v>
      </c>
      <c r="AM133" s="274">
        <f>'Pencapaian Join Event Activity'!G133</f>
        <v>0</v>
      </c>
      <c r="AN133" s="313">
        <f>'Pencapaian Join Event Activity'!I133</f>
        <v>0</v>
      </c>
      <c r="AO133" s="23">
        <f t="shared" si="65"/>
        <v>468000</v>
      </c>
      <c r="AP133" s="112">
        <v>2.8554624558445513E-2</v>
      </c>
      <c r="AQ133" s="23">
        <f>SUM(AQ129:AQ132)</f>
        <v>-35550</v>
      </c>
      <c r="AR133" s="112">
        <v>0</v>
      </c>
      <c r="AS133" s="23">
        <f>SUM(AS129:AS132)</f>
        <v>0</v>
      </c>
      <c r="AT133" s="23">
        <f t="shared" si="68"/>
        <v>432450</v>
      </c>
      <c r="AU133" s="23">
        <f t="shared" ref="AU133:AV133" si="86">SUM(AU129:AU132)</f>
        <v>331875</v>
      </c>
      <c r="AV133" s="23">
        <f t="shared" si="86"/>
        <v>100575</v>
      </c>
    </row>
    <row r="134" spans="3:48" ht="16" x14ac:dyDescent="0.2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"/>
      <c r="O134" s="3"/>
      <c r="P134" s="396" t="s">
        <v>47</v>
      </c>
      <c r="Q134" s="52" t="s">
        <v>403</v>
      </c>
      <c r="R134" s="69" t="s">
        <v>668</v>
      </c>
      <c r="S134" s="12" t="s">
        <v>571</v>
      </c>
      <c r="T134" s="269">
        <f>'Pencapaian Sales Value'!G134</f>
        <v>0.27664465277777772</v>
      </c>
      <c r="U134" s="15">
        <f>'Pencapaian Sales Value'!I134</f>
        <v>0</v>
      </c>
      <c r="V134" s="255">
        <f>'Pencapaian Product Focus'!H134</f>
        <v>0</v>
      </c>
      <c r="W134" s="255">
        <f>'Pencapaian Product Focus'!L134</f>
        <v>0</v>
      </c>
      <c r="X134" s="170">
        <f>'Pencapaian Product Focus'!N134</f>
        <v>0</v>
      </c>
      <c r="Y134" s="255">
        <f>'Pencapaian Effective Call'!G134</f>
        <v>0</v>
      </c>
      <c r="Z134" s="170">
        <f>'Pencapaian Effective Call'!I134</f>
        <v>0</v>
      </c>
      <c r="AA134" s="255">
        <f>'Pencapaian New Open Outlet'!G134</f>
        <v>0</v>
      </c>
      <c r="AB134" s="170">
        <f>'Pencapaian New Open Outlet'!I134</f>
        <v>0</v>
      </c>
      <c r="AC134" s="269">
        <f>'Pencapaian Active Outlet'!G134</f>
        <v>0.89166666666666672</v>
      </c>
      <c r="AD134" s="15">
        <f>'Pencapaian Active Outlet'!I134</f>
        <v>198000</v>
      </c>
      <c r="AE134" s="255">
        <f>'Pencapaian Item per Outlet'!G134</f>
        <v>0</v>
      </c>
      <c r="AF134" s="309">
        <f>'Pencapaian Item per Outlet'!I134</f>
        <v>0</v>
      </c>
      <c r="AG134" s="255">
        <f>'Pencapaian Product Display'!G134</f>
        <v>0</v>
      </c>
      <c r="AH134" s="309">
        <f>'Pencapaian Product Display'!I134</f>
        <v>0</v>
      </c>
      <c r="AI134" s="255">
        <f>'Pencapaian Sales Contract'!G134</f>
        <v>0</v>
      </c>
      <c r="AJ134" s="309">
        <f>'Pencapaian Sales Contract'!I134</f>
        <v>0</v>
      </c>
      <c r="AK134" s="255">
        <f>'Pencapaian Co-Branding'!G134</f>
        <v>0</v>
      </c>
      <c r="AL134" s="309">
        <f>'Pencapaian Co-Branding'!I134</f>
        <v>0</v>
      </c>
      <c r="AM134" s="255">
        <f>'Pencapaian Join Event Activity'!G134</f>
        <v>0</v>
      </c>
      <c r="AN134" s="309">
        <f>'Pencapaian Join Event Activity'!I134</f>
        <v>0</v>
      </c>
      <c r="AO134" s="15">
        <f t="shared" si="65"/>
        <v>198000</v>
      </c>
      <c r="AP134" s="13">
        <v>0</v>
      </c>
      <c r="AQ134" s="15">
        <f t="shared" ref="AQ134:AQ145" si="87">IF(AP134&gt;=0.5%,-(AO134*10%),0)</f>
        <v>0</v>
      </c>
      <c r="AR134" s="13">
        <v>0</v>
      </c>
      <c r="AS134" s="15">
        <f t="shared" ref="AS134:AS145" si="88">IF(AR134&gt;0,-(AO134+AQ134),0)</f>
        <v>0</v>
      </c>
      <c r="AT134" s="15">
        <f t="shared" si="68"/>
        <v>198000</v>
      </c>
      <c r="AU134" s="15">
        <f t="shared" ref="AU134:AU145" si="89">AT134</f>
        <v>198000</v>
      </c>
      <c r="AV134" s="15">
        <v>0</v>
      </c>
    </row>
    <row r="135" spans="3:48" ht="16" x14ac:dyDescent="0.2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"/>
      <c r="O135" s="3"/>
      <c r="P135" s="386"/>
      <c r="Q135" s="52"/>
      <c r="R135" s="69" t="s">
        <v>526</v>
      </c>
      <c r="S135" s="12" t="s">
        <v>675</v>
      </c>
      <c r="T135" s="269">
        <f>'Pencapaian Sales Value'!G135</f>
        <v>3.0636277777777776E-2</v>
      </c>
      <c r="U135" s="15">
        <f>'Pencapaian Sales Value'!I135</f>
        <v>0</v>
      </c>
      <c r="V135" s="255">
        <f>'Pencapaian Product Focus'!H135</f>
        <v>0</v>
      </c>
      <c r="W135" s="255">
        <f>'Pencapaian Product Focus'!L135</f>
        <v>0</v>
      </c>
      <c r="X135" s="170">
        <f>'Pencapaian Product Focus'!N135</f>
        <v>0</v>
      </c>
      <c r="Y135" s="255">
        <f>'Pencapaian Effective Call'!G135</f>
        <v>0</v>
      </c>
      <c r="Z135" s="170">
        <f>'Pencapaian Effective Call'!I135</f>
        <v>0</v>
      </c>
      <c r="AA135" s="255">
        <f>'Pencapaian New Open Outlet'!G135</f>
        <v>0</v>
      </c>
      <c r="AB135" s="170">
        <f>'Pencapaian New Open Outlet'!I135</f>
        <v>0</v>
      </c>
      <c r="AC135" s="269">
        <f>'Pencapaian Active Outlet'!G135</f>
        <v>2.5000000000000001E-2</v>
      </c>
      <c r="AD135" s="15">
        <f>'Pencapaian Active Outlet'!I135</f>
        <v>0</v>
      </c>
      <c r="AE135" s="255">
        <f>'Pencapaian Item per Outlet'!G135</f>
        <v>0</v>
      </c>
      <c r="AF135" s="309">
        <f>'Pencapaian Item per Outlet'!I135</f>
        <v>0</v>
      </c>
      <c r="AG135" s="255">
        <f>'Pencapaian Product Display'!G135</f>
        <v>0</v>
      </c>
      <c r="AH135" s="309">
        <f>'Pencapaian Product Display'!I135</f>
        <v>0</v>
      </c>
      <c r="AI135" s="255">
        <f>'Pencapaian Sales Contract'!G135</f>
        <v>0</v>
      </c>
      <c r="AJ135" s="309">
        <f>'Pencapaian Sales Contract'!I135</f>
        <v>0</v>
      </c>
      <c r="AK135" s="255">
        <f>'Pencapaian Co-Branding'!G135</f>
        <v>0</v>
      </c>
      <c r="AL135" s="309">
        <f>'Pencapaian Co-Branding'!I135</f>
        <v>0</v>
      </c>
      <c r="AM135" s="255">
        <f>'Pencapaian Join Event Activity'!G135</f>
        <v>0</v>
      </c>
      <c r="AN135" s="309">
        <f>'Pencapaian Join Event Activity'!I135</f>
        <v>0</v>
      </c>
      <c r="AO135" s="15">
        <f t="shared" si="65"/>
        <v>0</v>
      </c>
      <c r="AP135" s="13">
        <v>0</v>
      </c>
      <c r="AQ135" s="15">
        <f t="shared" si="87"/>
        <v>0</v>
      </c>
      <c r="AR135" s="13">
        <v>0</v>
      </c>
      <c r="AS135" s="15">
        <f t="shared" si="88"/>
        <v>0</v>
      </c>
      <c r="AT135" s="15">
        <f t="shared" si="68"/>
        <v>0</v>
      </c>
      <c r="AU135" s="15">
        <f t="shared" si="89"/>
        <v>0</v>
      </c>
      <c r="AV135" s="15">
        <v>0</v>
      </c>
    </row>
    <row r="136" spans="3:48" ht="16" x14ac:dyDescent="0.2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"/>
      <c r="O136" s="3"/>
      <c r="P136" s="386"/>
      <c r="Q136" s="52"/>
      <c r="R136" s="69" t="s">
        <v>616</v>
      </c>
      <c r="S136" s="12" t="s">
        <v>675</v>
      </c>
      <c r="T136" s="269" t="e">
        <f>'Pencapaian Sales Value'!G136</f>
        <v>#DIV/0!</v>
      </c>
      <c r="U136" s="15">
        <f>'Pencapaian Sales Value'!I136</f>
        <v>0</v>
      </c>
      <c r="V136" s="255">
        <f>'Pencapaian Product Focus'!H136</f>
        <v>0</v>
      </c>
      <c r="W136" s="255">
        <f>'Pencapaian Product Focus'!L136</f>
        <v>0</v>
      </c>
      <c r="X136" s="170">
        <f>'Pencapaian Product Focus'!N136</f>
        <v>0</v>
      </c>
      <c r="Y136" s="255">
        <f>'Pencapaian Effective Call'!G136</f>
        <v>0</v>
      </c>
      <c r="Z136" s="170">
        <f>'Pencapaian Effective Call'!I136</f>
        <v>0</v>
      </c>
      <c r="AA136" s="255">
        <f>'Pencapaian New Open Outlet'!G136</f>
        <v>0</v>
      </c>
      <c r="AB136" s="170">
        <f>'Pencapaian New Open Outlet'!I136</f>
        <v>0</v>
      </c>
      <c r="AC136" s="269" t="e">
        <f>'Pencapaian Active Outlet'!G136</f>
        <v>#DIV/0!</v>
      </c>
      <c r="AD136" s="15">
        <f>'Pencapaian Active Outlet'!I136</f>
        <v>0</v>
      </c>
      <c r="AE136" s="255">
        <f>'Pencapaian Item per Outlet'!G136</f>
        <v>0</v>
      </c>
      <c r="AF136" s="309">
        <f>'Pencapaian Item per Outlet'!I136</f>
        <v>0</v>
      </c>
      <c r="AG136" s="255">
        <f>'Pencapaian Product Display'!G136</f>
        <v>0</v>
      </c>
      <c r="AH136" s="309">
        <f>'Pencapaian Product Display'!I136</f>
        <v>0</v>
      </c>
      <c r="AI136" s="255">
        <f>'Pencapaian Sales Contract'!G136</f>
        <v>0</v>
      </c>
      <c r="AJ136" s="309">
        <f>'Pencapaian Sales Contract'!I136</f>
        <v>0</v>
      </c>
      <c r="AK136" s="255">
        <f>'Pencapaian Co-Branding'!G136</f>
        <v>0</v>
      </c>
      <c r="AL136" s="309">
        <f>'Pencapaian Co-Branding'!I136</f>
        <v>0</v>
      </c>
      <c r="AM136" s="255">
        <f>'Pencapaian Join Event Activity'!G136</f>
        <v>0</v>
      </c>
      <c r="AN136" s="309">
        <f>'Pencapaian Join Event Activity'!I136</f>
        <v>0</v>
      </c>
      <c r="AO136" s="15">
        <f t="shared" si="65"/>
        <v>0</v>
      </c>
      <c r="AP136" s="13">
        <v>0</v>
      </c>
      <c r="AQ136" s="15">
        <f t="shared" si="87"/>
        <v>0</v>
      </c>
      <c r="AR136" s="13">
        <v>0</v>
      </c>
      <c r="AS136" s="15">
        <f t="shared" si="88"/>
        <v>0</v>
      </c>
      <c r="AT136" s="15">
        <f t="shared" si="68"/>
        <v>0</v>
      </c>
      <c r="AU136" s="15">
        <f t="shared" si="89"/>
        <v>0</v>
      </c>
      <c r="AV136" s="15">
        <v>0</v>
      </c>
    </row>
    <row r="137" spans="3:48" ht="16" x14ac:dyDescent="0.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"/>
      <c r="O137" s="3"/>
      <c r="P137" s="386"/>
      <c r="Q137" s="52"/>
      <c r="R137" s="69" t="s">
        <v>499</v>
      </c>
      <c r="S137" s="12" t="s">
        <v>675</v>
      </c>
      <c r="T137" s="269" t="e">
        <f>'Pencapaian Sales Value'!G137</f>
        <v>#DIV/0!</v>
      </c>
      <c r="U137" s="15">
        <f>'Pencapaian Sales Value'!I137</f>
        <v>0</v>
      </c>
      <c r="V137" s="255">
        <f>'Pencapaian Product Focus'!H137</f>
        <v>0</v>
      </c>
      <c r="W137" s="255">
        <f>'Pencapaian Product Focus'!L137</f>
        <v>0</v>
      </c>
      <c r="X137" s="170">
        <f>'Pencapaian Product Focus'!N137</f>
        <v>0</v>
      </c>
      <c r="Y137" s="255">
        <f>'Pencapaian Effective Call'!G137</f>
        <v>0</v>
      </c>
      <c r="Z137" s="170">
        <f>'Pencapaian Effective Call'!I137</f>
        <v>0</v>
      </c>
      <c r="AA137" s="255">
        <f>'Pencapaian New Open Outlet'!G137</f>
        <v>0</v>
      </c>
      <c r="AB137" s="170">
        <f>'Pencapaian New Open Outlet'!I137</f>
        <v>0</v>
      </c>
      <c r="AC137" s="269" t="e">
        <f>'Pencapaian Active Outlet'!G137</f>
        <v>#DIV/0!</v>
      </c>
      <c r="AD137" s="15">
        <f>'Pencapaian Active Outlet'!I137</f>
        <v>0</v>
      </c>
      <c r="AE137" s="255">
        <f>'Pencapaian Item per Outlet'!G137</f>
        <v>0</v>
      </c>
      <c r="AF137" s="309">
        <f>'Pencapaian Item per Outlet'!I137</f>
        <v>0</v>
      </c>
      <c r="AG137" s="255">
        <f>'Pencapaian Product Display'!G137</f>
        <v>0</v>
      </c>
      <c r="AH137" s="309">
        <f>'Pencapaian Product Display'!I137</f>
        <v>0</v>
      </c>
      <c r="AI137" s="255">
        <f>'Pencapaian Sales Contract'!G137</f>
        <v>0</v>
      </c>
      <c r="AJ137" s="309">
        <f>'Pencapaian Sales Contract'!I137</f>
        <v>0</v>
      </c>
      <c r="AK137" s="255">
        <f>'Pencapaian Co-Branding'!G137</f>
        <v>0</v>
      </c>
      <c r="AL137" s="309">
        <f>'Pencapaian Co-Branding'!I137</f>
        <v>0</v>
      </c>
      <c r="AM137" s="255">
        <f>'Pencapaian Join Event Activity'!G137</f>
        <v>0</v>
      </c>
      <c r="AN137" s="309">
        <f>'Pencapaian Join Event Activity'!I137</f>
        <v>0</v>
      </c>
      <c r="AO137" s="15">
        <f t="shared" si="65"/>
        <v>0</v>
      </c>
      <c r="AP137" s="13">
        <v>0</v>
      </c>
      <c r="AQ137" s="15">
        <f t="shared" si="87"/>
        <v>0</v>
      </c>
      <c r="AR137" s="13">
        <v>0</v>
      </c>
      <c r="AS137" s="15">
        <f t="shared" si="88"/>
        <v>0</v>
      </c>
      <c r="AT137" s="15">
        <f t="shared" si="68"/>
        <v>0</v>
      </c>
      <c r="AU137" s="15">
        <f t="shared" si="89"/>
        <v>0</v>
      </c>
      <c r="AV137" s="15">
        <v>0</v>
      </c>
    </row>
    <row r="138" spans="3:48" ht="16" x14ac:dyDescent="0.2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"/>
      <c r="O138" s="3"/>
      <c r="P138" s="386"/>
      <c r="Q138" s="52"/>
      <c r="R138" s="69" t="s">
        <v>527</v>
      </c>
      <c r="S138" s="12" t="s">
        <v>675</v>
      </c>
      <c r="T138" s="269" t="e">
        <f>'Pencapaian Sales Value'!G138</f>
        <v>#DIV/0!</v>
      </c>
      <c r="U138" s="15">
        <f>'Pencapaian Sales Value'!I138</f>
        <v>0</v>
      </c>
      <c r="V138" s="255">
        <f>'Pencapaian Product Focus'!H138</f>
        <v>0</v>
      </c>
      <c r="W138" s="255">
        <f>'Pencapaian Product Focus'!L138</f>
        <v>0</v>
      </c>
      <c r="X138" s="170">
        <f>'Pencapaian Product Focus'!N138</f>
        <v>0</v>
      </c>
      <c r="Y138" s="255">
        <f>'Pencapaian Effective Call'!G138</f>
        <v>0</v>
      </c>
      <c r="Z138" s="170">
        <f>'Pencapaian Effective Call'!I138</f>
        <v>0</v>
      </c>
      <c r="AA138" s="255">
        <f>'Pencapaian New Open Outlet'!G138</f>
        <v>0</v>
      </c>
      <c r="AB138" s="170">
        <f>'Pencapaian New Open Outlet'!I138</f>
        <v>0</v>
      </c>
      <c r="AC138" s="269" t="e">
        <f>'Pencapaian Active Outlet'!G138</f>
        <v>#DIV/0!</v>
      </c>
      <c r="AD138" s="15">
        <f>'Pencapaian Active Outlet'!I138</f>
        <v>0</v>
      </c>
      <c r="AE138" s="255">
        <f>'Pencapaian Item per Outlet'!G138</f>
        <v>0</v>
      </c>
      <c r="AF138" s="309">
        <f>'Pencapaian Item per Outlet'!I138</f>
        <v>0</v>
      </c>
      <c r="AG138" s="255">
        <f>'Pencapaian Product Display'!G138</f>
        <v>0</v>
      </c>
      <c r="AH138" s="309">
        <f>'Pencapaian Product Display'!I138</f>
        <v>0</v>
      </c>
      <c r="AI138" s="255">
        <f>'Pencapaian Sales Contract'!G138</f>
        <v>0</v>
      </c>
      <c r="AJ138" s="309">
        <f>'Pencapaian Sales Contract'!I138</f>
        <v>0</v>
      </c>
      <c r="AK138" s="255">
        <f>'Pencapaian Co-Branding'!G138</f>
        <v>0</v>
      </c>
      <c r="AL138" s="309">
        <f>'Pencapaian Co-Branding'!I138</f>
        <v>0</v>
      </c>
      <c r="AM138" s="255">
        <f>'Pencapaian Join Event Activity'!G138</f>
        <v>0</v>
      </c>
      <c r="AN138" s="309">
        <f>'Pencapaian Join Event Activity'!I138</f>
        <v>0</v>
      </c>
      <c r="AO138" s="15">
        <f t="shared" si="65"/>
        <v>0</v>
      </c>
      <c r="AP138" s="13">
        <v>0</v>
      </c>
      <c r="AQ138" s="15">
        <f t="shared" si="87"/>
        <v>0</v>
      </c>
      <c r="AR138" s="13">
        <v>0</v>
      </c>
      <c r="AS138" s="15">
        <f t="shared" si="88"/>
        <v>0</v>
      </c>
      <c r="AT138" s="15">
        <f t="shared" si="68"/>
        <v>0</v>
      </c>
      <c r="AU138" s="15">
        <f t="shared" si="89"/>
        <v>0</v>
      </c>
      <c r="AV138" s="15">
        <v>0</v>
      </c>
    </row>
    <row r="139" spans="3:48" ht="16" x14ac:dyDescent="0.2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"/>
      <c r="O139" s="3"/>
      <c r="P139" s="386"/>
      <c r="Q139" s="52"/>
      <c r="R139" s="69" t="s">
        <v>528</v>
      </c>
      <c r="S139" s="12" t="s">
        <v>675</v>
      </c>
      <c r="T139" s="269" t="e">
        <f>'Pencapaian Sales Value'!G139</f>
        <v>#DIV/0!</v>
      </c>
      <c r="U139" s="15">
        <f>'Pencapaian Sales Value'!I139</f>
        <v>0</v>
      </c>
      <c r="V139" s="255">
        <f>'Pencapaian Product Focus'!H139</f>
        <v>0</v>
      </c>
      <c r="W139" s="255">
        <f>'Pencapaian Product Focus'!L139</f>
        <v>0</v>
      </c>
      <c r="X139" s="170">
        <f>'Pencapaian Product Focus'!N139</f>
        <v>0</v>
      </c>
      <c r="Y139" s="255">
        <f>'Pencapaian Effective Call'!G139</f>
        <v>0</v>
      </c>
      <c r="Z139" s="170">
        <f>'Pencapaian Effective Call'!I139</f>
        <v>0</v>
      </c>
      <c r="AA139" s="255">
        <f>'Pencapaian New Open Outlet'!G139</f>
        <v>0</v>
      </c>
      <c r="AB139" s="170">
        <f>'Pencapaian New Open Outlet'!I139</f>
        <v>0</v>
      </c>
      <c r="AC139" s="269" t="e">
        <f>'Pencapaian Active Outlet'!G139</f>
        <v>#DIV/0!</v>
      </c>
      <c r="AD139" s="15">
        <f>'Pencapaian Active Outlet'!I139</f>
        <v>0</v>
      </c>
      <c r="AE139" s="255">
        <f>'Pencapaian Item per Outlet'!G139</f>
        <v>0</v>
      </c>
      <c r="AF139" s="309">
        <f>'Pencapaian Item per Outlet'!I139</f>
        <v>0</v>
      </c>
      <c r="AG139" s="255">
        <f>'Pencapaian Product Display'!G139</f>
        <v>0</v>
      </c>
      <c r="AH139" s="309">
        <f>'Pencapaian Product Display'!I139</f>
        <v>0</v>
      </c>
      <c r="AI139" s="255">
        <f>'Pencapaian Sales Contract'!G139</f>
        <v>0</v>
      </c>
      <c r="AJ139" s="309">
        <f>'Pencapaian Sales Contract'!I139</f>
        <v>0</v>
      </c>
      <c r="AK139" s="255">
        <f>'Pencapaian Co-Branding'!G139</f>
        <v>0</v>
      </c>
      <c r="AL139" s="309">
        <f>'Pencapaian Co-Branding'!I139</f>
        <v>0</v>
      </c>
      <c r="AM139" s="255">
        <f>'Pencapaian Join Event Activity'!G139</f>
        <v>0</v>
      </c>
      <c r="AN139" s="309">
        <f>'Pencapaian Join Event Activity'!I139</f>
        <v>0</v>
      </c>
      <c r="AO139" s="15">
        <f t="shared" si="65"/>
        <v>0</v>
      </c>
      <c r="AP139" s="13">
        <v>0</v>
      </c>
      <c r="AQ139" s="15">
        <f t="shared" si="87"/>
        <v>0</v>
      </c>
      <c r="AR139" s="13">
        <v>0</v>
      </c>
      <c r="AS139" s="15">
        <f t="shared" si="88"/>
        <v>0</v>
      </c>
      <c r="AT139" s="15">
        <f t="shared" si="68"/>
        <v>0</v>
      </c>
      <c r="AU139" s="15">
        <f t="shared" si="89"/>
        <v>0</v>
      </c>
      <c r="AV139" s="15">
        <v>0</v>
      </c>
    </row>
    <row r="140" spans="3:48" ht="16" x14ac:dyDescent="0.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"/>
      <c r="O140" s="3"/>
      <c r="P140" s="386"/>
      <c r="Q140" s="52"/>
      <c r="R140" s="69" t="s">
        <v>789</v>
      </c>
      <c r="S140" s="12" t="s">
        <v>675</v>
      </c>
      <c r="T140" s="269" t="e">
        <f>'Pencapaian Sales Value'!G140</f>
        <v>#DIV/0!</v>
      </c>
      <c r="U140" s="15">
        <f>'Pencapaian Sales Value'!I140</f>
        <v>0</v>
      </c>
      <c r="V140" s="255">
        <f>'Pencapaian Product Focus'!H140</f>
        <v>0</v>
      </c>
      <c r="W140" s="255">
        <f>'Pencapaian Product Focus'!L140</f>
        <v>0</v>
      </c>
      <c r="X140" s="170">
        <f>'Pencapaian Product Focus'!N140</f>
        <v>0</v>
      </c>
      <c r="Y140" s="255">
        <f>'Pencapaian Effective Call'!G140</f>
        <v>0</v>
      </c>
      <c r="Z140" s="170">
        <f>'Pencapaian Effective Call'!I140</f>
        <v>0</v>
      </c>
      <c r="AA140" s="255">
        <f>'Pencapaian New Open Outlet'!G140</f>
        <v>0</v>
      </c>
      <c r="AB140" s="170">
        <f>'Pencapaian New Open Outlet'!I140</f>
        <v>0</v>
      </c>
      <c r="AC140" s="269" t="e">
        <f>'Pencapaian Active Outlet'!G140</f>
        <v>#DIV/0!</v>
      </c>
      <c r="AD140" s="15">
        <f>'Pencapaian Active Outlet'!I140</f>
        <v>0</v>
      </c>
      <c r="AE140" s="255">
        <f>'Pencapaian Item per Outlet'!G140</f>
        <v>0</v>
      </c>
      <c r="AF140" s="309">
        <f>'Pencapaian Item per Outlet'!I140</f>
        <v>0</v>
      </c>
      <c r="AG140" s="255">
        <f>'Pencapaian Product Display'!G140</f>
        <v>0</v>
      </c>
      <c r="AH140" s="309">
        <f>'Pencapaian Product Display'!I140</f>
        <v>0</v>
      </c>
      <c r="AI140" s="255">
        <f>'Pencapaian Sales Contract'!G140</f>
        <v>0</v>
      </c>
      <c r="AJ140" s="309">
        <f>'Pencapaian Sales Contract'!I140</f>
        <v>0</v>
      </c>
      <c r="AK140" s="255">
        <f>'Pencapaian Co-Branding'!G140</f>
        <v>0</v>
      </c>
      <c r="AL140" s="309">
        <f>'Pencapaian Co-Branding'!I140</f>
        <v>0</v>
      </c>
      <c r="AM140" s="255">
        <f>'Pencapaian Join Event Activity'!G140</f>
        <v>0</v>
      </c>
      <c r="AN140" s="309">
        <f>'Pencapaian Join Event Activity'!I140</f>
        <v>0</v>
      </c>
      <c r="AO140" s="15">
        <f t="shared" si="65"/>
        <v>0</v>
      </c>
      <c r="AP140" s="13">
        <v>0</v>
      </c>
      <c r="AQ140" s="15">
        <f t="shared" si="87"/>
        <v>0</v>
      </c>
      <c r="AR140" s="13">
        <v>0</v>
      </c>
      <c r="AS140" s="15">
        <f t="shared" si="88"/>
        <v>0</v>
      </c>
      <c r="AT140" s="15">
        <f t="shared" si="68"/>
        <v>0</v>
      </c>
      <c r="AU140" s="15">
        <f t="shared" si="89"/>
        <v>0</v>
      </c>
      <c r="AV140" s="15">
        <v>0</v>
      </c>
    </row>
    <row r="141" spans="3:48" ht="16" x14ac:dyDescent="0.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"/>
      <c r="O141" s="3"/>
      <c r="P141" s="386"/>
      <c r="Q141" s="52"/>
      <c r="R141" s="69" t="s">
        <v>835</v>
      </c>
      <c r="S141" s="12" t="s">
        <v>675</v>
      </c>
      <c r="T141" s="269" t="e">
        <f>'Pencapaian Sales Value'!G141</f>
        <v>#DIV/0!</v>
      </c>
      <c r="U141" s="15">
        <f>'Pencapaian Sales Value'!I141</f>
        <v>0</v>
      </c>
      <c r="V141" s="255">
        <f>'Pencapaian Product Focus'!H141</f>
        <v>0</v>
      </c>
      <c r="W141" s="255">
        <f>'Pencapaian Product Focus'!L141</f>
        <v>0</v>
      </c>
      <c r="X141" s="170">
        <f>'Pencapaian Product Focus'!N141</f>
        <v>0</v>
      </c>
      <c r="Y141" s="255">
        <f>'Pencapaian Effective Call'!G141</f>
        <v>0</v>
      </c>
      <c r="Z141" s="170">
        <f>'Pencapaian Effective Call'!I141</f>
        <v>0</v>
      </c>
      <c r="AA141" s="255">
        <f>'Pencapaian New Open Outlet'!G141</f>
        <v>0</v>
      </c>
      <c r="AB141" s="170">
        <f>'Pencapaian New Open Outlet'!I141</f>
        <v>0</v>
      </c>
      <c r="AC141" s="269" t="e">
        <f>'Pencapaian Active Outlet'!G141</f>
        <v>#DIV/0!</v>
      </c>
      <c r="AD141" s="15">
        <f>'Pencapaian Active Outlet'!I141</f>
        <v>0</v>
      </c>
      <c r="AE141" s="255">
        <f>'Pencapaian Item per Outlet'!G141</f>
        <v>0</v>
      </c>
      <c r="AF141" s="309">
        <f>'Pencapaian Item per Outlet'!I141</f>
        <v>0</v>
      </c>
      <c r="AG141" s="255">
        <f>'Pencapaian Product Display'!G141</f>
        <v>0</v>
      </c>
      <c r="AH141" s="309">
        <f>'Pencapaian Product Display'!I141</f>
        <v>0</v>
      </c>
      <c r="AI141" s="255">
        <f>'Pencapaian Sales Contract'!G141</f>
        <v>0</v>
      </c>
      <c r="AJ141" s="309">
        <f>'Pencapaian Sales Contract'!I141</f>
        <v>0</v>
      </c>
      <c r="AK141" s="255">
        <f>'Pencapaian Co-Branding'!G141</f>
        <v>0</v>
      </c>
      <c r="AL141" s="309">
        <f>'Pencapaian Co-Branding'!I141</f>
        <v>0</v>
      </c>
      <c r="AM141" s="255">
        <f>'Pencapaian Join Event Activity'!G141</f>
        <v>0</v>
      </c>
      <c r="AN141" s="309">
        <f>'Pencapaian Join Event Activity'!I141</f>
        <v>0</v>
      </c>
      <c r="AO141" s="15">
        <f t="shared" si="65"/>
        <v>0</v>
      </c>
      <c r="AP141" s="13">
        <v>0</v>
      </c>
      <c r="AQ141" s="15">
        <f t="shared" si="87"/>
        <v>0</v>
      </c>
      <c r="AR141" s="13">
        <v>0</v>
      </c>
      <c r="AS141" s="15">
        <f t="shared" si="88"/>
        <v>0</v>
      </c>
      <c r="AT141" s="15">
        <f t="shared" si="68"/>
        <v>0</v>
      </c>
      <c r="AU141" s="15">
        <f t="shared" si="89"/>
        <v>0</v>
      </c>
      <c r="AV141" s="15">
        <v>0</v>
      </c>
    </row>
    <row r="142" spans="3:48" ht="16" x14ac:dyDescent="0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"/>
      <c r="O142" s="3"/>
      <c r="P142" s="386"/>
      <c r="Q142" s="52"/>
      <c r="R142" s="69" t="s">
        <v>529</v>
      </c>
      <c r="S142" s="12" t="s">
        <v>675</v>
      </c>
      <c r="T142" s="269" t="e">
        <f>'Pencapaian Sales Value'!G142</f>
        <v>#DIV/0!</v>
      </c>
      <c r="U142" s="15">
        <f>'Pencapaian Sales Value'!I142</f>
        <v>0</v>
      </c>
      <c r="V142" s="255">
        <f>'Pencapaian Product Focus'!H142</f>
        <v>0</v>
      </c>
      <c r="W142" s="255">
        <f>'Pencapaian Product Focus'!L142</f>
        <v>0</v>
      </c>
      <c r="X142" s="170">
        <f>'Pencapaian Product Focus'!N142</f>
        <v>0</v>
      </c>
      <c r="Y142" s="255">
        <f>'Pencapaian Effective Call'!G142</f>
        <v>0</v>
      </c>
      <c r="Z142" s="170">
        <f>'Pencapaian Effective Call'!I142</f>
        <v>0</v>
      </c>
      <c r="AA142" s="255">
        <f>'Pencapaian New Open Outlet'!G142</f>
        <v>0</v>
      </c>
      <c r="AB142" s="170">
        <f>'Pencapaian New Open Outlet'!I142</f>
        <v>0</v>
      </c>
      <c r="AC142" s="269" t="e">
        <f>'Pencapaian Active Outlet'!G142</f>
        <v>#DIV/0!</v>
      </c>
      <c r="AD142" s="15">
        <f>'Pencapaian Active Outlet'!I142</f>
        <v>0</v>
      </c>
      <c r="AE142" s="255">
        <f>'Pencapaian Item per Outlet'!G142</f>
        <v>0</v>
      </c>
      <c r="AF142" s="309">
        <f>'Pencapaian Item per Outlet'!I142</f>
        <v>0</v>
      </c>
      <c r="AG142" s="255">
        <f>'Pencapaian Product Display'!G142</f>
        <v>0</v>
      </c>
      <c r="AH142" s="309">
        <f>'Pencapaian Product Display'!I142</f>
        <v>0</v>
      </c>
      <c r="AI142" s="255">
        <f>'Pencapaian Sales Contract'!G142</f>
        <v>0</v>
      </c>
      <c r="AJ142" s="309">
        <f>'Pencapaian Sales Contract'!I142</f>
        <v>0</v>
      </c>
      <c r="AK142" s="255">
        <f>'Pencapaian Co-Branding'!G142</f>
        <v>0</v>
      </c>
      <c r="AL142" s="309">
        <f>'Pencapaian Co-Branding'!I142</f>
        <v>0</v>
      </c>
      <c r="AM142" s="255">
        <f>'Pencapaian Join Event Activity'!G142</f>
        <v>0</v>
      </c>
      <c r="AN142" s="309">
        <f>'Pencapaian Join Event Activity'!I142</f>
        <v>0</v>
      </c>
      <c r="AO142" s="15">
        <f t="shared" si="65"/>
        <v>0</v>
      </c>
      <c r="AP142" s="13">
        <v>0</v>
      </c>
      <c r="AQ142" s="15">
        <f t="shared" si="87"/>
        <v>0</v>
      </c>
      <c r="AR142" s="13">
        <v>0</v>
      </c>
      <c r="AS142" s="15">
        <f t="shared" si="88"/>
        <v>0</v>
      </c>
      <c r="AT142" s="15">
        <f t="shared" si="68"/>
        <v>0</v>
      </c>
      <c r="AU142" s="15">
        <f t="shared" si="89"/>
        <v>0</v>
      </c>
      <c r="AV142" s="15">
        <v>0</v>
      </c>
    </row>
    <row r="143" spans="3:48" ht="16" x14ac:dyDescent="0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"/>
      <c r="O143" s="3"/>
      <c r="P143" s="386"/>
      <c r="Q143" s="52"/>
      <c r="R143" s="69" t="s">
        <v>530</v>
      </c>
      <c r="S143" s="12" t="s">
        <v>675</v>
      </c>
      <c r="T143" s="269" t="e">
        <f>'Pencapaian Sales Value'!G143</f>
        <v>#DIV/0!</v>
      </c>
      <c r="U143" s="15">
        <f>'Pencapaian Sales Value'!I143</f>
        <v>0</v>
      </c>
      <c r="V143" s="255">
        <f>'Pencapaian Product Focus'!H143</f>
        <v>0</v>
      </c>
      <c r="W143" s="255">
        <f>'Pencapaian Product Focus'!L143</f>
        <v>0</v>
      </c>
      <c r="X143" s="170">
        <f>'Pencapaian Product Focus'!N143</f>
        <v>0</v>
      </c>
      <c r="Y143" s="255">
        <f>'Pencapaian Effective Call'!G143</f>
        <v>0</v>
      </c>
      <c r="Z143" s="170">
        <f>'Pencapaian Effective Call'!I143</f>
        <v>0</v>
      </c>
      <c r="AA143" s="255">
        <f>'Pencapaian New Open Outlet'!G143</f>
        <v>0</v>
      </c>
      <c r="AB143" s="170">
        <f>'Pencapaian New Open Outlet'!I143</f>
        <v>0</v>
      </c>
      <c r="AC143" s="269" t="e">
        <f>'Pencapaian Active Outlet'!G143</f>
        <v>#DIV/0!</v>
      </c>
      <c r="AD143" s="15">
        <f>'Pencapaian Active Outlet'!I143</f>
        <v>0</v>
      </c>
      <c r="AE143" s="255">
        <f>'Pencapaian Item per Outlet'!G143</f>
        <v>0</v>
      </c>
      <c r="AF143" s="309">
        <f>'Pencapaian Item per Outlet'!I143</f>
        <v>0</v>
      </c>
      <c r="AG143" s="255">
        <f>'Pencapaian Product Display'!G143</f>
        <v>0</v>
      </c>
      <c r="AH143" s="309">
        <f>'Pencapaian Product Display'!I143</f>
        <v>0</v>
      </c>
      <c r="AI143" s="255">
        <f>'Pencapaian Sales Contract'!G143</f>
        <v>0</v>
      </c>
      <c r="AJ143" s="309">
        <f>'Pencapaian Sales Contract'!I143</f>
        <v>0</v>
      </c>
      <c r="AK143" s="255">
        <f>'Pencapaian Co-Branding'!G143</f>
        <v>0</v>
      </c>
      <c r="AL143" s="309">
        <f>'Pencapaian Co-Branding'!I143</f>
        <v>0</v>
      </c>
      <c r="AM143" s="255">
        <f>'Pencapaian Join Event Activity'!G143</f>
        <v>0</v>
      </c>
      <c r="AN143" s="309">
        <f>'Pencapaian Join Event Activity'!I143</f>
        <v>0</v>
      </c>
      <c r="AO143" s="15">
        <f t="shared" si="65"/>
        <v>0</v>
      </c>
      <c r="AP143" s="13">
        <v>0</v>
      </c>
      <c r="AQ143" s="15">
        <f t="shared" si="87"/>
        <v>0</v>
      </c>
      <c r="AR143" s="13">
        <v>0</v>
      </c>
      <c r="AS143" s="15">
        <f t="shared" si="88"/>
        <v>0</v>
      </c>
      <c r="AT143" s="15">
        <f t="shared" si="68"/>
        <v>0</v>
      </c>
      <c r="AU143" s="15">
        <f t="shared" si="89"/>
        <v>0</v>
      </c>
      <c r="AV143" s="15">
        <v>0</v>
      </c>
    </row>
    <row r="144" spans="3:48" ht="16" x14ac:dyDescent="0.2">
      <c r="O144" s="3"/>
      <c r="P144" s="386"/>
      <c r="Q144" s="52"/>
      <c r="R144" s="69" t="s">
        <v>531</v>
      </c>
      <c r="S144" s="12" t="s">
        <v>675</v>
      </c>
      <c r="T144" s="269" t="e">
        <f>'Pencapaian Sales Value'!G144</f>
        <v>#DIV/0!</v>
      </c>
      <c r="U144" s="15">
        <f>'Pencapaian Sales Value'!I144</f>
        <v>0</v>
      </c>
      <c r="V144" s="255">
        <f>'Pencapaian Product Focus'!H144</f>
        <v>0</v>
      </c>
      <c r="W144" s="255">
        <f>'Pencapaian Product Focus'!L144</f>
        <v>0</v>
      </c>
      <c r="X144" s="170">
        <f>'Pencapaian Product Focus'!N144</f>
        <v>0</v>
      </c>
      <c r="Y144" s="255">
        <f>'Pencapaian Effective Call'!G144</f>
        <v>0</v>
      </c>
      <c r="Z144" s="170">
        <f>'Pencapaian Effective Call'!I144</f>
        <v>0</v>
      </c>
      <c r="AA144" s="255">
        <f>'Pencapaian New Open Outlet'!G144</f>
        <v>0</v>
      </c>
      <c r="AB144" s="170">
        <f>'Pencapaian New Open Outlet'!I144</f>
        <v>0</v>
      </c>
      <c r="AC144" s="269" t="e">
        <f>'Pencapaian Active Outlet'!G144</f>
        <v>#DIV/0!</v>
      </c>
      <c r="AD144" s="15">
        <f>'Pencapaian Active Outlet'!I144</f>
        <v>0</v>
      </c>
      <c r="AE144" s="255">
        <f>'Pencapaian Item per Outlet'!G144</f>
        <v>0</v>
      </c>
      <c r="AF144" s="309">
        <f>'Pencapaian Item per Outlet'!I144</f>
        <v>0</v>
      </c>
      <c r="AG144" s="255">
        <f>'Pencapaian Product Display'!G144</f>
        <v>0</v>
      </c>
      <c r="AH144" s="309">
        <f>'Pencapaian Product Display'!I144</f>
        <v>0</v>
      </c>
      <c r="AI144" s="255">
        <f>'Pencapaian Sales Contract'!G144</f>
        <v>0</v>
      </c>
      <c r="AJ144" s="309">
        <f>'Pencapaian Sales Contract'!I144</f>
        <v>0</v>
      </c>
      <c r="AK144" s="255">
        <f>'Pencapaian Co-Branding'!G144</f>
        <v>0</v>
      </c>
      <c r="AL144" s="309">
        <f>'Pencapaian Co-Branding'!I144</f>
        <v>0</v>
      </c>
      <c r="AM144" s="255">
        <f>'Pencapaian Join Event Activity'!G144</f>
        <v>0</v>
      </c>
      <c r="AN144" s="309">
        <f>'Pencapaian Join Event Activity'!I144</f>
        <v>0</v>
      </c>
      <c r="AO144" s="15">
        <f t="shared" si="65"/>
        <v>0</v>
      </c>
      <c r="AP144" s="13">
        <v>0</v>
      </c>
      <c r="AQ144" s="15">
        <f t="shared" si="87"/>
        <v>0</v>
      </c>
      <c r="AR144" s="13">
        <v>0</v>
      </c>
      <c r="AS144" s="15">
        <f t="shared" si="88"/>
        <v>0</v>
      </c>
      <c r="AT144" s="15">
        <f t="shared" si="68"/>
        <v>0</v>
      </c>
      <c r="AU144" s="15">
        <f t="shared" si="89"/>
        <v>0</v>
      </c>
      <c r="AV144" s="15">
        <v>0</v>
      </c>
    </row>
    <row r="145" spans="15:48" ht="16" x14ac:dyDescent="0.2">
      <c r="O145" s="3"/>
      <c r="P145" s="386"/>
      <c r="Q145" s="78"/>
      <c r="R145" s="78" t="s">
        <v>74</v>
      </c>
      <c r="S145" s="64" t="s">
        <v>20</v>
      </c>
      <c r="T145" s="258">
        <f>'Pencapaian Sales Value'!G145</f>
        <v>0.25089458944444443</v>
      </c>
      <c r="U145" s="63">
        <f>'Pencapaian Sales Value'!I145</f>
        <v>0</v>
      </c>
      <c r="V145" s="268">
        <f>'Pencapaian Product Focus'!H145</f>
        <v>0</v>
      </c>
      <c r="W145" s="268">
        <f>'Pencapaian Product Focus'!L145</f>
        <v>0</v>
      </c>
      <c r="X145" s="189">
        <f>'Pencapaian Product Focus'!N145</f>
        <v>0</v>
      </c>
      <c r="Y145" s="268">
        <f>'Pencapaian Effective Call'!G145</f>
        <v>0</v>
      </c>
      <c r="Z145" s="189">
        <f>'Pencapaian Effective Call'!I145</f>
        <v>0</v>
      </c>
      <c r="AA145" s="268">
        <f>'Pencapaian New Open Outlet'!G145</f>
        <v>0</v>
      </c>
      <c r="AB145" s="189">
        <f>'Pencapaian New Open Outlet'!I145</f>
        <v>0</v>
      </c>
      <c r="AC145" s="258">
        <f>'Pencapaian Active Outlet'!G145</f>
        <v>0.421875</v>
      </c>
      <c r="AD145" s="63">
        <f>'Pencapaian Active Outlet'!I145</f>
        <v>0</v>
      </c>
      <c r="AE145" s="268">
        <f>'Pencapaian Item per Outlet'!G145</f>
        <v>0</v>
      </c>
      <c r="AF145" s="312">
        <f>'Pencapaian Item per Outlet'!I145</f>
        <v>0</v>
      </c>
      <c r="AG145" s="268">
        <f>'Pencapaian Product Display'!G145</f>
        <v>0</v>
      </c>
      <c r="AH145" s="312">
        <f>'Pencapaian Product Display'!I145</f>
        <v>0</v>
      </c>
      <c r="AI145" s="268">
        <f>'Pencapaian Sales Contract'!G145</f>
        <v>0</v>
      </c>
      <c r="AJ145" s="312">
        <f>'Pencapaian Sales Contract'!I145</f>
        <v>0</v>
      </c>
      <c r="AK145" s="268">
        <f>'Pencapaian Co-Branding'!G145</f>
        <v>0</v>
      </c>
      <c r="AL145" s="312">
        <f>'Pencapaian Co-Branding'!I145</f>
        <v>0</v>
      </c>
      <c r="AM145" s="268">
        <f>'Pencapaian Join Event Activity'!G145</f>
        <v>0</v>
      </c>
      <c r="AN145" s="312">
        <f>'Pencapaian Join Event Activity'!I145</f>
        <v>0</v>
      </c>
      <c r="AO145" s="63">
        <f t="shared" si="65"/>
        <v>0</v>
      </c>
      <c r="AP145" s="110">
        <v>0</v>
      </c>
      <c r="AQ145" s="63">
        <f t="shared" si="87"/>
        <v>0</v>
      </c>
      <c r="AR145" s="110">
        <v>0</v>
      </c>
      <c r="AS145" s="63">
        <f t="shared" si="88"/>
        <v>0</v>
      </c>
      <c r="AT145" s="63">
        <f t="shared" si="68"/>
        <v>0</v>
      </c>
      <c r="AU145" s="63">
        <f t="shared" si="89"/>
        <v>0</v>
      </c>
      <c r="AV145" s="63">
        <v>0</v>
      </c>
    </row>
    <row r="146" spans="15:48" ht="16" x14ac:dyDescent="0.2">
      <c r="O146" s="3"/>
      <c r="P146" s="387"/>
      <c r="Q146" s="77"/>
      <c r="R146" s="77" t="s">
        <v>48</v>
      </c>
      <c r="S146" s="42"/>
      <c r="T146" s="264">
        <f>'Pencapaian Sales Value'!G146</f>
        <v>0.25089458944444443</v>
      </c>
      <c r="U146" s="23">
        <f>'Pencapaian Sales Value'!I146</f>
        <v>0</v>
      </c>
      <c r="V146" s="274">
        <f>'Pencapaian Product Focus'!H146</f>
        <v>0</v>
      </c>
      <c r="W146" s="274">
        <f>'Pencapaian Product Focus'!L146</f>
        <v>0</v>
      </c>
      <c r="X146" s="190">
        <f>'Pencapaian Product Focus'!N146</f>
        <v>0</v>
      </c>
      <c r="Y146" s="274">
        <f>'Pencapaian Effective Call'!G146</f>
        <v>0</v>
      </c>
      <c r="Z146" s="190">
        <f>'Pencapaian Effective Call'!I146</f>
        <v>0</v>
      </c>
      <c r="AA146" s="274">
        <f>'Pencapaian New Open Outlet'!G146</f>
        <v>0</v>
      </c>
      <c r="AB146" s="190">
        <f>'Pencapaian New Open Outlet'!I146</f>
        <v>0</v>
      </c>
      <c r="AC146" s="264">
        <f>'Pencapaian Active Outlet'!G146</f>
        <v>0.421875</v>
      </c>
      <c r="AD146" s="23">
        <f>'Pencapaian Active Outlet'!I146</f>
        <v>198000</v>
      </c>
      <c r="AE146" s="274">
        <f>'Pencapaian Item per Outlet'!G146</f>
        <v>0</v>
      </c>
      <c r="AF146" s="313">
        <f>'Pencapaian Item per Outlet'!I146</f>
        <v>0</v>
      </c>
      <c r="AG146" s="274">
        <f>'Pencapaian Product Display'!G146</f>
        <v>0</v>
      </c>
      <c r="AH146" s="313">
        <f>'Pencapaian Product Display'!I146</f>
        <v>0</v>
      </c>
      <c r="AI146" s="274">
        <f>'Pencapaian Sales Contract'!G146</f>
        <v>0</v>
      </c>
      <c r="AJ146" s="313">
        <f>'Pencapaian Sales Contract'!I146</f>
        <v>0</v>
      </c>
      <c r="AK146" s="274">
        <f>'Pencapaian Co-Branding'!G146</f>
        <v>0</v>
      </c>
      <c r="AL146" s="313">
        <f>'Pencapaian Co-Branding'!I146</f>
        <v>0</v>
      </c>
      <c r="AM146" s="274">
        <f>'Pencapaian Join Event Activity'!G146</f>
        <v>0</v>
      </c>
      <c r="AN146" s="313">
        <f>'Pencapaian Join Event Activity'!I146</f>
        <v>0</v>
      </c>
      <c r="AO146" s="23">
        <f t="shared" si="65"/>
        <v>198000</v>
      </c>
      <c r="AP146" s="112">
        <v>0</v>
      </c>
      <c r="AQ146" s="23">
        <f>SUM(AQ134:AQ145)</f>
        <v>0</v>
      </c>
      <c r="AR146" s="112">
        <v>0</v>
      </c>
      <c r="AS146" s="23">
        <f>SUM(AS134:AS145)</f>
        <v>0</v>
      </c>
      <c r="AT146" s="23">
        <f t="shared" si="68"/>
        <v>198000</v>
      </c>
      <c r="AU146" s="23">
        <f>SUM(AU134:AU145)</f>
        <v>198000</v>
      </c>
      <c r="AV146" s="23">
        <f>SUM(AV134:AV145)</f>
        <v>0</v>
      </c>
    </row>
    <row r="147" spans="15:48" ht="16" x14ac:dyDescent="0.2">
      <c r="O147" s="3"/>
      <c r="P147" s="206"/>
      <c r="Q147" s="207"/>
      <c r="R147" s="207" t="s">
        <v>49</v>
      </c>
      <c r="S147" s="209"/>
      <c r="T147" s="305">
        <f>'Pencapaian Sales Value'!G147</f>
        <v>0.70096801555164223</v>
      </c>
      <c r="U147" s="210">
        <f>'Pencapaian Sales Value'!I147</f>
        <v>1357500</v>
      </c>
      <c r="V147" s="305">
        <f>'Pencapaian Product Focus'!H147</f>
        <v>0.98188202247378276</v>
      </c>
      <c r="W147" s="305">
        <f>'Pencapaian Product Focus'!L147</f>
        <v>0.5976047904191617</v>
      </c>
      <c r="X147" s="210">
        <f>'Pencapaian Product Focus'!N147</f>
        <v>808500</v>
      </c>
      <c r="Y147" s="305">
        <f>'Pencapaian Effective Call'!G147</f>
        <v>0.80128617363344057</v>
      </c>
      <c r="Z147" s="210">
        <f>'Pencapaian Effective Call'!I147</f>
        <v>544500</v>
      </c>
      <c r="AA147" s="305">
        <f>'Pencapaian New Open Outlet'!G147</f>
        <v>0.43548387096774194</v>
      </c>
      <c r="AB147" s="210">
        <f>'Pencapaian New Open Outlet'!I147</f>
        <v>249750</v>
      </c>
      <c r="AC147" s="305">
        <f>'Pencapaian Active Outlet'!G147</f>
        <v>0.71034482758620687</v>
      </c>
      <c r="AD147" s="210">
        <f>'Pencapaian Active Outlet'!I147</f>
        <v>612000</v>
      </c>
      <c r="AE147" s="299">
        <f>'Pencapaian Item per Outlet'!G147</f>
        <v>0</v>
      </c>
      <c r="AF147" s="213">
        <f>'Pencapaian Item per Outlet'!I147</f>
        <v>0</v>
      </c>
      <c r="AG147" s="299">
        <f>'Pencapaian Product Display'!G147</f>
        <v>0</v>
      </c>
      <c r="AH147" s="213">
        <f>'Pencapaian Product Display'!I147</f>
        <v>0</v>
      </c>
      <c r="AI147" s="299">
        <f>'Pencapaian Sales Contract'!G147</f>
        <v>0</v>
      </c>
      <c r="AJ147" s="213">
        <f>'Pencapaian Sales Contract'!I147</f>
        <v>0</v>
      </c>
      <c r="AK147" s="299">
        <f>'Pencapaian Co-Branding'!G147</f>
        <v>0</v>
      </c>
      <c r="AL147" s="213">
        <f>'Pencapaian Co-Branding'!I147</f>
        <v>0</v>
      </c>
      <c r="AM147" s="299">
        <f>'Pencapaian Join Event Activity'!G147</f>
        <v>0</v>
      </c>
      <c r="AN147" s="213">
        <f>'Pencapaian Join Event Activity'!I147</f>
        <v>0</v>
      </c>
      <c r="AO147" s="210">
        <f t="shared" si="65"/>
        <v>3572250</v>
      </c>
      <c r="AP147" s="217">
        <v>2.5767703640737359E-3</v>
      </c>
      <c r="AQ147" s="210">
        <f>SUM(AQ146,AQ133,AQ128,AQ115,AQ109)</f>
        <v>-69000</v>
      </c>
      <c r="AR147" s="217">
        <v>1.4758134960330676E-3</v>
      </c>
      <c r="AS147" s="210">
        <f>SUM(AS146,AS133,AS128,AS115,AS109)</f>
        <v>-301050</v>
      </c>
      <c r="AT147" s="210">
        <f t="shared" si="68"/>
        <v>3202200</v>
      </c>
      <c r="AU147" s="210">
        <f>SUM(AU146,AU133,AU128,AU115,AU109)</f>
        <v>2149875</v>
      </c>
      <c r="AV147" s="210">
        <f>SUM(AV146,AV133,AV128,AV115,AV109)</f>
        <v>249075</v>
      </c>
    </row>
    <row r="148" spans="15:48" x14ac:dyDescent="0.2">
      <c r="O148" s="3"/>
      <c r="U148" s="2"/>
      <c r="X148" s="2"/>
      <c r="Z148" s="2"/>
      <c r="AB148" s="2"/>
      <c r="AD148" s="2"/>
      <c r="AF148" s="2"/>
      <c r="AH148" s="2"/>
      <c r="AJ148" s="2"/>
      <c r="AL148" s="2"/>
      <c r="AN148" s="2"/>
      <c r="AO148" s="2"/>
      <c r="AP148" s="1" t="s">
        <v>797</v>
      </c>
      <c r="AQ148" s="2"/>
      <c r="AR148" s="1"/>
      <c r="AS148" s="2"/>
      <c r="AT148" s="2"/>
      <c r="AU148" s="2"/>
      <c r="AV148" s="2"/>
    </row>
    <row r="149" spans="15:48" x14ac:dyDescent="0.2">
      <c r="O149" s="3"/>
      <c r="U149" s="2"/>
      <c r="X149" s="2"/>
      <c r="Z149" s="2"/>
      <c r="AB149" s="2"/>
      <c r="AD149" s="2"/>
      <c r="AF149" s="2"/>
      <c r="AH149" s="2"/>
      <c r="AJ149" s="2"/>
      <c r="AL149" s="2"/>
      <c r="AN149" s="2"/>
      <c r="AO149" s="2"/>
      <c r="AP149" s="1"/>
      <c r="AQ149" s="2"/>
      <c r="AR149" s="1"/>
      <c r="AS149" s="2"/>
      <c r="AT149" s="2"/>
      <c r="AU149" s="2"/>
      <c r="AV149" s="2"/>
    </row>
    <row r="150" spans="15:48" x14ac:dyDescent="0.2">
      <c r="O150" s="3"/>
      <c r="U150" s="2"/>
      <c r="X150" s="2"/>
      <c r="Z150" s="2"/>
      <c r="AB150" s="2"/>
      <c r="AD150" s="2"/>
      <c r="AF150" s="2"/>
      <c r="AH150" s="2"/>
      <c r="AJ150" s="2"/>
      <c r="AL150" s="2"/>
      <c r="AN150" s="2"/>
      <c r="AO150" s="2"/>
      <c r="AP150" s="1"/>
      <c r="AQ150" s="2"/>
      <c r="AR150" s="1"/>
      <c r="AS150" s="2"/>
      <c r="AT150" s="2"/>
      <c r="AU150" s="2"/>
      <c r="AV150" s="2"/>
    </row>
    <row r="151" spans="15:48" x14ac:dyDescent="0.2">
      <c r="O151" s="3"/>
      <c r="U151" s="2"/>
      <c r="X151" s="2"/>
      <c r="Z151" s="2"/>
      <c r="AB151" s="2"/>
      <c r="AD151" s="2"/>
      <c r="AF151" s="2"/>
      <c r="AH151" s="2"/>
      <c r="AJ151" s="2"/>
      <c r="AL151" s="2"/>
      <c r="AN151" s="2"/>
      <c r="AO151" s="2"/>
      <c r="AP151" s="1"/>
      <c r="AQ151" s="2"/>
      <c r="AR151" s="1"/>
      <c r="AS151" s="2"/>
      <c r="AT151" s="2"/>
      <c r="AU151" s="2"/>
      <c r="AV151" s="2"/>
    </row>
    <row r="152" spans="15:48" x14ac:dyDescent="0.2">
      <c r="O152" s="3"/>
      <c r="U152" s="2"/>
      <c r="X152" s="2"/>
      <c r="Z152" s="2"/>
      <c r="AB152" s="2"/>
      <c r="AD152" s="2"/>
      <c r="AF152" s="2"/>
      <c r="AH152" s="2"/>
      <c r="AJ152" s="2"/>
      <c r="AL152" s="2"/>
      <c r="AN152" s="2"/>
      <c r="AO152" s="2"/>
      <c r="AP152" s="1"/>
      <c r="AQ152" s="2"/>
      <c r="AR152" s="1"/>
      <c r="AS152" s="2"/>
      <c r="AT152" s="2"/>
      <c r="AU152" s="2"/>
      <c r="AV152" s="2"/>
    </row>
    <row r="153" spans="15:48" x14ac:dyDescent="0.2">
      <c r="O153" s="3"/>
      <c r="P153" s="4"/>
      <c r="Q153" s="5"/>
      <c r="R153" s="5"/>
      <c r="U153" s="2"/>
      <c r="X153" s="2"/>
      <c r="Z153" s="2"/>
      <c r="AB153" s="2"/>
      <c r="AD153" s="2"/>
      <c r="AF153" s="2"/>
      <c r="AH153" s="2"/>
      <c r="AJ153" s="2"/>
      <c r="AL153" s="2"/>
      <c r="AN153" s="2"/>
      <c r="AO153" s="2"/>
      <c r="AP153" s="1"/>
      <c r="AQ153" s="2"/>
      <c r="AR153" s="1"/>
      <c r="AS153" s="2"/>
      <c r="AT153" s="2"/>
      <c r="AU153" s="2"/>
      <c r="AV153" s="2"/>
    </row>
    <row r="154" spans="15:48" x14ac:dyDescent="0.2">
      <c r="O154" s="3"/>
      <c r="P154" s="8"/>
      <c r="Q154" s="8"/>
      <c r="R154" s="8"/>
      <c r="U154" s="2"/>
      <c r="X154" s="2"/>
      <c r="Z154" s="2"/>
      <c r="AB154" s="2"/>
      <c r="AD154" s="2"/>
      <c r="AF154" s="2"/>
      <c r="AH154" s="2"/>
      <c r="AJ154" s="2"/>
      <c r="AL154" s="2"/>
      <c r="AN154" s="2"/>
      <c r="AO154" s="2"/>
      <c r="AP154" s="1"/>
      <c r="AQ154" s="2"/>
      <c r="AR154" s="1"/>
      <c r="AS154" s="2"/>
      <c r="AT154" s="2"/>
      <c r="AU154" s="2"/>
      <c r="AV154" s="2"/>
    </row>
    <row r="155" spans="15:48" ht="14.5" customHeight="1" x14ac:dyDescent="0.2">
      <c r="O155" s="3"/>
      <c r="P155" s="388" t="s">
        <v>0</v>
      </c>
      <c r="Q155" s="388" t="s">
        <v>270</v>
      </c>
      <c r="R155" s="388" t="s">
        <v>2</v>
      </c>
      <c r="S155" s="394" t="s">
        <v>3</v>
      </c>
      <c r="T155" s="388" t="s">
        <v>4</v>
      </c>
      <c r="U155" s="388"/>
      <c r="V155" s="388" t="s">
        <v>139</v>
      </c>
      <c r="W155" s="388"/>
      <c r="X155" s="388"/>
      <c r="Y155" s="388" t="s">
        <v>134</v>
      </c>
      <c r="Z155" s="388"/>
      <c r="AA155" s="388" t="s">
        <v>135</v>
      </c>
      <c r="AB155" s="388"/>
      <c r="AC155" s="388" t="s">
        <v>5</v>
      </c>
      <c r="AD155" s="388"/>
      <c r="AE155" s="388" t="s">
        <v>137</v>
      </c>
      <c r="AF155" s="388"/>
      <c r="AG155" s="388" t="s">
        <v>424</v>
      </c>
      <c r="AH155" s="388"/>
      <c r="AI155" s="388" t="s">
        <v>431</v>
      </c>
      <c r="AJ155" s="388"/>
      <c r="AK155" s="388" t="s">
        <v>438</v>
      </c>
      <c r="AL155" s="388"/>
      <c r="AM155" s="388" t="s">
        <v>445</v>
      </c>
      <c r="AN155" s="388"/>
      <c r="AO155" s="389" t="s">
        <v>141</v>
      </c>
      <c r="AP155" s="391" t="s">
        <v>6</v>
      </c>
      <c r="AQ155" s="391"/>
      <c r="AR155" s="391"/>
      <c r="AS155" s="391"/>
      <c r="AT155" s="385" t="s">
        <v>7</v>
      </c>
      <c r="AU155" s="385" t="s">
        <v>2</v>
      </c>
      <c r="AV155" s="385" t="s">
        <v>144</v>
      </c>
    </row>
    <row r="156" spans="15:48" ht="32" x14ac:dyDescent="0.2">
      <c r="O156" s="3"/>
      <c r="P156" s="388"/>
      <c r="Q156" s="388"/>
      <c r="R156" s="388"/>
      <c r="S156" s="394"/>
      <c r="T156" s="253" t="s">
        <v>9</v>
      </c>
      <c r="U156" s="54" t="s">
        <v>10</v>
      </c>
      <c r="V156" s="253" t="s">
        <v>514</v>
      </c>
      <c r="W156" s="296" t="s">
        <v>515</v>
      </c>
      <c r="X156" s="54" t="s">
        <v>10</v>
      </c>
      <c r="Y156" s="253" t="s">
        <v>9</v>
      </c>
      <c r="Z156" s="54" t="s">
        <v>10</v>
      </c>
      <c r="AA156" s="253" t="s">
        <v>9</v>
      </c>
      <c r="AB156" s="54" t="s">
        <v>10</v>
      </c>
      <c r="AC156" s="253" t="s">
        <v>9</v>
      </c>
      <c r="AD156" s="54" t="s">
        <v>10</v>
      </c>
      <c r="AE156" s="253" t="s">
        <v>9</v>
      </c>
      <c r="AF156" s="54" t="s">
        <v>10</v>
      </c>
      <c r="AG156" s="253" t="s">
        <v>9</v>
      </c>
      <c r="AH156" s="54" t="s">
        <v>10</v>
      </c>
      <c r="AI156" s="253" t="s">
        <v>9</v>
      </c>
      <c r="AJ156" s="54" t="s">
        <v>10</v>
      </c>
      <c r="AK156" s="253" t="s">
        <v>9</v>
      </c>
      <c r="AL156" s="54" t="s">
        <v>10</v>
      </c>
      <c r="AM156" s="253" t="s">
        <v>9</v>
      </c>
      <c r="AN156" s="54" t="s">
        <v>10</v>
      </c>
      <c r="AO156" s="390"/>
      <c r="AP156" s="135" t="s">
        <v>798</v>
      </c>
      <c r="AQ156" s="134" t="s">
        <v>143</v>
      </c>
      <c r="AR156" s="135" t="s">
        <v>11</v>
      </c>
      <c r="AS156" s="134" t="s">
        <v>143</v>
      </c>
      <c r="AT156" s="385"/>
      <c r="AU156" s="385"/>
      <c r="AV156" s="385"/>
    </row>
    <row r="157" spans="15:48" x14ac:dyDescent="0.2">
      <c r="P157" s="395" t="s">
        <v>53</v>
      </c>
      <c r="Q157" s="321" t="s">
        <v>404</v>
      </c>
      <c r="R157" s="321" t="s">
        <v>115</v>
      </c>
      <c r="S157" s="12" t="s">
        <v>571</v>
      </c>
      <c r="T157" s="269">
        <f>'Pencapaian Sales Value'!G157</f>
        <v>4.6197930500000002</v>
      </c>
      <c r="U157" s="284">
        <f>'Pencapaian Sales Value'!I157</f>
        <v>330000</v>
      </c>
      <c r="V157" s="304">
        <f>'Pencapaian Product Focus'!H157</f>
        <v>0</v>
      </c>
      <c r="W157" s="304">
        <f>'Pencapaian Product Focus'!L157</f>
        <v>0</v>
      </c>
      <c r="X157" s="285">
        <f>'Pencapaian Product Focus'!N157</f>
        <v>0</v>
      </c>
      <c r="Y157" s="335">
        <f>'Pencapaian Effective Call'!G157</f>
        <v>0</v>
      </c>
      <c r="Z157" s="285">
        <f>'Pencapaian Effective Call'!I157</f>
        <v>0</v>
      </c>
      <c r="AA157" s="378">
        <f>'Pencapaian New Open Outlet'!G157</f>
        <v>0</v>
      </c>
      <c r="AB157" s="285">
        <f>'Pencapaian New Open Outlet'!I157</f>
        <v>0</v>
      </c>
      <c r="AC157" s="269">
        <f>'Pencapaian Active Outlet'!G157</f>
        <v>1.3255813953488371</v>
      </c>
      <c r="AD157" s="284">
        <f>'Pencapaian Active Outlet'!I157</f>
        <v>495000</v>
      </c>
      <c r="AE157" s="335">
        <f>'Pencapaian Item per Outlet'!G157</f>
        <v>0</v>
      </c>
      <c r="AF157" s="285">
        <f>'Pencapaian Item per Outlet'!I157</f>
        <v>0</v>
      </c>
      <c r="AG157" s="335">
        <f>'Pencapaian Product Display'!G157</f>
        <v>0</v>
      </c>
      <c r="AH157" s="285">
        <f>'Pencapaian Product Display'!I157</f>
        <v>0</v>
      </c>
      <c r="AI157" s="335">
        <f>'Pencapaian Sales Contract'!G157</f>
        <v>0</v>
      </c>
      <c r="AJ157" s="285">
        <f>'Pencapaian Sales Contract'!I157</f>
        <v>0</v>
      </c>
      <c r="AK157" s="335">
        <f>'Pencapaian Co-Branding'!G157</f>
        <v>0</v>
      </c>
      <c r="AL157" s="285">
        <f>'Pencapaian Co-Branding'!I157</f>
        <v>0</v>
      </c>
      <c r="AM157" s="335">
        <f>'Pencapaian Join Event Activity'!G157</f>
        <v>0</v>
      </c>
      <c r="AN157" s="285">
        <f>'Pencapaian Join Event Activity'!I157</f>
        <v>0</v>
      </c>
      <c r="AO157" s="284">
        <f t="shared" ref="AO157:AO220" si="90">SUM(AN157,AL157,AJ157,AH157,AF157,AD157,AB157,Z157,X157,U157)</f>
        <v>825000</v>
      </c>
      <c r="AP157" s="322">
        <v>0</v>
      </c>
      <c r="AQ157" s="284">
        <f t="shared" ref="AQ157:AQ164" si="91">IF(AP157&gt;=0.5%,-(AO157*10%),0)</f>
        <v>0</v>
      </c>
      <c r="AR157" s="322">
        <v>0</v>
      </c>
      <c r="AS157" s="284">
        <f t="shared" ref="AS157:AS164" si="92">IF(AR157&gt;0,-(AO157+AQ157),0)</f>
        <v>0</v>
      </c>
      <c r="AT157" s="284">
        <f t="shared" ref="AT157:AT220" si="93">SUM(AS157,AQ157,AO157)</f>
        <v>825000</v>
      </c>
      <c r="AU157" s="284">
        <f t="shared" ref="AU157:AU164" si="94">AT157</f>
        <v>825000</v>
      </c>
      <c r="AV157" s="284">
        <v>0</v>
      </c>
    </row>
    <row r="158" spans="15:48" x14ac:dyDescent="0.2">
      <c r="P158" s="392"/>
      <c r="Q158" s="321"/>
      <c r="R158" s="323" t="s">
        <v>800</v>
      </c>
      <c r="S158" s="12"/>
      <c r="T158" s="269" t="e">
        <f>'Pencapaian Sales Value'!G158</f>
        <v>#DIV/0!</v>
      </c>
      <c r="U158" s="284">
        <f>'Pencapaian Sales Value'!I158</f>
        <v>0</v>
      </c>
      <c r="V158" s="304">
        <f>'Pencapaian Product Focus'!H158</f>
        <v>0</v>
      </c>
      <c r="W158" s="304">
        <f>'Pencapaian Product Focus'!L158</f>
        <v>0</v>
      </c>
      <c r="X158" s="285">
        <f>'Pencapaian Product Focus'!N158</f>
        <v>0</v>
      </c>
      <c r="Y158" s="304">
        <f>'Pencapaian Effective Call'!G158</f>
        <v>0</v>
      </c>
      <c r="Z158" s="285">
        <f>'Pencapaian Effective Call'!I158</f>
        <v>0</v>
      </c>
      <c r="AA158" s="304">
        <f>'Pencapaian New Open Outlet'!G158</f>
        <v>0</v>
      </c>
      <c r="AB158" s="285">
        <f>'Pencapaian New Open Outlet'!I158</f>
        <v>0</v>
      </c>
      <c r="AC158" s="269" t="e">
        <f>'Pencapaian Active Outlet'!G158</f>
        <v>#DIV/0!</v>
      </c>
      <c r="AD158" s="284">
        <f>'Pencapaian Active Outlet'!I158</f>
        <v>0</v>
      </c>
      <c r="AE158" s="304">
        <f>'Pencapaian Item per Outlet'!G158</f>
        <v>0</v>
      </c>
      <c r="AF158" s="285">
        <f>'Pencapaian Item per Outlet'!I158</f>
        <v>0</v>
      </c>
      <c r="AG158" s="304">
        <f>'Pencapaian Product Display'!G158</f>
        <v>0</v>
      </c>
      <c r="AH158" s="285">
        <f>'Pencapaian Product Display'!I158</f>
        <v>0</v>
      </c>
      <c r="AI158" s="304">
        <f>'Pencapaian Sales Contract'!G158</f>
        <v>0</v>
      </c>
      <c r="AJ158" s="285">
        <f>'Pencapaian Sales Contract'!I158</f>
        <v>0</v>
      </c>
      <c r="AK158" s="304">
        <f>'Pencapaian Co-Branding'!G158</f>
        <v>0</v>
      </c>
      <c r="AL158" s="285">
        <f>'Pencapaian Co-Branding'!I158</f>
        <v>0</v>
      </c>
      <c r="AM158" s="304">
        <f>'Pencapaian Join Event Activity'!G158</f>
        <v>0</v>
      </c>
      <c r="AN158" s="285">
        <f>'Pencapaian Join Event Activity'!I158</f>
        <v>0</v>
      </c>
      <c r="AO158" s="284">
        <f t="shared" si="90"/>
        <v>0</v>
      </c>
      <c r="AP158" s="322">
        <v>0</v>
      </c>
      <c r="AQ158" s="284">
        <f t="shared" si="91"/>
        <v>0</v>
      </c>
      <c r="AR158" s="322">
        <v>0</v>
      </c>
      <c r="AS158" s="284">
        <f t="shared" si="92"/>
        <v>0</v>
      </c>
      <c r="AT158" s="284">
        <f t="shared" si="93"/>
        <v>0</v>
      </c>
      <c r="AU158" s="284">
        <f t="shared" si="94"/>
        <v>0</v>
      </c>
      <c r="AV158" s="284">
        <v>0</v>
      </c>
    </row>
    <row r="159" spans="15:48" x14ac:dyDescent="0.2">
      <c r="P159" s="392"/>
      <c r="Q159" s="321"/>
      <c r="R159" s="323" t="s">
        <v>532</v>
      </c>
      <c r="S159" s="12" t="s">
        <v>675</v>
      </c>
      <c r="T159" s="269">
        <f>'Pencapaian Sales Value'!G159</f>
        <v>0.49895733333333331</v>
      </c>
      <c r="U159" s="284">
        <f>'Pencapaian Sales Value'!I159</f>
        <v>0</v>
      </c>
      <c r="V159" s="304">
        <f>'Pencapaian Product Focus'!H159</f>
        <v>0</v>
      </c>
      <c r="W159" s="304">
        <f>'Pencapaian Product Focus'!L159</f>
        <v>0</v>
      </c>
      <c r="X159" s="285">
        <f>'Pencapaian Product Focus'!N159</f>
        <v>0</v>
      </c>
      <c r="Y159" s="304">
        <f>'Pencapaian Effective Call'!G159</f>
        <v>0</v>
      </c>
      <c r="Z159" s="285">
        <f>'Pencapaian Effective Call'!I159</f>
        <v>0</v>
      </c>
      <c r="AA159" s="304">
        <f>'Pencapaian New Open Outlet'!G159</f>
        <v>0</v>
      </c>
      <c r="AB159" s="285">
        <f>'Pencapaian New Open Outlet'!I159</f>
        <v>0</v>
      </c>
      <c r="AC159" s="269">
        <f>'Pencapaian Active Outlet'!G159</f>
        <v>0.9</v>
      </c>
      <c r="AD159" s="284">
        <f>'Pencapaian Active Outlet'!I159</f>
        <v>120000</v>
      </c>
      <c r="AE159" s="304">
        <f>'Pencapaian Item per Outlet'!G159</f>
        <v>0</v>
      </c>
      <c r="AF159" s="285">
        <f>'Pencapaian Item per Outlet'!I159</f>
        <v>0</v>
      </c>
      <c r="AG159" s="304">
        <f>'Pencapaian Product Display'!G159</f>
        <v>0</v>
      </c>
      <c r="AH159" s="285">
        <f>'Pencapaian Product Display'!I159</f>
        <v>0</v>
      </c>
      <c r="AI159" s="304">
        <f>'Pencapaian Sales Contract'!G159</f>
        <v>0</v>
      </c>
      <c r="AJ159" s="285">
        <f>'Pencapaian Sales Contract'!I159</f>
        <v>0</v>
      </c>
      <c r="AK159" s="304">
        <f>'Pencapaian Co-Branding'!G159</f>
        <v>0</v>
      </c>
      <c r="AL159" s="285">
        <f>'Pencapaian Co-Branding'!I159</f>
        <v>0</v>
      </c>
      <c r="AM159" s="304">
        <f>'Pencapaian Join Event Activity'!G159</f>
        <v>0</v>
      </c>
      <c r="AN159" s="285">
        <f>'Pencapaian Join Event Activity'!I159</f>
        <v>0</v>
      </c>
      <c r="AO159" s="284">
        <f t="shared" si="90"/>
        <v>120000</v>
      </c>
      <c r="AP159" s="322">
        <v>0</v>
      </c>
      <c r="AQ159" s="284">
        <f t="shared" si="91"/>
        <v>0</v>
      </c>
      <c r="AR159" s="322">
        <v>0</v>
      </c>
      <c r="AS159" s="284">
        <f t="shared" si="92"/>
        <v>0</v>
      </c>
      <c r="AT159" s="284">
        <f t="shared" si="93"/>
        <v>120000</v>
      </c>
      <c r="AU159" s="284">
        <f t="shared" si="94"/>
        <v>120000</v>
      </c>
      <c r="AV159" s="284">
        <v>0</v>
      </c>
    </row>
    <row r="160" spans="15:48" x14ac:dyDescent="0.2">
      <c r="P160" s="392"/>
      <c r="Q160" s="321"/>
      <c r="R160" s="323" t="s">
        <v>535</v>
      </c>
      <c r="S160" s="12" t="s">
        <v>675</v>
      </c>
      <c r="T160" s="269">
        <f>'Pencapaian Sales Value'!G160</f>
        <v>0.79263130769230772</v>
      </c>
      <c r="U160" s="284">
        <f>'Pencapaian Sales Value'!I160</f>
        <v>0</v>
      </c>
      <c r="V160" s="304">
        <f>'Pencapaian Product Focus'!H160</f>
        <v>0</v>
      </c>
      <c r="W160" s="304">
        <f>'Pencapaian Product Focus'!L160</f>
        <v>0</v>
      </c>
      <c r="X160" s="285">
        <f>'Pencapaian Product Focus'!N160</f>
        <v>0</v>
      </c>
      <c r="Y160" s="304">
        <f>'Pencapaian Effective Call'!G160</f>
        <v>0</v>
      </c>
      <c r="Z160" s="285">
        <f>'Pencapaian Effective Call'!I160</f>
        <v>0</v>
      </c>
      <c r="AA160" s="304">
        <f>'Pencapaian New Open Outlet'!G160</f>
        <v>0</v>
      </c>
      <c r="AB160" s="285">
        <f>'Pencapaian New Open Outlet'!I160</f>
        <v>0</v>
      </c>
      <c r="AC160" s="269">
        <f>'Pencapaian Active Outlet'!G160</f>
        <v>1</v>
      </c>
      <c r="AD160" s="284">
        <f>'Pencapaian Active Outlet'!I160</f>
        <v>135000</v>
      </c>
      <c r="AE160" s="304">
        <f>'Pencapaian Item per Outlet'!G160</f>
        <v>0</v>
      </c>
      <c r="AF160" s="285">
        <f>'Pencapaian Item per Outlet'!I160</f>
        <v>0</v>
      </c>
      <c r="AG160" s="304">
        <f>'Pencapaian Product Display'!G160</f>
        <v>0</v>
      </c>
      <c r="AH160" s="285">
        <f>'Pencapaian Product Display'!I160</f>
        <v>0</v>
      </c>
      <c r="AI160" s="304">
        <f>'Pencapaian Sales Contract'!G160</f>
        <v>0</v>
      </c>
      <c r="AJ160" s="285">
        <f>'Pencapaian Sales Contract'!I160</f>
        <v>0</v>
      </c>
      <c r="AK160" s="304">
        <f>'Pencapaian Co-Branding'!G160</f>
        <v>0</v>
      </c>
      <c r="AL160" s="285">
        <f>'Pencapaian Co-Branding'!I160</f>
        <v>0</v>
      </c>
      <c r="AM160" s="304">
        <f>'Pencapaian Join Event Activity'!G160</f>
        <v>0</v>
      </c>
      <c r="AN160" s="285">
        <f>'Pencapaian Join Event Activity'!I160</f>
        <v>0</v>
      </c>
      <c r="AO160" s="284">
        <f t="shared" si="90"/>
        <v>135000</v>
      </c>
      <c r="AP160" s="322">
        <v>0</v>
      </c>
      <c r="AQ160" s="284">
        <f t="shared" si="91"/>
        <v>0</v>
      </c>
      <c r="AR160" s="322">
        <v>0</v>
      </c>
      <c r="AS160" s="284">
        <f t="shared" si="92"/>
        <v>0</v>
      </c>
      <c r="AT160" s="284">
        <f t="shared" si="93"/>
        <v>135000</v>
      </c>
      <c r="AU160" s="284">
        <f t="shared" si="94"/>
        <v>135000</v>
      </c>
      <c r="AV160" s="284">
        <v>0</v>
      </c>
    </row>
    <row r="161" spans="16:48" x14ac:dyDescent="0.2">
      <c r="P161" s="392"/>
      <c r="Q161" s="321"/>
      <c r="R161" s="323" t="s">
        <v>533</v>
      </c>
      <c r="S161" s="12" t="s">
        <v>675</v>
      </c>
      <c r="T161" s="269">
        <f>'Pencapaian Sales Value'!G161</f>
        <v>0.12543901351351353</v>
      </c>
      <c r="U161" s="284">
        <f>'Pencapaian Sales Value'!I161</f>
        <v>0</v>
      </c>
      <c r="V161" s="304">
        <f>'Pencapaian Product Focus'!H161</f>
        <v>0</v>
      </c>
      <c r="W161" s="304">
        <f>'Pencapaian Product Focus'!L161</f>
        <v>0</v>
      </c>
      <c r="X161" s="285">
        <f>'Pencapaian Product Focus'!N161</f>
        <v>0</v>
      </c>
      <c r="Y161" s="304">
        <f>'Pencapaian Effective Call'!G161</f>
        <v>0</v>
      </c>
      <c r="Z161" s="285">
        <f>'Pencapaian Effective Call'!I161</f>
        <v>0</v>
      </c>
      <c r="AA161" s="304">
        <f>'Pencapaian New Open Outlet'!G161</f>
        <v>0</v>
      </c>
      <c r="AB161" s="285">
        <f>'Pencapaian New Open Outlet'!I161</f>
        <v>0</v>
      </c>
      <c r="AC161" s="269">
        <f>'Pencapaian Active Outlet'!G161</f>
        <v>1.04</v>
      </c>
      <c r="AD161" s="284">
        <f>'Pencapaian Active Outlet'!I161</f>
        <v>135000</v>
      </c>
      <c r="AE161" s="304">
        <f>'Pencapaian Item per Outlet'!G161</f>
        <v>0</v>
      </c>
      <c r="AF161" s="285">
        <f>'Pencapaian Item per Outlet'!I161</f>
        <v>0</v>
      </c>
      <c r="AG161" s="304">
        <f>'Pencapaian Product Display'!G161</f>
        <v>0</v>
      </c>
      <c r="AH161" s="285">
        <f>'Pencapaian Product Display'!I161</f>
        <v>0</v>
      </c>
      <c r="AI161" s="304">
        <f>'Pencapaian Sales Contract'!G161</f>
        <v>0</v>
      </c>
      <c r="AJ161" s="285">
        <f>'Pencapaian Sales Contract'!I161</f>
        <v>0</v>
      </c>
      <c r="AK161" s="304">
        <f>'Pencapaian Co-Branding'!G161</f>
        <v>0</v>
      </c>
      <c r="AL161" s="285">
        <f>'Pencapaian Co-Branding'!I161</f>
        <v>0</v>
      </c>
      <c r="AM161" s="304">
        <f>'Pencapaian Join Event Activity'!G161</f>
        <v>0</v>
      </c>
      <c r="AN161" s="285">
        <f>'Pencapaian Join Event Activity'!I161</f>
        <v>0</v>
      </c>
      <c r="AO161" s="284">
        <f t="shared" si="90"/>
        <v>135000</v>
      </c>
      <c r="AP161" s="322">
        <v>0</v>
      </c>
      <c r="AQ161" s="284">
        <f t="shared" si="91"/>
        <v>0</v>
      </c>
      <c r="AR161" s="322">
        <v>0</v>
      </c>
      <c r="AS161" s="284">
        <f t="shared" si="92"/>
        <v>0</v>
      </c>
      <c r="AT161" s="284">
        <f t="shared" si="93"/>
        <v>135000</v>
      </c>
      <c r="AU161" s="284">
        <f t="shared" si="94"/>
        <v>135000</v>
      </c>
      <c r="AV161" s="284">
        <v>0</v>
      </c>
    </row>
    <row r="162" spans="16:48" x14ac:dyDescent="0.2">
      <c r="P162" s="392"/>
      <c r="Q162" s="321"/>
      <c r="R162" s="323" t="s">
        <v>534</v>
      </c>
      <c r="S162" s="12" t="s">
        <v>675</v>
      </c>
      <c r="T162" s="269">
        <f>'Pencapaian Sales Value'!G162</f>
        <v>0.23739535802469136</v>
      </c>
      <c r="U162" s="284">
        <f>'Pencapaian Sales Value'!I162</f>
        <v>0</v>
      </c>
      <c r="V162" s="304">
        <f>'Pencapaian Product Focus'!H162</f>
        <v>0</v>
      </c>
      <c r="W162" s="304">
        <f>'Pencapaian Product Focus'!L162</f>
        <v>0</v>
      </c>
      <c r="X162" s="285">
        <f>'Pencapaian Product Focus'!N162</f>
        <v>0</v>
      </c>
      <c r="Y162" s="304">
        <f>'Pencapaian Effective Call'!G162</f>
        <v>0</v>
      </c>
      <c r="Z162" s="285">
        <f>'Pencapaian Effective Call'!I162</f>
        <v>0</v>
      </c>
      <c r="AA162" s="304">
        <f>'Pencapaian New Open Outlet'!G162</f>
        <v>0</v>
      </c>
      <c r="AB162" s="285">
        <f>'Pencapaian New Open Outlet'!I162</f>
        <v>0</v>
      </c>
      <c r="AC162" s="269">
        <f>'Pencapaian Active Outlet'!G162</f>
        <v>0.64</v>
      </c>
      <c r="AD162" s="284">
        <f>'Pencapaian Active Outlet'!I162</f>
        <v>0</v>
      </c>
      <c r="AE162" s="304">
        <f>'Pencapaian Item per Outlet'!G162</f>
        <v>0</v>
      </c>
      <c r="AF162" s="285">
        <f>'Pencapaian Item per Outlet'!I162</f>
        <v>0</v>
      </c>
      <c r="AG162" s="304">
        <f>'Pencapaian Product Display'!G162</f>
        <v>0</v>
      </c>
      <c r="AH162" s="285">
        <f>'Pencapaian Product Display'!I162</f>
        <v>0</v>
      </c>
      <c r="AI162" s="304">
        <f>'Pencapaian Sales Contract'!G162</f>
        <v>0</v>
      </c>
      <c r="AJ162" s="285">
        <f>'Pencapaian Sales Contract'!I162</f>
        <v>0</v>
      </c>
      <c r="AK162" s="304">
        <f>'Pencapaian Co-Branding'!G162</f>
        <v>0</v>
      </c>
      <c r="AL162" s="285">
        <f>'Pencapaian Co-Branding'!I162</f>
        <v>0</v>
      </c>
      <c r="AM162" s="304">
        <f>'Pencapaian Join Event Activity'!G162</f>
        <v>0</v>
      </c>
      <c r="AN162" s="285">
        <f>'Pencapaian Join Event Activity'!I162</f>
        <v>0</v>
      </c>
      <c r="AO162" s="284">
        <f t="shared" si="90"/>
        <v>0</v>
      </c>
      <c r="AP162" s="322">
        <v>0</v>
      </c>
      <c r="AQ162" s="284">
        <f t="shared" si="91"/>
        <v>0</v>
      </c>
      <c r="AR162" s="322">
        <v>0</v>
      </c>
      <c r="AS162" s="284">
        <f t="shared" si="92"/>
        <v>0</v>
      </c>
      <c r="AT162" s="284">
        <f t="shared" si="93"/>
        <v>0</v>
      </c>
      <c r="AU162" s="284">
        <f t="shared" si="94"/>
        <v>0</v>
      </c>
      <c r="AV162" s="284">
        <v>0</v>
      </c>
    </row>
    <row r="163" spans="16:48" x14ac:dyDescent="0.2">
      <c r="P163" s="392"/>
      <c r="Q163" s="324"/>
      <c r="R163" s="324" t="s">
        <v>894</v>
      </c>
      <c r="S163" s="64" t="s">
        <v>673</v>
      </c>
      <c r="T163" s="258">
        <f>'Pencapaian Sales Value'!G163</f>
        <v>0.99046014666666671</v>
      </c>
      <c r="U163" s="286">
        <f>'Pencapaian Sales Value'!I163</f>
        <v>140000</v>
      </c>
      <c r="V163" s="268">
        <f>'Pencapaian Product Focus'!H163</f>
        <v>0</v>
      </c>
      <c r="W163" s="268">
        <f>'Pencapaian Product Focus'!L163</f>
        <v>0</v>
      </c>
      <c r="X163" s="189">
        <f>'Pencapaian Product Focus'!N163</f>
        <v>0</v>
      </c>
      <c r="Y163" s="268">
        <f>'Pencapaian Effective Call'!G163</f>
        <v>0</v>
      </c>
      <c r="Z163" s="189">
        <f>'Pencapaian Effective Call'!I163</f>
        <v>0</v>
      </c>
      <c r="AA163" s="268">
        <f>'Pencapaian New Open Outlet'!G163</f>
        <v>0</v>
      </c>
      <c r="AB163" s="189">
        <f>'Pencapaian New Open Outlet'!I163</f>
        <v>0</v>
      </c>
      <c r="AC163" s="258">
        <f>'Pencapaian Active Outlet'!G163</f>
        <v>1.1282051282051282</v>
      </c>
      <c r="AD163" s="286">
        <f>'Pencapaian Active Outlet'!I163</f>
        <v>270000</v>
      </c>
      <c r="AE163" s="268">
        <f>'Pencapaian Item per Outlet'!G163</f>
        <v>0</v>
      </c>
      <c r="AF163" s="189">
        <f>'Pencapaian Item per Outlet'!I163</f>
        <v>0</v>
      </c>
      <c r="AG163" s="268">
        <f>'Pencapaian Product Display'!G163</f>
        <v>0</v>
      </c>
      <c r="AH163" s="189">
        <f>'Pencapaian Product Display'!I163</f>
        <v>0</v>
      </c>
      <c r="AI163" s="268">
        <f>'Pencapaian Sales Contract'!G163</f>
        <v>0</v>
      </c>
      <c r="AJ163" s="189">
        <f>'Pencapaian Sales Contract'!I163</f>
        <v>0</v>
      </c>
      <c r="AK163" s="268">
        <f>'Pencapaian Co-Branding'!G163</f>
        <v>0</v>
      </c>
      <c r="AL163" s="189">
        <f>'Pencapaian Co-Branding'!I163</f>
        <v>0</v>
      </c>
      <c r="AM163" s="268">
        <f>'Pencapaian Join Event Activity'!G163</f>
        <v>0</v>
      </c>
      <c r="AN163" s="189">
        <f>'Pencapaian Join Event Activity'!I163</f>
        <v>0</v>
      </c>
      <c r="AO163" s="286">
        <f t="shared" si="90"/>
        <v>410000</v>
      </c>
      <c r="AP163" s="289">
        <v>0</v>
      </c>
      <c r="AQ163" s="286">
        <f t="shared" si="91"/>
        <v>0</v>
      </c>
      <c r="AR163" s="289">
        <v>0</v>
      </c>
      <c r="AS163" s="286">
        <f t="shared" si="92"/>
        <v>0</v>
      </c>
      <c r="AT163" s="286">
        <f t="shared" si="93"/>
        <v>410000</v>
      </c>
      <c r="AU163" s="286">
        <f t="shared" si="94"/>
        <v>410000</v>
      </c>
      <c r="AV163" s="286">
        <v>0</v>
      </c>
    </row>
    <row r="164" spans="16:48" x14ac:dyDescent="0.2">
      <c r="P164" s="392"/>
      <c r="Q164" s="324"/>
      <c r="R164" s="324" t="s">
        <v>154</v>
      </c>
      <c r="S164" s="64" t="s">
        <v>20</v>
      </c>
      <c r="T164" s="258">
        <f>'Pencapaian Sales Value'!G164</f>
        <v>0.99046014666666671</v>
      </c>
      <c r="U164" s="286">
        <f>'Pencapaian Sales Value'!I164</f>
        <v>336000</v>
      </c>
      <c r="V164" s="268">
        <f>'Pencapaian Product Focus'!H164</f>
        <v>0</v>
      </c>
      <c r="W164" s="268">
        <f>'Pencapaian Product Focus'!L164</f>
        <v>0</v>
      </c>
      <c r="X164" s="189">
        <f>'Pencapaian Product Focus'!N164</f>
        <v>0</v>
      </c>
      <c r="Y164" s="268">
        <f>'Pencapaian Effective Call'!G164</f>
        <v>0</v>
      </c>
      <c r="Z164" s="189">
        <f>'Pencapaian Effective Call'!I164</f>
        <v>0</v>
      </c>
      <c r="AA164" s="268">
        <f>'Pencapaian New Open Outlet'!G164</f>
        <v>0</v>
      </c>
      <c r="AB164" s="189">
        <f>'Pencapaian New Open Outlet'!I164</f>
        <v>0</v>
      </c>
      <c r="AC164" s="258">
        <f>'Pencapaian Active Outlet'!G164</f>
        <v>1.1282051282051282</v>
      </c>
      <c r="AD164" s="286">
        <f>'Pencapaian Active Outlet'!I164</f>
        <v>1008000</v>
      </c>
      <c r="AE164" s="268">
        <f>'Pencapaian Item per Outlet'!G164</f>
        <v>0</v>
      </c>
      <c r="AF164" s="189">
        <f>'Pencapaian Item per Outlet'!I164</f>
        <v>0</v>
      </c>
      <c r="AG164" s="268">
        <f>'Pencapaian Product Display'!G164</f>
        <v>0</v>
      </c>
      <c r="AH164" s="189">
        <f>'Pencapaian Product Display'!I164</f>
        <v>0</v>
      </c>
      <c r="AI164" s="268">
        <f>'Pencapaian Sales Contract'!G164</f>
        <v>0</v>
      </c>
      <c r="AJ164" s="189">
        <f>'Pencapaian Sales Contract'!I164</f>
        <v>0</v>
      </c>
      <c r="AK164" s="268">
        <f>'Pencapaian Co-Branding'!G164</f>
        <v>0</v>
      </c>
      <c r="AL164" s="189">
        <f>'Pencapaian Co-Branding'!I164</f>
        <v>0</v>
      </c>
      <c r="AM164" s="268">
        <f>'Pencapaian Join Event Activity'!G164</f>
        <v>0</v>
      </c>
      <c r="AN164" s="189">
        <f>'Pencapaian Join Event Activity'!I164</f>
        <v>0</v>
      </c>
      <c r="AO164" s="286">
        <f t="shared" si="90"/>
        <v>1344000</v>
      </c>
      <c r="AP164" s="289">
        <v>0</v>
      </c>
      <c r="AQ164" s="286">
        <f t="shared" si="91"/>
        <v>0</v>
      </c>
      <c r="AR164" s="289">
        <v>0</v>
      </c>
      <c r="AS164" s="286">
        <f t="shared" si="92"/>
        <v>0</v>
      </c>
      <c r="AT164" s="286">
        <f t="shared" si="93"/>
        <v>1344000</v>
      </c>
      <c r="AU164" s="286">
        <f t="shared" si="94"/>
        <v>1344000</v>
      </c>
      <c r="AV164" s="286">
        <v>0</v>
      </c>
    </row>
    <row r="165" spans="16:48" x14ac:dyDescent="0.2">
      <c r="P165" s="393"/>
      <c r="Q165" s="325"/>
      <c r="R165" s="325" t="s">
        <v>54</v>
      </c>
      <c r="S165" s="42"/>
      <c r="T165" s="264">
        <f>'Pencapaian Sales Value'!G165</f>
        <v>0.99046014666666671</v>
      </c>
      <c r="U165" s="287">
        <f>'Pencapaian Sales Value'!I165</f>
        <v>806000</v>
      </c>
      <c r="V165" s="274">
        <f>'Pencapaian Product Focus'!H165</f>
        <v>0</v>
      </c>
      <c r="W165" s="274">
        <f>'Pencapaian Product Focus'!L165</f>
        <v>0</v>
      </c>
      <c r="X165" s="190">
        <f>'Pencapaian Product Focus'!N165</f>
        <v>0</v>
      </c>
      <c r="Y165" s="274">
        <f>'Pencapaian Effective Call'!G165</f>
        <v>0</v>
      </c>
      <c r="Z165" s="190">
        <f>'Pencapaian Effective Call'!I165</f>
        <v>0</v>
      </c>
      <c r="AA165" s="274">
        <f>'Pencapaian New Open Outlet'!G165</f>
        <v>0</v>
      </c>
      <c r="AB165" s="190">
        <f>'Pencapaian New Open Outlet'!I165</f>
        <v>0</v>
      </c>
      <c r="AC165" s="264">
        <f>'Pencapaian Active Outlet'!G165</f>
        <v>1.1282051282051282</v>
      </c>
      <c r="AD165" s="287">
        <f>'Pencapaian Active Outlet'!I165</f>
        <v>2163000</v>
      </c>
      <c r="AE165" s="274">
        <f>'Pencapaian Item per Outlet'!G165</f>
        <v>0</v>
      </c>
      <c r="AF165" s="190">
        <f>'Pencapaian Item per Outlet'!I165</f>
        <v>0</v>
      </c>
      <c r="AG165" s="274">
        <f>'Pencapaian Product Display'!G165</f>
        <v>0</v>
      </c>
      <c r="AH165" s="190">
        <f>'Pencapaian Product Display'!I165</f>
        <v>0</v>
      </c>
      <c r="AI165" s="274">
        <f>'Pencapaian Sales Contract'!G165</f>
        <v>0</v>
      </c>
      <c r="AJ165" s="190">
        <f>'Pencapaian Sales Contract'!I165</f>
        <v>0</v>
      </c>
      <c r="AK165" s="274">
        <f>'Pencapaian Co-Branding'!G165</f>
        <v>0</v>
      </c>
      <c r="AL165" s="190">
        <f>'Pencapaian Co-Branding'!I165</f>
        <v>0</v>
      </c>
      <c r="AM165" s="274">
        <f>'Pencapaian Join Event Activity'!G165</f>
        <v>0</v>
      </c>
      <c r="AN165" s="190">
        <f>'Pencapaian Join Event Activity'!I165</f>
        <v>0</v>
      </c>
      <c r="AO165" s="287">
        <f t="shared" si="90"/>
        <v>2969000</v>
      </c>
      <c r="AP165" s="290">
        <v>0</v>
      </c>
      <c r="AQ165" s="287">
        <f>SUM(AQ157:AQ164)</f>
        <v>0</v>
      </c>
      <c r="AR165" s="290">
        <v>0</v>
      </c>
      <c r="AS165" s="287">
        <f>SUM(AS157:AS164)</f>
        <v>0</v>
      </c>
      <c r="AT165" s="287">
        <f t="shared" si="93"/>
        <v>2969000</v>
      </c>
      <c r="AU165" s="287">
        <f>SUM(AU157:AU164)</f>
        <v>2969000</v>
      </c>
      <c r="AV165" s="287">
        <f>SUM(AV157:AV164)</f>
        <v>0</v>
      </c>
    </row>
    <row r="166" spans="16:48" x14ac:dyDescent="0.2">
      <c r="P166" s="395" t="s">
        <v>536</v>
      </c>
      <c r="Q166" s="321" t="s">
        <v>405</v>
      </c>
      <c r="R166" s="321" t="s">
        <v>116</v>
      </c>
      <c r="S166" s="12" t="s">
        <v>571</v>
      </c>
      <c r="T166" s="269">
        <f>'Pencapaian Sales Value'!G166</f>
        <v>0.42023181818181821</v>
      </c>
      <c r="U166" s="284">
        <f>'Pencapaian Sales Value'!I166</f>
        <v>0</v>
      </c>
      <c r="V166" s="304">
        <f>'Pencapaian Product Focus'!H166</f>
        <v>0</v>
      </c>
      <c r="W166" s="304">
        <f>'Pencapaian Product Focus'!L166</f>
        <v>0</v>
      </c>
      <c r="X166" s="285">
        <f>'Pencapaian Product Focus'!N166</f>
        <v>0</v>
      </c>
      <c r="Y166" s="304">
        <f>'Pencapaian Effective Call'!G166</f>
        <v>0</v>
      </c>
      <c r="Z166" s="285">
        <f>'Pencapaian Effective Call'!I166</f>
        <v>0</v>
      </c>
      <c r="AA166" s="304">
        <f>'Pencapaian New Open Outlet'!G166</f>
        <v>0</v>
      </c>
      <c r="AB166" s="285">
        <f>'Pencapaian New Open Outlet'!I166</f>
        <v>0</v>
      </c>
      <c r="AC166" s="269">
        <f>'Pencapaian Active Outlet'!G166</f>
        <v>0.45333333333333331</v>
      </c>
      <c r="AD166" s="284">
        <f>'Pencapaian Active Outlet'!I166</f>
        <v>0</v>
      </c>
      <c r="AE166" s="304">
        <f>'Pencapaian Item per Outlet'!G166</f>
        <v>0</v>
      </c>
      <c r="AF166" s="285">
        <f>'Pencapaian Item per Outlet'!I166</f>
        <v>0</v>
      </c>
      <c r="AG166" s="304">
        <f>'Pencapaian Product Display'!G166</f>
        <v>0</v>
      </c>
      <c r="AH166" s="285">
        <f>'Pencapaian Product Display'!I166</f>
        <v>0</v>
      </c>
      <c r="AI166" s="304">
        <f>'Pencapaian Sales Contract'!G166</f>
        <v>0</v>
      </c>
      <c r="AJ166" s="285">
        <f>'Pencapaian Sales Contract'!I166</f>
        <v>0</v>
      </c>
      <c r="AK166" s="304">
        <f>'Pencapaian Co-Branding'!G166</f>
        <v>0</v>
      </c>
      <c r="AL166" s="285">
        <f>'Pencapaian Co-Branding'!I166</f>
        <v>0</v>
      </c>
      <c r="AM166" s="304">
        <f>'Pencapaian Join Event Activity'!G166</f>
        <v>0</v>
      </c>
      <c r="AN166" s="285">
        <f>'Pencapaian Join Event Activity'!I166</f>
        <v>0</v>
      </c>
      <c r="AO166" s="284">
        <f t="shared" si="90"/>
        <v>0</v>
      </c>
      <c r="AP166" s="322">
        <v>0</v>
      </c>
      <c r="AQ166" s="284">
        <f t="shared" ref="AQ166:AQ180" si="95">IF(AP166&gt;=0.5%,-(AO166*10%),0)</f>
        <v>0</v>
      </c>
      <c r="AR166" s="322">
        <v>0</v>
      </c>
      <c r="AS166" s="284">
        <f t="shared" ref="AS166:AS180" si="96">IF(AR166&gt;0,-(AO166+AQ166),0)</f>
        <v>0</v>
      </c>
      <c r="AT166" s="284">
        <f t="shared" si="93"/>
        <v>0</v>
      </c>
      <c r="AU166" s="284">
        <f t="shared" ref="AU166:AU180" si="97">AT166</f>
        <v>0</v>
      </c>
      <c r="AV166" s="284">
        <v>0</v>
      </c>
    </row>
    <row r="167" spans="16:48" x14ac:dyDescent="0.2">
      <c r="P167" s="392"/>
      <c r="Q167" s="321"/>
      <c r="R167" s="323" t="s">
        <v>801</v>
      </c>
      <c r="S167" s="12"/>
      <c r="T167" s="269" t="e">
        <f>'Pencapaian Sales Value'!G167</f>
        <v>#DIV/0!</v>
      </c>
      <c r="U167" s="284">
        <f>'Pencapaian Sales Value'!I167</f>
        <v>0</v>
      </c>
      <c r="V167" s="304">
        <f>'Pencapaian Product Focus'!H167</f>
        <v>0</v>
      </c>
      <c r="W167" s="304">
        <f>'Pencapaian Product Focus'!L167</f>
        <v>0</v>
      </c>
      <c r="X167" s="285">
        <f>'Pencapaian Product Focus'!N167</f>
        <v>0</v>
      </c>
      <c r="Y167" s="304">
        <f>'Pencapaian Effective Call'!G167</f>
        <v>0</v>
      </c>
      <c r="Z167" s="285">
        <f>'Pencapaian Effective Call'!I167</f>
        <v>0</v>
      </c>
      <c r="AA167" s="304">
        <f>'Pencapaian New Open Outlet'!G167</f>
        <v>0</v>
      </c>
      <c r="AB167" s="285">
        <f>'Pencapaian New Open Outlet'!I167</f>
        <v>0</v>
      </c>
      <c r="AC167" s="269" t="e">
        <f>'Pencapaian Active Outlet'!G167</f>
        <v>#DIV/0!</v>
      </c>
      <c r="AD167" s="284">
        <f>'Pencapaian Active Outlet'!I167</f>
        <v>0</v>
      </c>
      <c r="AE167" s="304">
        <f>'Pencapaian Item per Outlet'!G167</f>
        <v>0</v>
      </c>
      <c r="AF167" s="285">
        <f>'Pencapaian Item per Outlet'!I167</f>
        <v>0</v>
      </c>
      <c r="AG167" s="304">
        <f>'Pencapaian Product Display'!G167</f>
        <v>0</v>
      </c>
      <c r="AH167" s="285">
        <f>'Pencapaian Product Display'!I167</f>
        <v>0</v>
      </c>
      <c r="AI167" s="304">
        <f>'Pencapaian Sales Contract'!G167</f>
        <v>0</v>
      </c>
      <c r="AJ167" s="285">
        <f>'Pencapaian Sales Contract'!I167</f>
        <v>0</v>
      </c>
      <c r="AK167" s="304">
        <f>'Pencapaian Co-Branding'!G167</f>
        <v>0</v>
      </c>
      <c r="AL167" s="285">
        <f>'Pencapaian Co-Branding'!I167</f>
        <v>0</v>
      </c>
      <c r="AM167" s="304">
        <f>'Pencapaian Join Event Activity'!G167</f>
        <v>0</v>
      </c>
      <c r="AN167" s="285">
        <f>'Pencapaian Join Event Activity'!I167</f>
        <v>0</v>
      </c>
      <c r="AO167" s="284">
        <f t="shared" si="90"/>
        <v>0</v>
      </c>
      <c r="AP167" s="322">
        <v>0</v>
      </c>
      <c r="AQ167" s="284">
        <f t="shared" si="95"/>
        <v>0</v>
      </c>
      <c r="AR167" s="322">
        <v>0</v>
      </c>
      <c r="AS167" s="284">
        <f t="shared" si="96"/>
        <v>0</v>
      </c>
      <c r="AT167" s="284">
        <f t="shared" si="93"/>
        <v>0</v>
      </c>
      <c r="AU167" s="284">
        <f t="shared" si="97"/>
        <v>0</v>
      </c>
      <c r="AV167" s="284">
        <v>0</v>
      </c>
    </row>
    <row r="168" spans="16:48" x14ac:dyDescent="0.2">
      <c r="P168" s="392"/>
      <c r="Q168" s="321"/>
      <c r="R168" s="323" t="s">
        <v>541</v>
      </c>
      <c r="S168" s="12" t="s">
        <v>675</v>
      </c>
      <c r="T168" s="269">
        <f>'Pencapaian Sales Value'!G168</f>
        <v>0.63834950000000001</v>
      </c>
      <c r="U168" s="284">
        <f>'Pencapaian Sales Value'!I168</f>
        <v>0</v>
      </c>
      <c r="V168" s="304">
        <f>'Pencapaian Product Focus'!H168</f>
        <v>0</v>
      </c>
      <c r="W168" s="304">
        <f>'Pencapaian Product Focus'!L168</f>
        <v>0</v>
      </c>
      <c r="X168" s="285">
        <f>'Pencapaian Product Focus'!N168</f>
        <v>0</v>
      </c>
      <c r="Y168" s="304">
        <f>'Pencapaian Effective Call'!G168</f>
        <v>0</v>
      </c>
      <c r="Z168" s="285">
        <f>'Pencapaian Effective Call'!I168</f>
        <v>0</v>
      </c>
      <c r="AA168" s="304">
        <f>'Pencapaian New Open Outlet'!G168</f>
        <v>0</v>
      </c>
      <c r="AB168" s="285">
        <f>'Pencapaian New Open Outlet'!I168</f>
        <v>0</v>
      </c>
      <c r="AC168" s="269">
        <f>'Pencapaian Active Outlet'!G168</f>
        <v>0.84</v>
      </c>
      <c r="AD168" s="284">
        <f>'Pencapaian Active Outlet'!I168</f>
        <v>90000</v>
      </c>
      <c r="AE168" s="304">
        <f>'Pencapaian Item per Outlet'!G168</f>
        <v>0</v>
      </c>
      <c r="AF168" s="285">
        <f>'Pencapaian Item per Outlet'!I168</f>
        <v>0</v>
      </c>
      <c r="AG168" s="304">
        <f>'Pencapaian Product Display'!G168</f>
        <v>0</v>
      </c>
      <c r="AH168" s="285">
        <f>'Pencapaian Product Display'!I168</f>
        <v>0</v>
      </c>
      <c r="AI168" s="304">
        <f>'Pencapaian Sales Contract'!G168</f>
        <v>0</v>
      </c>
      <c r="AJ168" s="285">
        <f>'Pencapaian Sales Contract'!I168</f>
        <v>0</v>
      </c>
      <c r="AK168" s="304">
        <f>'Pencapaian Co-Branding'!G168</f>
        <v>0</v>
      </c>
      <c r="AL168" s="285">
        <f>'Pencapaian Co-Branding'!I168</f>
        <v>0</v>
      </c>
      <c r="AM168" s="304">
        <f>'Pencapaian Join Event Activity'!G168</f>
        <v>0</v>
      </c>
      <c r="AN168" s="285">
        <f>'Pencapaian Join Event Activity'!I168</f>
        <v>0</v>
      </c>
      <c r="AO168" s="284">
        <f t="shared" si="90"/>
        <v>90000</v>
      </c>
      <c r="AP168" s="322">
        <v>0</v>
      </c>
      <c r="AQ168" s="284">
        <f t="shared" si="95"/>
        <v>0</v>
      </c>
      <c r="AR168" s="322">
        <v>0</v>
      </c>
      <c r="AS168" s="284">
        <f t="shared" si="96"/>
        <v>0</v>
      </c>
      <c r="AT168" s="284">
        <f t="shared" si="93"/>
        <v>90000</v>
      </c>
      <c r="AU168" s="284">
        <f t="shared" si="97"/>
        <v>90000</v>
      </c>
      <c r="AV168" s="284">
        <v>0</v>
      </c>
    </row>
    <row r="169" spans="16:48" x14ac:dyDescent="0.2">
      <c r="P169" s="392"/>
      <c r="Q169" s="321"/>
      <c r="R169" s="323" t="s">
        <v>538</v>
      </c>
      <c r="S169" s="12" t="s">
        <v>675</v>
      </c>
      <c r="T169" s="269">
        <f>'Pencapaian Sales Value'!G169</f>
        <v>0.3149483870967742</v>
      </c>
      <c r="U169" s="284">
        <f>'Pencapaian Sales Value'!I169</f>
        <v>0</v>
      </c>
      <c r="V169" s="304">
        <f>'Pencapaian Product Focus'!H169</f>
        <v>0</v>
      </c>
      <c r="W169" s="304">
        <f>'Pencapaian Product Focus'!L169</f>
        <v>0</v>
      </c>
      <c r="X169" s="285">
        <f>'Pencapaian Product Focus'!N169</f>
        <v>0</v>
      </c>
      <c r="Y169" s="304">
        <f>'Pencapaian Effective Call'!G169</f>
        <v>0</v>
      </c>
      <c r="Z169" s="285">
        <f>'Pencapaian Effective Call'!I169</f>
        <v>0</v>
      </c>
      <c r="AA169" s="304">
        <f>'Pencapaian New Open Outlet'!G169</f>
        <v>0</v>
      </c>
      <c r="AB169" s="285">
        <f>'Pencapaian New Open Outlet'!I169</f>
        <v>0</v>
      </c>
      <c r="AC169" s="269">
        <f>'Pencapaian Active Outlet'!G169</f>
        <v>0.32</v>
      </c>
      <c r="AD169" s="284">
        <f>'Pencapaian Active Outlet'!I169</f>
        <v>0</v>
      </c>
      <c r="AE169" s="304">
        <f>'Pencapaian Item per Outlet'!G169</f>
        <v>0</v>
      </c>
      <c r="AF169" s="285">
        <f>'Pencapaian Item per Outlet'!I169</f>
        <v>0</v>
      </c>
      <c r="AG169" s="304">
        <f>'Pencapaian Product Display'!G169</f>
        <v>0</v>
      </c>
      <c r="AH169" s="285">
        <f>'Pencapaian Product Display'!I169</f>
        <v>0</v>
      </c>
      <c r="AI169" s="304">
        <f>'Pencapaian Sales Contract'!G169</f>
        <v>0</v>
      </c>
      <c r="AJ169" s="285">
        <f>'Pencapaian Sales Contract'!I169</f>
        <v>0</v>
      </c>
      <c r="AK169" s="304">
        <f>'Pencapaian Co-Branding'!G169</f>
        <v>0</v>
      </c>
      <c r="AL169" s="285">
        <f>'Pencapaian Co-Branding'!I169</f>
        <v>0</v>
      </c>
      <c r="AM169" s="304">
        <f>'Pencapaian Join Event Activity'!G169</f>
        <v>0</v>
      </c>
      <c r="AN169" s="285">
        <f>'Pencapaian Join Event Activity'!I169</f>
        <v>0</v>
      </c>
      <c r="AO169" s="284">
        <f t="shared" si="90"/>
        <v>0</v>
      </c>
      <c r="AP169" s="322">
        <v>0</v>
      </c>
      <c r="AQ169" s="284">
        <f t="shared" si="95"/>
        <v>0</v>
      </c>
      <c r="AR169" s="322">
        <v>0</v>
      </c>
      <c r="AS169" s="284">
        <f t="shared" si="96"/>
        <v>0</v>
      </c>
      <c r="AT169" s="284">
        <f t="shared" si="93"/>
        <v>0</v>
      </c>
      <c r="AU169" s="284">
        <f t="shared" si="97"/>
        <v>0</v>
      </c>
      <c r="AV169" s="284">
        <v>0</v>
      </c>
    </row>
    <row r="170" spans="16:48" x14ac:dyDescent="0.2">
      <c r="P170" s="392"/>
      <c r="Q170" s="321"/>
      <c r="R170" s="323" t="s">
        <v>539</v>
      </c>
      <c r="S170" s="12" t="s">
        <v>675</v>
      </c>
      <c r="T170" s="269">
        <f>'Pencapaian Sales Value'!G170</f>
        <v>2.3625145806451613</v>
      </c>
      <c r="U170" s="284">
        <f>'Pencapaian Sales Value'!I170</f>
        <v>90000</v>
      </c>
      <c r="V170" s="304">
        <f>'Pencapaian Product Focus'!H170</f>
        <v>0</v>
      </c>
      <c r="W170" s="304">
        <f>'Pencapaian Product Focus'!L170</f>
        <v>0</v>
      </c>
      <c r="X170" s="285">
        <f>'Pencapaian Product Focus'!N170</f>
        <v>0</v>
      </c>
      <c r="Y170" s="304">
        <f>'Pencapaian Effective Call'!G170</f>
        <v>0</v>
      </c>
      <c r="Z170" s="285">
        <f>'Pencapaian Effective Call'!I170</f>
        <v>0</v>
      </c>
      <c r="AA170" s="304">
        <f>'Pencapaian New Open Outlet'!G170</f>
        <v>0</v>
      </c>
      <c r="AB170" s="285">
        <f>'Pencapaian New Open Outlet'!I170</f>
        <v>0</v>
      </c>
      <c r="AC170" s="269">
        <f>'Pencapaian Active Outlet'!G170</f>
        <v>0.2</v>
      </c>
      <c r="AD170" s="284">
        <f>'Pencapaian Active Outlet'!I170</f>
        <v>0</v>
      </c>
      <c r="AE170" s="304">
        <f>'Pencapaian Item per Outlet'!G170</f>
        <v>0</v>
      </c>
      <c r="AF170" s="285">
        <f>'Pencapaian Item per Outlet'!I170</f>
        <v>0</v>
      </c>
      <c r="AG170" s="304">
        <f>'Pencapaian Product Display'!G170</f>
        <v>0</v>
      </c>
      <c r="AH170" s="285">
        <f>'Pencapaian Product Display'!I170</f>
        <v>0</v>
      </c>
      <c r="AI170" s="304">
        <f>'Pencapaian Sales Contract'!G170</f>
        <v>0</v>
      </c>
      <c r="AJ170" s="285">
        <f>'Pencapaian Sales Contract'!I170</f>
        <v>0</v>
      </c>
      <c r="AK170" s="304">
        <f>'Pencapaian Co-Branding'!G170</f>
        <v>0</v>
      </c>
      <c r="AL170" s="285">
        <f>'Pencapaian Co-Branding'!I170</f>
        <v>0</v>
      </c>
      <c r="AM170" s="304">
        <f>'Pencapaian Join Event Activity'!G170</f>
        <v>0</v>
      </c>
      <c r="AN170" s="285">
        <f>'Pencapaian Join Event Activity'!I170</f>
        <v>0</v>
      </c>
      <c r="AO170" s="284">
        <f t="shared" si="90"/>
        <v>90000</v>
      </c>
      <c r="AP170" s="322">
        <v>0</v>
      </c>
      <c r="AQ170" s="284">
        <f t="shared" si="95"/>
        <v>0</v>
      </c>
      <c r="AR170" s="322">
        <v>0</v>
      </c>
      <c r="AS170" s="284">
        <f t="shared" si="96"/>
        <v>0</v>
      </c>
      <c r="AT170" s="284">
        <f t="shared" si="93"/>
        <v>90000</v>
      </c>
      <c r="AU170" s="284">
        <f t="shared" si="97"/>
        <v>90000</v>
      </c>
      <c r="AV170" s="284">
        <v>0</v>
      </c>
    </row>
    <row r="171" spans="16:48" x14ac:dyDescent="0.2">
      <c r="P171" s="392"/>
      <c r="Q171" s="321"/>
      <c r="R171" s="323" t="s">
        <v>537</v>
      </c>
      <c r="S171" s="12" t="s">
        <v>675</v>
      </c>
      <c r="T171" s="269">
        <f>'Pencapaian Sales Value'!G171</f>
        <v>0.83167240625000005</v>
      </c>
      <c r="U171" s="284">
        <f>'Pencapaian Sales Value'!I171</f>
        <v>60000</v>
      </c>
      <c r="V171" s="304">
        <f>'Pencapaian Product Focus'!H171</f>
        <v>0</v>
      </c>
      <c r="W171" s="304">
        <f>'Pencapaian Product Focus'!L171</f>
        <v>0</v>
      </c>
      <c r="X171" s="285">
        <f>'Pencapaian Product Focus'!N171</f>
        <v>0</v>
      </c>
      <c r="Y171" s="304">
        <f>'Pencapaian Effective Call'!G171</f>
        <v>0</v>
      </c>
      <c r="Z171" s="285">
        <f>'Pencapaian Effective Call'!I171</f>
        <v>0</v>
      </c>
      <c r="AA171" s="304">
        <f>'Pencapaian New Open Outlet'!G171</f>
        <v>0</v>
      </c>
      <c r="AB171" s="285">
        <f>'Pencapaian New Open Outlet'!I171</f>
        <v>0</v>
      </c>
      <c r="AC171" s="269">
        <f>'Pencapaian Active Outlet'!G171</f>
        <v>0.16</v>
      </c>
      <c r="AD171" s="284">
        <f>'Pencapaian Active Outlet'!I171</f>
        <v>0</v>
      </c>
      <c r="AE171" s="304">
        <f>'Pencapaian Item per Outlet'!G171</f>
        <v>0</v>
      </c>
      <c r="AF171" s="285">
        <f>'Pencapaian Item per Outlet'!I171</f>
        <v>0</v>
      </c>
      <c r="AG171" s="304">
        <f>'Pencapaian Product Display'!G171</f>
        <v>0</v>
      </c>
      <c r="AH171" s="285">
        <f>'Pencapaian Product Display'!I171</f>
        <v>0</v>
      </c>
      <c r="AI171" s="304">
        <f>'Pencapaian Sales Contract'!G171</f>
        <v>0</v>
      </c>
      <c r="AJ171" s="285">
        <f>'Pencapaian Sales Contract'!I171</f>
        <v>0</v>
      </c>
      <c r="AK171" s="304">
        <f>'Pencapaian Co-Branding'!G171</f>
        <v>0</v>
      </c>
      <c r="AL171" s="285">
        <f>'Pencapaian Co-Branding'!I171</f>
        <v>0</v>
      </c>
      <c r="AM171" s="304">
        <f>'Pencapaian Join Event Activity'!G171</f>
        <v>0</v>
      </c>
      <c r="AN171" s="285">
        <f>'Pencapaian Join Event Activity'!I171</f>
        <v>0</v>
      </c>
      <c r="AO171" s="284">
        <f t="shared" si="90"/>
        <v>60000</v>
      </c>
      <c r="AP171" s="322">
        <v>0</v>
      </c>
      <c r="AQ171" s="284">
        <f t="shared" si="95"/>
        <v>0</v>
      </c>
      <c r="AR171" s="322">
        <v>0</v>
      </c>
      <c r="AS171" s="284">
        <f t="shared" si="96"/>
        <v>0</v>
      </c>
      <c r="AT171" s="284">
        <f t="shared" si="93"/>
        <v>60000</v>
      </c>
      <c r="AU171" s="284">
        <f t="shared" si="97"/>
        <v>60000</v>
      </c>
      <c r="AV171" s="284">
        <v>0</v>
      </c>
    </row>
    <row r="172" spans="16:48" x14ac:dyDescent="0.2">
      <c r="P172" s="392"/>
      <c r="Q172" s="321"/>
      <c r="R172" s="323" t="s">
        <v>540</v>
      </c>
      <c r="S172" s="12" t="s">
        <v>675</v>
      </c>
      <c r="T172" s="269">
        <f>'Pencapaian Sales Value'!G172</f>
        <v>0.24556903225806451</v>
      </c>
      <c r="U172" s="284">
        <f>'Pencapaian Sales Value'!I172</f>
        <v>0</v>
      </c>
      <c r="V172" s="304">
        <f>'Pencapaian Product Focus'!H172</f>
        <v>0</v>
      </c>
      <c r="W172" s="304">
        <f>'Pencapaian Product Focus'!L172</f>
        <v>0</v>
      </c>
      <c r="X172" s="285">
        <f>'Pencapaian Product Focus'!N172</f>
        <v>0</v>
      </c>
      <c r="Y172" s="304">
        <f>'Pencapaian Effective Call'!G172</f>
        <v>0</v>
      </c>
      <c r="Z172" s="285">
        <f>'Pencapaian Effective Call'!I172</f>
        <v>0</v>
      </c>
      <c r="AA172" s="304">
        <f>'Pencapaian New Open Outlet'!G172</f>
        <v>0</v>
      </c>
      <c r="AB172" s="285">
        <f>'Pencapaian New Open Outlet'!I172</f>
        <v>0</v>
      </c>
      <c r="AC172" s="269">
        <f>'Pencapaian Active Outlet'!G172</f>
        <v>0.34</v>
      </c>
      <c r="AD172" s="284">
        <f>'Pencapaian Active Outlet'!I172</f>
        <v>0</v>
      </c>
      <c r="AE172" s="304">
        <f>'Pencapaian Item per Outlet'!G172</f>
        <v>0</v>
      </c>
      <c r="AF172" s="285">
        <f>'Pencapaian Item per Outlet'!I172</f>
        <v>0</v>
      </c>
      <c r="AG172" s="304">
        <f>'Pencapaian Product Display'!G172</f>
        <v>0</v>
      </c>
      <c r="AH172" s="285">
        <f>'Pencapaian Product Display'!I172</f>
        <v>0</v>
      </c>
      <c r="AI172" s="304">
        <f>'Pencapaian Sales Contract'!G172</f>
        <v>0</v>
      </c>
      <c r="AJ172" s="285">
        <f>'Pencapaian Sales Contract'!I172</f>
        <v>0</v>
      </c>
      <c r="AK172" s="304">
        <f>'Pencapaian Co-Branding'!G172</f>
        <v>0</v>
      </c>
      <c r="AL172" s="285">
        <f>'Pencapaian Co-Branding'!I172</f>
        <v>0</v>
      </c>
      <c r="AM172" s="304">
        <f>'Pencapaian Join Event Activity'!G172</f>
        <v>0</v>
      </c>
      <c r="AN172" s="285">
        <f>'Pencapaian Join Event Activity'!I172</f>
        <v>0</v>
      </c>
      <c r="AO172" s="284">
        <f t="shared" si="90"/>
        <v>0</v>
      </c>
      <c r="AP172" s="322">
        <v>0</v>
      </c>
      <c r="AQ172" s="284">
        <f t="shared" si="95"/>
        <v>0</v>
      </c>
      <c r="AR172" s="322">
        <v>0</v>
      </c>
      <c r="AS172" s="284">
        <f t="shared" si="96"/>
        <v>0</v>
      </c>
      <c r="AT172" s="284">
        <f t="shared" si="93"/>
        <v>0</v>
      </c>
      <c r="AU172" s="284">
        <f t="shared" si="97"/>
        <v>0</v>
      </c>
      <c r="AV172" s="284">
        <v>0</v>
      </c>
    </row>
    <row r="173" spans="16:48" x14ac:dyDescent="0.2">
      <c r="P173" s="392"/>
      <c r="Q173" s="324"/>
      <c r="R173" s="324" t="s">
        <v>680</v>
      </c>
      <c r="S173" s="64" t="s">
        <v>673</v>
      </c>
      <c r="T173" s="258">
        <f>'Pencapaian Sales Value'!G173</f>
        <v>0.79660769294605804</v>
      </c>
      <c r="U173" s="286">
        <f>'Pencapaian Sales Value'!I173</f>
        <v>0</v>
      </c>
      <c r="V173" s="268">
        <f>'Pencapaian Product Focus'!H173</f>
        <v>0</v>
      </c>
      <c r="W173" s="268">
        <f>'Pencapaian Product Focus'!L173</f>
        <v>0</v>
      </c>
      <c r="X173" s="189">
        <f>'Pencapaian Product Focus'!N173</f>
        <v>0</v>
      </c>
      <c r="Y173" s="268">
        <f>'Pencapaian Effective Call'!G173</f>
        <v>0</v>
      </c>
      <c r="Z173" s="189">
        <f>'Pencapaian Effective Call'!I173</f>
        <v>0</v>
      </c>
      <c r="AA173" s="268">
        <f>'Pencapaian New Open Outlet'!G173</f>
        <v>0</v>
      </c>
      <c r="AB173" s="189">
        <f>'Pencapaian New Open Outlet'!I173</f>
        <v>0</v>
      </c>
      <c r="AC173" s="258">
        <f>'Pencapaian Active Outlet'!G173</f>
        <v>0.35666666666666669</v>
      </c>
      <c r="AD173" s="286">
        <f>'Pencapaian Active Outlet'!I173</f>
        <v>0</v>
      </c>
      <c r="AE173" s="268">
        <f>'Pencapaian Item per Outlet'!G173</f>
        <v>0</v>
      </c>
      <c r="AF173" s="189">
        <f>'Pencapaian Item per Outlet'!I173</f>
        <v>0</v>
      </c>
      <c r="AG173" s="268">
        <f>'Pencapaian Product Display'!G173</f>
        <v>0</v>
      </c>
      <c r="AH173" s="189">
        <f>'Pencapaian Product Display'!I173</f>
        <v>0</v>
      </c>
      <c r="AI173" s="268">
        <f>'Pencapaian Sales Contract'!G173</f>
        <v>0</v>
      </c>
      <c r="AJ173" s="189">
        <f>'Pencapaian Sales Contract'!I173</f>
        <v>0</v>
      </c>
      <c r="AK173" s="268">
        <f>'Pencapaian Co-Branding'!G173</f>
        <v>0</v>
      </c>
      <c r="AL173" s="189">
        <f>'Pencapaian Co-Branding'!I173</f>
        <v>0</v>
      </c>
      <c r="AM173" s="268">
        <f>'Pencapaian Join Event Activity'!G173</f>
        <v>0</v>
      </c>
      <c r="AN173" s="189">
        <f>'Pencapaian Join Event Activity'!I173</f>
        <v>0</v>
      </c>
      <c r="AO173" s="286">
        <f t="shared" si="90"/>
        <v>0</v>
      </c>
      <c r="AP173" s="289">
        <v>0</v>
      </c>
      <c r="AQ173" s="286">
        <f t="shared" si="95"/>
        <v>0</v>
      </c>
      <c r="AR173" s="289">
        <v>0</v>
      </c>
      <c r="AS173" s="286">
        <f t="shared" si="96"/>
        <v>0</v>
      </c>
      <c r="AT173" s="286">
        <f t="shared" si="93"/>
        <v>0</v>
      </c>
      <c r="AU173" s="286">
        <f t="shared" si="97"/>
        <v>0</v>
      </c>
      <c r="AV173" s="286">
        <v>0</v>
      </c>
    </row>
    <row r="174" spans="16:48" x14ac:dyDescent="0.2">
      <c r="P174" s="392"/>
      <c r="Q174" s="321"/>
      <c r="R174" s="323" t="s">
        <v>617</v>
      </c>
      <c r="S174" s="12" t="s">
        <v>675</v>
      </c>
      <c r="T174" s="269">
        <f>'Pencapaian Sales Value'!G174</f>
        <v>1.627000625</v>
      </c>
      <c r="U174" s="284">
        <f>'Pencapaian Sales Value'!I174</f>
        <v>90000</v>
      </c>
      <c r="V174" s="304">
        <f>'Pencapaian Product Focus'!H174</f>
        <v>0</v>
      </c>
      <c r="W174" s="304">
        <f>'Pencapaian Product Focus'!L174</f>
        <v>0</v>
      </c>
      <c r="X174" s="285">
        <f>'Pencapaian Product Focus'!N174</f>
        <v>0</v>
      </c>
      <c r="Y174" s="304">
        <f>'Pencapaian Effective Call'!G174</f>
        <v>0</v>
      </c>
      <c r="Z174" s="285">
        <f>'Pencapaian Effective Call'!I174</f>
        <v>0</v>
      </c>
      <c r="AA174" s="304">
        <f>'Pencapaian New Open Outlet'!G174</f>
        <v>0</v>
      </c>
      <c r="AB174" s="285">
        <f>'Pencapaian New Open Outlet'!I174</f>
        <v>0</v>
      </c>
      <c r="AC174" s="269">
        <f>'Pencapaian Active Outlet'!G174</f>
        <v>0.46</v>
      </c>
      <c r="AD174" s="284">
        <f>'Pencapaian Active Outlet'!I174</f>
        <v>0</v>
      </c>
      <c r="AE174" s="304">
        <f>'Pencapaian Item per Outlet'!G174</f>
        <v>0</v>
      </c>
      <c r="AF174" s="285">
        <f>'Pencapaian Item per Outlet'!I174</f>
        <v>0</v>
      </c>
      <c r="AG174" s="304">
        <f>'Pencapaian Product Display'!G174</f>
        <v>0</v>
      </c>
      <c r="AH174" s="285">
        <f>'Pencapaian Product Display'!I174</f>
        <v>0</v>
      </c>
      <c r="AI174" s="304">
        <f>'Pencapaian Sales Contract'!G174</f>
        <v>0</v>
      </c>
      <c r="AJ174" s="285">
        <f>'Pencapaian Sales Contract'!I174</f>
        <v>0</v>
      </c>
      <c r="AK174" s="304">
        <f>'Pencapaian Co-Branding'!G174</f>
        <v>0</v>
      </c>
      <c r="AL174" s="285">
        <f>'Pencapaian Co-Branding'!I174</f>
        <v>0</v>
      </c>
      <c r="AM174" s="304">
        <f>'Pencapaian Join Event Activity'!G174</f>
        <v>0</v>
      </c>
      <c r="AN174" s="285">
        <f>'Pencapaian Join Event Activity'!I174</f>
        <v>0</v>
      </c>
      <c r="AO174" s="284">
        <f t="shared" si="90"/>
        <v>90000</v>
      </c>
      <c r="AP174" s="322">
        <v>0</v>
      </c>
      <c r="AQ174" s="284">
        <f t="shared" si="95"/>
        <v>0</v>
      </c>
      <c r="AR174" s="322">
        <v>0</v>
      </c>
      <c r="AS174" s="284">
        <f t="shared" si="96"/>
        <v>0</v>
      </c>
      <c r="AT174" s="284">
        <f t="shared" si="93"/>
        <v>90000</v>
      </c>
      <c r="AU174" s="284">
        <f t="shared" si="97"/>
        <v>90000</v>
      </c>
      <c r="AV174" s="284">
        <v>0</v>
      </c>
    </row>
    <row r="175" spans="16:48" x14ac:dyDescent="0.2">
      <c r="P175" s="392"/>
      <c r="Q175" s="321"/>
      <c r="R175" s="323" t="s">
        <v>802</v>
      </c>
      <c r="S175" s="12"/>
      <c r="T175" s="269" t="e">
        <f>'Pencapaian Sales Value'!G175</f>
        <v>#DIV/0!</v>
      </c>
      <c r="U175" s="284">
        <f>'Pencapaian Sales Value'!I175</f>
        <v>0</v>
      </c>
      <c r="V175" s="304">
        <f>'Pencapaian Product Focus'!H175</f>
        <v>0</v>
      </c>
      <c r="W175" s="304">
        <f>'Pencapaian Product Focus'!L175</f>
        <v>0</v>
      </c>
      <c r="X175" s="285">
        <f>'Pencapaian Product Focus'!N175</f>
        <v>0</v>
      </c>
      <c r="Y175" s="304">
        <f>'Pencapaian Effective Call'!G175</f>
        <v>0</v>
      </c>
      <c r="Z175" s="285">
        <f>'Pencapaian Effective Call'!I175</f>
        <v>0</v>
      </c>
      <c r="AA175" s="304">
        <f>'Pencapaian New Open Outlet'!G175</f>
        <v>0</v>
      </c>
      <c r="AB175" s="285">
        <f>'Pencapaian New Open Outlet'!I175</f>
        <v>0</v>
      </c>
      <c r="AC175" s="269" t="e">
        <f>'Pencapaian Active Outlet'!G175</f>
        <v>#DIV/0!</v>
      </c>
      <c r="AD175" s="284">
        <f>'Pencapaian Active Outlet'!I175</f>
        <v>0</v>
      </c>
      <c r="AE175" s="304">
        <f>'Pencapaian Item per Outlet'!G175</f>
        <v>0</v>
      </c>
      <c r="AF175" s="285">
        <f>'Pencapaian Item per Outlet'!I175</f>
        <v>0</v>
      </c>
      <c r="AG175" s="304">
        <f>'Pencapaian Product Display'!G175</f>
        <v>0</v>
      </c>
      <c r="AH175" s="285">
        <f>'Pencapaian Product Display'!I175</f>
        <v>0</v>
      </c>
      <c r="AI175" s="304">
        <f>'Pencapaian Sales Contract'!G175</f>
        <v>0</v>
      </c>
      <c r="AJ175" s="285">
        <f>'Pencapaian Sales Contract'!I175</f>
        <v>0</v>
      </c>
      <c r="AK175" s="304">
        <f>'Pencapaian Co-Branding'!G175</f>
        <v>0</v>
      </c>
      <c r="AL175" s="285">
        <f>'Pencapaian Co-Branding'!I175</f>
        <v>0</v>
      </c>
      <c r="AM175" s="304">
        <f>'Pencapaian Join Event Activity'!G175</f>
        <v>0</v>
      </c>
      <c r="AN175" s="285">
        <f>'Pencapaian Join Event Activity'!I175</f>
        <v>0</v>
      </c>
      <c r="AO175" s="284">
        <f t="shared" si="90"/>
        <v>0</v>
      </c>
      <c r="AP175" s="322">
        <v>0</v>
      </c>
      <c r="AQ175" s="284">
        <f t="shared" si="95"/>
        <v>0</v>
      </c>
      <c r="AR175" s="322">
        <v>0</v>
      </c>
      <c r="AS175" s="284">
        <f t="shared" si="96"/>
        <v>0</v>
      </c>
      <c r="AT175" s="284">
        <f t="shared" si="93"/>
        <v>0</v>
      </c>
      <c r="AU175" s="284">
        <f t="shared" si="97"/>
        <v>0</v>
      </c>
      <c r="AV175" s="284">
        <v>0</v>
      </c>
    </row>
    <row r="176" spans="16:48" x14ac:dyDescent="0.2">
      <c r="P176" s="392"/>
      <c r="Q176" s="321"/>
      <c r="R176" s="323" t="s">
        <v>542</v>
      </c>
      <c r="S176" s="12" t="s">
        <v>675</v>
      </c>
      <c r="T176" s="269">
        <f>'Pencapaian Sales Value'!G176</f>
        <v>0.10621312500000001</v>
      </c>
      <c r="U176" s="284">
        <f>'Pencapaian Sales Value'!I176</f>
        <v>0</v>
      </c>
      <c r="V176" s="304">
        <f>'Pencapaian Product Focus'!H176</f>
        <v>0</v>
      </c>
      <c r="W176" s="304">
        <f>'Pencapaian Product Focus'!L176</f>
        <v>0</v>
      </c>
      <c r="X176" s="285">
        <f>'Pencapaian Product Focus'!N176</f>
        <v>0</v>
      </c>
      <c r="Y176" s="304">
        <f>'Pencapaian Effective Call'!G176</f>
        <v>0</v>
      </c>
      <c r="Z176" s="285">
        <f>'Pencapaian Effective Call'!I176</f>
        <v>0</v>
      </c>
      <c r="AA176" s="304">
        <f>'Pencapaian New Open Outlet'!G176</f>
        <v>0</v>
      </c>
      <c r="AB176" s="285">
        <f>'Pencapaian New Open Outlet'!I176</f>
        <v>0</v>
      </c>
      <c r="AC176" s="269">
        <f>'Pencapaian Active Outlet'!G176</f>
        <v>0.52</v>
      </c>
      <c r="AD176" s="284">
        <f>'Pencapaian Active Outlet'!I176</f>
        <v>0</v>
      </c>
      <c r="AE176" s="304">
        <f>'Pencapaian Item per Outlet'!G176</f>
        <v>0</v>
      </c>
      <c r="AF176" s="285">
        <f>'Pencapaian Item per Outlet'!I176</f>
        <v>0</v>
      </c>
      <c r="AG176" s="304">
        <f>'Pencapaian Product Display'!G176</f>
        <v>0</v>
      </c>
      <c r="AH176" s="285">
        <f>'Pencapaian Product Display'!I176</f>
        <v>0</v>
      </c>
      <c r="AI176" s="304">
        <f>'Pencapaian Sales Contract'!G176</f>
        <v>0</v>
      </c>
      <c r="AJ176" s="285">
        <f>'Pencapaian Sales Contract'!I176</f>
        <v>0</v>
      </c>
      <c r="AK176" s="304">
        <f>'Pencapaian Co-Branding'!G176</f>
        <v>0</v>
      </c>
      <c r="AL176" s="285">
        <f>'Pencapaian Co-Branding'!I176</f>
        <v>0</v>
      </c>
      <c r="AM176" s="304">
        <f>'Pencapaian Join Event Activity'!G176</f>
        <v>0</v>
      </c>
      <c r="AN176" s="285">
        <f>'Pencapaian Join Event Activity'!I176</f>
        <v>0</v>
      </c>
      <c r="AO176" s="284">
        <f t="shared" si="90"/>
        <v>0</v>
      </c>
      <c r="AP176" s="322">
        <v>0</v>
      </c>
      <c r="AQ176" s="284">
        <f t="shared" si="95"/>
        <v>0</v>
      </c>
      <c r="AR176" s="322">
        <v>0</v>
      </c>
      <c r="AS176" s="284">
        <f t="shared" si="96"/>
        <v>0</v>
      </c>
      <c r="AT176" s="284">
        <f t="shared" si="93"/>
        <v>0</v>
      </c>
      <c r="AU176" s="284">
        <f t="shared" si="97"/>
        <v>0</v>
      </c>
      <c r="AV176" s="284">
        <v>0</v>
      </c>
    </row>
    <row r="177" spans="2:48" x14ac:dyDescent="0.2">
      <c r="P177" s="392"/>
      <c r="Q177" s="321"/>
      <c r="R177" s="323" t="s">
        <v>543</v>
      </c>
      <c r="S177" s="12" t="s">
        <v>675</v>
      </c>
      <c r="T177" s="269">
        <f>'Pencapaian Sales Value'!G177</f>
        <v>0.13805722222222222</v>
      </c>
      <c r="U177" s="284">
        <f>'Pencapaian Sales Value'!I177</f>
        <v>0</v>
      </c>
      <c r="V177" s="304">
        <f>'Pencapaian Product Focus'!H177</f>
        <v>0</v>
      </c>
      <c r="W177" s="304">
        <f>'Pencapaian Product Focus'!L177</f>
        <v>0</v>
      </c>
      <c r="X177" s="285">
        <f>'Pencapaian Product Focus'!N177</f>
        <v>0</v>
      </c>
      <c r="Y177" s="304">
        <f>'Pencapaian Effective Call'!G177</f>
        <v>0</v>
      </c>
      <c r="Z177" s="285">
        <f>'Pencapaian Effective Call'!I177</f>
        <v>0</v>
      </c>
      <c r="AA177" s="304">
        <f>'Pencapaian New Open Outlet'!G177</f>
        <v>0</v>
      </c>
      <c r="AB177" s="285">
        <f>'Pencapaian New Open Outlet'!I177</f>
        <v>0</v>
      </c>
      <c r="AC177" s="269">
        <f>'Pencapaian Active Outlet'!G177</f>
        <v>0.44</v>
      </c>
      <c r="AD177" s="284">
        <f>'Pencapaian Active Outlet'!I177</f>
        <v>0</v>
      </c>
      <c r="AE177" s="304">
        <f>'Pencapaian Item per Outlet'!G177</f>
        <v>0</v>
      </c>
      <c r="AF177" s="285">
        <f>'Pencapaian Item per Outlet'!I177</f>
        <v>0</v>
      </c>
      <c r="AG177" s="304">
        <f>'Pencapaian Product Display'!G177</f>
        <v>0</v>
      </c>
      <c r="AH177" s="285">
        <f>'Pencapaian Product Display'!I177</f>
        <v>0</v>
      </c>
      <c r="AI177" s="304">
        <f>'Pencapaian Sales Contract'!G177</f>
        <v>0</v>
      </c>
      <c r="AJ177" s="285">
        <f>'Pencapaian Sales Contract'!I177</f>
        <v>0</v>
      </c>
      <c r="AK177" s="304">
        <f>'Pencapaian Co-Branding'!G177</f>
        <v>0</v>
      </c>
      <c r="AL177" s="285">
        <f>'Pencapaian Co-Branding'!I177</f>
        <v>0</v>
      </c>
      <c r="AM177" s="304">
        <f>'Pencapaian Join Event Activity'!G177</f>
        <v>0</v>
      </c>
      <c r="AN177" s="285">
        <f>'Pencapaian Join Event Activity'!I177</f>
        <v>0</v>
      </c>
      <c r="AO177" s="284">
        <f t="shared" si="90"/>
        <v>0</v>
      </c>
      <c r="AP177" s="322">
        <v>0</v>
      </c>
      <c r="AQ177" s="284">
        <f t="shared" si="95"/>
        <v>0</v>
      </c>
      <c r="AR177" s="322">
        <v>0</v>
      </c>
      <c r="AS177" s="284">
        <f t="shared" si="96"/>
        <v>0</v>
      </c>
      <c r="AT177" s="284">
        <f t="shared" si="93"/>
        <v>0</v>
      </c>
      <c r="AU177" s="284">
        <f t="shared" si="97"/>
        <v>0</v>
      </c>
      <c r="AV177" s="284">
        <v>0</v>
      </c>
    </row>
    <row r="178" spans="2:48" x14ac:dyDescent="0.2">
      <c r="P178" s="392"/>
      <c r="Q178" s="321"/>
      <c r="R178" s="323" t="s">
        <v>618</v>
      </c>
      <c r="S178" s="12" t="s">
        <v>675</v>
      </c>
      <c r="T178" s="269">
        <f>'Pencapaian Sales Value'!G178</f>
        <v>0.47797082352941178</v>
      </c>
      <c r="U178" s="284">
        <f>'Pencapaian Sales Value'!I178</f>
        <v>0</v>
      </c>
      <c r="V178" s="304">
        <f>'Pencapaian Product Focus'!H178</f>
        <v>0</v>
      </c>
      <c r="W178" s="304">
        <f>'Pencapaian Product Focus'!L178</f>
        <v>0</v>
      </c>
      <c r="X178" s="285">
        <f>'Pencapaian Product Focus'!N178</f>
        <v>0</v>
      </c>
      <c r="Y178" s="304">
        <f>'Pencapaian Effective Call'!G178</f>
        <v>0</v>
      </c>
      <c r="Z178" s="285">
        <f>'Pencapaian Effective Call'!I178</f>
        <v>0</v>
      </c>
      <c r="AA178" s="304">
        <f>'Pencapaian New Open Outlet'!G178</f>
        <v>0</v>
      </c>
      <c r="AB178" s="285">
        <f>'Pencapaian New Open Outlet'!I178</f>
        <v>0</v>
      </c>
      <c r="AC178" s="269">
        <f>'Pencapaian Active Outlet'!G178</f>
        <v>0.5</v>
      </c>
      <c r="AD178" s="284">
        <f>'Pencapaian Active Outlet'!I178</f>
        <v>0</v>
      </c>
      <c r="AE178" s="304">
        <f>'Pencapaian Item per Outlet'!G178</f>
        <v>0</v>
      </c>
      <c r="AF178" s="285">
        <f>'Pencapaian Item per Outlet'!I178</f>
        <v>0</v>
      </c>
      <c r="AG178" s="304">
        <f>'Pencapaian Product Display'!G178</f>
        <v>0</v>
      </c>
      <c r="AH178" s="285">
        <f>'Pencapaian Product Display'!I178</f>
        <v>0</v>
      </c>
      <c r="AI178" s="304">
        <f>'Pencapaian Sales Contract'!G178</f>
        <v>0</v>
      </c>
      <c r="AJ178" s="285">
        <f>'Pencapaian Sales Contract'!I178</f>
        <v>0</v>
      </c>
      <c r="AK178" s="304">
        <f>'Pencapaian Co-Branding'!G178</f>
        <v>0</v>
      </c>
      <c r="AL178" s="285">
        <f>'Pencapaian Co-Branding'!I178</f>
        <v>0</v>
      </c>
      <c r="AM178" s="304">
        <f>'Pencapaian Join Event Activity'!G178</f>
        <v>0</v>
      </c>
      <c r="AN178" s="285">
        <f>'Pencapaian Join Event Activity'!I178</f>
        <v>0</v>
      </c>
      <c r="AO178" s="284">
        <f t="shared" si="90"/>
        <v>0</v>
      </c>
      <c r="AP178" s="322">
        <v>0</v>
      </c>
      <c r="AQ178" s="284">
        <f t="shared" si="95"/>
        <v>0</v>
      </c>
      <c r="AR178" s="322">
        <v>0</v>
      </c>
      <c r="AS178" s="284">
        <f t="shared" si="96"/>
        <v>0</v>
      </c>
      <c r="AT178" s="284">
        <f t="shared" si="93"/>
        <v>0</v>
      </c>
      <c r="AU178" s="284">
        <f t="shared" si="97"/>
        <v>0</v>
      </c>
      <c r="AV178" s="284">
        <v>0</v>
      </c>
    </row>
    <row r="179" spans="2:48" x14ac:dyDescent="0.2">
      <c r="P179" s="392"/>
      <c r="Q179" s="324"/>
      <c r="R179" s="324" t="s">
        <v>687</v>
      </c>
      <c r="S179" s="64" t="s">
        <v>673</v>
      </c>
      <c r="T179" s="258">
        <f>'Pencapaian Sales Value'!G179</f>
        <v>0.57226797014925368</v>
      </c>
      <c r="U179" s="286">
        <f>'Pencapaian Sales Value'!I179</f>
        <v>0</v>
      </c>
      <c r="V179" s="268">
        <f>'Pencapaian Product Focus'!H179</f>
        <v>0</v>
      </c>
      <c r="W179" s="268">
        <f>'Pencapaian Product Focus'!L179</f>
        <v>0</v>
      </c>
      <c r="X179" s="189">
        <f>'Pencapaian Product Focus'!N179</f>
        <v>0</v>
      </c>
      <c r="Y179" s="268">
        <f>'Pencapaian Effective Call'!G179</f>
        <v>0</v>
      </c>
      <c r="Z179" s="189">
        <f>'Pencapaian Effective Call'!I179</f>
        <v>0</v>
      </c>
      <c r="AA179" s="268">
        <f>'Pencapaian New Open Outlet'!G179</f>
        <v>0</v>
      </c>
      <c r="AB179" s="189">
        <f>'Pencapaian New Open Outlet'!I179</f>
        <v>0</v>
      </c>
      <c r="AC179" s="258">
        <f>'Pencapaian Active Outlet'!G179</f>
        <v>0.47647058823529409</v>
      </c>
      <c r="AD179" s="286">
        <f>'Pencapaian Active Outlet'!I179</f>
        <v>0</v>
      </c>
      <c r="AE179" s="268">
        <f>'Pencapaian Item per Outlet'!G179</f>
        <v>0</v>
      </c>
      <c r="AF179" s="189">
        <f>'Pencapaian Item per Outlet'!I179</f>
        <v>0</v>
      </c>
      <c r="AG179" s="268">
        <f>'Pencapaian Product Display'!G179</f>
        <v>0</v>
      </c>
      <c r="AH179" s="189">
        <f>'Pencapaian Product Display'!I179</f>
        <v>0</v>
      </c>
      <c r="AI179" s="268">
        <f>'Pencapaian Sales Contract'!G179</f>
        <v>0</v>
      </c>
      <c r="AJ179" s="189">
        <f>'Pencapaian Sales Contract'!I179</f>
        <v>0</v>
      </c>
      <c r="AK179" s="268">
        <f>'Pencapaian Co-Branding'!G179</f>
        <v>0</v>
      </c>
      <c r="AL179" s="189">
        <f>'Pencapaian Co-Branding'!I179</f>
        <v>0</v>
      </c>
      <c r="AM179" s="268">
        <f>'Pencapaian Join Event Activity'!G179</f>
        <v>0</v>
      </c>
      <c r="AN179" s="189">
        <f>'Pencapaian Join Event Activity'!I179</f>
        <v>0</v>
      </c>
      <c r="AO179" s="286">
        <f t="shared" si="90"/>
        <v>0</v>
      </c>
      <c r="AP179" s="289">
        <v>0</v>
      </c>
      <c r="AQ179" s="286">
        <f t="shared" si="95"/>
        <v>0</v>
      </c>
      <c r="AR179" s="289">
        <v>0</v>
      </c>
      <c r="AS179" s="286">
        <f t="shared" si="96"/>
        <v>0</v>
      </c>
      <c r="AT179" s="286">
        <f t="shared" si="93"/>
        <v>0</v>
      </c>
      <c r="AU179" s="286">
        <f t="shared" si="97"/>
        <v>0</v>
      </c>
      <c r="AV179" s="286">
        <v>0</v>
      </c>
    </row>
    <row r="180" spans="2:48" x14ac:dyDescent="0.2">
      <c r="P180" s="392"/>
      <c r="Q180" s="324"/>
      <c r="R180" s="324" t="s">
        <v>95</v>
      </c>
      <c r="S180" s="64" t="s">
        <v>20</v>
      </c>
      <c r="T180" s="258">
        <f>'Pencapaian Sales Value'!G180</f>
        <v>0.71644363200000005</v>
      </c>
      <c r="U180" s="286">
        <f>'Pencapaian Sales Value'!I180</f>
        <v>120000</v>
      </c>
      <c r="V180" s="268">
        <f>'Pencapaian Product Focus'!H180</f>
        <v>0</v>
      </c>
      <c r="W180" s="268">
        <f>'Pencapaian Product Focus'!L180</f>
        <v>0</v>
      </c>
      <c r="X180" s="189">
        <f>'Pencapaian Product Focus'!N180</f>
        <v>0</v>
      </c>
      <c r="Y180" s="268">
        <f>'Pencapaian Effective Call'!G180</f>
        <v>0</v>
      </c>
      <c r="Z180" s="189">
        <f>'Pencapaian Effective Call'!I180</f>
        <v>0</v>
      </c>
      <c r="AA180" s="268">
        <f>'Pencapaian New Open Outlet'!G180</f>
        <v>0</v>
      </c>
      <c r="AB180" s="189">
        <f>'Pencapaian New Open Outlet'!I180</f>
        <v>0</v>
      </c>
      <c r="AC180" s="258">
        <f>'Pencapaian Active Outlet'!G180</f>
        <v>0.4</v>
      </c>
      <c r="AD180" s="286">
        <f>'Pencapaian Active Outlet'!I180</f>
        <v>0</v>
      </c>
      <c r="AE180" s="268">
        <f>'Pencapaian Item per Outlet'!G180</f>
        <v>0</v>
      </c>
      <c r="AF180" s="189">
        <f>'Pencapaian Item per Outlet'!I180</f>
        <v>0</v>
      </c>
      <c r="AG180" s="268">
        <f>'Pencapaian Product Display'!G180</f>
        <v>0</v>
      </c>
      <c r="AH180" s="189">
        <f>'Pencapaian Product Display'!I180</f>
        <v>0</v>
      </c>
      <c r="AI180" s="268">
        <f>'Pencapaian Sales Contract'!G180</f>
        <v>0</v>
      </c>
      <c r="AJ180" s="189">
        <f>'Pencapaian Sales Contract'!I180</f>
        <v>0</v>
      </c>
      <c r="AK180" s="268">
        <f>'Pencapaian Co-Branding'!G180</f>
        <v>0</v>
      </c>
      <c r="AL180" s="189">
        <f>'Pencapaian Co-Branding'!I180</f>
        <v>0</v>
      </c>
      <c r="AM180" s="268">
        <f>'Pencapaian Join Event Activity'!G180</f>
        <v>0</v>
      </c>
      <c r="AN180" s="189">
        <f>'Pencapaian Join Event Activity'!I180</f>
        <v>0</v>
      </c>
      <c r="AO180" s="286">
        <f t="shared" si="90"/>
        <v>120000</v>
      </c>
      <c r="AP180" s="289">
        <v>0</v>
      </c>
      <c r="AQ180" s="286">
        <f t="shared" si="95"/>
        <v>0</v>
      </c>
      <c r="AR180" s="289">
        <v>0</v>
      </c>
      <c r="AS180" s="286">
        <f t="shared" si="96"/>
        <v>0</v>
      </c>
      <c r="AT180" s="286">
        <f t="shared" si="93"/>
        <v>120000</v>
      </c>
      <c r="AU180" s="286">
        <f t="shared" si="97"/>
        <v>120000</v>
      </c>
      <c r="AV180" s="286">
        <v>0</v>
      </c>
    </row>
    <row r="181" spans="2:48" ht="14.5" customHeight="1" x14ac:dyDescent="0.2">
      <c r="P181" s="393"/>
      <c r="Q181" s="325"/>
      <c r="R181" s="325" t="s">
        <v>556</v>
      </c>
      <c r="S181" s="42"/>
      <c r="T181" s="264">
        <f>'Pencapaian Sales Value'!G181</f>
        <v>0.71644363200000005</v>
      </c>
      <c r="U181" s="287">
        <f>'Pencapaian Sales Value'!I181</f>
        <v>360000</v>
      </c>
      <c r="V181" s="274">
        <f>'Pencapaian Product Focus'!H181</f>
        <v>0</v>
      </c>
      <c r="W181" s="274">
        <f>'Pencapaian Product Focus'!L181</f>
        <v>0</v>
      </c>
      <c r="X181" s="190">
        <f>'Pencapaian Product Focus'!N181</f>
        <v>0</v>
      </c>
      <c r="Y181" s="274">
        <f>'Pencapaian Effective Call'!G181</f>
        <v>0</v>
      </c>
      <c r="Z181" s="190">
        <f>'Pencapaian Effective Call'!I181</f>
        <v>0</v>
      </c>
      <c r="AA181" s="274">
        <f>'Pencapaian New Open Outlet'!G181</f>
        <v>0</v>
      </c>
      <c r="AB181" s="190">
        <f>'Pencapaian New Open Outlet'!I181</f>
        <v>0</v>
      </c>
      <c r="AC181" s="264">
        <f>'Pencapaian Active Outlet'!G181</f>
        <v>0.4</v>
      </c>
      <c r="AD181" s="287">
        <f>'Pencapaian Active Outlet'!I181</f>
        <v>90000</v>
      </c>
      <c r="AE181" s="274">
        <f>'Pencapaian Item per Outlet'!G181</f>
        <v>0</v>
      </c>
      <c r="AF181" s="190">
        <f>'Pencapaian Item per Outlet'!I181</f>
        <v>0</v>
      </c>
      <c r="AG181" s="274">
        <f>'Pencapaian Product Display'!G181</f>
        <v>0</v>
      </c>
      <c r="AH181" s="190">
        <f>'Pencapaian Product Display'!I181</f>
        <v>0</v>
      </c>
      <c r="AI181" s="274">
        <f>'Pencapaian Sales Contract'!G181</f>
        <v>0</v>
      </c>
      <c r="AJ181" s="190">
        <f>'Pencapaian Sales Contract'!I181</f>
        <v>0</v>
      </c>
      <c r="AK181" s="274">
        <f>'Pencapaian Co-Branding'!G181</f>
        <v>0</v>
      </c>
      <c r="AL181" s="190">
        <f>'Pencapaian Co-Branding'!I181</f>
        <v>0</v>
      </c>
      <c r="AM181" s="274">
        <f>'Pencapaian Join Event Activity'!G181</f>
        <v>0</v>
      </c>
      <c r="AN181" s="190">
        <f>'Pencapaian Join Event Activity'!I181</f>
        <v>0</v>
      </c>
      <c r="AO181" s="287">
        <f t="shared" si="90"/>
        <v>450000</v>
      </c>
      <c r="AP181" s="290">
        <v>0</v>
      </c>
      <c r="AQ181" s="287">
        <f>SUM(AQ166:AQ180)</f>
        <v>0</v>
      </c>
      <c r="AR181" s="290">
        <v>0</v>
      </c>
      <c r="AS181" s="287">
        <f>SUM(AS166:AS180)</f>
        <v>0</v>
      </c>
      <c r="AT181" s="287">
        <f t="shared" si="93"/>
        <v>450000</v>
      </c>
      <c r="AU181" s="287">
        <f t="shared" ref="AU181:AV181" si="98">SUM(AU166:AU180)</f>
        <v>450000</v>
      </c>
      <c r="AV181" s="287">
        <f t="shared" si="98"/>
        <v>0</v>
      </c>
    </row>
    <row r="182" spans="2:48" ht="14.5" customHeight="1" x14ac:dyDescent="0.2">
      <c r="P182" s="392" t="s">
        <v>555</v>
      </c>
      <c r="Q182" s="321" t="s">
        <v>408</v>
      </c>
      <c r="R182" s="74" t="s">
        <v>330</v>
      </c>
      <c r="S182" s="12" t="s">
        <v>571</v>
      </c>
      <c r="T182" s="269">
        <f>'Pencapaian Sales Value'!G182</f>
        <v>2.3896639999999998</v>
      </c>
      <c r="U182" s="284">
        <f>'Pencapaian Sales Value'!I182</f>
        <v>330000</v>
      </c>
      <c r="V182" s="304">
        <f>'Pencapaian Product Focus'!H182</f>
        <v>0</v>
      </c>
      <c r="W182" s="304">
        <f>'Pencapaian Product Focus'!L182</f>
        <v>0</v>
      </c>
      <c r="X182" s="285">
        <f>'Pencapaian Product Focus'!N182</f>
        <v>0</v>
      </c>
      <c r="Y182" s="304">
        <f>'Pencapaian Effective Call'!G182</f>
        <v>0</v>
      </c>
      <c r="Z182" s="285">
        <f>'Pencapaian Effective Call'!I182</f>
        <v>0</v>
      </c>
      <c r="AA182" s="304">
        <f>'Pencapaian New Open Outlet'!G182</f>
        <v>0</v>
      </c>
      <c r="AB182" s="285">
        <f>'Pencapaian New Open Outlet'!I182</f>
        <v>0</v>
      </c>
      <c r="AC182" s="269">
        <f>'Pencapaian Active Outlet'!G182</f>
        <v>0.88</v>
      </c>
      <c r="AD182" s="284">
        <f>'Pencapaian Active Outlet'!I182</f>
        <v>198000</v>
      </c>
      <c r="AE182" s="304">
        <f>'Pencapaian Item per Outlet'!G182</f>
        <v>0</v>
      </c>
      <c r="AF182" s="285">
        <f>'Pencapaian Item per Outlet'!I182</f>
        <v>0</v>
      </c>
      <c r="AG182" s="304">
        <f>'Pencapaian Product Display'!G182</f>
        <v>0</v>
      </c>
      <c r="AH182" s="285">
        <f>'Pencapaian Product Display'!I182</f>
        <v>0</v>
      </c>
      <c r="AI182" s="304">
        <f>'Pencapaian Sales Contract'!G182</f>
        <v>0</v>
      </c>
      <c r="AJ182" s="285">
        <f>'Pencapaian Sales Contract'!I182</f>
        <v>0</v>
      </c>
      <c r="AK182" s="304">
        <f>'Pencapaian Co-Branding'!G182</f>
        <v>0</v>
      </c>
      <c r="AL182" s="285">
        <f>'Pencapaian Co-Branding'!I182</f>
        <v>0</v>
      </c>
      <c r="AM182" s="304">
        <f>'Pencapaian Join Event Activity'!G182</f>
        <v>0</v>
      </c>
      <c r="AN182" s="285">
        <f>'Pencapaian Join Event Activity'!I182</f>
        <v>0</v>
      </c>
      <c r="AO182" s="284">
        <f t="shared" si="90"/>
        <v>528000</v>
      </c>
      <c r="AP182" s="322">
        <v>0</v>
      </c>
      <c r="AQ182" s="284">
        <f t="shared" ref="AQ182:AQ189" si="99">IF(AP182&gt;=0.5%,-(AO182*10%),0)</f>
        <v>0</v>
      </c>
      <c r="AR182" s="322">
        <v>0</v>
      </c>
      <c r="AS182" s="284">
        <f t="shared" ref="AS182:AS189" si="100">IF(AR182&gt;0,-(AO182+AQ182),0)</f>
        <v>0</v>
      </c>
      <c r="AT182" s="284">
        <f t="shared" si="93"/>
        <v>528000</v>
      </c>
      <c r="AU182" s="284">
        <f t="shared" ref="AU182:AU189" si="101">AT182</f>
        <v>528000</v>
      </c>
      <c r="AV182" s="284">
        <v>0</v>
      </c>
    </row>
    <row r="183" spans="2:48" x14ac:dyDescent="0.2">
      <c r="P183" s="392"/>
      <c r="Q183" s="321"/>
      <c r="R183" s="323" t="s">
        <v>560</v>
      </c>
      <c r="S183" s="12" t="s">
        <v>675</v>
      </c>
      <c r="T183" s="269">
        <f>'Pencapaian Sales Value'!G183</f>
        <v>1.4003050666666668</v>
      </c>
      <c r="U183" s="284">
        <f>'Pencapaian Sales Value'!I183</f>
        <v>90000</v>
      </c>
      <c r="V183" s="304">
        <f>'Pencapaian Product Focus'!H183</f>
        <v>0</v>
      </c>
      <c r="W183" s="304">
        <f>'Pencapaian Product Focus'!L183</f>
        <v>0</v>
      </c>
      <c r="X183" s="285">
        <f>'Pencapaian Product Focus'!N183</f>
        <v>0</v>
      </c>
      <c r="Y183" s="304">
        <f>'Pencapaian Effective Call'!G183</f>
        <v>0</v>
      </c>
      <c r="Z183" s="285">
        <f>'Pencapaian Effective Call'!I183</f>
        <v>0</v>
      </c>
      <c r="AA183" s="304">
        <f>'Pencapaian New Open Outlet'!G183</f>
        <v>0</v>
      </c>
      <c r="AB183" s="285">
        <f>'Pencapaian New Open Outlet'!I183</f>
        <v>0</v>
      </c>
      <c r="AC183" s="269">
        <f>'Pencapaian Active Outlet'!G183</f>
        <v>0.8</v>
      </c>
      <c r="AD183" s="284">
        <f>'Pencapaian Active Outlet'!I183</f>
        <v>0</v>
      </c>
      <c r="AE183" s="304">
        <f>'Pencapaian Item per Outlet'!G183</f>
        <v>0</v>
      </c>
      <c r="AF183" s="285">
        <f>'Pencapaian Item per Outlet'!I183</f>
        <v>0</v>
      </c>
      <c r="AG183" s="304">
        <f>'Pencapaian Product Display'!G183</f>
        <v>0</v>
      </c>
      <c r="AH183" s="285">
        <f>'Pencapaian Product Display'!I183</f>
        <v>0</v>
      </c>
      <c r="AI183" s="304">
        <f>'Pencapaian Sales Contract'!G183</f>
        <v>0</v>
      </c>
      <c r="AJ183" s="285">
        <f>'Pencapaian Sales Contract'!I183</f>
        <v>0</v>
      </c>
      <c r="AK183" s="304">
        <f>'Pencapaian Co-Branding'!G183</f>
        <v>0</v>
      </c>
      <c r="AL183" s="285">
        <f>'Pencapaian Co-Branding'!I183</f>
        <v>0</v>
      </c>
      <c r="AM183" s="304">
        <f>'Pencapaian Join Event Activity'!G183</f>
        <v>0</v>
      </c>
      <c r="AN183" s="285">
        <f>'Pencapaian Join Event Activity'!I183</f>
        <v>0</v>
      </c>
      <c r="AO183" s="284">
        <f t="shared" si="90"/>
        <v>90000</v>
      </c>
      <c r="AP183" s="322">
        <v>0</v>
      </c>
      <c r="AQ183" s="284">
        <f t="shared" si="99"/>
        <v>0</v>
      </c>
      <c r="AR183" s="322">
        <v>0</v>
      </c>
      <c r="AS183" s="284">
        <f t="shared" si="100"/>
        <v>0</v>
      </c>
      <c r="AT183" s="284">
        <f t="shared" si="93"/>
        <v>90000</v>
      </c>
      <c r="AU183" s="284">
        <f t="shared" si="101"/>
        <v>90000</v>
      </c>
      <c r="AV183" s="284">
        <v>0</v>
      </c>
    </row>
    <row r="184" spans="2:48" ht="14.5" customHeight="1" x14ac:dyDescent="0.2">
      <c r="P184" s="392"/>
      <c r="Q184" s="321"/>
      <c r="R184" s="323" t="s">
        <v>562</v>
      </c>
      <c r="S184" s="12" t="s">
        <v>675</v>
      </c>
      <c r="T184" s="269">
        <f>'Pencapaian Sales Value'!G184</f>
        <v>0.28433399999999998</v>
      </c>
      <c r="U184" s="284">
        <f>'Pencapaian Sales Value'!I184</f>
        <v>0</v>
      </c>
      <c r="V184" s="304">
        <f>'Pencapaian Product Focus'!H184</f>
        <v>0</v>
      </c>
      <c r="W184" s="304">
        <f>'Pencapaian Product Focus'!L184</f>
        <v>0</v>
      </c>
      <c r="X184" s="285">
        <f>'Pencapaian Product Focus'!N184</f>
        <v>0</v>
      </c>
      <c r="Y184" s="304">
        <f>'Pencapaian Effective Call'!G184</f>
        <v>0</v>
      </c>
      <c r="Z184" s="285">
        <f>'Pencapaian Effective Call'!I184</f>
        <v>0</v>
      </c>
      <c r="AA184" s="304">
        <f>'Pencapaian New Open Outlet'!G184</f>
        <v>0</v>
      </c>
      <c r="AB184" s="285">
        <f>'Pencapaian New Open Outlet'!I184</f>
        <v>0</v>
      </c>
      <c r="AC184" s="269">
        <f>'Pencapaian Active Outlet'!G184</f>
        <v>0.52</v>
      </c>
      <c r="AD184" s="284">
        <f>'Pencapaian Active Outlet'!I184</f>
        <v>0</v>
      </c>
      <c r="AE184" s="304">
        <f>'Pencapaian Item per Outlet'!G184</f>
        <v>0</v>
      </c>
      <c r="AF184" s="285">
        <f>'Pencapaian Item per Outlet'!I184</f>
        <v>0</v>
      </c>
      <c r="AG184" s="304">
        <f>'Pencapaian Product Display'!G184</f>
        <v>0</v>
      </c>
      <c r="AH184" s="285">
        <f>'Pencapaian Product Display'!I184</f>
        <v>0</v>
      </c>
      <c r="AI184" s="304">
        <f>'Pencapaian Sales Contract'!G184</f>
        <v>0</v>
      </c>
      <c r="AJ184" s="285">
        <f>'Pencapaian Sales Contract'!I184</f>
        <v>0</v>
      </c>
      <c r="AK184" s="304">
        <f>'Pencapaian Co-Branding'!G184</f>
        <v>0</v>
      </c>
      <c r="AL184" s="285">
        <f>'Pencapaian Co-Branding'!I184</f>
        <v>0</v>
      </c>
      <c r="AM184" s="304">
        <f>'Pencapaian Join Event Activity'!G184</f>
        <v>0</v>
      </c>
      <c r="AN184" s="285">
        <f>'Pencapaian Join Event Activity'!I184</f>
        <v>0</v>
      </c>
      <c r="AO184" s="284">
        <f t="shared" si="90"/>
        <v>0</v>
      </c>
      <c r="AP184" s="322">
        <v>0</v>
      </c>
      <c r="AQ184" s="284">
        <f t="shared" si="99"/>
        <v>0</v>
      </c>
      <c r="AR184" s="322">
        <v>0</v>
      </c>
      <c r="AS184" s="284">
        <f t="shared" si="100"/>
        <v>0</v>
      </c>
      <c r="AT184" s="284">
        <f t="shared" si="93"/>
        <v>0</v>
      </c>
      <c r="AU184" s="284">
        <f t="shared" si="101"/>
        <v>0</v>
      </c>
      <c r="AV184" s="284">
        <v>0</v>
      </c>
    </row>
    <row r="185" spans="2:48" ht="14.5" customHeight="1" x14ac:dyDescent="0.2">
      <c r="P185" s="392"/>
      <c r="Q185" s="321"/>
      <c r="R185" s="323" t="s">
        <v>561</v>
      </c>
      <c r="S185" s="12" t="s">
        <v>675</v>
      </c>
      <c r="T185" s="269">
        <f>'Pencapaian Sales Value'!G185</f>
        <v>8.5948666666666673E-2</v>
      </c>
      <c r="U185" s="284">
        <f>'Pencapaian Sales Value'!I185</f>
        <v>0</v>
      </c>
      <c r="V185" s="304">
        <f>'Pencapaian Product Focus'!H185</f>
        <v>0</v>
      </c>
      <c r="W185" s="304">
        <f>'Pencapaian Product Focus'!L185</f>
        <v>0</v>
      </c>
      <c r="X185" s="285">
        <f>'Pencapaian Product Focus'!N185</f>
        <v>0</v>
      </c>
      <c r="Y185" s="304">
        <f>'Pencapaian Effective Call'!G185</f>
        <v>0</v>
      </c>
      <c r="Z185" s="285">
        <f>'Pencapaian Effective Call'!I185</f>
        <v>0</v>
      </c>
      <c r="AA185" s="304">
        <f>'Pencapaian New Open Outlet'!G185</f>
        <v>0</v>
      </c>
      <c r="AB185" s="285">
        <f>'Pencapaian New Open Outlet'!I185</f>
        <v>0</v>
      </c>
      <c r="AC185" s="269">
        <f>'Pencapaian Active Outlet'!G185</f>
        <v>0.02</v>
      </c>
      <c r="AD185" s="284">
        <f>'Pencapaian Active Outlet'!I185</f>
        <v>0</v>
      </c>
      <c r="AE185" s="304">
        <f>'Pencapaian Item per Outlet'!G185</f>
        <v>0</v>
      </c>
      <c r="AF185" s="285">
        <f>'Pencapaian Item per Outlet'!I185</f>
        <v>0</v>
      </c>
      <c r="AG185" s="304">
        <f>'Pencapaian Product Display'!G185</f>
        <v>0</v>
      </c>
      <c r="AH185" s="285">
        <f>'Pencapaian Product Display'!I185</f>
        <v>0</v>
      </c>
      <c r="AI185" s="304">
        <f>'Pencapaian Sales Contract'!G185</f>
        <v>0</v>
      </c>
      <c r="AJ185" s="285">
        <f>'Pencapaian Sales Contract'!I185</f>
        <v>0</v>
      </c>
      <c r="AK185" s="304">
        <f>'Pencapaian Co-Branding'!G185</f>
        <v>0</v>
      </c>
      <c r="AL185" s="285">
        <f>'Pencapaian Co-Branding'!I185</f>
        <v>0</v>
      </c>
      <c r="AM185" s="304">
        <f>'Pencapaian Join Event Activity'!G185</f>
        <v>0</v>
      </c>
      <c r="AN185" s="285">
        <f>'Pencapaian Join Event Activity'!I185</f>
        <v>0</v>
      </c>
      <c r="AO185" s="284">
        <f t="shared" si="90"/>
        <v>0</v>
      </c>
      <c r="AP185" s="322">
        <v>0</v>
      </c>
      <c r="AQ185" s="284">
        <f t="shared" si="99"/>
        <v>0</v>
      </c>
      <c r="AR185" s="322">
        <v>0</v>
      </c>
      <c r="AS185" s="284">
        <f t="shared" si="100"/>
        <v>0</v>
      </c>
      <c r="AT185" s="284">
        <f t="shared" si="93"/>
        <v>0</v>
      </c>
      <c r="AU185" s="284">
        <f t="shared" si="101"/>
        <v>0</v>
      </c>
      <c r="AV185" s="284">
        <v>0</v>
      </c>
    </row>
    <row r="186" spans="2:48" x14ac:dyDescent="0.2">
      <c r="P186" s="392"/>
      <c r="Q186" s="321"/>
      <c r="R186" s="323" t="s">
        <v>803</v>
      </c>
      <c r="S186" s="12"/>
      <c r="T186" s="269" t="e">
        <f>'Pencapaian Sales Value'!G186</f>
        <v>#DIV/0!</v>
      </c>
      <c r="U186" s="284">
        <f>'Pencapaian Sales Value'!I186</f>
        <v>0</v>
      </c>
      <c r="V186" s="304">
        <f>'Pencapaian Product Focus'!H186</f>
        <v>0</v>
      </c>
      <c r="W186" s="304">
        <f>'Pencapaian Product Focus'!L186</f>
        <v>0</v>
      </c>
      <c r="X186" s="285">
        <f>'Pencapaian Product Focus'!N186</f>
        <v>0</v>
      </c>
      <c r="Y186" s="304">
        <f>'Pencapaian Effective Call'!G186</f>
        <v>0</v>
      </c>
      <c r="Z186" s="285">
        <f>'Pencapaian Effective Call'!I186</f>
        <v>0</v>
      </c>
      <c r="AA186" s="304">
        <f>'Pencapaian New Open Outlet'!G186</f>
        <v>0</v>
      </c>
      <c r="AB186" s="285">
        <f>'Pencapaian New Open Outlet'!I186</f>
        <v>0</v>
      </c>
      <c r="AC186" s="269" t="e">
        <f>'Pencapaian Active Outlet'!G186</f>
        <v>#DIV/0!</v>
      </c>
      <c r="AD186" s="284">
        <f>'Pencapaian Active Outlet'!I186</f>
        <v>0</v>
      </c>
      <c r="AE186" s="304">
        <f>'Pencapaian Item per Outlet'!G186</f>
        <v>0</v>
      </c>
      <c r="AF186" s="285">
        <f>'Pencapaian Item per Outlet'!I186</f>
        <v>0</v>
      </c>
      <c r="AG186" s="304">
        <f>'Pencapaian Product Display'!G186</f>
        <v>0</v>
      </c>
      <c r="AH186" s="285">
        <f>'Pencapaian Product Display'!I186</f>
        <v>0</v>
      </c>
      <c r="AI186" s="304">
        <f>'Pencapaian Sales Contract'!G186</f>
        <v>0</v>
      </c>
      <c r="AJ186" s="285">
        <f>'Pencapaian Sales Contract'!I186</f>
        <v>0</v>
      </c>
      <c r="AK186" s="304">
        <f>'Pencapaian Co-Branding'!G186</f>
        <v>0</v>
      </c>
      <c r="AL186" s="285">
        <f>'Pencapaian Co-Branding'!I186</f>
        <v>0</v>
      </c>
      <c r="AM186" s="304">
        <f>'Pencapaian Join Event Activity'!G186</f>
        <v>0</v>
      </c>
      <c r="AN186" s="285">
        <f>'Pencapaian Join Event Activity'!I186</f>
        <v>0</v>
      </c>
      <c r="AO186" s="284">
        <f t="shared" si="90"/>
        <v>0</v>
      </c>
      <c r="AP186" s="322">
        <v>0</v>
      </c>
      <c r="AQ186" s="284">
        <f t="shared" si="99"/>
        <v>0</v>
      </c>
      <c r="AR186" s="322">
        <v>0</v>
      </c>
      <c r="AS186" s="284">
        <f t="shared" si="100"/>
        <v>0</v>
      </c>
      <c r="AT186" s="284">
        <f t="shared" si="93"/>
        <v>0</v>
      </c>
      <c r="AU186" s="284">
        <f t="shared" si="101"/>
        <v>0</v>
      </c>
      <c r="AV186" s="284">
        <v>0</v>
      </c>
    </row>
    <row r="187" spans="2:48" x14ac:dyDescent="0.2">
      <c r="P187" s="392"/>
      <c r="Q187" s="321"/>
      <c r="R187" s="323" t="s">
        <v>790</v>
      </c>
      <c r="S187" s="12" t="s">
        <v>675</v>
      </c>
      <c r="T187" s="269">
        <f>'Pencapaian Sales Value'!G187</f>
        <v>0.7921904666666667</v>
      </c>
      <c r="U187" s="284">
        <f>'Pencapaian Sales Value'!I187</f>
        <v>0</v>
      </c>
      <c r="V187" s="304">
        <f>'Pencapaian Product Focus'!H187</f>
        <v>0</v>
      </c>
      <c r="W187" s="304">
        <f>'Pencapaian Product Focus'!L187</f>
        <v>0</v>
      </c>
      <c r="X187" s="285">
        <f>'Pencapaian Product Focus'!N187</f>
        <v>0</v>
      </c>
      <c r="Y187" s="304">
        <f>'Pencapaian Effective Call'!G187</f>
        <v>0</v>
      </c>
      <c r="Z187" s="285">
        <f>'Pencapaian Effective Call'!I187</f>
        <v>0</v>
      </c>
      <c r="AA187" s="304">
        <f>'Pencapaian New Open Outlet'!G187</f>
        <v>0</v>
      </c>
      <c r="AB187" s="285">
        <f>'Pencapaian New Open Outlet'!I187</f>
        <v>0</v>
      </c>
      <c r="AC187" s="269">
        <f>'Pencapaian Active Outlet'!G187</f>
        <v>2.36</v>
      </c>
      <c r="AD187" s="284">
        <f>'Pencapaian Active Outlet'!I187</f>
        <v>135000</v>
      </c>
      <c r="AE187" s="304">
        <f>'Pencapaian Item per Outlet'!G187</f>
        <v>0</v>
      </c>
      <c r="AF187" s="285">
        <f>'Pencapaian Item per Outlet'!I187</f>
        <v>0</v>
      </c>
      <c r="AG187" s="304">
        <f>'Pencapaian Product Display'!G187</f>
        <v>0</v>
      </c>
      <c r="AH187" s="285">
        <f>'Pencapaian Product Display'!I187</f>
        <v>0</v>
      </c>
      <c r="AI187" s="304">
        <f>'Pencapaian Sales Contract'!G187</f>
        <v>0</v>
      </c>
      <c r="AJ187" s="285">
        <f>'Pencapaian Sales Contract'!I187</f>
        <v>0</v>
      </c>
      <c r="AK187" s="304">
        <f>'Pencapaian Co-Branding'!G187</f>
        <v>0</v>
      </c>
      <c r="AL187" s="285">
        <f>'Pencapaian Co-Branding'!I187</f>
        <v>0</v>
      </c>
      <c r="AM187" s="304">
        <f>'Pencapaian Join Event Activity'!G187</f>
        <v>0</v>
      </c>
      <c r="AN187" s="285">
        <f>'Pencapaian Join Event Activity'!I187</f>
        <v>0</v>
      </c>
      <c r="AO187" s="284">
        <f t="shared" si="90"/>
        <v>135000</v>
      </c>
      <c r="AP187" s="322">
        <v>0</v>
      </c>
      <c r="AQ187" s="284">
        <f t="shared" si="99"/>
        <v>0</v>
      </c>
      <c r="AR187" s="322">
        <v>0</v>
      </c>
      <c r="AS187" s="284">
        <f t="shared" si="100"/>
        <v>0</v>
      </c>
      <c r="AT187" s="284">
        <f t="shared" si="93"/>
        <v>135000</v>
      </c>
      <c r="AU187" s="284">
        <f t="shared" si="101"/>
        <v>135000</v>
      </c>
      <c r="AV187" s="284">
        <v>0</v>
      </c>
    </row>
    <row r="188" spans="2:48" x14ac:dyDescent="0.2">
      <c r="P188" s="392"/>
      <c r="Q188" s="321"/>
      <c r="R188" s="323" t="s">
        <v>559</v>
      </c>
      <c r="S188" s="12" t="s">
        <v>675</v>
      </c>
      <c r="T188" s="269">
        <f>'Pencapaian Sales Value'!G188</f>
        <v>1.1663157894736842E-2</v>
      </c>
      <c r="U188" s="284">
        <f>'Pencapaian Sales Value'!I188</f>
        <v>0</v>
      </c>
      <c r="V188" s="304">
        <f>'Pencapaian Product Focus'!H188</f>
        <v>0</v>
      </c>
      <c r="W188" s="304">
        <f>'Pencapaian Product Focus'!L188</f>
        <v>0</v>
      </c>
      <c r="X188" s="285">
        <f>'Pencapaian Product Focus'!N188</f>
        <v>0</v>
      </c>
      <c r="Y188" s="304">
        <f>'Pencapaian Effective Call'!G188</f>
        <v>0</v>
      </c>
      <c r="Z188" s="285">
        <f>'Pencapaian Effective Call'!I188</f>
        <v>0</v>
      </c>
      <c r="AA188" s="304">
        <f>'Pencapaian New Open Outlet'!G188</f>
        <v>0</v>
      </c>
      <c r="AB188" s="285">
        <f>'Pencapaian New Open Outlet'!I188</f>
        <v>0</v>
      </c>
      <c r="AC188" s="269">
        <f>'Pencapaian Active Outlet'!G188</f>
        <v>6.6666666666666666E-2</v>
      </c>
      <c r="AD188" s="284">
        <f>'Pencapaian Active Outlet'!I188</f>
        <v>0</v>
      </c>
      <c r="AE188" s="304">
        <f>'Pencapaian Item per Outlet'!G188</f>
        <v>0</v>
      </c>
      <c r="AF188" s="285">
        <f>'Pencapaian Item per Outlet'!I188</f>
        <v>0</v>
      </c>
      <c r="AG188" s="304">
        <f>'Pencapaian Product Display'!G188</f>
        <v>0</v>
      </c>
      <c r="AH188" s="285">
        <f>'Pencapaian Product Display'!I188</f>
        <v>0</v>
      </c>
      <c r="AI188" s="304">
        <f>'Pencapaian Sales Contract'!G188</f>
        <v>0</v>
      </c>
      <c r="AJ188" s="285">
        <f>'Pencapaian Sales Contract'!I188</f>
        <v>0</v>
      </c>
      <c r="AK188" s="304">
        <f>'Pencapaian Co-Branding'!G188</f>
        <v>0</v>
      </c>
      <c r="AL188" s="285">
        <f>'Pencapaian Co-Branding'!I188</f>
        <v>0</v>
      </c>
      <c r="AM188" s="304">
        <f>'Pencapaian Join Event Activity'!G188</f>
        <v>0</v>
      </c>
      <c r="AN188" s="285">
        <f>'Pencapaian Join Event Activity'!I188</f>
        <v>0</v>
      </c>
      <c r="AO188" s="284">
        <f t="shared" si="90"/>
        <v>0</v>
      </c>
      <c r="AP188" s="322">
        <v>0</v>
      </c>
      <c r="AQ188" s="284">
        <f t="shared" si="99"/>
        <v>0</v>
      </c>
      <c r="AR188" s="322">
        <v>0</v>
      </c>
      <c r="AS188" s="284">
        <f t="shared" si="100"/>
        <v>0</v>
      </c>
      <c r="AT188" s="284">
        <f t="shared" si="93"/>
        <v>0</v>
      </c>
      <c r="AU188" s="284">
        <f t="shared" si="101"/>
        <v>0</v>
      </c>
      <c r="AV188" s="284">
        <v>0</v>
      </c>
    </row>
    <row r="189" spans="2:48" x14ac:dyDescent="0.2">
      <c r="B189" s="377"/>
      <c r="C189" s="370"/>
      <c r="D189" s="370"/>
      <c r="E189" s="370"/>
      <c r="F189" s="370"/>
      <c r="G189" s="370"/>
      <c r="H189" s="370"/>
      <c r="I189" s="370"/>
      <c r="J189" s="370"/>
      <c r="K189" s="370"/>
      <c r="L189" s="370"/>
      <c r="M189" s="370"/>
      <c r="N189" s="371"/>
      <c r="P189" s="393"/>
      <c r="Q189" s="324"/>
      <c r="R189" s="324" t="s">
        <v>719</v>
      </c>
      <c r="S189" s="64" t="s">
        <v>673</v>
      </c>
      <c r="T189" s="258">
        <f>'Pencapaian Sales Value'!G189</f>
        <v>0.80805114772727271</v>
      </c>
      <c r="U189" s="286">
        <f>'Pencapaian Sales Value'!I189</f>
        <v>0</v>
      </c>
      <c r="V189" s="268">
        <f>'Pencapaian Product Focus'!H189</f>
        <v>0</v>
      </c>
      <c r="W189" s="268">
        <f>'Pencapaian Product Focus'!L189</f>
        <v>0</v>
      </c>
      <c r="X189" s="189">
        <f>'Pencapaian Product Focus'!N189</f>
        <v>0</v>
      </c>
      <c r="Y189" s="268">
        <f>'Pencapaian Effective Call'!G189</f>
        <v>0</v>
      </c>
      <c r="Z189" s="189">
        <f>'Pencapaian Effective Call'!I189</f>
        <v>0</v>
      </c>
      <c r="AA189" s="268">
        <f>'Pencapaian New Open Outlet'!G189</f>
        <v>0</v>
      </c>
      <c r="AB189" s="189">
        <f>'Pencapaian New Open Outlet'!I189</f>
        <v>0</v>
      </c>
      <c r="AC189" s="258">
        <f>'Pencapaian Active Outlet'!G189</f>
        <v>0.90344827586206899</v>
      </c>
      <c r="AD189" s="286">
        <f>'Pencapaian Active Outlet'!I189</f>
        <v>150000</v>
      </c>
      <c r="AE189" s="268">
        <f>'Pencapaian Item per Outlet'!G189</f>
        <v>0</v>
      </c>
      <c r="AF189" s="189">
        <f>'Pencapaian Item per Outlet'!I189</f>
        <v>0</v>
      </c>
      <c r="AG189" s="268">
        <f>'Pencapaian Product Display'!G189</f>
        <v>0</v>
      </c>
      <c r="AH189" s="189">
        <f>'Pencapaian Product Display'!I189</f>
        <v>0</v>
      </c>
      <c r="AI189" s="268">
        <f>'Pencapaian Sales Contract'!G189</f>
        <v>0</v>
      </c>
      <c r="AJ189" s="189">
        <f>'Pencapaian Sales Contract'!I189</f>
        <v>0</v>
      </c>
      <c r="AK189" s="268">
        <f>'Pencapaian Co-Branding'!G189</f>
        <v>0</v>
      </c>
      <c r="AL189" s="189">
        <f>'Pencapaian Co-Branding'!I189</f>
        <v>0</v>
      </c>
      <c r="AM189" s="268">
        <f>'Pencapaian Join Event Activity'!G189</f>
        <v>0</v>
      </c>
      <c r="AN189" s="189">
        <f>'Pencapaian Join Event Activity'!I189</f>
        <v>0</v>
      </c>
      <c r="AO189" s="286">
        <f t="shared" si="90"/>
        <v>150000</v>
      </c>
      <c r="AP189" s="289">
        <v>0</v>
      </c>
      <c r="AQ189" s="286">
        <f t="shared" si="99"/>
        <v>0</v>
      </c>
      <c r="AR189" s="289">
        <v>0</v>
      </c>
      <c r="AS189" s="286">
        <f t="shared" si="100"/>
        <v>0</v>
      </c>
      <c r="AT189" s="286">
        <f t="shared" si="93"/>
        <v>150000</v>
      </c>
      <c r="AU189" s="286">
        <f t="shared" si="101"/>
        <v>150000</v>
      </c>
      <c r="AV189" s="286">
        <v>0</v>
      </c>
    </row>
    <row r="190" spans="2:48" s="377" customFormat="1" x14ac:dyDescent="0.2">
      <c r="B190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3"/>
      <c r="O190" s="371"/>
      <c r="P190" s="326"/>
      <c r="Q190" s="326"/>
      <c r="R190" s="326" t="s">
        <v>619</v>
      </c>
      <c r="S190" s="209"/>
      <c r="T190" s="372">
        <f>'Pencapaian Sales Value'!G190</f>
        <v>0.88680128670253655</v>
      </c>
      <c r="U190" s="373">
        <f>'Pencapaian Sales Value'!I190</f>
        <v>1166000</v>
      </c>
      <c r="V190" s="374">
        <f>'Pencapaian Product Focus'!H190</f>
        <v>0</v>
      </c>
      <c r="W190" s="374">
        <f>'Pencapaian Product Focus'!L190</f>
        <v>0</v>
      </c>
      <c r="X190" s="375">
        <f>'Pencapaian Product Focus'!N190</f>
        <v>0</v>
      </c>
      <c r="Y190" s="374">
        <f>'Pencapaian Effective Call'!G190</f>
        <v>0</v>
      </c>
      <c r="Z190" s="375">
        <f>'Pencapaian Effective Call'!I190</f>
        <v>0</v>
      </c>
      <c r="AA190" s="374">
        <f>'Pencapaian New Open Outlet'!G190</f>
        <v>0</v>
      </c>
      <c r="AB190" s="375">
        <f>'Pencapaian New Open Outlet'!I190</f>
        <v>0</v>
      </c>
      <c r="AC190" s="372">
        <f>'Pencapaian Active Outlet'!G190</f>
        <v>0.77391304347826084</v>
      </c>
      <c r="AD190" s="373">
        <f>'Pencapaian Active Outlet'!I190</f>
        <v>2253000</v>
      </c>
      <c r="AE190" s="374">
        <f>'Pencapaian Item per Outlet'!G190</f>
        <v>0</v>
      </c>
      <c r="AF190" s="375">
        <f>'Pencapaian Item per Outlet'!I190</f>
        <v>0</v>
      </c>
      <c r="AG190" s="374">
        <f>'Pencapaian Product Display'!G190</f>
        <v>0</v>
      </c>
      <c r="AH190" s="375">
        <f>'Pencapaian Product Display'!I190</f>
        <v>0</v>
      </c>
      <c r="AI190" s="374">
        <f>'Pencapaian Sales Contract'!G190</f>
        <v>0</v>
      </c>
      <c r="AJ190" s="375">
        <f>'Pencapaian Sales Contract'!I190</f>
        <v>0</v>
      </c>
      <c r="AK190" s="374">
        <f>'Pencapaian Co-Branding'!G190</f>
        <v>0</v>
      </c>
      <c r="AL190" s="375">
        <f>'Pencapaian Co-Branding'!I190</f>
        <v>0</v>
      </c>
      <c r="AM190" s="374">
        <f>'Pencapaian Join Event Activity'!G190</f>
        <v>0</v>
      </c>
      <c r="AN190" s="375">
        <f>'Pencapaian Join Event Activity'!I190</f>
        <v>0</v>
      </c>
      <c r="AO190" s="373">
        <f t="shared" si="90"/>
        <v>3419000</v>
      </c>
      <c r="AP190" s="376">
        <v>0</v>
      </c>
      <c r="AQ190" s="373">
        <f>SUM(AQ181,AQ165)</f>
        <v>0</v>
      </c>
      <c r="AR190" s="376">
        <v>0</v>
      </c>
      <c r="AS190" s="373">
        <f>SUM(AS181,AS165)</f>
        <v>0</v>
      </c>
      <c r="AT190" s="373">
        <f t="shared" si="93"/>
        <v>3419000</v>
      </c>
      <c r="AU190" s="373">
        <f t="shared" ref="AU190:AV190" si="102">SUM(AU181,AU165)</f>
        <v>3419000</v>
      </c>
      <c r="AV190" s="373">
        <f t="shared" si="102"/>
        <v>0</v>
      </c>
    </row>
    <row r="191" spans="2:48" ht="14.5" customHeight="1" x14ac:dyDescent="0.2">
      <c r="P191" s="392" t="s">
        <v>555</v>
      </c>
      <c r="Q191" s="321"/>
      <c r="R191" s="323" t="s">
        <v>842</v>
      </c>
      <c r="S191" s="12" t="s">
        <v>675</v>
      </c>
      <c r="T191" s="269" t="e">
        <f>'Pencapaian Sales Value'!G191</f>
        <v>#DIV/0!</v>
      </c>
      <c r="U191" s="284">
        <f>'Pencapaian Sales Value'!I191</f>
        <v>0</v>
      </c>
      <c r="V191" s="304">
        <f>'Pencapaian Product Focus'!H191</f>
        <v>0</v>
      </c>
      <c r="W191" s="304">
        <f>'Pencapaian Product Focus'!L191</f>
        <v>0</v>
      </c>
      <c r="X191" s="285">
        <f>'Pencapaian Product Focus'!N191</f>
        <v>0</v>
      </c>
      <c r="Y191" s="304">
        <f>'Pencapaian Effective Call'!G191</f>
        <v>0</v>
      </c>
      <c r="Z191" s="285">
        <f>'Pencapaian Effective Call'!I191</f>
        <v>0</v>
      </c>
      <c r="AA191" s="304">
        <f>'Pencapaian New Open Outlet'!G191</f>
        <v>0</v>
      </c>
      <c r="AB191" s="285">
        <f>'Pencapaian New Open Outlet'!I191</f>
        <v>0</v>
      </c>
      <c r="AC191" s="269" t="e">
        <f>'Pencapaian Active Outlet'!G191</f>
        <v>#DIV/0!</v>
      </c>
      <c r="AD191" s="284">
        <f>'Pencapaian Active Outlet'!I191</f>
        <v>0</v>
      </c>
      <c r="AE191" s="304">
        <f>'Pencapaian Item per Outlet'!G191</f>
        <v>0</v>
      </c>
      <c r="AF191" s="285">
        <f>'Pencapaian Item per Outlet'!I191</f>
        <v>0</v>
      </c>
      <c r="AG191" s="304">
        <f>'Pencapaian Product Display'!G191</f>
        <v>0</v>
      </c>
      <c r="AH191" s="285">
        <f>'Pencapaian Product Display'!I191</f>
        <v>0</v>
      </c>
      <c r="AI191" s="304">
        <f>'Pencapaian Sales Contract'!G191</f>
        <v>0</v>
      </c>
      <c r="AJ191" s="285">
        <f>'Pencapaian Sales Contract'!I191</f>
        <v>0</v>
      </c>
      <c r="AK191" s="304">
        <f>'Pencapaian Co-Branding'!G191</f>
        <v>0</v>
      </c>
      <c r="AL191" s="285">
        <f>'Pencapaian Co-Branding'!I191</f>
        <v>0</v>
      </c>
      <c r="AM191" s="304">
        <f>'Pencapaian Join Event Activity'!G191</f>
        <v>0</v>
      </c>
      <c r="AN191" s="285">
        <f>'Pencapaian Join Event Activity'!I191</f>
        <v>0</v>
      </c>
      <c r="AO191" s="284">
        <f t="shared" si="90"/>
        <v>0</v>
      </c>
      <c r="AP191" s="322">
        <v>0</v>
      </c>
      <c r="AQ191" s="284">
        <f t="shared" ref="AQ191:AQ198" si="103">IF(AP191&gt;=0.5%,-(AO191*10%),0)</f>
        <v>0</v>
      </c>
      <c r="AR191" s="322">
        <v>0</v>
      </c>
      <c r="AS191" s="284">
        <f t="shared" ref="AS191:AS198" si="104">IF(AR191&gt;0,-(AO191+AQ191),0)</f>
        <v>0</v>
      </c>
      <c r="AT191" s="284">
        <f t="shared" si="93"/>
        <v>0</v>
      </c>
      <c r="AU191" s="284">
        <f t="shared" ref="AU191:AU198" si="105">AT191</f>
        <v>0</v>
      </c>
      <c r="AV191" s="284">
        <v>0</v>
      </c>
    </row>
    <row r="192" spans="2:48" x14ac:dyDescent="0.2">
      <c r="P192" s="392"/>
      <c r="Q192" s="321"/>
      <c r="R192" s="323" t="s">
        <v>563</v>
      </c>
      <c r="S192" s="12" t="s">
        <v>675</v>
      </c>
      <c r="T192" s="269">
        <f>'Pencapaian Sales Value'!G192</f>
        <v>0.13634075000000001</v>
      </c>
      <c r="U192" s="284">
        <f>'Pencapaian Sales Value'!I192</f>
        <v>0</v>
      </c>
      <c r="V192" s="304">
        <f>'Pencapaian Product Focus'!H192</f>
        <v>0</v>
      </c>
      <c r="W192" s="304">
        <f>'Pencapaian Product Focus'!L192</f>
        <v>0</v>
      </c>
      <c r="X192" s="285">
        <f>'Pencapaian Product Focus'!N192</f>
        <v>0</v>
      </c>
      <c r="Y192" s="304">
        <f>'Pencapaian Effective Call'!G192</f>
        <v>0</v>
      </c>
      <c r="Z192" s="285">
        <f>'Pencapaian Effective Call'!I192</f>
        <v>0</v>
      </c>
      <c r="AA192" s="304">
        <f>'Pencapaian New Open Outlet'!G192</f>
        <v>0</v>
      </c>
      <c r="AB192" s="285">
        <f>'Pencapaian New Open Outlet'!I192</f>
        <v>0</v>
      </c>
      <c r="AC192" s="269">
        <f>'Pencapaian Active Outlet'!G192</f>
        <v>7.4999999999999997E-2</v>
      </c>
      <c r="AD192" s="284">
        <f>'Pencapaian Active Outlet'!I192</f>
        <v>0</v>
      </c>
      <c r="AE192" s="304">
        <f>'Pencapaian Item per Outlet'!G192</f>
        <v>0</v>
      </c>
      <c r="AF192" s="285">
        <f>'Pencapaian Item per Outlet'!I192</f>
        <v>0</v>
      </c>
      <c r="AG192" s="304">
        <f>'Pencapaian Product Display'!G192</f>
        <v>0</v>
      </c>
      <c r="AH192" s="285">
        <f>'Pencapaian Product Display'!I192</f>
        <v>0</v>
      </c>
      <c r="AI192" s="304">
        <f>'Pencapaian Sales Contract'!G192</f>
        <v>0</v>
      </c>
      <c r="AJ192" s="285">
        <f>'Pencapaian Sales Contract'!I192</f>
        <v>0</v>
      </c>
      <c r="AK192" s="304">
        <f>'Pencapaian Co-Branding'!G192</f>
        <v>0</v>
      </c>
      <c r="AL192" s="285">
        <f>'Pencapaian Co-Branding'!I192</f>
        <v>0</v>
      </c>
      <c r="AM192" s="304">
        <f>'Pencapaian Join Event Activity'!G192</f>
        <v>0</v>
      </c>
      <c r="AN192" s="285">
        <f>'Pencapaian Join Event Activity'!I192</f>
        <v>0</v>
      </c>
      <c r="AO192" s="284">
        <f t="shared" si="90"/>
        <v>0</v>
      </c>
      <c r="AP192" s="322">
        <v>0</v>
      </c>
      <c r="AQ192" s="284">
        <f t="shared" si="103"/>
        <v>0</v>
      </c>
      <c r="AR192" s="322">
        <v>0</v>
      </c>
      <c r="AS192" s="284">
        <f t="shared" si="104"/>
        <v>0</v>
      </c>
      <c r="AT192" s="284">
        <f t="shared" si="93"/>
        <v>0</v>
      </c>
      <c r="AU192" s="284">
        <f t="shared" si="105"/>
        <v>0</v>
      </c>
      <c r="AV192" s="284">
        <v>0</v>
      </c>
    </row>
    <row r="193" spans="16:48" ht="14.5" customHeight="1" x14ac:dyDescent="0.2">
      <c r="P193" s="392"/>
      <c r="Q193" s="321"/>
      <c r="R193" s="323" t="s">
        <v>804</v>
      </c>
      <c r="S193" s="12"/>
      <c r="T193" s="269" t="e">
        <f>'Pencapaian Sales Value'!G193</f>
        <v>#DIV/0!</v>
      </c>
      <c r="U193" s="284">
        <f>'Pencapaian Sales Value'!I193</f>
        <v>0</v>
      </c>
      <c r="V193" s="304">
        <f>'Pencapaian Product Focus'!H193</f>
        <v>0</v>
      </c>
      <c r="W193" s="304">
        <f>'Pencapaian Product Focus'!L193</f>
        <v>0</v>
      </c>
      <c r="X193" s="285">
        <f>'Pencapaian Product Focus'!N193</f>
        <v>0</v>
      </c>
      <c r="Y193" s="304">
        <f>'Pencapaian Effective Call'!G193</f>
        <v>0</v>
      </c>
      <c r="Z193" s="285">
        <f>'Pencapaian Effective Call'!I193</f>
        <v>0</v>
      </c>
      <c r="AA193" s="304">
        <f>'Pencapaian New Open Outlet'!G193</f>
        <v>0</v>
      </c>
      <c r="AB193" s="285">
        <f>'Pencapaian New Open Outlet'!I193</f>
        <v>0</v>
      </c>
      <c r="AC193" s="269" t="e">
        <f>'Pencapaian Active Outlet'!G193</f>
        <v>#DIV/0!</v>
      </c>
      <c r="AD193" s="284">
        <f>'Pencapaian Active Outlet'!I193</f>
        <v>0</v>
      </c>
      <c r="AE193" s="304">
        <f>'Pencapaian Item per Outlet'!G193</f>
        <v>0</v>
      </c>
      <c r="AF193" s="285">
        <f>'Pencapaian Item per Outlet'!I193</f>
        <v>0</v>
      </c>
      <c r="AG193" s="304">
        <f>'Pencapaian Product Display'!G193</f>
        <v>0</v>
      </c>
      <c r="AH193" s="285">
        <f>'Pencapaian Product Display'!I193</f>
        <v>0</v>
      </c>
      <c r="AI193" s="304">
        <f>'Pencapaian Sales Contract'!G193</f>
        <v>0</v>
      </c>
      <c r="AJ193" s="285">
        <f>'Pencapaian Sales Contract'!I193</f>
        <v>0</v>
      </c>
      <c r="AK193" s="304">
        <f>'Pencapaian Co-Branding'!G193</f>
        <v>0</v>
      </c>
      <c r="AL193" s="285">
        <f>'Pencapaian Co-Branding'!I193</f>
        <v>0</v>
      </c>
      <c r="AM193" s="304">
        <f>'Pencapaian Join Event Activity'!G193</f>
        <v>0</v>
      </c>
      <c r="AN193" s="285">
        <f>'Pencapaian Join Event Activity'!I193</f>
        <v>0</v>
      </c>
      <c r="AO193" s="284">
        <f t="shared" si="90"/>
        <v>0</v>
      </c>
      <c r="AP193" s="322">
        <v>0</v>
      </c>
      <c r="AQ193" s="284">
        <f t="shared" si="103"/>
        <v>0</v>
      </c>
      <c r="AR193" s="322">
        <v>0</v>
      </c>
      <c r="AS193" s="284">
        <f t="shared" si="104"/>
        <v>0</v>
      </c>
      <c r="AT193" s="284">
        <f t="shared" si="93"/>
        <v>0</v>
      </c>
      <c r="AU193" s="284">
        <f t="shared" si="105"/>
        <v>0</v>
      </c>
      <c r="AV193" s="284">
        <v>0</v>
      </c>
    </row>
    <row r="194" spans="16:48" ht="14.5" customHeight="1" x14ac:dyDescent="0.2">
      <c r="P194" s="392"/>
      <c r="Q194" s="321"/>
      <c r="R194" s="323" t="s">
        <v>565</v>
      </c>
      <c r="S194" s="12" t="s">
        <v>675</v>
      </c>
      <c r="T194" s="269">
        <f>'Pencapaian Sales Value'!G194</f>
        <v>2.660812</v>
      </c>
      <c r="U194" s="284">
        <f>'Pencapaian Sales Value'!I194</f>
        <v>90000</v>
      </c>
      <c r="V194" s="304">
        <f>'Pencapaian Product Focus'!H194</f>
        <v>0</v>
      </c>
      <c r="W194" s="304">
        <f>'Pencapaian Product Focus'!L194</f>
        <v>0</v>
      </c>
      <c r="X194" s="285">
        <f>'Pencapaian Product Focus'!N194</f>
        <v>0</v>
      </c>
      <c r="Y194" s="304">
        <f>'Pencapaian Effective Call'!G194</f>
        <v>0</v>
      </c>
      <c r="Z194" s="285">
        <f>'Pencapaian Effective Call'!I194</f>
        <v>0</v>
      </c>
      <c r="AA194" s="304">
        <f>'Pencapaian New Open Outlet'!G194</f>
        <v>0</v>
      </c>
      <c r="AB194" s="285">
        <f>'Pencapaian New Open Outlet'!I194</f>
        <v>0</v>
      </c>
      <c r="AC194" s="269">
        <f>'Pencapaian Active Outlet'!G194</f>
        <v>0.24</v>
      </c>
      <c r="AD194" s="284">
        <f>'Pencapaian Active Outlet'!I194</f>
        <v>0</v>
      </c>
      <c r="AE194" s="304">
        <f>'Pencapaian Item per Outlet'!G194</f>
        <v>0</v>
      </c>
      <c r="AF194" s="285">
        <f>'Pencapaian Item per Outlet'!I194</f>
        <v>0</v>
      </c>
      <c r="AG194" s="304">
        <f>'Pencapaian Product Display'!G194</f>
        <v>0</v>
      </c>
      <c r="AH194" s="285">
        <f>'Pencapaian Product Display'!I194</f>
        <v>0</v>
      </c>
      <c r="AI194" s="304">
        <f>'Pencapaian Sales Contract'!G194</f>
        <v>0</v>
      </c>
      <c r="AJ194" s="285">
        <f>'Pencapaian Sales Contract'!I194</f>
        <v>0</v>
      </c>
      <c r="AK194" s="304">
        <f>'Pencapaian Co-Branding'!G194</f>
        <v>0</v>
      </c>
      <c r="AL194" s="285">
        <f>'Pencapaian Co-Branding'!I194</f>
        <v>0</v>
      </c>
      <c r="AM194" s="304">
        <f>'Pencapaian Join Event Activity'!G194</f>
        <v>0</v>
      </c>
      <c r="AN194" s="285">
        <f>'Pencapaian Join Event Activity'!I194</f>
        <v>0</v>
      </c>
      <c r="AO194" s="284">
        <f t="shared" si="90"/>
        <v>90000</v>
      </c>
      <c r="AP194" s="322">
        <v>0</v>
      </c>
      <c r="AQ194" s="284">
        <f t="shared" si="103"/>
        <v>0</v>
      </c>
      <c r="AR194" s="322">
        <v>0</v>
      </c>
      <c r="AS194" s="284">
        <f t="shared" si="104"/>
        <v>0</v>
      </c>
      <c r="AT194" s="284">
        <f t="shared" si="93"/>
        <v>90000</v>
      </c>
      <c r="AU194" s="284">
        <f t="shared" si="105"/>
        <v>90000</v>
      </c>
      <c r="AV194" s="284">
        <v>0</v>
      </c>
    </row>
    <row r="195" spans="16:48" x14ac:dyDescent="0.2">
      <c r="P195" s="392"/>
      <c r="Q195" s="321"/>
      <c r="R195" s="323" t="s">
        <v>843</v>
      </c>
      <c r="S195" s="12" t="s">
        <v>675</v>
      </c>
      <c r="T195" s="269">
        <f>'Pencapaian Sales Value'!G195</f>
        <v>0.82181333333333328</v>
      </c>
      <c r="U195" s="284">
        <f>'Pencapaian Sales Value'!I195</f>
        <v>60000</v>
      </c>
      <c r="V195" s="304">
        <f>'Pencapaian Product Focus'!H195</f>
        <v>0</v>
      </c>
      <c r="W195" s="304">
        <f>'Pencapaian Product Focus'!L195</f>
        <v>0</v>
      </c>
      <c r="X195" s="285">
        <f>'Pencapaian Product Focus'!N195</f>
        <v>0</v>
      </c>
      <c r="Y195" s="304">
        <f>'Pencapaian Effective Call'!G195</f>
        <v>0</v>
      </c>
      <c r="Z195" s="285">
        <f>'Pencapaian Effective Call'!I195</f>
        <v>0</v>
      </c>
      <c r="AA195" s="304">
        <f>'Pencapaian New Open Outlet'!G195</f>
        <v>0</v>
      </c>
      <c r="AB195" s="285">
        <f>'Pencapaian New Open Outlet'!I195</f>
        <v>0</v>
      </c>
      <c r="AC195" s="269">
        <f>'Pencapaian Active Outlet'!G195</f>
        <v>0.13333333333333333</v>
      </c>
      <c r="AD195" s="284">
        <f>'Pencapaian Active Outlet'!I195</f>
        <v>0</v>
      </c>
      <c r="AE195" s="304">
        <f>'Pencapaian Item per Outlet'!G195</f>
        <v>0</v>
      </c>
      <c r="AF195" s="285">
        <f>'Pencapaian Item per Outlet'!I195</f>
        <v>0</v>
      </c>
      <c r="AG195" s="304">
        <f>'Pencapaian Product Display'!G195</f>
        <v>0</v>
      </c>
      <c r="AH195" s="285">
        <f>'Pencapaian Product Display'!I195</f>
        <v>0</v>
      </c>
      <c r="AI195" s="304">
        <f>'Pencapaian Sales Contract'!G195</f>
        <v>0</v>
      </c>
      <c r="AJ195" s="285">
        <f>'Pencapaian Sales Contract'!I195</f>
        <v>0</v>
      </c>
      <c r="AK195" s="304">
        <f>'Pencapaian Co-Branding'!G195</f>
        <v>0</v>
      </c>
      <c r="AL195" s="285">
        <f>'Pencapaian Co-Branding'!I195</f>
        <v>0</v>
      </c>
      <c r="AM195" s="304">
        <f>'Pencapaian Join Event Activity'!G195</f>
        <v>0</v>
      </c>
      <c r="AN195" s="285">
        <f>'Pencapaian Join Event Activity'!I195</f>
        <v>0</v>
      </c>
      <c r="AO195" s="284">
        <f t="shared" si="90"/>
        <v>60000</v>
      </c>
      <c r="AP195" s="322">
        <v>0</v>
      </c>
      <c r="AQ195" s="284">
        <f t="shared" si="103"/>
        <v>0</v>
      </c>
      <c r="AR195" s="322">
        <v>0</v>
      </c>
      <c r="AS195" s="284">
        <f t="shared" si="104"/>
        <v>0</v>
      </c>
      <c r="AT195" s="284">
        <f t="shared" si="93"/>
        <v>60000</v>
      </c>
      <c r="AU195" s="284">
        <f t="shared" si="105"/>
        <v>60000</v>
      </c>
      <c r="AV195" s="284">
        <v>0</v>
      </c>
    </row>
    <row r="196" spans="16:48" x14ac:dyDescent="0.2">
      <c r="P196" s="392"/>
      <c r="Q196" s="321"/>
      <c r="R196" s="323" t="s">
        <v>564</v>
      </c>
      <c r="S196" s="12" t="s">
        <v>675</v>
      </c>
      <c r="T196" s="269">
        <f>'Pencapaian Sales Value'!G196</f>
        <v>0.21136666666666667</v>
      </c>
      <c r="U196" s="284">
        <f>'Pencapaian Sales Value'!I196</f>
        <v>0</v>
      </c>
      <c r="V196" s="304">
        <f>'Pencapaian Product Focus'!H196</f>
        <v>0</v>
      </c>
      <c r="W196" s="304">
        <f>'Pencapaian Product Focus'!L196</f>
        <v>0</v>
      </c>
      <c r="X196" s="285">
        <f>'Pencapaian Product Focus'!N196</f>
        <v>0</v>
      </c>
      <c r="Y196" s="304">
        <f>'Pencapaian Effective Call'!G196</f>
        <v>0</v>
      </c>
      <c r="Z196" s="285">
        <f>'Pencapaian Effective Call'!I196</f>
        <v>0</v>
      </c>
      <c r="AA196" s="304">
        <f>'Pencapaian New Open Outlet'!G196</f>
        <v>0</v>
      </c>
      <c r="AB196" s="285">
        <f>'Pencapaian New Open Outlet'!I196</f>
        <v>0</v>
      </c>
      <c r="AC196" s="269">
        <f>'Pencapaian Active Outlet'!G196</f>
        <v>0.17499999999999999</v>
      </c>
      <c r="AD196" s="284">
        <f>'Pencapaian Active Outlet'!I196</f>
        <v>0</v>
      </c>
      <c r="AE196" s="304">
        <f>'Pencapaian Item per Outlet'!G196</f>
        <v>0</v>
      </c>
      <c r="AF196" s="285">
        <f>'Pencapaian Item per Outlet'!I196</f>
        <v>0</v>
      </c>
      <c r="AG196" s="304">
        <f>'Pencapaian Product Display'!G196</f>
        <v>0</v>
      </c>
      <c r="AH196" s="285">
        <f>'Pencapaian Product Display'!I196</f>
        <v>0</v>
      </c>
      <c r="AI196" s="304">
        <f>'Pencapaian Sales Contract'!G196</f>
        <v>0</v>
      </c>
      <c r="AJ196" s="285">
        <f>'Pencapaian Sales Contract'!I196</f>
        <v>0</v>
      </c>
      <c r="AK196" s="304">
        <f>'Pencapaian Co-Branding'!G196</f>
        <v>0</v>
      </c>
      <c r="AL196" s="285">
        <f>'Pencapaian Co-Branding'!I196</f>
        <v>0</v>
      </c>
      <c r="AM196" s="304">
        <f>'Pencapaian Join Event Activity'!G196</f>
        <v>0</v>
      </c>
      <c r="AN196" s="285">
        <f>'Pencapaian Join Event Activity'!I196</f>
        <v>0</v>
      </c>
      <c r="AO196" s="284">
        <f t="shared" si="90"/>
        <v>0</v>
      </c>
      <c r="AP196" s="322">
        <v>0</v>
      </c>
      <c r="AQ196" s="284">
        <f t="shared" si="103"/>
        <v>0</v>
      </c>
      <c r="AR196" s="322">
        <v>0</v>
      </c>
      <c r="AS196" s="284">
        <f t="shared" si="104"/>
        <v>0</v>
      </c>
      <c r="AT196" s="284">
        <f t="shared" si="93"/>
        <v>0</v>
      </c>
      <c r="AU196" s="284">
        <f t="shared" si="105"/>
        <v>0</v>
      </c>
      <c r="AV196" s="284">
        <v>0</v>
      </c>
    </row>
    <row r="197" spans="16:48" ht="14.5" customHeight="1" x14ac:dyDescent="0.2">
      <c r="P197" s="392"/>
      <c r="Q197" s="324"/>
      <c r="R197" s="324" t="s">
        <v>726</v>
      </c>
      <c r="S197" s="64" t="s">
        <v>673</v>
      </c>
      <c r="T197" s="258">
        <f>'Pencapaian Sales Value'!G197</f>
        <v>0.6206593777777778</v>
      </c>
      <c r="U197" s="286">
        <f>'Pencapaian Sales Value'!I197</f>
        <v>0</v>
      </c>
      <c r="V197" s="268">
        <f>'Pencapaian Product Focus'!H197</f>
        <v>0</v>
      </c>
      <c r="W197" s="268">
        <f>'Pencapaian Product Focus'!L197</f>
        <v>0</v>
      </c>
      <c r="X197" s="189">
        <f>'Pencapaian Product Focus'!N197</f>
        <v>0</v>
      </c>
      <c r="Y197" s="268">
        <f>'Pencapaian Effective Call'!G197</f>
        <v>0</v>
      </c>
      <c r="Z197" s="189">
        <f>'Pencapaian Effective Call'!I197</f>
        <v>0</v>
      </c>
      <c r="AA197" s="268">
        <f>'Pencapaian New Open Outlet'!G197</f>
        <v>0</v>
      </c>
      <c r="AB197" s="189">
        <f>'Pencapaian New Open Outlet'!I197</f>
        <v>0</v>
      </c>
      <c r="AC197" s="258">
        <f>'Pencapaian Active Outlet'!G197</f>
        <v>0.14814814814814814</v>
      </c>
      <c r="AD197" s="286">
        <f>'Pencapaian Active Outlet'!I197</f>
        <v>0</v>
      </c>
      <c r="AE197" s="268">
        <f>'Pencapaian Item per Outlet'!G197</f>
        <v>0</v>
      </c>
      <c r="AF197" s="189">
        <f>'Pencapaian Item per Outlet'!I197</f>
        <v>0</v>
      </c>
      <c r="AG197" s="268">
        <f>'Pencapaian Product Display'!G197</f>
        <v>0</v>
      </c>
      <c r="AH197" s="189">
        <f>'Pencapaian Product Display'!I197</f>
        <v>0</v>
      </c>
      <c r="AI197" s="268">
        <f>'Pencapaian Sales Contract'!G197</f>
        <v>0</v>
      </c>
      <c r="AJ197" s="189">
        <f>'Pencapaian Sales Contract'!I197</f>
        <v>0</v>
      </c>
      <c r="AK197" s="268">
        <f>'Pencapaian Co-Branding'!G197</f>
        <v>0</v>
      </c>
      <c r="AL197" s="189">
        <f>'Pencapaian Co-Branding'!I197</f>
        <v>0</v>
      </c>
      <c r="AM197" s="268">
        <f>'Pencapaian Join Event Activity'!G197</f>
        <v>0</v>
      </c>
      <c r="AN197" s="189">
        <f>'Pencapaian Join Event Activity'!I197</f>
        <v>0</v>
      </c>
      <c r="AO197" s="286">
        <f t="shared" si="90"/>
        <v>0</v>
      </c>
      <c r="AP197" s="289">
        <v>0</v>
      </c>
      <c r="AQ197" s="286">
        <f t="shared" si="103"/>
        <v>0</v>
      </c>
      <c r="AR197" s="289">
        <v>0</v>
      </c>
      <c r="AS197" s="286">
        <f t="shared" si="104"/>
        <v>0</v>
      </c>
      <c r="AT197" s="286">
        <f t="shared" si="93"/>
        <v>0</v>
      </c>
      <c r="AU197" s="286">
        <f t="shared" si="105"/>
        <v>0</v>
      </c>
      <c r="AV197" s="286">
        <v>0</v>
      </c>
    </row>
    <row r="198" spans="16:48" x14ac:dyDescent="0.2">
      <c r="P198" s="392"/>
      <c r="Q198" s="324"/>
      <c r="R198" s="324" t="s">
        <v>155</v>
      </c>
      <c r="S198" s="64" t="s">
        <v>20</v>
      </c>
      <c r="T198" s="258">
        <f>'Pencapaian Sales Value'!G198</f>
        <v>0.76989445248868782</v>
      </c>
      <c r="U198" s="286">
        <f>'Pencapaian Sales Value'!I198</f>
        <v>120000</v>
      </c>
      <c r="V198" s="268">
        <f>'Pencapaian Product Focus'!H198</f>
        <v>0</v>
      </c>
      <c r="W198" s="268">
        <f>'Pencapaian Product Focus'!L198</f>
        <v>0</v>
      </c>
      <c r="X198" s="189">
        <f>'Pencapaian Product Focus'!N198</f>
        <v>0</v>
      </c>
      <c r="Y198" s="268">
        <f>'Pencapaian Effective Call'!G198</f>
        <v>0</v>
      </c>
      <c r="Z198" s="189">
        <f>'Pencapaian Effective Call'!I198</f>
        <v>0</v>
      </c>
      <c r="AA198" s="268">
        <f>'Pencapaian New Open Outlet'!G198</f>
        <v>0</v>
      </c>
      <c r="AB198" s="189">
        <f>'Pencapaian New Open Outlet'!I198</f>
        <v>0</v>
      </c>
      <c r="AC198" s="258">
        <f>'Pencapaian Active Outlet'!G198</f>
        <v>0.66352941176470592</v>
      </c>
      <c r="AD198" s="286">
        <f>'Pencapaian Active Outlet'!I198</f>
        <v>0</v>
      </c>
      <c r="AE198" s="268">
        <f>'Pencapaian Item per Outlet'!G198</f>
        <v>0</v>
      </c>
      <c r="AF198" s="189">
        <f>'Pencapaian Item per Outlet'!I198</f>
        <v>0</v>
      </c>
      <c r="AG198" s="268">
        <f>'Pencapaian Product Display'!G198</f>
        <v>0</v>
      </c>
      <c r="AH198" s="189">
        <f>'Pencapaian Product Display'!I198</f>
        <v>0</v>
      </c>
      <c r="AI198" s="268">
        <f>'Pencapaian Sales Contract'!G198</f>
        <v>0</v>
      </c>
      <c r="AJ198" s="189">
        <f>'Pencapaian Sales Contract'!I198</f>
        <v>0</v>
      </c>
      <c r="AK198" s="268">
        <f>'Pencapaian Co-Branding'!G198</f>
        <v>0</v>
      </c>
      <c r="AL198" s="189">
        <f>'Pencapaian Co-Branding'!I198</f>
        <v>0</v>
      </c>
      <c r="AM198" s="268">
        <f>'Pencapaian Join Event Activity'!G198</f>
        <v>0</v>
      </c>
      <c r="AN198" s="189">
        <f>'Pencapaian Join Event Activity'!I198</f>
        <v>0</v>
      </c>
      <c r="AO198" s="286">
        <f t="shared" si="90"/>
        <v>120000</v>
      </c>
      <c r="AP198" s="289">
        <v>0</v>
      </c>
      <c r="AQ198" s="286">
        <f t="shared" si="103"/>
        <v>0</v>
      </c>
      <c r="AR198" s="289">
        <v>0</v>
      </c>
      <c r="AS198" s="286">
        <f t="shared" si="104"/>
        <v>0</v>
      </c>
      <c r="AT198" s="286">
        <f t="shared" si="93"/>
        <v>120000</v>
      </c>
      <c r="AU198" s="286">
        <f t="shared" si="105"/>
        <v>120000</v>
      </c>
      <c r="AV198" s="286">
        <v>0</v>
      </c>
    </row>
    <row r="199" spans="16:48" x14ac:dyDescent="0.2">
      <c r="P199" s="393"/>
      <c r="Q199" s="325"/>
      <c r="R199" s="325" t="s">
        <v>558</v>
      </c>
      <c r="S199" s="42"/>
      <c r="T199" s="264">
        <f>'Pencapaian Sales Value'!G199</f>
        <v>0.76989445248868782</v>
      </c>
      <c r="U199" s="287">
        <f>'Pencapaian Sales Value'!I199</f>
        <v>690000</v>
      </c>
      <c r="V199" s="274">
        <f>'Pencapaian Product Focus'!H199</f>
        <v>0</v>
      </c>
      <c r="W199" s="274">
        <f>'Pencapaian Product Focus'!L199</f>
        <v>0</v>
      </c>
      <c r="X199" s="190">
        <f>'Pencapaian Product Focus'!N199</f>
        <v>0</v>
      </c>
      <c r="Y199" s="274">
        <f>'Pencapaian Effective Call'!G199</f>
        <v>0</v>
      </c>
      <c r="Z199" s="190">
        <f>'Pencapaian Effective Call'!I199</f>
        <v>0</v>
      </c>
      <c r="AA199" s="274">
        <f>'Pencapaian New Open Outlet'!G199</f>
        <v>0</v>
      </c>
      <c r="AB199" s="190">
        <f>'Pencapaian New Open Outlet'!I199</f>
        <v>0</v>
      </c>
      <c r="AC199" s="264">
        <f>'Pencapaian Active Outlet'!G199</f>
        <v>0.66352941176470592</v>
      </c>
      <c r="AD199" s="287">
        <f>'Pencapaian Active Outlet'!I199</f>
        <v>483000</v>
      </c>
      <c r="AE199" s="274">
        <f>'Pencapaian Item per Outlet'!G199</f>
        <v>0</v>
      </c>
      <c r="AF199" s="190">
        <f>'Pencapaian Item per Outlet'!I199</f>
        <v>0</v>
      </c>
      <c r="AG199" s="274">
        <f>'Pencapaian Product Display'!G199</f>
        <v>0</v>
      </c>
      <c r="AH199" s="190">
        <f>'Pencapaian Product Display'!I199</f>
        <v>0</v>
      </c>
      <c r="AI199" s="274">
        <f>'Pencapaian Sales Contract'!G199</f>
        <v>0</v>
      </c>
      <c r="AJ199" s="190">
        <f>'Pencapaian Sales Contract'!I199</f>
        <v>0</v>
      </c>
      <c r="AK199" s="274">
        <f>'Pencapaian Co-Branding'!G199</f>
        <v>0</v>
      </c>
      <c r="AL199" s="190">
        <f>'Pencapaian Co-Branding'!I199</f>
        <v>0</v>
      </c>
      <c r="AM199" s="274">
        <f>'Pencapaian Join Event Activity'!G199</f>
        <v>0</v>
      </c>
      <c r="AN199" s="190">
        <f>'Pencapaian Join Event Activity'!I199</f>
        <v>0</v>
      </c>
      <c r="AO199" s="287">
        <f t="shared" si="90"/>
        <v>1173000</v>
      </c>
      <c r="AP199" s="290">
        <v>0</v>
      </c>
      <c r="AQ199" s="287">
        <f>SUM(AQ191:AQ198,AQ182:AQ189)</f>
        <v>0</v>
      </c>
      <c r="AR199" s="290">
        <v>0</v>
      </c>
      <c r="AS199" s="287">
        <f>SUM(AS191:AS198,AS182:AS189)</f>
        <v>0</v>
      </c>
      <c r="AT199" s="287">
        <f t="shared" si="93"/>
        <v>1173000</v>
      </c>
      <c r="AU199" s="287">
        <f>SUM(AU191:AU198,AU182:AU189)</f>
        <v>1173000</v>
      </c>
      <c r="AV199" s="287">
        <f>SUM(AV191:AV198,AV182:AV189)</f>
        <v>0</v>
      </c>
    </row>
    <row r="200" spans="16:48" ht="14.5" customHeight="1" x14ac:dyDescent="0.2">
      <c r="P200" s="395" t="s">
        <v>554</v>
      </c>
      <c r="Q200" s="321"/>
      <c r="R200" s="323" t="s">
        <v>550</v>
      </c>
      <c r="S200" s="12" t="s">
        <v>675</v>
      </c>
      <c r="T200" s="269">
        <f>'Pencapaian Sales Value'!G200</f>
        <v>9.6902199999999994E-2</v>
      </c>
      <c r="U200" s="284">
        <f>'Pencapaian Sales Value'!I200</f>
        <v>0</v>
      </c>
      <c r="V200" s="304">
        <f>'Pencapaian Product Focus'!H200</f>
        <v>0</v>
      </c>
      <c r="W200" s="304">
        <f>'Pencapaian Product Focus'!L200</f>
        <v>0</v>
      </c>
      <c r="X200" s="285">
        <f>'Pencapaian Product Focus'!N200</f>
        <v>0</v>
      </c>
      <c r="Y200" s="304">
        <f>'Pencapaian Effective Call'!G200</f>
        <v>0</v>
      </c>
      <c r="Z200" s="285">
        <f>'Pencapaian Effective Call'!I200</f>
        <v>0</v>
      </c>
      <c r="AA200" s="304">
        <f>'Pencapaian New Open Outlet'!G200</f>
        <v>0</v>
      </c>
      <c r="AB200" s="285">
        <f>'Pencapaian New Open Outlet'!I200</f>
        <v>0</v>
      </c>
      <c r="AC200" s="269">
        <f>'Pencapaian Active Outlet'!G200</f>
        <v>0.28000000000000003</v>
      </c>
      <c r="AD200" s="284">
        <f>'Pencapaian Active Outlet'!I200</f>
        <v>0</v>
      </c>
      <c r="AE200" s="304">
        <f>'Pencapaian Item per Outlet'!G200</f>
        <v>0</v>
      </c>
      <c r="AF200" s="285">
        <f>'Pencapaian Item per Outlet'!I200</f>
        <v>0</v>
      </c>
      <c r="AG200" s="304">
        <f>'Pencapaian Product Display'!G200</f>
        <v>0</v>
      </c>
      <c r="AH200" s="285">
        <f>'Pencapaian Product Display'!I200</f>
        <v>0</v>
      </c>
      <c r="AI200" s="304">
        <f>'Pencapaian Sales Contract'!G200</f>
        <v>0</v>
      </c>
      <c r="AJ200" s="285">
        <f>'Pencapaian Sales Contract'!I200</f>
        <v>0</v>
      </c>
      <c r="AK200" s="304">
        <f>'Pencapaian Co-Branding'!G200</f>
        <v>0</v>
      </c>
      <c r="AL200" s="285">
        <f>'Pencapaian Co-Branding'!I200</f>
        <v>0</v>
      </c>
      <c r="AM200" s="304">
        <f>'Pencapaian Join Event Activity'!G200</f>
        <v>0</v>
      </c>
      <c r="AN200" s="285">
        <f>'Pencapaian Join Event Activity'!I200</f>
        <v>0</v>
      </c>
      <c r="AO200" s="284">
        <f t="shared" si="90"/>
        <v>0</v>
      </c>
      <c r="AP200" s="322">
        <v>0</v>
      </c>
      <c r="AQ200" s="284">
        <f t="shared" ref="AQ200:AQ214" si="106">IF(AP200&gt;=0.5%,-(AO200*10%),0)</f>
        <v>0</v>
      </c>
      <c r="AR200" s="322">
        <v>0</v>
      </c>
      <c r="AS200" s="284">
        <f t="shared" ref="AS200:AS214" si="107">IF(AR200&gt;0,-(AO200+AQ200),0)</f>
        <v>0</v>
      </c>
      <c r="AT200" s="284">
        <f t="shared" si="93"/>
        <v>0</v>
      </c>
      <c r="AU200" s="284">
        <f t="shared" ref="AU200:AU214" si="108">AT200</f>
        <v>0</v>
      </c>
      <c r="AV200" s="284">
        <v>0</v>
      </c>
    </row>
    <row r="201" spans="16:48" ht="14.5" customHeight="1" x14ac:dyDescent="0.2">
      <c r="P201" s="392"/>
      <c r="Q201" s="321"/>
      <c r="R201" s="323" t="s">
        <v>900</v>
      </c>
      <c r="S201" s="12"/>
      <c r="T201" s="269" t="e">
        <f>'Pencapaian Sales Value'!G201</f>
        <v>#DIV/0!</v>
      </c>
      <c r="U201" s="284">
        <f>'Pencapaian Sales Value'!I201</f>
        <v>0</v>
      </c>
      <c r="V201" s="304">
        <f>'Pencapaian Product Focus'!H201</f>
        <v>0</v>
      </c>
      <c r="W201" s="304">
        <f>'Pencapaian Product Focus'!L201</f>
        <v>0</v>
      </c>
      <c r="X201" s="285">
        <f>'Pencapaian Product Focus'!N201</f>
        <v>0</v>
      </c>
      <c r="Y201" s="304">
        <f>'Pencapaian Effective Call'!G201</f>
        <v>0</v>
      </c>
      <c r="Z201" s="285">
        <f>'Pencapaian Effective Call'!I201</f>
        <v>0</v>
      </c>
      <c r="AA201" s="304">
        <f>'Pencapaian New Open Outlet'!G201</f>
        <v>0</v>
      </c>
      <c r="AB201" s="285">
        <f>'Pencapaian New Open Outlet'!I201</f>
        <v>0</v>
      </c>
      <c r="AC201" s="269" t="e">
        <f>'Pencapaian Active Outlet'!G201</f>
        <v>#DIV/0!</v>
      </c>
      <c r="AD201" s="284">
        <f>'Pencapaian Active Outlet'!I201</f>
        <v>0</v>
      </c>
      <c r="AE201" s="304">
        <f>'Pencapaian Item per Outlet'!G201</f>
        <v>0</v>
      </c>
      <c r="AF201" s="285">
        <f>'Pencapaian Item per Outlet'!I201</f>
        <v>0</v>
      </c>
      <c r="AG201" s="304">
        <f>'Pencapaian Product Display'!G201</f>
        <v>0</v>
      </c>
      <c r="AH201" s="285">
        <f>'Pencapaian Product Display'!I201</f>
        <v>0</v>
      </c>
      <c r="AI201" s="304">
        <f>'Pencapaian Sales Contract'!G201</f>
        <v>0</v>
      </c>
      <c r="AJ201" s="285">
        <f>'Pencapaian Sales Contract'!I201</f>
        <v>0</v>
      </c>
      <c r="AK201" s="304">
        <f>'Pencapaian Co-Branding'!G201</f>
        <v>0</v>
      </c>
      <c r="AL201" s="285">
        <f>'Pencapaian Co-Branding'!I201</f>
        <v>0</v>
      </c>
      <c r="AM201" s="304">
        <f>'Pencapaian Join Event Activity'!G201</f>
        <v>0</v>
      </c>
      <c r="AN201" s="285">
        <f>'Pencapaian Join Event Activity'!I201</f>
        <v>0</v>
      </c>
      <c r="AO201" s="284">
        <f t="shared" si="90"/>
        <v>0</v>
      </c>
      <c r="AP201" s="322">
        <v>0</v>
      </c>
      <c r="AQ201" s="284">
        <f t="shared" si="106"/>
        <v>0</v>
      </c>
      <c r="AR201" s="322">
        <v>0</v>
      </c>
      <c r="AS201" s="284">
        <f t="shared" si="107"/>
        <v>0</v>
      </c>
      <c r="AT201" s="284">
        <f t="shared" si="93"/>
        <v>0</v>
      </c>
      <c r="AU201" s="284">
        <f t="shared" si="108"/>
        <v>0</v>
      </c>
      <c r="AV201" s="284">
        <v>0</v>
      </c>
    </row>
    <row r="202" spans="16:48" ht="14.5" customHeight="1" x14ac:dyDescent="0.2">
      <c r="P202" s="392"/>
      <c r="Q202" s="321"/>
      <c r="R202" s="323" t="s">
        <v>551</v>
      </c>
      <c r="S202" s="12" t="s">
        <v>675</v>
      </c>
      <c r="T202" s="269">
        <f>'Pencapaian Sales Value'!G202</f>
        <v>0.39028000000000002</v>
      </c>
      <c r="U202" s="284">
        <f>'Pencapaian Sales Value'!I202</f>
        <v>0</v>
      </c>
      <c r="V202" s="304">
        <f>'Pencapaian Product Focus'!H202</f>
        <v>0</v>
      </c>
      <c r="W202" s="304">
        <f>'Pencapaian Product Focus'!L202</f>
        <v>0</v>
      </c>
      <c r="X202" s="285">
        <f>'Pencapaian Product Focus'!N202</f>
        <v>0</v>
      </c>
      <c r="Y202" s="304">
        <f>'Pencapaian Effective Call'!G202</f>
        <v>0</v>
      </c>
      <c r="Z202" s="285">
        <f>'Pencapaian Effective Call'!I202</f>
        <v>0</v>
      </c>
      <c r="AA202" s="304">
        <f>'Pencapaian New Open Outlet'!G202</f>
        <v>0</v>
      </c>
      <c r="AB202" s="285">
        <f>'Pencapaian New Open Outlet'!I202</f>
        <v>0</v>
      </c>
      <c r="AC202" s="269">
        <f>'Pencapaian Active Outlet'!G202</f>
        <v>0.26666666666666666</v>
      </c>
      <c r="AD202" s="284">
        <f>'Pencapaian Active Outlet'!I202</f>
        <v>0</v>
      </c>
      <c r="AE202" s="304">
        <f>'Pencapaian Item per Outlet'!G202</f>
        <v>0</v>
      </c>
      <c r="AF202" s="285">
        <f>'Pencapaian Item per Outlet'!I202</f>
        <v>0</v>
      </c>
      <c r="AG202" s="304">
        <f>'Pencapaian Product Display'!G202</f>
        <v>0</v>
      </c>
      <c r="AH202" s="285">
        <f>'Pencapaian Product Display'!I202</f>
        <v>0</v>
      </c>
      <c r="AI202" s="304">
        <f>'Pencapaian Sales Contract'!G202</f>
        <v>0</v>
      </c>
      <c r="AJ202" s="285">
        <f>'Pencapaian Sales Contract'!I202</f>
        <v>0</v>
      </c>
      <c r="AK202" s="304">
        <f>'Pencapaian Co-Branding'!G202</f>
        <v>0</v>
      </c>
      <c r="AL202" s="285">
        <f>'Pencapaian Co-Branding'!I202</f>
        <v>0</v>
      </c>
      <c r="AM202" s="304">
        <f>'Pencapaian Join Event Activity'!G202</f>
        <v>0</v>
      </c>
      <c r="AN202" s="285">
        <f>'Pencapaian Join Event Activity'!I202</f>
        <v>0</v>
      </c>
      <c r="AO202" s="284">
        <f t="shared" si="90"/>
        <v>0</v>
      </c>
      <c r="AP202" s="322">
        <v>0</v>
      </c>
      <c r="AQ202" s="284">
        <f t="shared" si="106"/>
        <v>0</v>
      </c>
      <c r="AR202" s="322">
        <v>0</v>
      </c>
      <c r="AS202" s="284">
        <f t="shared" si="107"/>
        <v>0</v>
      </c>
      <c r="AT202" s="284">
        <f t="shared" si="93"/>
        <v>0</v>
      </c>
      <c r="AU202" s="284">
        <f t="shared" si="108"/>
        <v>0</v>
      </c>
      <c r="AV202" s="284">
        <v>0</v>
      </c>
    </row>
    <row r="203" spans="16:48" x14ac:dyDescent="0.2">
      <c r="P203" s="392"/>
      <c r="Q203" s="321"/>
      <c r="R203" s="323" t="s">
        <v>548</v>
      </c>
      <c r="S203" s="12" t="s">
        <v>675</v>
      </c>
      <c r="T203" s="269">
        <f>'Pencapaian Sales Value'!G203</f>
        <v>3.3529000000000003E-2</v>
      </c>
      <c r="U203" s="284">
        <f>'Pencapaian Sales Value'!I203</f>
        <v>0</v>
      </c>
      <c r="V203" s="304">
        <f>'Pencapaian Product Focus'!H203</f>
        <v>0</v>
      </c>
      <c r="W203" s="304">
        <f>'Pencapaian Product Focus'!L203</f>
        <v>0</v>
      </c>
      <c r="X203" s="285">
        <f>'Pencapaian Product Focus'!N203</f>
        <v>0</v>
      </c>
      <c r="Y203" s="304">
        <f>'Pencapaian Effective Call'!G203</f>
        <v>0</v>
      </c>
      <c r="Z203" s="285">
        <f>'Pencapaian Effective Call'!I203</f>
        <v>0</v>
      </c>
      <c r="AA203" s="304">
        <f>'Pencapaian New Open Outlet'!G203</f>
        <v>0</v>
      </c>
      <c r="AB203" s="285">
        <f>'Pencapaian New Open Outlet'!I203</f>
        <v>0</v>
      </c>
      <c r="AC203" s="269">
        <f>'Pencapaian Active Outlet'!G203</f>
        <v>0.16666666666666666</v>
      </c>
      <c r="AD203" s="284">
        <f>'Pencapaian Active Outlet'!I203</f>
        <v>0</v>
      </c>
      <c r="AE203" s="304">
        <f>'Pencapaian Item per Outlet'!G203</f>
        <v>0</v>
      </c>
      <c r="AF203" s="285">
        <f>'Pencapaian Item per Outlet'!I203</f>
        <v>0</v>
      </c>
      <c r="AG203" s="304">
        <f>'Pencapaian Product Display'!G203</f>
        <v>0</v>
      </c>
      <c r="AH203" s="285">
        <f>'Pencapaian Product Display'!I203</f>
        <v>0</v>
      </c>
      <c r="AI203" s="304">
        <f>'Pencapaian Sales Contract'!G203</f>
        <v>0</v>
      </c>
      <c r="AJ203" s="285">
        <f>'Pencapaian Sales Contract'!I203</f>
        <v>0</v>
      </c>
      <c r="AK203" s="304">
        <f>'Pencapaian Co-Branding'!G203</f>
        <v>0</v>
      </c>
      <c r="AL203" s="285">
        <f>'Pencapaian Co-Branding'!I203</f>
        <v>0</v>
      </c>
      <c r="AM203" s="304">
        <f>'Pencapaian Join Event Activity'!G203</f>
        <v>0</v>
      </c>
      <c r="AN203" s="285">
        <f>'Pencapaian Join Event Activity'!I203</f>
        <v>0</v>
      </c>
      <c r="AO203" s="284">
        <f t="shared" si="90"/>
        <v>0</v>
      </c>
      <c r="AP203" s="322">
        <v>0</v>
      </c>
      <c r="AQ203" s="284">
        <f t="shared" si="106"/>
        <v>0</v>
      </c>
      <c r="AR203" s="322">
        <v>0</v>
      </c>
      <c r="AS203" s="284">
        <f t="shared" si="107"/>
        <v>0</v>
      </c>
      <c r="AT203" s="284">
        <f t="shared" si="93"/>
        <v>0</v>
      </c>
      <c r="AU203" s="284">
        <f t="shared" si="108"/>
        <v>0</v>
      </c>
      <c r="AV203" s="284">
        <v>0</v>
      </c>
    </row>
    <row r="204" spans="16:48" x14ac:dyDescent="0.2">
      <c r="P204" s="392"/>
      <c r="Q204" s="321"/>
      <c r="R204" s="323" t="s">
        <v>549</v>
      </c>
      <c r="S204" s="12" t="s">
        <v>675</v>
      </c>
      <c r="T204" s="269">
        <f>'Pencapaian Sales Value'!G204</f>
        <v>0.87134780000000001</v>
      </c>
      <c r="U204" s="284">
        <f>'Pencapaian Sales Value'!I204</f>
        <v>60000</v>
      </c>
      <c r="V204" s="304">
        <f>'Pencapaian Product Focus'!H204</f>
        <v>0</v>
      </c>
      <c r="W204" s="304">
        <f>'Pencapaian Product Focus'!L204</f>
        <v>0</v>
      </c>
      <c r="X204" s="285">
        <f>'Pencapaian Product Focus'!N204</f>
        <v>0</v>
      </c>
      <c r="Y204" s="304">
        <f>'Pencapaian Effective Call'!G204</f>
        <v>0</v>
      </c>
      <c r="Z204" s="285">
        <f>'Pencapaian Effective Call'!I204</f>
        <v>0</v>
      </c>
      <c r="AA204" s="304">
        <f>'Pencapaian New Open Outlet'!G204</f>
        <v>0</v>
      </c>
      <c r="AB204" s="285">
        <f>'Pencapaian New Open Outlet'!I204</f>
        <v>0</v>
      </c>
      <c r="AC204" s="269">
        <f>'Pencapaian Active Outlet'!G204</f>
        <v>0.48</v>
      </c>
      <c r="AD204" s="284">
        <f>'Pencapaian Active Outlet'!I204</f>
        <v>0</v>
      </c>
      <c r="AE204" s="304">
        <f>'Pencapaian Item per Outlet'!G204</f>
        <v>0</v>
      </c>
      <c r="AF204" s="285">
        <f>'Pencapaian Item per Outlet'!I204</f>
        <v>0</v>
      </c>
      <c r="AG204" s="304">
        <f>'Pencapaian Product Display'!G204</f>
        <v>0</v>
      </c>
      <c r="AH204" s="285">
        <f>'Pencapaian Product Display'!I204</f>
        <v>0</v>
      </c>
      <c r="AI204" s="304">
        <f>'Pencapaian Sales Contract'!G204</f>
        <v>0</v>
      </c>
      <c r="AJ204" s="285">
        <f>'Pencapaian Sales Contract'!I204</f>
        <v>0</v>
      </c>
      <c r="AK204" s="304">
        <f>'Pencapaian Co-Branding'!G204</f>
        <v>0</v>
      </c>
      <c r="AL204" s="285">
        <f>'Pencapaian Co-Branding'!I204</f>
        <v>0</v>
      </c>
      <c r="AM204" s="304">
        <f>'Pencapaian Join Event Activity'!G204</f>
        <v>0</v>
      </c>
      <c r="AN204" s="285">
        <f>'Pencapaian Join Event Activity'!I204</f>
        <v>0</v>
      </c>
      <c r="AO204" s="284">
        <f t="shared" si="90"/>
        <v>60000</v>
      </c>
      <c r="AP204" s="322">
        <v>0</v>
      </c>
      <c r="AQ204" s="284">
        <f t="shared" si="106"/>
        <v>0</v>
      </c>
      <c r="AR204" s="322">
        <v>0</v>
      </c>
      <c r="AS204" s="284">
        <f t="shared" si="107"/>
        <v>0</v>
      </c>
      <c r="AT204" s="284">
        <f t="shared" si="93"/>
        <v>60000</v>
      </c>
      <c r="AU204" s="284">
        <f t="shared" si="108"/>
        <v>60000</v>
      </c>
      <c r="AV204" s="284">
        <v>0</v>
      </c>
    </row>
    <row r="205" spans="16:48" x14ac:dyDescent="0.2">
      <c r="P205" s="392"/>
      <c r="Q205" s="324"/>
      <c r="R205" s="324" t="s">
        <v>708</v>
      </c>
      <c r="S205" s="64" t="s">
        <v>673</v>
      </c>
      <c r="T205" s="258">
        <f>'Pencapaian Sales Value'!G205</f>
        <v>0.35249914285714284</v>
      </c>
      <c r="U205" s="286">
        <f>'Pencapaian Sales Value'!I205</f>
        <v>0</v>
      </c>
      <c r="V205" s="268">
        <f>'Pencapaian Product Focus'!H205</f>
        <v>0</v>
      </c>
      <c r="W205" s="268">
        <f>'Pencapaian Product Focus'!L205</f>
        <v>0</v>
      </c>
      <c r="X205" s="189">
        <f>'Pencapaian Product Focus'!N205</f>
        <v>0</v>
      </c>
      <c r="Y205" s="268">
        <f>'Pencapaian Effective Call'!G205</f>
        <v>0</v>
      </c>
      <c r="Z205" s="189">
        <f>'Pencapaian Effective Call'!I205</f>
        <v>0</v>
      </c>
      <c r="AA205" s="268">
        <f>'Pencapaian New Open Outlet'!G205</f>
        <v>0</v>
      </c>
      <c r="AB205" s="189">
        <f>'Pencapaian New Open Outlet'!I205</f>
        <v>0</v>
      </c>
      <c r="AC205" s="258">
        <f>'Pencapaian Active Outlet'!G205</f>
        <v>0.32500000000000001</v>
      </c>
      <c r="AD205" s="286">
        <f>'Pencapaian Active Outlet'!I205</f>
        <v>0</v>
      </c>
      <c r="AE205" s="268">
        <f>'Pencapaian Item per Outlet'!G205</f>
        <v>0</v>
      </c>
      <c r="AF205" s="189">
        <f>'Pencapaian Item per Outlet'!I205</f>
        <v>0</v>
      </c>
      <c r="AG205" s="268">
        <f>'Pencapaian Product Display'!G205</f>
        <v>0</v>
      </c>
      <c r="AH205" s="189">
        <f>'Pencapaian Product Display'!I205</f>
        <v>0</v>
      </c>
      <c r="AI205" s="268">
        <f>'Pencapaian Sales Contract'!G205</f>
        <v>0</v>
      </c>
      <c r="AJ205" s="189">
        <f>'Pencapaian Sales Contract'!I205</f>
        <v>0</v>
      </c>
      <c r="AK205" s="268">
        <f>'Pencapaian Co-Branding'!G205</f>
        <v>0</v>
      </c>
      <c r="AL205" s="189">
        <f>'Pencapaian Co-Branding'!I205</f>
        <v>0</v>
      </c>
      <c r="AM205" s="268">
        <f>'Pencapaian Join Event Activity'!G205</f>
        <v>0</v>
      </c>
      <c r="AN205" s="189">
        <f>'Pencapaian Join Event Activity'!I205</f>
        <v>0</v>
      </c>
      <c r="AO205" s="286">
        <f t="shared" si="90"/>
        <v>0</v>
      </c>
      <c r="AP205" s="289">
        <v>0</v>
      </c>
      <c r="AQ205" s="286">
        <f t="shared" si="106"/>
        <v>0</v>
      </c>
      <c r="AR205" s="289">
        <v>0</v>
      </c>
      <c r="AS205" s="286">
        <f t="shared" si="107"/>
        <v>0</v>
      </c>
      <c r="AT205" s="286">
        <f t="shared" si="93"/>
        <v>0</v>
      </c>
      <c r="AU205" s="286">
        <f t="shared" si="108"/>
        <v>0</v>
      </c>
      <c r="AV205" s="286">
        <v>0</v>
      </c>
    </row>
    <row r="206" spans="16:48" ht="14.5" customHeight="1" x14ac:dyDescent="0.2">
      <c r="P206" s="392"/>
      <c r="Q206" s="321" t="s">
        <v>407</v>
      </c>
      <c r="R206" s="12" t="s">
        <v>326</v>
      </c>
      <c r="S206" s="12" t="s">
        <v>571</v>
      </c>
      <c r="T206" s="269">
        <f>'Pencapaian Sales Value'!G206</f>
        <v>3.0457728888888891</v>
      </c>
      <c r="U206" s="284">
        <f>'Pencapaian Sales Value'!I206</f>
        <v>330000</v>
      </c>
      <c r="V206" s="304">
        <f>'Pencapaian Product Focus'!H206</f>
        <v>0</v>
      </c>
      <c r="W206" s="304">
        <f>'Pencapaian Product Focus'!L206</f>
        <v>0</v>
      </c>
      <c r="X206" s="285">
        <f>'Pencapaian Product Focus'!N206</f>
        <v>0</v>
      </c>
      <c r="Y206" s="304">
        <f>'Pencapaian Effective Call'!G206</f>
        <v>0</v>
      </c>
      <c r="Z206" s="285">
        <f>'Pencapaian Effective Call'!I206</f>
        <v>0</v>
      </c>
      <c r="AA206" s="304">
        <f>'Pencapaian New Open Outlet'!G206</f>
        <v>0</v>
      </c>
      <c r="AB206" s="285">
        <f>'Pencapaian New Open Outlet'!I206</f>
        <v>0</v>
      </c>
      <c r="AC206" s="269">
        <f>'Pencapaian Active Outlet'!G206</f>
        <v>0.66</v>
      </c>
      <c r="AD206" s="284">
        <f>'Pencapaian Active Outlet'!I206</f>
        <v>0</v>
      </c>
      <c r="AE206" s="304">
        <f>'Pencapaian Item per Outlet'!G206</f>
        <v>0</v>
      </c>
      <c r="AF206" s="285">
        <f>'Pencapaian Item per Outlet'!I206</f>
        <v>0</v>
      </c>
      <c r="AG206" s="304">
        <f>'Pencapaian Product Display'!G206</f>
        <v>0</v>
      </c>
      <c r="AH206" s="285">
        <f>'Pencapaian Product Display'!I206</f>
        <v>0</v>
      </c>
      <c r="AI206" s="304">
        <f>'Pencapaian Sales Contract'!G206</f>
        <v>0</v>
      </c>
      <c r="AJ206" s="285">
        <f>'Pencapaian Sales Contract'!I206</f>
        <v>0</v>
      </c>
      <c r="AK206" s="304">
        <f>'Pencapaian Co-Branding'!G206</f>
        <v>0</v>
      </c>
      <c r="AL206" s="285">
        <f>'Pencapaian Co-Branding'!I206</f>
        <v>0</v>
      </c>
      <c r="AM206" s="304">
        <f>'Pencapaian Join Event Activity'!G206</f>
        <v>0</v>
      </c>
      <c r="AN206" s="285">
        <f>'Pencapaian Join Event Activity'!I206</f>
        <v>0</v>
      </c>
      <c r="AO206" s="284">
        <f t="shared" si="90"/>
        <v>330000</v>
      </c>
      <c r="AP206" s="322">
        <v>0</v>
      </c>
      <c r="AQ206" s="284">
        <f t="shared" si="106"/>
        <v>0</v>
      </c>
      <c r="AR206" s="322">
        <v>0</v>
      </c>
      <c r="AS206" s="284">
        <f t="shared" si="107"/>
        <v>0</v>
      </c>
      <c r="AT206" s="284">
        <f t="shared" si="93"/>
        <v>330000</v>
      </c>
      <c r="AU206" s="284">
        <f t="shared" si="108"/>
        <v>330000</v>
      </c>
      <c r="AV206" s="284">
        <v>0</v>
      </c>
    </row>
    <row r="207" spans="16:48" ht="14.5" customHeight="1" x14ac:dyDescent="0.2">
      <c r="P207" s="392"/>
      <c r="Q207" s="321"/>
      <c r="R207" s="323" t="s">
        <v>553</v>
      </c>
      <c r="S207" s="12" t="s">
        <v>675</v>
      </c>
      <c r="T207" s="269">
        <f>'Pencapaian Sales Value'!G207</f>
        <v>1.585E-3</v>
      </c>
      <c r="U207" s="284">
        <f>'Pencapaian Sales Value'!I207</f>
        <v>0</v>
      </c>
      <c r="V207" s="304">
        <f>'Pencapaian Product Focus'!H207</f>
        <v>0</v>
      </c>
      <c r="W207" s="304">
        <f>'Pencapaian Product Focus'!L207</f>
        <v>0</v>
      </c>
      <c r="X207" s="285">
        <f>'Pencapaian Product Focus'!N207</f>
        <v>0</v>
      </c>
      <c r="Y207" s="304">
        <f>'Pencapaian Effective Call'!G207</f>
        <v>0</v>
      </c>
      <c r="Z207" s="285">
        <f>'Pencapaian Effective Call'!I207</f>
        <v>0</v>
      </c>
      <c r="AA207" s="304">
        <f>'Pencapaian New Open Outlet'!G207</f>
        <v>0</v>
      </c>
      <c r="AB207" s="285">
        <f>'Pencapaian New Open Outlet'!I207</f>
        <v>0</v>
      </c>
      <c r="AC207" s="269">
        <f>'Pencapaian Active Outlet'!G207</f>
        <v>0</v>
      </c>
      <c r="AD207" s="284">
        <f>'Pencapaian Active Outlet'!I207</f>
        <v>0</v>
      </c>
      <c r="AE207" s="304">
        <f>'Pencapaian Item per Outlet'!G207</f>
        <v>0</v>
      </c>
      <c r="AF207" s="285">
        <f>'Pencapaian Item per Outlet'!I207</f>
        <v>0</v>
      </c>
      <c r="AG207" s="304">
        <f>'Pencapaian Product Display'!G207</f>
        <v>0</v>
      </c>
      <c r="AH207" s="285">
        <f>'Pencapaian Product Display'!I207</f>
        <v>0</v>
      </c>
      <c r="AI207" s="304">
        <f>'Pencapaian Sales Contract'!G207</f>
        <v>0</v>
      </c>
      <c r="AJ207" s="285">
        <f>'Pencapaian Sales Contract'!I207</f>
        <v>0</v>
      </c>
      <c r="AK207" s="304">
        <f>'Pencapaian Co-Branding'!G207</f>
        <v>0</v>
      </c>
      <c r="AL207" s="285">
        <f>'Pencapaian Co-Branding'!I207</f>
        <v>0</v>
      </c>
      <c r="AM207" s="304">
        <f>'Pencapaian Join Event Activity'!G207</f>
        <v>0</v>
      </c>
      <c r="AN207" s="285">
        <f>'Pencapaian Join Event Activity'!I207</f>
        <v>0</v>
      </c>
      <c r="AO207" s="284">
        <f t="shared" si="90"/>
        <v>0</v>
      </c>
      <c r="AP207" s="322">
        <v>0</v>
      </c>
      <c r="AQ207" s="284">
        <f t="shared" si="106"/>
        <v>0</v>
      </c>
      <c r="AR207" s="322">
        <v>0</v>
      </c>
      <c r="AS207" s="284">
        <f t="shared" si="107"/>
        <v>0</v>
      </c>
      <c r="AT207" s="284">
        <f t="shared" si="93"/>
        <v>0</v>
      </c>
      <c r="AU207" s="284">
        <f t="shared" si="108"/>
        <v>0</v>
      </c>
      <c r="AV207" s="284">
        <v>0</v>
      </c>
    </row>
    <row r="208" spans="16:48" x14ac:dyDescent="0.2">
      <c r="P208" s="392"/>
      <c r="Q208" s="321"/>
      <c r="R208" s="323" t="s">
        <v>552</v>
      </c>
      <c r="S208" s="12" t="s">
        <v>675</v>
      </c>
      <c r="T208" s="269">
        <f>'Pencapaian Sales Value'!G208</f>
        <v>-1.345E-2</v>
      </c>
      <c r="U208" s="284">
        <f>'Pencapaian Sales Value'!I208</f>
        <v>0</v>
      </c>
      <c r="V208" s="304">
        <f>'Pencapaian Product Focus'!H208</f>
        <v>0</v>
      </c>
      <c r="W208" s="304">
        <f>'Pencapaian Product Focus'!L208</f>
        <v>0</v>
      </c>
      <c r="X208" s="285">
        <f>'Pencapaian Product Focus'!N208</f>
        <v>0</v>
      </c>
      <c r="Y208" s="304">
        <f>'Pencapaian Effective Call'!G208</f>
        <v>0</v>
      </c>
      <c r="Z208" s="285">
        <f>'Pencapaian Effective Call'!I208</f>
        <v>0</v>
      </c>
      <c r="AA208" s="304">
        <f>'Pencapaian New Open Outlet'!G208</f>
        <v>0</v>
      </c>
      <c r="AB208" s="285">
        <f>'Pencapaian New Open Outlet'!I208</f>
        <v>0</v>
      </c>
      <c r="AC208" s="269">
        <f>'Pencapaian Active Outlet'!G208</f>
        <v>0</v>
      </c>
      <c r="AD208" s="284">
        <f>'Pencapaian Active Outlet'!I208</f>
        <v>0</v>
      </c>
      <c r="AE208" s="304">
        <f>'Pencapaian Item per Outlet'!G208</f>
        <v>0</v>
      </c>
      <c r="AF208" s="285">
        <f>'Pencapaian Item per Outlet'!I208</f>
        <v>0</v>
      </c>
      <c r="AG208" s="304">
        <f>'Pencapaian Product Display'!G208</f>
        <v>0</v>
      </c>
      <c r="AH208" s="285">
        <f>'Pencapaian Product Display'!I208</f>
        <v>0</v>
      </c>
      <c r="AI208" s="304">
        <f>'Pencapaian Sales Contract'!G208</f>
        <v>0</v>
      </c>
      <c r="AJ208" s="285">
        <f>'Pencapaian Sales Contract'!I208</f>
        <v>0</v>
      </c>
      <c r="AK208" s="304">
        <f>'Pencapaian Co-Branding'!G208</f>
        <v>0</v>
      </c>
      <c r="AL208" s="285">
        <f>'Pencapaian Co-Branding'!I208</f>
        <v>0</v>
      </c>
      <c r="AM208" s="304">
        <f>'Pencapaian Join Event Activity'!G208</f>
        <v>0</v>
      </c>
      <c r="AN208" s="285">
        <f>'Pencapaian Join Event Activity'!I208</f>
        <v>0</v>
      </c>
      <c r="AO208" s="284">
        <f t="shared" si="90"/>
        <v>0</v>
      </c>
      <c r="AP208" s="322">
        <v>0</v>
      </c>
      <c r="AQ208" s="284">
        <f t="shared" si="106"/>
        <v>0</v>
      </c>
      <c r="AR208" s="322">
        <v>0</v>
      </c>
      <c r="AS208" s="284">
        <f t="shared" si="107"/>
        <v>0</v>
      </c>
      <c r="AT208" s="284">
        <f t="shared" si="93"/>
        <v>0</v>
      </c>
      <c r="AU208" s="284">
        <f t="shared" si="108"/>
        <v>0</v>
      </c>
      <c r="AV208" s="284">
        <v>0</v>
      </c>
    </row>
    <row r="209" spans="16:48" x14ac:dyDescent="0.2">
      <c r="P209" s="392"/>
      <c r="Q209" s="321"/>
      <c r="R209" s="323" t="s">
        <v>620</v>
      </c>
      <c r="S209" s="12" t="s">
        <v>675</v>
      </c>
      <c r="T209" s="269">
        <f>'Pencapaian Sales Value'!G209</f>
        <v>2.7500000000000002E-4</v>
      </c>
      <c r="U209" s="284">
        <f>'Pencapaian Sales Value'!I209</f>
        <v>0</v>
      </c>
      <c r="V209" s="304">
        <f>'Pencapaian Product Focus'!H209</f>
        <v>0</v>
      </c>
      <c r="W209" s="304">
        <f>'Pencapaian Product Focus'!L209</f>
        <v>0</v>
      </c>
      <c r="X209" s="285">
        <f>'Pencapaian Product Focus'!N209</f>
        <v>0</v>
      </c>
      <c r="Y209" s="304">
        <f>'Pencapaian Effective Call'!G209</f>
        <v>0</v>
      </c>
      <c r="Z209" s="285">
        <f>'Pencapaian Effective Call'!I209</f>
        <v>0</v>
      </c>
      <c r="AA209" s="304">
        <f>'Pencapaian New Open Outlet'!G209</f>
        <v>0</v>
      </c>
      <c r="AB209" s="285">
        <f>'Pencapaian New Open Outlet'!I209</f>
        <v>0</v>
      </c>
      <c r="AC209" s="269">
        <f>'Pencapaian Active Outlet'!G209</f>
        <v>0</v>
      </c>
      <c r="AD209" s="284">
        <f>'Pencapaian Active Outlet'!I209</f>
        <v>0</v>
      </c>
      <c r="AE209" s="304">
        <f>'Pencapaian Item per Outlet'!G209</f>
        <v>0</v>
      </c>
      <c r="AF209" s="285">
        <f>'Pencapaian Item per Outlet'!I209</f>
        <v>0</v>
      </c>
      <c r="AG209" s="304">
        <f>'Pencapaian Product Display'!G209</f>
        <v>0</v>
      </c>
      <c r="AH209" s="285">
        <f>'Pencapaian Product Display'!I209</f>
        <v>0</v>
      </c>
      <c r="AI209" s="304">
        <f>'Pencapaian Sales Contract'!G209</f>
        <v>0</v>
      </c>
      <c r="AJ209" s="285">
        <f>'Pencapaian Sales Contract'!I209</f>
        <v>0</v>
      </c>
      <c r="AK209" s="304">
        <f>'Pencapaian Co-Branding'!G209</f>
        <v>0</v>
      </c>
      <c r="AL209" s="285">
        <f>'Pencapaian Co-Branding'!I209</f>
        <v>0</v>
      </c>
      <c r="AM209" s="304">
        <f>'Pencapaian Join Event Activity'!G209</f>
        <v>0</v>
      </c>
      <c r="AN209" s="285">
        <f>'Pencapaian Join Event Activity'!I209</f>
        <v>0</v>
      </c>
      <c r="AO209" s="284">
        <f t="shared" si="90"/>
        <v>0</v>
      </c>
      <c r="AP209" s="322">
        <v>0</v>
      </c>
      <c r="AQ209" s="284">
        <f t="shared" si="106"/>
        <v>0</v>
      </c>
      <c r="AR209" s="322">
        <v>0</v>
      </c>
      <c r="AS209" s="284">
        <f t="shared" si="107"/>
        <v>0</v>
      </c>
      <c r="AT209" s="284">
        <f t="shared" si="93"/>
        <v>0</v>
      </c>
      <c r="AU209" s="284">
        <f t="shared" si="108"/>
        <v>0</v>
      </c>
      <c r="AV209" s="284">
        <v>0</v>
      </c>
    </row>
    <row r="210" spans="16:48" x14ac:dyDescent="0.2">
      <c r="P210" s="392"/>
      <c r="Q210" s="321"/>
      <c r="R210" s="323" t="s">
        <v>216</v>
      </c>
      <c r="S210" s="12" t="s">
        <v>675</v>
      </c>
      <c r="T210" s="269">
        <f>'Pencapaian Sales Value'!G210</f>
        <v>9.0179999999999996E-2</v>
      </c>
      <c r="U210" s="284">
        <f>'Pencapaian Sales Value'!I210</f>
        <v>0</v>
      </c>
      <c r="V210" s="304">
        <f>'Pencapaian Product Focus'!H210</f>
        <v>0</v>
      </c>
      <c r="W210" s="304">
        <f>'Pencapaian Product Focus'!L210</f>
        <v>0</v>
      </c>
      <c r="X210" s="285">
        <f>'Pencapaian Product Focus'!N210</f>
        <v>0</v>
      </c>
      <c r="Y210" s="304">
        <f>'Pencapaian Effective Call'!G210</f>
        <v>0</v>
      </c>
      <c r="Z210" s="285">
        <f>'Pencapaian Effective Call'!I210</f>
        <v>0</v>
      </c>
      <c r="AA210" s="304">
        <f>'Pencapaian New Open Outlet'!G210</f>
        <v>0</v>
      </c>
      <c r="AB210" s="285">
        <f>'Pencapaian New Open Outlet'!I210</f>
        <v>0</v>
      </c>
      <c r="AC210" s="269">
        <f>'Pencapaian Active Outlet'!G210</f>
        <v>0.13333333333333333</v>
      </c>
      <c r="AD210" s="284">
        <f>'Pencapaian Active Outlet'!I210</f>
        <v>0</v>
      </c>
      <c r="AE210" s="304">
        <f>'Pencapaian Item per Outlet'!G210</f>
        <v>0</v>
      </c>
      <c r="AF210" s="285">
        <f>'Pencapaian Item per Outlet'!I210</f>
        <v>0</v>
      </c>
      <c r="AG210" s="304">
        <f>'Pencapaian Product Display'!G210</f>
        <v>0</v>
      </c>
      <c r="AH210" s="285">
        <f>'Pencapaian Product Display'!I210</f>
        <v>0</v>
      </c>
      <c r="AI210" s="304">
        <f>'Pencapaian Sales Contract'!G210</f>
        <v>0</v>
      </c>
      <c r="AJ210" s="285">
        <f>'Pencapaian Sales Contract'!I210</f>
        <v>0</v>
      </c>
      <c r="AK210" s="304">
        <f>'Pencapaian Co-Branding'!G210</f>
        <v>0</v>
      </c>
      <c r="AL210" s="285">
        <f>'Pencapaian Co-Branding'!I210</f>
        <v>0</v>
      </c>
      <c r="AM210" s="304">
        <f>'Pencapaian Join Event Activity'!G210</f>
        <v>0</v>
      </c>
      <c r="AN210" s="285">
        <f>'Pencapaian Join Event Activity'!I210</f>
        <v>0</v>
      </c>
      <c r="AO210" s="284">
        <f t="shared" si="90"/>
        <v>0</v>
      </c>
      <c r="AP210" s="322">
        <v>0</v>
      </c>
      <c r="AQ210" s="284">
        <f t="shared" si="106"/>
        <v>0</v>
      </c>
      <c r="AR210" s="322">
        <v>0</v>
      </c>
      <c r="AS210" s="284">
        <f t="shared" si="107"/>
        <v>0</v>
      </c>
      <c r="AT210" s="284">
        <f t="shared" si="93"/>
        <v>0</v>
      </c>
      <c r="AU210" s="284">
        <f t="shared" si="108"/>
        <v>0</v>
      </c>
      <c r="AV210" s="284">
        <v>0</v>
      </c>
    </row>
    <row r="211" spans="16:48" x14ac:dyDescent="0.2">
      <c r="P211" s="392"/>
      <c r="Q211" s="321"/>
      <c r="R211" s="323" t="s">
        <v>805</v>
      </c>
      <c r="S211" s="12"/>
      <c r="T211" s="269" t="e">
        <f>'Pencapaian Sales Value'!G211</f>
        <v>#DIV/0!</v>
      </c>
      <c r="U211" s="284">
        <f>'Pencapaian Sales Value'!I211</f>
        <v>0</v>
      </c>
      <c r="V211" s="304">
        <f>'Pencapaian Product Focus'!H211</f>
        <v>0</v>
      </c>
      <c r="W211" s="304">
        <f>'Pencapaian Product Focus'!L211</f>
        <v>0</v>
      </c>
      <c r="X211" s="285">
        <f>'Pencapaian Product Focus'!N211</f>
        <v>0</v>
      </c>
      <c r="Y211" s="304">
        <f>'Pencapaian Effective Call'!G211</f>
        <v>0</v>
      </c>
      <c r="Z211" s="285">
        <f>'Pencapaian Effective Call'!I211</f>
        <v>0</v>
      </c>
      <c r="AA211" s="304">
        <f>'Pencapaian New Open Outlet'!G211</f>
        <v>0</v>
      </c>
      <c r="AB211" s="285">
        <f>'Pencapaian New Open Outlet'!I211</f>
        <v>0</v>
      </c>
      <c r="AC211" s="269" t="e">
        <f>'Pencapaian Active Outlet'!G211</f>
        <v>#DIV/0!</v>
      </c>
      <c r="AD211" s="284">
        <f>'Pencapaian Active Outlet'!I211</f>
        <v>0</v>
      </c>
      <c r="AE211" s="304">
        <f>'Pencapaian Item per Outlet'!G211</f>
        <v>0</v>
      </c>
      <c r="AF211" s="285">
        <f>'Pencapaian Item per Outlet'!I211</f>
        <v>0</v>
      </c>
      <c r="AG211" s="304">
        <f>'Pencapaian Product Display'!G211</f>
        <v>0</v>
      </c>
      <c r="AH211" s="285">
        <f>'Pencapaian Product Display'!I211</f>
        <v>0</v>
      </c>
      <c r="AI211" s="304">
        <f>'Pencapaian Sales Contract'!G211</f>
        <v>0</v>
      </c>
      <c r="AJ211" s="285">
        <f>'Pencapaian Sales Contract'!I211</f>
        <v>0</v>
      </c>
      <c r="AK211" s="304">
        <f>'Pencapaian Co-Branding'!G211</f>
        <v>0</v>
      </c>
      <c r="AL211" s="285">
        <f>'Pencapaian Co-Branding'!I211</f>
        <v>0</v>
      </c>
      <c r="AM211" s="304">
        <f>'Pencapaian Join Event Activity'!G211</f>
        <v>0</v>
      </c>
      <c r="AN211" s="285">
        <f>'Pencapaian Join Event Activity'!I211</f>
        <v>0</v>
      </c>
      <c r="AO211" s="284">
        <f t="shared" si="90"/>
        <v>0</v>
      </c>
      <c r="AP211" s="322">
        <v>0</v>
      </c>
      <c r="AQ211" s="284">
        <f t="shared" si="106"/>
        <v>0</v>
      </c>
      <c r="AR211" s="322">
        <v>0</v>
      </c>
      <c r="AS211" s="284">
        <f t="shared" si="107"/>
        <v>0</v>
      </c>
      <c r="AT211" s="284">
        <f t="shared" si="93"/>
        <v>0</v>
      </c>
      <c r="AU211" s="284">
        <f t="shared" si="108"/>
        <v>0</v>
      </c>
      <c r="AV211" s="284">
        <v>0</v>
      </c>
    </row>
    <row r="212" spans="16:48" x14ac:dyDescent="0.2">
      <c r="P212" s="392"/>
      <c r="Q212" s="321"/>
      <c r="R212" s="323" t="s">
        <v>844</v>
      </c>
      <c r="S212" s="12" t="s">
        <v>675</v>
      </c>
      <c r="T212" s="269">
        <f>'Pencapaian Sales Value'!G212</f>
        <v>2.5000000000000001E-3</v>
      </c>
      <c r="U212" s="284">
        <f>'Pencapaian Sales Value'!I212</f>
        <v>0</v>
      </c>
      <c r="V212" s="304">
        <f>'Pencapaian Product Focus'!H212</f>
        <v>0</v>
      </c>
      <c r="W212" s="304">
        <f>'Pencapaian Product Focus'!L212</f>
        <v>0</v>
      </c>
      <c r="X212" s="285">
        <f>'Pencapaian Product Focus'!N212</f>
        <v>0</v>
      </c>
      <c r="Y212" s="304">
        <f>'Pencapaian Effective Call'!G212</f>
        <v>0</v>
      </c>
      <c r="Z212" s="285">
        <f>'Pencapaian Effective Call'!I212</f>
        <v>0</v>
      </c>
      <c r="AA212" s="304">
        <f>'Pencapaian New Open Outlet'!G212</f>
        <v>0</v>
      </c>
      <c r="AB212" s="285">
        <f>'Pencapaian New Open Outlet'!I212</f>
        <v>0</v>
      </c>
      <c r="AC212" s="269">
        <f>'Pencapaian Active Outlet'!G212</f>
        <v>0</v>
      </c>
      <c r="AD212" s="284">
        <f>'Pencapaian Active Outlet'!I212</f>
        <v>0</v>
      </c>
      <c r="AE212" s="304">
        <f>'Pencapaian Item per Outlet'!G212</f>
        <v>0</v>
      </c>
      <c r="AF212" s="285">
        <f>'Pencapaian Item per Outlet'!I212</f>
        <v>0</v>
      </c>
      <c r="AG212" s="304">
        <f>'Pencapaian Product Display'!G212</f>
        <v>0</v>
      </c>
      <c r="AH212" s="285">
        <f>'Pencapaian Product Display'!I212</f>
        <v>0</v>
      </c>
      <c r="AI212" s="304">
        <f>'Pencapaian Sales Contract'!G212</f>
        <v>0</v>
      </c>
      <c r="AJ212" s="285">
        <f>'Pencapaian Sales Contract'!I212</f>
        <v>0</v>
      </c>
      <c r="AK212" s="304">
        <f>'Pencapaian Co-Branding'!G212</f>
        <v>0</v>
      </c>
      <c r="AL212" s="285">
        <f>'Pencapaian Co-Branding'!I212</f>
        <v>0</v>
      </c>
      <c r="AM212" s="304">
        <f>'Pencapaian Join Event Activity'!G212</f>
        <v>0</v>
      </c>
      <c r="AN212" s="285">
        <f>'Pencapaian Join Event Activity'!I212</f>
        <v>0</v>
      </c>
      <c r="AO212" s="284">
        <f t="shared" si="90"/>
        <v>0</v>
      </c>
      <c r="AP212" s="322">
        <v>0</v>
      </c>
      <c r="AQ212" s="284">
        <f t="shared" si="106"/>
        <v>0</v>
      </c>
      <c r="AR212" s="322">
        <v>0</v>
      </c>
      <c r="AS212" s="284">
        <f t="shared" si="107"/>
        <v>0</v>
      </c>
      <c r="AT212" s="284">
        <f t="shared" si="93"/>
        <v>0</v>
      </c>
      <c r="AU212" s="284">
        <f t="shared" si="108"/>
        <v>0</v>
      </c>
      <c r="AV212" s="284">
        <v>0</v>
      </c>
    </row>
    <row r="213" spans="16:48" x14ac:dyDescent="0.2">
      <c r="P213" s="392"/>
      <c r="Q213" s="324"/>
      <c r="R213" s="324" t="s">
        <v>715</v>
      </c>
      <c r="S213" s="64" t="s">
        <v>673</v>
      </c>
      <c r="T213" s="258">
        <f>'Pencapaian Sales Value'!G213</f>
        <v>0.56049388679245282</v>
      </c>
      <c r="U213" s="286">
        <f>'Pencapaian Sales Value'!I213</f>
        <v>0</v>
      </c>
      <c r="V213" s="268">
        <f>'Pencapaian Product Focus'!H213</f>
        <v>0</v>
      </c>
      <c r="W213" s="268">
        <f>'Pencapaian Product Focus'!L213</f>
        <v>0</v>
      </c>
      <c r="X213" s="189">
        <f>'Pencapaian Product Focus'!N213</f>
        <v>0</v>
      </c>
      <c r="Y213" s="268">
        <f>'Pencapaian Effective Call'!G213</f>
        <v>0</v>
      </c>
      <c r="Z213" s="189">
        <f>'Pencapaian Effective Call'!I213</f>
        <v>0</v>
      </c>
      <c r="AA213" s="268">
        <f>'Pencapaian New Open Outlet'!G213</f>
        <v>0</v>
      </c>
      <c r="AB213" s="189">
        <f>'Pencapaian New Open Outlet'!I213</f>
        <v>0</v>
      </c>
      <c r="AC213" s="258">
        <f>'Pencapaian Active Outlet'!G213</f>
        <v>0.28979591836734692</v>
      </c>
      <c r="AD213" s="286">
        <f>'Pencapaian Active Outlet'!I213</f>
        <v>0</v>
      </c>
      <c r="AE213" s="268">
        <f>'Pencapaian Item per Outlet'!G213</f>
        <v>0</v>
      </c>
      <c r="AF213" s="189">
        <f>'Pencapaian Item per Outlet'!I213</f>
        <v>0</v>
      </c>
      <c r="AG213" s="268">
        <f>'Pencapaian Product Display'!G213</f>
        <v>0</v>
      </c>
      <c r="AH213" s="189">
        <f>'Pencapaian Product Display'!I213</f>
        <v>0</v>
      </c>
      <c r="AI213" s="268">
        <f>'Pencapaian Sales Contract'!G213</f>
        <v>0</v>
      </c>
      <c r="AJ213" s="189">
        <f>'Pencapaian Sales Contract'!I213</f>
        <v>0</v>
      </c>
      <c r="AK213" s="268">
        <f>'Pencapaian Co-Branding'!G213</f>
        <v>0</v>
      </c>
      <c r="AL213" s="189">
        <f>'Pencapaian Co-Branding'!I213</f>
        <v>0</v>
      </c>
      <c r="AM213" s="268">
        <f>'Pencapaian Join Event Activity'!G213</f>
        <v>0</v>
      </c>
      <c r="AN213" s="189">
        <f>'Pencapaian Join Event Activity'!I213</f>
        <v>0</v>
      </c>
      <c r="AO213" s="286">
        <f t="shared" si="90"/>
        <v>0</v>
      </c>
      <c r="AP213" s="289">
        <v>0</v>
      </c>
      <c r="AQ213" s="286">
        <f t="shared" si="106"/>
        <v>0</v>
      </c>
      <c r="AR213" s="289">
        <v>0</v>
      </c>
      <c r="AS213" s="286">
        <f t="shared" si="107"/>
        <v>0</v>
      </c>
      <c r="AT213" s="286">
        <f t="shared" si="93"/>
        <v>0</v>
      </c>
      <c r="AU213" s="286">
        <f t="shared" si="108"/>
        <v>0</v>
      </c>
      <c r="AV213" s="286">
        <v>0</v>
      </c>
    </row>
    <row r="214" spans="16:48" x14ac:dyDescent="0.2">
      <c r="P214" s="392"/>
      <c r="Q214" s="324"/>
      <c r="R214" s="324" t="s">
        <v>74</v>
      </c>
      <c r="S214" s="64" t="s">
        <v>20</v>
      </c>
      <c r="T214" s="258">
        <f>'Pencapaian Sales Value'!G214</f>
        <v>0.47776870454545456</v>
      </c>
      <c r="U214" s="286">
        <f>'Pencapaian Sales Value'!I214</f>
        <v>0</v>
      </c>
      <c r="V214" s="268">
        <f>'Pencapaian Product Focus'!H214</f>
        <v>0</v>
      </c>
      <c r="W214" s="268">
        <f>'Pencapaian Product Focus'!L214</f>
        <v>0</v>
      </c>
      <c r="X214" s="189">
        <f>'Pencapaian Product Focus'!N214</f>
        <v>0</v>
      </c>
      <c r="Y214" s="268">
        <f>'Pencapaian Effective Call'!G214</f>
        <v>0</v>
      </c>
      <c r="Z214" s="189">
        <f>'Pencapaian Effective Call'!I214</f>
        <v>0</v>
      </c>
      <c r="AA214" s="268">
        <f>'Pencapaian New Open Outlet'!G214</f>
        <v>0</v>
      </c>
      <c r="AB214" s="189">
        <f>'Pencapaian New Open Outlet'!I214</f>
        <v>0</v>
      </c>
      <c r="AC214" s="258">
        <f>'Pencapaian Active Outlet'!G214</f>
        <v>0.3037037037037037</v>
      </c>
      <c r="AD214" s="286">
        <f>'Pencapaian Active Outlet'!I214</f>
        <v>0</v>
      </c>
      <c r="AE214" s="268">
        <f>'Pencapaian Item per Outlet'!G214</f>
        <v>0</v>
      </c>
      <c r="AF214" s="189">
        <f>'Pencapaian Item per Outlet'!I214</f>
        <v>0</v>
      </c>
      <c r="AG214" s="268">
        <f>'Pencapaian Product Display'!G214</f>
        <v>0</v>
      </c>
      <c r="AH214" s="189">
        <f>'Pencapaian Product Display'!I214</f>
        <v>0</v>
      </c>
      <c r="AI214" s="268">
        <f>'Pencapaian Sales Contract'!G214</f>
        <v>0</v>
      </c>
      <c r="AJ214" s="189">
        <f>'Pencapaian Sales Contract'!I214</f>
        <v>0</v>
      </c>
      <c r="AK214" s="268">
        <f>'Pencapaian Co-Branding'!G214</f>
        <v>0</v>
      </c>
      <c r="AL214" s="189">
        <f>'Pencapaian Co-Branding'!I214</f>
        <v>0</v>
      </c>
      <c r="AM214" s="268">
        <f>'Pencapaian Join Event Activity'!G214</f>
        <v>0</v>
      </c>
      <c r="AN214" s="189">
        <f>'Pencapaian Join Event Activity'!I214</f>
        <v>0</v>
      </c>
      <c r="AO214" s="286">
        <f t="shared" si="90"/>
        <v>0</v>
      </c>
      <c r="AP214" s="289">
        <v>0</v>
      </c>
      <c r="AQ214" s="286">
        <f t="shared" si="106"/>
        <v>0</v>
      </c>
      <c r="AR214" s="289">
        <v>0</v>
      </c>
      <c r="AS214" s="286">
        <f t="shared" si="107"/>
        <v>0</v>
      </c>
      <c r="AT214" s="286">
        <f t="shared" si="93"/>
        <v>0</v>
      </c>
      <c r="AU214" s="286">
        <f t="shared" si="108"/>
        <v>0</v>
      </c>
      <c r="AV214" s="286">
        <v>0</v>
      </c>
    </row>
    <row r="215" spans="16:48" x14ac:dyDescent="0.2">
      <c r="P215" s="393"/>
      <c r="Q215" s="325"/>
      <c r="R215" s="325" t="s">
        <v>557</v>
      </c>
      <c r="S215" s="42"/>
      <c r="T215" s="264">
        <f>'Pencapaian Sales Value'!G215</f>
        <v>0.47776870454545456</v>
      </c>
      <c r="U215" s="287">
        <f>'Pencapaian Sales Value'!I215</f>
        <v>390000</v>
      </c>
      <c r="V215" s="274">
        <f>'Pencapaian Product Focus'!H215</f>
        <v>0</v>
      </c>
      <c r="W215" s="274">
        <f>'Pencapaian Product Focus'!L215</f>
        <v>0</v>
      </c>
      <c r="X215" s="190">
        <f>'Pencapaian Product Focus'!N215</f>
        <v>0</v>
      </c>
      <c r="Y215" s="274">
        <f>'Pencapaian Effective Call'!G215</f>
        <v>0</v>
      </c>
      <c r="Z215" s="190">
        <f>'Pencapaian Effective Call'!I215</f>
        <v>0</v>
      </c>
      <c r="AA215" s="274">
        <f>'Pencapaian New Open Outlet'!G215</f>
        <v>0</v>
      </c>
      <c r="AB215" s="190">
        <f>'Pencapaian New Open Outlet'!I215</f>
        <v>0</v>
      </c>
      <c r="AC215" s="264">
        <f>'Pencapaian Active Outlet'!G215</f>
        <v>0.3037037037037037</v>
      </c>
      <c r="AD215" s="287">
        <f>'Pencapaian Active Outlet'!I215</f>
        <v>0</v>
      </c>
      <c r="AE215" s="274">
        <f>'Pencapaian Item per Outlet'!G215</f>
        <v>0</v>
      </c>
      <c r="AF215" s="190">
        <f>'Pencapaian Item per Outlet'!I215</f>
        <v>0</v>
      </c>
      <c r="AG215" s="274">
        <f>'Pencapaian Product Display'!G215</f>
        <v>0</v>
      </c>
      <c r="AH215" s="190">
        <f>'Pencapaian Product Display'!I215</f>
        <v>0</v>
      </c>
      <c r="AI215" s="274">
        <f>'Pencapaian Sales Contract'!G215</f>
        <v>0</v>
      </c>
      <c r="AJ215" s="190">
        <f>'Pencapaian Sales Contract'!I215</f>
        <v>0</v>
      </c>
      <c r="AK215" s="274">
        <f>'Pencapaian Co-Branding'!G215</f>
        <v>0</v>
      </c>
      <c r="AL215" s="190">
        <f>'Pencapaian Co-Branding'!I215</f>
        <v>0</v>
      </c>
      <c r="AM215" s="274">
        <f>'Pencapaian Join Event Activity'!G215</f>
        <v>0</v>
      </c>
      <c r="AN215" s="190">
        <f>'Pencapaian Join Event Activity'!I215</f>
        <v>0</v>
      </c>
      <c r="AO215" s="287">
        <f t="shared" si="90"/>
        <v>390000</v>
      </c>
      <c r="AP215" s="290">
        <v>0</v>
      </c>
      <c r="AQ215" s="287">
        <f>SUM(AQ200:AQ214)</f>
        <v>0</v>
      </c>
      <c r="AR215" s="290">
        <v>0</v>
      </c>
      <c r="AS215" s="287">
        <f>SUM(AS200:AS214)</f>
        <v>0</v>
      </c>
      <c r="AT215" s="287">
        <f t="shared" si="93"/>
        <v>390000</v>
      </c>
      <c r="AU215" s="287">
        <f>SUM(AU200:AU214)</f>
        <v>390000</v>
      </c>
      <c r="AV215" s="287">
        <f>SUM(AV200:AV214)</f>
        <v>0</v>
      </c>
    </row>
    <row r="216" spans="16:48" x14ac:dyDescent="0.2">
      <c r="P216" s="395" t="s">
        <v>621</v>
      </c>
      <c r="Q216" s="321"/>
      <c r="R216" s="323" t="s">
        <v>623</v>
      </c>
      <c r="S216" s="12" t="s">
        <v>675</v>
      </c>
      <c r="T216" s="269">
        <f>'Pencapaian Sales Value'!G216</f>
        <v>0</v>
      </c>
      <c r="U216" s="284">
        <f>'Pencapaian Sales Value'!I216</f>
        <v>0</v>
      </c>
      <c r="V216" s="304">
        <f>'Pencapaian Product Focus'!H216</f>
        <v>0</v>
      </c>
      <c r="W216" s="304">
        <f>'Pencapaian Product Focus'!L216</f>
        <v>0</v>
      </c>
      <c r="X216" s="285">
        <f>'Pencapaian Product Focus'!N216</f>
        <v>0</v>
      </c>
      <c r="Y216" s="304">
        <f>'Pencapaian Effective Call'!G216</f>
        <v>0</v>
      </c>
      <c r="Z216" s="285">
        <f>'Pencapaian Effective Call'!I216</f>
        <v>0</v>
      </c>
      <c r="AA216" s="304">
        <f>'Pencapaian New Open Outlet'!G216</f>
        <v>0</v>
      </c>
      <c r="AB216" s="285">
        <f>'Pencapaian New Open Outlet'!I216</f>
        <v>0</v>
      </c>
      <c r="AC216" s="269">
        <f>'Pencapaian Active Outlet'!G216</f>
        <v>0</v>
      </c>
      <c r="AD216" s="284">
        <f>'Pencapaian Active Outlet'!I216</f>
        <v>0</v>
      </c>
      <c r="AE216" s="304">
        <f>'Pencapaian Item per Outlet'!G216</f>
        <v>0</v>
      </c>
      <c r="AF216" s="285">
        <f>'Pencapaian Item per Outlet'!I216</f>
        <v>0</v>
      </c>
      <c r="AG216" s="304">
        <f>'Pencapaian Product Display'!G216</f>
        <v>0</v>
      </c>
      <c r="AH216" s="285">
        <f>'Pencapaian Product Display'!I216</f>
        <v>0</v>
      </c>
      <c r="AI216" s="304">
        <f>'Pencapaian Sales Contract'!G216</f>
        <v>0</v>
      </c>
      <c r="AJ216" s="285">
        <f>'Pencapaian Sales Contract'!I216</f>
        <v>0</v>
      </c>
      <c r="AK216" s="304">
        <f>'Pencapaian Co-Branding'!G216</f>
        <v>0</v>
      </c>
      <c r="AL216" s="285">
        <f>'Pencapaian Co-Branding'!I216</f>
        <v>0</v>
      </c>
      <c r="AM216" s="304">
        <f>'Pencapaian Join Event Activity'!G216</f>
        <v>0</v>
      </c>
      <c r="AN216" s="285">
        <f>'Pencapaian Join Event Activity'!I216</f>
        <v>0</v>
      </c>
      <c r="AO216" s="284">
        <f t="shared" si="90"/>
        <v>0</v>
      </c>
      <c r="AP216" s="322">
        <v>0</v>
      </c>
      <c r="AQ216" s="284">
        <f t="shared" ref="AQ216:AQ219" si="109">IF(AP216&gt;=0.5%,-(AO216*10%),0)</f>
        <v>0</v>
      </c>
      <c r="AR216" s="322">
        <v>0</v>
      </c>
      <c r="AS216" s="284">
        <f t="shared" ref="AS216:AS219" si="110">IF(AR216&gt;0,-(AO216+AQ216),0)</f>
        <v>0</v>
      </c>
      <c r="AT216" s="284">
        <f t="shared" si="93"/>
        <v>0</v>
      </c>
      <c r="AU216" s="284">
        <f t="shared" ref="AU216:AU219" si="111">AT216</f>
        <v>0</v>
      </c>
      <c r="AV216" s="284">
        <v>0</v>
      </c>
    </row>
    <row r="217" spans="16:48" x14ac:dyDescent="0.2">
      <c r="P217" s="392"/>
      <c r="Q217" s="321"/>
      <c r="R217" s="323" t="s">
        <v>624</v>
      </c>
      <c r="S217" s="12" t="s">
        <v>675</v>
      </c>
      <c r="T217" s="269">
        <f>'Pencapaian Sales Value'!G217</f>
        <v>0.68788533333333335</v>
      </c>
      <c r="U217" s="284">
        <f>'Pencapaian Sales Value'!I217</f>
        <v>0</v>
      </c>
      <c r="V217" s="304">
        <f>'Pencapaian Product Focus'!H217</f>
        <v>0</v>
      </c>
      <c r="W217" s="304">
        <f>'Pencapaian Product Focus'!L217</f>
        <v>0</v>
      </c>
      <c r="X217" s="285">
        <f>'Pencapaian Product Focus'!N217</f>
        <v>0</v>
      </c>
      <c r="Y217" s="304">
        <f>'Pencapaian Effective Call'!G217</f>
        <v>0</v>
      </c>
      <c r="Z217" s="285">
        <f>'Pencapaian Effective Call'!I217</f>
        <v>0</v>
      </c>
      <c r="AA217" s="304">
        <f>'Pencapaian New Open Outlet'!G217</f>
        <v>0</v>
      </c>
      <c r="AB217" s="285">
        <f>'Pencapaian New Open Outlet'!I217</f>
        <v>0</v>
      </c>
      <c r="AC217" s="269">
        <f>'Pencapaian Active Outlet'!G217</f>
        <v>0.72</v>
      </c>
      <c r="AD217" s="284">
        <f>'Pencapaian Active Outlet'!I217</f>
        <v>0</v>
      </c>
      <c r="AE217" s="304">
        <f>'Pencapaian Item per Outlet'!G217</f>
        <v>0</v>
      </c>
      <c r="AF217" s="285">
        <f>'Pencapaian Item per Outlet'!I217</f>
        <v>0</v>
      </c>
      <c r="AG217" s="304">
        <f>'Pencapaian Product Display'!G217</f>
        <v>0</v>
      </c>
      <c r="AH217" s="285">
        <f>'Pencapaian Product Display'!I217</f>
        <v>0</v>
      </c>
      <c r="AI217" s="304">
        <f>'Pencapaian Sales Contract'!G217</f>
        <v>0</v>
      </c>
      <c r="AJ217" s="285">
        <f>'Pencapaian Sales Contract'!I217</f>
        <v>0</v>
      </c>
      <c r="AK217" s="304">
        <f>'Pencapaian Co-Branding'!G217</f>
        <v>0</v>
      </c>
      <c r="AL217" s="285">
        <f>'Pencapaian Co-Branding'!I217</f>
        <v>0</v>
      </c>
      <c r="AM217" s="304">
        <f>'Pencapaian Join Event Activity'!G217</f>
        <v>0</v>
      </c>
      <c r="AN217" s="285">
        <f>'Pencapaian Join Event Activity'!I217</f>
        <v>0</v>
      </c>
      <c r="AO217" s="284">
        <f t="shared" si="90"/>
        <v>0</v>
      </c>
      <c r="AP217" s="322">
        <v>0</v>
      </c>
      <c r="AQ217" s="284">
        <f t="shared" si="109"/>
        <v>0</v>
      </c>
      <c r="AR217" s="322">
        <v>0</v>
      </c>
      <c r="AS217" s="284">
        <f t="shared" si="110"/>
        <v>0</v>
      </c>
      <c r="AT217" s="284">
        <f t="shared" si="93"/>
        <v>0</v>
      </c>
      <c r="AU217" s="284">
        <f t="shared" si="111"/>
        <v>0</v>
      </c>
      <c r="AV217" s="284">
        <v>0</v>
      </c>
    </row>
    <row r="218" spans="16:48" x14ac:dyDescent="0.2">
      <c r="P218" s="392"/>
      <c r="Q218" s="321"/>
      <c r="R218" s="323" t="s">
        <v>845</v>
      </c>
      <c r="S218" s="12" t="s">
        <v>675</v>
      </c>
      <c r="T218" s="269">
        <f>'Pencapaian Sales Value'!G218</f>
        <v>-4.2349999999999999E-2</v>
      </c>
      <c r="U218" s="284">
        <f>'Pencapaian Sales Value'!I218</f>
        <v>0</v>
      </c>
      <c r="V218" s="304">
        <f>'Pencapaian Product Focus'!H218</f>
        <v>0</v>
      </c>
      <c r="W218" s="304">
        <f>'Pencapaian Product Focus'!L218</f>
        <v>0</v>
      </c>
      <c r="X218" s="285">
        <f>'Pencapaian Product Focus'!N218</f>
        <v>0</v>
      </c>
      <c r="Y218" s="304">
        <f>'Pencapaian Effective Call'!G218</f>
        <v>0</v>
      </c>
      <c r="Z218" s="285">
        <f>'Pencapaian Effective Call'!I218</f>
        <v>0</v>
      </c>
      <c r="AA218" s="304">
        <f>'Pencapaian New Open Outlet'!G218</f>
        <v>0</v>
      </c>
      <c r="AB218" s="285">
        <f>'Pencapaian New Open Outlet'!I218</f>
        <v>0</v>
      </c>
      <c r="AC218" s="269">
        <f>'Pencapaian Active Outlet'!G218</f>
        <v>0.16</v>
      </c>
      <c r="AD218" s="284">
        <f>'Pencapaian Active Outlet'!I218</f>
        <v>0</v>
      </c>
      <c r="AE218" s="304">
        <f>'Pencapaian Item per Outlet'!G218</f>
        <v>0</v>
      </c>
      <c r="AF218" s="285">
        <f>'Pencapaian Item per Outlet'!I218</f>
        <v>0</v>
      </c>
      <c r="AG218" s="304">
        <f>'Pencapaian Product Display'!G218</f>
        <v>0</v>
      </c>
      <c r="AH218" s="285">
        <f>'Pencapaian Product Display'!I218</f>
        <v>0</v>
      </c>
      <c r="AI218" s="304">
        <f>'Pencapaian Sales Contract'!G218</f>
        <v>0</v>
      </c>
      <c r="AJ218" s="285">
        <f>'Pencapaian Sales Contract'!I218</f>
        <v>0</v>
      </c>
      <c r="AK218" s="304">
        <f>'Pencapaian Co-Branding'!G218</f>
        <v>0</v>
      </c>
      <c r="AL218" s="285">
        <f>'Pencapaian Co-Branding'!I218</f>
        <v>0</v>
      </c>
      <c r="AM218" s="304">
        <f>'Pencapaian Join Event Activity'!G218</f>
        <v>0</v>
      </c>
      <c r="AN218" s="285">
        <f>'Pencapaian Join Event Activity'!I218</f>
        <v>0</v>
      </c>
      <c r="AO218" s="284">
        <f t="shared" si="90"/>
        <v>0</v>
      </c>
      <c r="AP218" s="322">
        <v>0</v>
      </c>
      <c r="AQ218" s="284">
        <f t="shared" si="109"/>
        <v>0</v>
      </c>
      <c r="AR218" s="322">
        <v>0</v>
      </c>
      <c r="AS218" s="284">
        <f t="shared" si="110"/>
        <v>0</v>
      </c>
      <c r="AT218" s="284">
        <f t="shared" si="93"/>
        <v>0</v>
      </c>
      <c r="AU218" s="284">
        <f t="shared" si="111"/>
        <v>0</v>
      </c>
      <c r="AV218" s="284">
        <v>0</v>
      </c>
    </row>
    <row r="219" spans="16:48" x14ac:dyDescent="0.2">
      <c r="P219" s="392"/>
      <c r="Q219" s="324"/>
      <c r="R219" s="324" t="s">
        <v>730</v>
      </c>
      <c r="S219" s="64" t="s">
        <v>673</v>
      </c>
      <c r="T219" s="258">
        <f>'Pencapaian Sales Value'!G219</f>
        <v>0.24207575000000001</v>
      </c>
      <c r="U219" s="286">
        <f>'Pencapaian Sales Value'!I219</f>
        <v>0</v>
      </c>
      <c r="V219" s="268">
        <f>'Pencapaian Product Focus'!H219</f>
        <v>0</v>
      </c>
      <c r="W219" s="268">
        <f>'Pencapaian Product Focus'!L219</f>
        <v>0</v>
      </c>
      <c r="X219" s="189">
        <f>'Pencapaian Product Focus'!N219</f>
        <v>0</v>
      </c>
      <c r="Y219" s="268">
        <f>'Pencapaian Effective Call'!G219</f>
        <v>0</v>
      </c>
      <c r="Z219" s="189">
        <f>'Pencapaian Effective Call'!I219</f>
        <v>0</v>
      </c>
      <c r="AA219" s="268">
        <f>'Pencapaian New Open Outlet'!G219</f>
        <v>0</v>
      </c>
      <c r="AB219" s="189">
        <f>'Pencapaian New Open Outlet'!I219</f>
        <v>0</v>
      </c>
      <c r="AC219" s="258">
        <f>'Pencapaian Active Outlet'!G219</f>
        <v>0.29333333333333333</v>
      </c>
      <c r="AD219" s="286">
        <f>'Pencapaian Active Outlet'!I219</f>
        <v>0</v>
      </c>
      <c r="AE219" s="268">
        <f>'Pencapaian Item per Outlet'!G219</f>
        <v>0</v>
      </c>
      <c r="AF219" s="189">
        <f>'Pencapaian Item per Outlet'!I219</f>
        <v>0</v>
      </c>
      <c r="AG219" s="268">
        <f>'Pencapaian Product Display'!G219</f>
        <v>0</v>
      </c>
      <c r="AH219" s="189">
        <f>'Pencapaian Product Display'!I219</f>
        <v>0</v>
      </c>
      <c r="AI219" s="268">
        <f>'Pencapaian Sales Contract'!G219</f>
        <v>0</v>
      </c>
      <c r="AJ219" s="189">
        <f>'Pencapaian Sales Contract'!I219</f>
        <v>0</v>
      </c>
      <c r="AK219" s="268">
        <f>'Pencapaian Co-Branding'!G219</f>
        <v>0</v>
      </c>
      <c r="AL219" s="189">
        <f>'Pencapaian Co-Branding'!I219</f>
        <v>0</v>
      </c>
      <c r="AM219" s="268">
        <f>'Pencapaian Join Event Activity'!G219</f>
        <v>0</v>
      </c>
      <c r="AN219" s="189">
        <f>'Pencapaian Join Event Activity'!I219</f>
        <v>0</v>
      </c>
      <c r="AO219" s="286">
        <f t="shared" si="90"/>
        <v>0</v>
      </c>
      <c r="AP219" s="289">
        <v>0</v>
      </c>
      <c r="AQ219" s="286">
        <f t="shared" si="109"/>
        <v>0</v>
      </c>
      <c r="AR219" s="289">
        <v>0</v>
      </c>
      <c r="AS219" s="286">
        <f t="shared" si="110"/>
        <v>0</v>
      </c>
      <c r="AT219" s="286">
        <f t="shared" si="93"/>
        <v>0</v>
      </c>
      <c r="AU219" s="286">
        <f t="shared" si="111"/>
        <v>0</v>
      </c>
      <c r="AV219" s="286">
        <v>0</v>
      </c>
    </row>
    <row r="220" spans="16:48" x14ac:dyDescent="0.2">
      <c r="P220" s="393"/>
      <c r="Q220" s="325"/>
      <c r="R220" s="325" t="s">
        <v>622</v>
      </c>
      <c r="S220" s="42"/>
      <c r="T220" s="264">
        <f>'Pencapaian Sales Value'!G220</f>
        <v>0.24207575000000001</v>
      </c>
      <c r="U220" s="287">
        <f>'Pencapaian Sales Value'!I220</f>
        <v>0</v>
      </c>
      <c r="V220" s="274">
        <f>'Pencapaian Product Focus'!H220</f>
        <v>0</v>
      </c>
      <c r="W220" s="274">
        <f>'Pencapaian Product Focus'!L220</f>
        <v>0</v>
      </c>
      <c r="X220" s="190">
        <f>'Pencapaian Product Focus'!N220</f>
        <v>0</v>
      </c>
      <c r="Y220" s="274">
        <f>'Pencapaian Effective Call'!G220</f>
        <v>0</v>
      </c>
      <c r="Z220" s="190">
        <f>'Pencapaian Effective Call'!I220</f>
        <v>0</v>
      </c>
      <c r="AA220" s="274">
        <f>'Pencapaian New Open Outlet'!G220</f>
        <v>0</v>
      </c>
      <c r="AB220" s="190">
        <f>'Pencapaian New Open Outlet'!I220</f>
        <v>0</v>
      </c>
      <c r="AC220" s="264">
        <f>'Pencapaian Active Outlet'!G220</f>
        <v>0.29333333333333333</v>
      </c>
      <c r="AD220" s="287">
        <f>'Pencapaian Active Outlet'!I220</f>
        <v>0</v>
      </c>
      <c r="AE220" s="274">
        <f>'Pencapaian Item per Outlet'!G220</f>
        <v>0</v>
      </c>
      <c r="AF220" s="190">
        <f>'Pencapaian Item per Outlet'!I220</f>
        <v>0</v>
      </c>
      <c r="AG220" s="274">
        <f>'Pencapaian Product Display'!G220</f>
        <v>0</v>
      </c>
      <c r="AH220" s="190">
        <f>'Pencapaian Product Display'!I220</f>
        <v>0</v>
      </c>
      <c r="AI220" s="274">
        <f>'Pencapaian Sales Contract'!G220</f>
        <v>0</v>
      </c>
      <c r="AJ220" s="190">
        <f>'Pencapaian Sales Contract'!I220</f>
        <v>0</v>
      </c>
      <c r="AK220" s="274">
        <f>'Pencapaian Co-Branding'!G220</f>
        <v>0</v>
      </c>
      <c r="AL220" s="190">
        <f>'Pencapaian Co-Branding'!I220</f>
        <v>0</v>
      </c>
      <c r="AM220" s="274">
        <f>'Pencapaian Join Event Activity'!G220</f>
        <v>0</v>
      </c>
      <c r="AN220" s="190">
        <f>'Pencapaian Join Event Activity'!I220</f>
        <v>0</v>
      </c>
      <c r="AO220" s="287">
        <f t="shared" si="90"/>
        <v>0</v>
      </c>
      <c r="AP220" s="290">
        <v>0</v>
      </c>
      <c r="AQ220" s="287">
        <f>SUM(AQ216:AQ219)</f>
        <v>0</v>
      </c>
      <c r="AR220" s="290">
        <v>0</v>
      </c>
      <c r="AS220" s="287">
        <f>SUM(AS216:AS219)</f>
        <v>0</v>
      </c>
      <c r="AT220" s="287">
        <f t="shared" si="93"/>
        <v>0</v>
      </c>
      <c r="AU220" s="287">
        <f>SUM(AU216:AU219)</f>
        <v>0</v>
      </c>
      <c r="AV220" s="287">
        <f>SUM(AV216:AV219)</f>
        <v>0</v>
      </c>
    </row>
    <row r="221" spans="16:48" x14ac:dyDescent="0.2">
      <c r="P221" s="395" t="s">
        <v>625</v>
      </c>
      <c r="Q221" s="321"/>
      <c r="R221" s="323" t="s">
        <v>626</v>
      </c>
      <c r="S221" s="12" t="s">
        <v>675</v>
      </c>
      <c r="T221" s="269">
        <f>'Pencapaian Sales Value'!G221</f>
        <v>-4.1139333333333333E-2</v>
      </c>
      <c r="U221" s="284">
        <f>'Pencapaian Sales Value'!I221</f>
        <v>0</v>
      </c>
      <c r="V221" s="304">
        <f>'Pencapaian Product Focus'!H221</f>
        <v>0</v>
      </c>
      <c r="W221" s="304">
        <f>'Pencapaian Product Focus'!L221</f>
        <v>0</v>
      </c>
      <c r="X221" s="285">
        <f>'Pencapaian Product Focus'!N221</f>
        <v>0</v>
      </c>
      <c r="Y221" s="304">
        <f>'Pencapaian Effective Call'!G221</f>
        <v>0</v>
      </c>
      <c r="Z221" s="285">
        <f>'Pencapaian Effective Call'!I221</f>
        <v>0</v>
      </c>
      <c r="AA221" s="304">
        <f>'Pencapaian New Open Outlet'!G221</f>
        <v>0</v>
      </c>
      <c r="AB221" s="285">
        <f>'Pencapaian New Open Outlet'!I221</f>
        <v>0</v>
      </c>
      <c r="AC221" s="269">
        <f>'Pencapaian Active Outlet'!G221</f>
        <v>0</v>
      </c>
      <c r="AD221" s="284">
        <f>'Pencapaian Active Outlet'!I221</f>
        <v>0</v>
      </c>
      <c r="AE221" s="304">
        <f>'Pencapaian Item per Outlet'!G221</f>
        <v>0</v>
      </c>
      <c r="AF221" s="285">
        <f>'Pencapaian Item per Outlet'!I221</f>
        <v>0</v>
      </c>
      <c r="AG221" s="304">
        <f>'Pencapaian Product Display'!G221</f>
        <v>0</v>
      </c>
      <c r="AH221" s="285">
        <f>'Pencapaian Product Display'!I221</f>
        <v>0</v>
      </c>
      <c r="AI221" s="304">
        <f>'Pencapaian Sales Contract'!G221</f>
        <v>0</v>
      </c>
      <c r="AJ221" s="285">
        <f>'Pencapaian Sales Contract'!I221</f>
        <v>0</v>
      </c>
      <c r="AK221" s="304">
        <f>'Pencapaian Co-Branding'!G221</f>
        <v>0</v>
      </c>
      <c r="AL221" s="285">
        <f>'Pencapaian Co-Branding'!I221</f>
        <v>0</v>
      </c>
      <c r="AM221" s="304">
        <f>'Pencapaian Join Event Activity'!G221</f>
        <v>0</v>
      </c>
      <c r="AN221" s="285">
        <f>'Pencapaian Join Event Activity'!I221</f>
        <v>0</v>
      </c>
      <c r="AO221" s="284">
        <f t="shared" ref="AO221:AO284" si="112">SUM(AN221,AL221,AJ221,AH221,AF221,AD221,AB221,Z221,X221,U221)</f>
        <v>0</v>
      </c>
      <c r="AP221" s="322">
        <v>0</v>
      </c>
      <c r="AQ221" s="284">
        <f t="shared" ref="AQ221:AQ224" si="113">IF(AP221&gt;=0.5%,-(AO221*10%),0)</f>
        <v>0</v>
      </c>
      <c r="AR221" s="322">
        <v>0</v>
      </c>
      <c r="AS221" s="284">
        <f t="shared" ref="AS221:AS224" si="114">IF(AR221&gt;0,-(AO221+AQ221),0)</f>
        <v>0</v>
      </c>
      <c r="AT221" s="284">
        <f t="shared" ref="AT221:AT284" si="115">SUM(AS221,AQ221,AO221)</f>
        <v>0</v>
      </c>
      <c r="AU221" s="284">
        <f t="shared" ref="AU221:AU224" si="116">AT221</f>
        <v>0</v>
      </c>
      <c r="AV221" s="284">
        <v>0</v>
      </c>
    </row>
    <row r="222" spans="16:48" x14ac:dyDescent="0.2">
      <c r="P222" s="392"/>
      <c r="Q222" s="321"/>
      <c r="R222" s="323" t="s">
        <v>627</v>
      </c>
      <c r="S222" s="12" t="s">
        <v>675</v>
      </c>
      <c r="T222" s="269">
        <f>'Pencapaian Sales Value'!G222</f>
        <v>6.54E-2</v>
      </c>
      <c r="U222" s="284">
        <f>'Pencapaian Sales Value'!I222</f>
        <v>0</v>
      </c>
      <c r="V222" s="304">
        <f>'Pencapaian Product Focus'!H222</f>
        <v>0</v>
      </c>
      <c r="W222" s="304">
        <f>'Pencapaian Product Focus'!L222</f>
        <v>0</v>
      </c>
      <c r="X222" s="285">
        <f>'Pencapaian Product Focus'!N222</f>
        <v>0</v>
      </c>
      <c r="Y222" s="304">
        <f>'Pencapaian Effective Call'!G222</f>
        <v>0</v>
      </c>
      <c r="Z222" s="285">
        <f>'Pencapaian Effective Call'!I222</f>
        <v>0</v>
      </c>
      <c r="AA222" s="304">
        <f>'Pencapaian New Open Outlet'!G222</f>
        <v>0</v>
      </c>
      <c r="AB222" s="285">
        <f>'Pencapaian New Open Outlet'!I222</f>
        <v>0</v>
      </c>
      <c r="AC222" s="269">
        <f>'Pencapaian Active Outlet'!G222</f>
        <v>0.04</v>
      </c>
      <c r="AD222" s="284">
        <f>'Pencapaian Active Outlet'!I222</f>
        <v>0</v>
      </c>
      <c r="AE222" s="304">
        <f>'Pencapaian Item per Outlet'!G222</f>
        <v>0</v>
      </c>
      <c r="AF222" s="285">
        <f>'Pencapaian Item per Outlet'!I222</f>
        <v>0</v>
      </c>
      <c r="AG222" s="304">
        <f>'Pencapaian Product Display'!G222</f>
        <v>0</v>
      </c>
      <c r="AH222" s="285">
        <f>'Pencapaian Product Display'!I222</f>
        <v>0</v>
      </c>
      <c r="AI222" s="304">
        <f>'Pencapaian Sales Contract'!G222</f>
        <v>0</v>
      </c>
      <c r="AJ222" s="285">
        <f>'Pencapaian Sales Contract'!I222</f>
        <v>0</v>
      </c>
      <c r="AK222" s="304">
        <f>'Pencapaian Co-Branding'!G222</f>
        <v>0</v>
      </c>
      <c r="AL222" s="285">
        <f>'Pencapaian Co-Branding'!I222</f>
        <v>0</v>
      </c>
      <c r="AM222" s="304">
        <f>'Pencapaian Join Event Activity'!G222</f>
        <v>0</v>
      </c>
      <c r="AN222" s="285">
        <f>'Pencapaian Join Event Activity'!I222</f>
        <v>0</v>
      </c>
      <c r="AO222" s="284">
        <f t="shared" si="112"/>
        <v>0</v>
      </c>
      <c r="AP222" s="322">
        <v>0</v>
      </c>
      <c r="AQ222" s="284">
        <f t="shared" si="113"/>
        <v>0</v>
      </c>
      <c r="AR222" s="322">
        <v>0</v>
      </c>
      <c r="AS222" s="284">
        <f t="shared" si="114"/>
        <v>0</v>
      </c>
      <c r="AT222" s="284">
        <f t="shared" si="115"/>
        <v>0</v>
      </c>
      <c r="AU222" s="284">
        <f t="shared" si="116"/>
        <v>0</v>
      </c>
      <c r="AV222" s="284">
        <v>0</v>
      </c>
    </row>
    <row r="223" spans="16:48" x14ac:dyDescent="0.2">
      <c r="P223" s="392"/>
      <c r="Q223" s="321"/>
      <c r="R223" s="323" t="s">
        <v>846</v>
      </c>
      <c r="S223" s="12" t="s">
        <v>675</v>
      </c>
      <c r="T223" s="269">
        <f>'Pencapaian Sales Value'!G223</f>
        <v>-5.1666666666666666E-3</v>
      </c>
      <c r="U223" s="284">
        <f>'Pencapaian Sales Value'!I223</f>
        <v>0</v>
      </c>
      <c r="V223" s="304">
        <f>'Pencapaian Product Focus'!H223</f>
        <v>0</v>
      </c>
      <c r="W223" s="304">
        <f>'Pencapaian Product Focus'!L223</f>
        <v>0</v>
      </c>
      <c r="X223" s="285">
        <f>'Pencapaian Product Focus'!N223</f>
        <v>0</v>
      </c>
      <c r="Y223" s="304">
        <f>'Pencapaian Effective Call'!G223</f>
        <v>0</v>
      </c>
      <c r="Z223" s="285">
        <f>'Pencapaian Effective Call'!I223</f>
        <v>0</v>
      </c>
      <c r="AA223" s="304">
        <f>'Pencapaian New Open Outlet'!G223</f>
        <v>0</v>
      </c>
      <c r="AB223" s="285">
        <f>'Pencapaian New Open Outlet'!I223</f>
        <v>0</v>
      </c>
      <c r="AC223" s="269">
        <f>'Pencapaian Active Outlet'!G223</f>
        <v>0</v>
      </c>
      <c r="AD223" s="284">
        <f>'Pencapaian Active Outlet'!I223</f>
        <v>0</v>
      </c>
      <c r="AE223" s="304">
        <f>'Pencapaian Item per Outlet'!G223</f>
        <v>0</v>
      </c>
      <c r="AF223" s="285">
        <f>'Pencapaian Item per Outlet'!I223</f>
        <v>0</v>
      </c>
      <c r="AG223" s="304">
        <f>'Pencapaian Product Display'!G223</f>
        <v>0</v>
      </c>
      <c r="AH223" s="285">
        <f>'Pencapaian Product Display'!I223</f>
        <v>0</v>
      </c>
      <c r="AI223" s="304">
        <f>'Pencapaian Sales Contract'!G223</f>
        <v>0</v>
      </c>
      <c r="AJ223" s="285">
        <f>'Pencapaian Sales Contract'!I223</f>
        <v>0</v>
      </c>
      <c r="AK223" s="304">
        <f>'Pencapaian Co-Branding'!G223</f>
        <v>0</v>
      </c>
      <c r="AL223" s="285">
        <f>'Pencapaian Co-Branding'!I223</f>
        <v>0</v>
      </c>
      <c r="AM223" s="304">
        <f>'Pencapaian Join Event Activity'!G223</f>
        <v>0</v>
      </c>
      <c r="AN223" s="285">
        <f>'Pencapaian Join Event Activity'!I223</f>
        <v>0</v>
      </c>
      <c r="AO223" s="284">
        <f t="shared" si="112"/>
        <v>0</v>
      </c>
      <c r="AP223" s="322">
        <v>0</v>
      </c>
      <c r="AQ223" s="284">
        <f t="shared" si="113"/>
        <v>0</v>
      </c>
      <c r="AR223" s="322">
        <v>0</v>
      </c>
      <c r="AS223" s="284">
        <f t="shared" si="114"/>
        <v>0</v>
      </c>
      <c r="AT223" s="284">
        <f t="shared" si="115"/>
        <v>0</v>
      </c>
      <c r="AU223" s="284">
        <f t="shared" si="116"/>
        <v>0</v>
      </c>
      <c r="AV223" s="284">
        <v>0</v>
      </c>
    </row>
    <row r="224" spans="16:48" x14ac:dyDescent="0.2">
      <c r="P224" s="392"/>
      <c r="Q224" s="324"/>
      <c r="R224" s="324" t="s">
        <v>732</v>
      </c>
      <c r="S224" s="64" t="s">
        <v>673</v>
      </c>
      <c r="T224" s="258">
        <f>'Pencapaian Sales Value'!G224</f>
        <v>-1.01475E-3</v>
      </c>
      <c r="U224" s="286">
        <f>'Pencapaian Sales Value'!I224</f>
        <v>0</v>
      </c>
      <c r="V224" s="268">
        <f>'Pencapaian Product Focus'!H224</f>
        <v>0</v>
      </c>
      <c r="W224" s="268">
        <f>'Pencapaian Product Focus'!L224</f>
        <v>0</v>
      </c>
      <c r="X224" s="189">
        <f>'Pencapaian Product Focus'!N224</f>
        <v>0</v>
      </c>
      <c r="Y224" s="268">
        <f>'Pencapaian Effective Call'!G224</f>
        <v>0</v>
      </c>
      <c r="Z224" s="189">
        <f>'Pencapaian Effective Call'!I224</f>
        <v>0</v>
      </c>
      <c r="AA224" s="268">
        <f>'Pencapaian New Open Outlet'!G224</f>
        <v>0</v>
      </c>
      <c r="AB224" s="189">
        <f>'Pencapaian New Open Outlet'!I224</f>
        <v>0</v>
      </c>
      <c r="AC224" s="258">
        <f>'Pencapaian Active Outlet'!G224</f>
        <v>1.3333333333333334E-2</v>
      </c>
      <c r="AD224" s="286">
        <f>'Pencapaian Active Outlet'!I224</f>
        <v>0</v>
      </c>
      <c r="AE224" s="268">
        <f>'Pencapaian Item per Outlet'!G224</f>
        <v>0</v>
      </c>
      <c r="AF224" s="189">
        <f>'Pencapaian Item per Outlet'!I224</f>
        <v>0</v>
      </c>
      <c r="AG224" s="268">
        <f>'Pencapaian Product Display'!G224</f>
        <v>0</v>
      </c>
      <c r="AH224" s="189">
        <f>'Pencapaian Product Display'!I224</f>
        <v>0</v>
      </c>
      <c r="AI224" s="268">
        <f>'Pencapaian Sales Contract'!G224</f>
        <v>0</v>
      </c>
      <c r="AJ224" s="189">
        <f>'Pencapaian Sales Contract'!I224</f>
        <v>0</v>
      </c>
      <c r="AK224" s="268">
        <f>'Pencapaian Co-Branding'!G224</f>
        <v>0</v>
      </c>
      <c r="AL224" s="189">
        <f>'Pencapaian Co-Branding'!I224</f>
        <v>0</v>
      </c>
      <c r="AM224" s="268">
        <f>'Pencapaian Join Event Activity'!G224</f>
        <v>0</v>
      </c>
      <c r="AN224" s="189">
        <f>'Pencapaian Join Event Activity'!I224</f>
        <v>0</v>
      </c>
      <c r="AO224" s="286">
        <f t="shared" si="112"/>
        <v>0</v>
      </c>
      <c r="AP224" s="289">
        <v>0</v>
      </c>
      <c r="AQ224" s="286">
        <f t="shared" si="113"/>
        <v>0</v>
      </c>
      <c r="AR224" s="289">
        <v>0</v>
      </c>
      <c r="AS224" s="286">
        <f t="shared" si="114"/>
        <v>0</v>
      </c>
      <c r="AT224" s="286">
        <f t="shared" si="115"/>
        <v>0</v>
      </c>
      <c r="AU224" s="286">
        <f t="shared" si="116"/>
        <v>0</v>
      </c>
      <c r="AV224" s="286">
        <v>0</v>
      </c>
    </row>
    <row r="225" spans="16:48" x14ac:dyDescent="0.2">
      <c r="P225" s="393"/>
      <c r="Q225" s="325"/>
      <c r="R225" s="325" t="s">
        <v>628</v>
      </c>
      <c r="S225" s="42"/>
      <c r="T225" s="264">
        <f>'Pencapaian Sales Value'!G225</f>
        <v>-1.01475E-3</v>
      </c>
      <c r="U225" s="287">
        <f>'Pencapaian Sales Value'!I225</f>
        <v>0</v>
      </c>
      <c r="V225" s="274">
        <f>'Pencapaian Product Focus'!H225</f>
        <v>0</v>
      </c>
      <c r="W225" s="274">
        <f>'Pencapaian Product Focus'!L225</f>
        <v>0</v>
      </c>
      <c r="X225" s="190">
        <f>'Pencapaian Product Focus'!N225</f>
        <v>0</v>
      </c>
      <c r="Y225" s="274">
        <f>'Pencapaian Effective Call'!G225</f>
        <v>0</v>
      </c>
      <c r="Z225" s="190">
        <f>'Pencapaian Effective Call'!I225</f>
        <v>0</v>
      </c>
      <c r="AA225" s="274">
        <f>'Pencapaian New Open Outlet'!G225</f>
        <v>0</v>
      </c>
      <c r="AB225" s="190">
        <f>'Pencapaian New Open Outlet'!I225</f>
        <v>0</v>
      </c>
      <c r="AC225" s="264">
        <f>'Pencapaian Active Outlet'!G225</f>
        <v>1.3333333333333334E-2</v>
      </c>
      <c r="AD225" s="287">
        <f>'Pencapaian Active Outlet'!I225</f>
        <v>0</v>
      </c>
      <c r="AE225" s="274">
        <f>'Pencapaian Item per Outlet'!G225</f>
        <v>0</v>
      </c>
      <c r="AF225" s="190">
        <f>'Pencapaian Item per Outlet'!I225</f>
        <v>0</v>
      </c>
      <c r="AG225" s="274">
        <f>'Pencapaian Product Display'!G225</f>
        <v>0</v>
      </c>
      <c r="AH225" s="190">
        <f>'Pencapaian Product Display'!I225</f>
        <v>0</v>
      </c>
      <c r="AI225" s="274">
        <f>'Pencapaian Sales Contract'!G225</f>
        <v>0</v>
      </c>
      <c r="AJ225" s="190">
        <f>'Pencapaian Sales Contract'!I225</f>
        <v>0</v>
      </c>
      <c r="AK225" s="274">
        <f>'Pencapaian Co-Branding'!G225</f>
        <v>0</v>
      </c>
      <c r="AL225" s="190">
        <f>'Pencapaian Co-Branding'!I225</f>
        <v>0</v>
      </c>
      <c r="AM225" s="274">
        <f>'Pencapaian Join Event Activity'!G225</f>
        <v>0</v>
      </c>
      <c r="AN225" s="190">
        <f>'Pencapaian Join Event Activity'!I225</f>
        <v>0</v>
      </c>
      <c r="AO225" s="287">
        <f t="shared" si="112"/>
        <v>0</v>
      </c>
      <c r="AP225" s="290">
        <v>0</v>
      </c>
      <c r="AQ225" s="287">
        <f>SUM(AQ221:AQ224)</f>
        <v>0</v>
      </c>
      <c r="AR225" s="290">
        <v>0</v>
      </c>
      <c r="AS225" s="287">
        <f>SUM(AS221:AS224)</f>
        <v>0</v>
      </c>
      <c r="AT225" s="287">
        <f t="shared" si="115"/>
        <v>0</v>
      </c>
      <c r="AU225" s="287">
        <f>SUM(AU221:AU224)</f>
        <v>0</v>
      </c>
      <c r="AV225" s="287">
        <f>SUM(AV221:AV224)</f>
        <v>0</v>
      </c>
    </row>
    <row r="226" spans="16:48" x14ac:dyDescent="0.2">
      <c r="P226" s="326"/>
      <c r="Q226" s="326"/>
      <c r="R226" s="326" t="s">
        <v>629</v>
      </c>
      <c r="S226" s="209"/>
      <c r="T226" s="305">
        <f>'Pencapaian Sales Value'!G226</f>
        <v>0.45799976284584981</v>
      </c>
      <c r="U226" s="288">
        <f>'Pencapaian Sales Value'!I226</f>
        <v>1080000</v>
      </c>
      <c r="V226" s="274">
        <f>'Pencapaian Product Focus'!H226</f>
        <v>0</v>
      </c>
      <c r="W226" s="274">
        <f>'Pencapaian Product Focus'!L226</f>
        <v>0</v>
      </c>
      <c r="X226" s="190">
        <f>'Pencapaian Product Focus'!N226</f>
        <v>0</v>
      </c>
      <c r="Y226" s="274">
        <f>'Pencapaian Effective Call'!G226</f>
        <v>0</v>
      </c>
      <c r="Z226" s="190">
        <f>'Pencapaian Effective Call'!I226</f>
        <v>0</v>
      </c>
      <c r="AA226" s="274">
        <f>'Pencapaian New Open Outlet'!G226</f>
        <v>0</v>
      </c>
      <c r="AB226" s="190">
        <f>'Pencapaian New Open Outlet'!I226</f>
        <v>0</v>
      </c>
      <c r="AC226" s="305">
        <f>'Pencapaian Active Outlet'!G226</f>
        <v>0.24057971014492754</v>
      </c>
      <c r="AD226" s="288">
        <f>'Pencapaian Active Outlet'!I226</f>
        <v>483000</v>
      </c>
      <c r="AE226" s="274">
        <f>'Pencapaian Item per Outlet'!G226</f>
        <v>0</v>
      </c>
      <c r="AF226" s="190">
        <f>'Pencapaian Item per Outlet'!I226</f>
        <v>0</v>
      </c>
      <c r="AG226" s="274">
        <f>'Pencapaian Product Display'!G226</f>
        <v>0</v>
      </c>
      <c r="AH226" s="190">
        <f>'Pencapaian Product Display'!I226</f>
        <v>0</v>
      </c>
      <c r="AI226" s="274">
        <f>'Pencapaian Sales Contract'!G226</f>
        <v>0</v>
      </c>
      <c r="AJ226" s="190">
        <f>'Pencapaian Sales Contract'!I226</f>
        <v>0</v>
      </c>
      <c r="AK226" s="274">
        <f>'Pencapaian Co-Branding'!G226</f>
        <v>0</v>
      </c>
      <c r="AL226" s="190">
        <f>'Pencapaian Co-Branding'!I226</f>
        <v>0</v>
      </c>
      <c r="AM226" s="274">
        <f>'Pencapaian Join Event Activity'!G226</f>
        <v>0</v>
      </c>
      <c r="AN226" s="190">
        <f>'Pencapaian Join Event Activity'!I226</f>
        <v>0</v>
      </c>
      <c r="AO226" s="288">
        <f t="shared" si="112"/>
        <v>1563000</v>
      </c>
      <c r="AP226" s="291">
        <v>0</v>
      </c>
      <c r="AQ226" s="288">
        <f>SUM(AQ225,AQ220,AQ215,AQ199)</f>
        <v>0</v>
      </c>
      <c r="AR226" s="291">
        <v>0</v>
      </c>
      <c r="AS226" s="288">
        <f>SUM(AS225,AS220,AS215,AS199)</f>
        <v>0</v>
      </c>
      <c r="AT226" s="288">
        <f t="shared" si="115"/>
        <v>1563000</v>
      </c>
      <c r="AU226" s="288">
        <f>SUM(AU225,AU220,AU215,AU199)</f>
        <v>1563000</v>
      </c>
      <c r="AV226" s="288">
        <f>SUM(AV225,AV220,AV215,AV199)</f>
        <v>0</v>
      </c>
    </row>
    <row r="227" spans="16:48" x14ac:dyDescent="0.2">
      <c r="P227" s="395" t="s">
        <v>603</v>
      </c>
      <c r="Q227" s="321" t="s">
        <v>406</v>
      </c>
      <c r="R227" s="321" t="s">
        <v>895</v>
      </c>
      <c r="S227" s="12" t="s">
        <v>571</v>
      </c>
      <c r="T227" s="269" t="e">
        <f>'Pencapaian Sales Value'!G227</f>
        <v>#DIV/0!</v>
      </c>
      <c r="U227" s="284">
        <f>'Pencapaian Sales Value'!I227</f>
        <v>0</v>
      </c>
      <c r="V227" s="304">
        <f>'Pencapaian Product Focus'!H227</f>
        <v>0</v>
      </c>
      <c r="W227" s="304">
        <f>'Pencapaian Product Focus'!L227</f>
        <v>0</v>
      </c>
      <c r="X227" s="285">
        <f>'Pencapaian Product Focus'!N227</f>
        <v>0</v>
      </c>
      <c r="Y227" s="304">
        <f>'Pencapaian Effective Call'!G227</f>
        <v>0</v>
      </c>
      <c r="Z227" s="285">
        <f>'Pencapaian Effective Call'!I227</f>
        <v>0</v>
      </c>
      <c r="AA227" s="304">
        <f>'Pencapaian New Open Outlet'!G227</f>
        <v>0</v>
      </c>
      <c r="AB227" s="285">
        <f>'Pencapaian New Open Outlet'!I227</f>
        <v>0</v>
      </c>
      <c r="AC227" s="269" t="e">
        <f>'Pencapaian Active Outlet'!G227</f>
        <v>#DIV/0!</v>
      </c>
      <c r="AD227" s="284">
        <f>'Pencapaian Active Outlet'!I227</f>
        <v>0</v>
      </c>
      <c r="AE227" s="304">
        <f>'Pencapaian Item per Outlet'!G227</f>
        <v>0</v>
      </c>
      <c r="AF227" s="285">
        <f>'Pencapaian Item per Outlet'!I227</f>
        <v>0</v>
      </c>
      <c r="AG227" s="304">
        <f>'Pencapaian Product Display'!G227</f>
        <v>0</v>
      </c>
      <c r="AH227" s="285">
        <f>'Pencapaian Product Display'!I227</f>
        <v>0</v>
      </c>
      <c r="AI227" s="304">
        <f>'Pencapaian Sales Contract'!G227</f>
        <v>0</v>
      </c>
      <c r="AJ227" s="285">
        <f>'Pencapaian Sales Contract'!I227</f>
        <v>0</v>
      </c>
      <c r="AK227" s="304">
        <f>'Pencapaian Co-Branding'!G227</f>
        <v>0</v>
      </c>
      <c r="AL227" s="285">
        <f>'Pencapaian Co-Branding'!I227</f>
        <v>0</v>
      </c>
      <c r="AM227" s="304">
        <f>'Pencapaian Join Event Activity'!G227</f>
        <v>0</v>
      </c>
      <c r="AN227" s="285">
        <f>'Pencapaian Join Event Activity'!I227</f>
        <v>0</v>
      </c>
      <c r="AO227" s="284">
        <f t="shared" si="112"/>
        <v>0</v>
      </c>
      <c r="AP227" s="322">
        <v>0</v>
      </c>
      <c r="AQ227" s="284">
        <f t="shared" ref="AQ227:AQ241" si="117">IF(AP227&gt;=0.5%,-(AO227*10%),0)</f>
        <v>0</v>
      </c>
      <c r="AR227" s="322">
        <v>0</v>
      </c>
      <c r="AS227" s="284">
        <f t="shared" ref="AS227:AS241" si="118">IF(AR227&gt;0,-(AO227+AQ227),0)</f>
        <v>0</v>
      </c>
      <c r="AT227" s="284">
        <f t="shared" si="115"/>
        <v>0</v>
      </c>
      <c r="AU227" s="284">
        <f t="shared" ref="AU227:AU241" si="119">AT227</f>
        <v>0</v>
      </c>
      <c r="AV227" s="284">
        <v>0</v>
      </c>
    </row>
    <row r="228" spans="16:48" x14ac:dyDescent="0.2">
      <c r="P228" s="392"/>
      <c r="Q228" s="321"/>
      <c r="R228" s="323" t="s">
        <v>544</v>
      </c>
      <c r="S228" s="12" t="s">
        <v>675</v>
      </c>
      <c r="T228" s="269">
        <f>'Pencapaian Sales Value'!G228</f>
        <v>0.54140975000000002</v>
      </c>
      <c r="U228" s="284">
        <f>'Pencapaian Sales Value'!I228</f>
        <v>0</v>
      </c>
      <c r="V228" s="304">
        <f>'Pencapaian Product Focus'!H228</f>
        <v>0</v>
      </c>
      <c r="W228" s="304">
        <f>'Pencapaian Product Focus'!L228</f>
        <v>0</v>
      </c>
      <c r="X228" s="285">
        <f>'Pencapaian Product Focus'!N228</f>
        <v>0</v>
      </c>
      <c r="Y228" s="304">
        <f>'Pencapaian Effective Call'!G228</f>
        <v>0</v>
      </c>
      <c r="Z228" s="285">
        <f>'Pencapaian Effective Call'!I228</f>
        <v>0</v>
      </c>
      <c r="AA228" s="304">
        <f>'Pencapaian New Open Outlet'!G228</f>
        <v>0</v>
      </c>
      <c r="AB228" s="285">
        <f>'Pencapaian New Open Outlet'!I228</f>
        <v>0</v>
      </c>
      <c r="AC228" s="269">
        <f>'Pencapaian Active Outlet'!G228</f>
        <v>0.7</v>
      </c>
      <c r="AD228" s="284">
        <f>'Pencapaian Active Outlet'!I228</f>
        <v>0</v>
      </c>
      <c r="AE228" s="304">
        <f>'Pencapaian Item per Outlet'!G228</f>
        <v>0</v>
      </c>
      <c r="AF228" s="285">
        <f>'Pencapaian Item per Outlet'!I228</f>
        <v>0</v>
      </c>
      <c r="AG228" s="304">
        <f>'Pencapaian Product Display'!G228</f>
        <v>0</v>
      </c>
      <c r="AH228" s="285">
        <f>'Pencapaian Product Display'!I228</f>
        <v>0</v>
      </c>
      <c r="AI228" s="304">
        <f>'Pencapaian Sales Contract'!G228</f>
        <v>0</v>
      </c>
      <c r="AJ228" s="285">
        <f>'Pencapaian Sales Contract'!I228</f>
        <v>0</v>
      </c>
      <c r="AK228" s="304">
        <f>'Pencapaian Co-Branding'!G228</f>
        <v>0</v>
      </c>
      <c r="AL228" s="285">
        <f>'Pencapaian Co-Branding'!I228</f>
        <v>0</v>
      </c>
      <c r="AM228" s="304">
        <f>'Pencapaian Join Event Activity'!G228</f>
        <v>0</v>
      </c>
      <c r="AN228" s="285">
        <f>'Pencapaian Join Event Activity'!I228</f>
        <v>0</v>
      </c>
      <c r="AO228" s="284">
        <f t="shared" si="112"/>
        <v>0</v>
      </c>
      <c r="AP228" s="322">
        <v>0</v>
      </c>
      <c r="AQ228" s="284">
        <f t="shared" si="117"/>
        <v>0</v>
      </c>
      <c r="AR228" s="322">
        <v>0</v>
      </c>
      <c r="AS228" s="284">
        <f t="shared" si="118"/>
        <v>0</v>
      </c>
      <c r="AT228" s="284">
        <f t="shared" si="115"/>
        <v>0</v>
      </c>
      <c r="AU228" s="284">
        <f t="shared" si="119"/>
        <v>0</v>
      </c>
      <c r="AV228" s="284">
        <v>0</v>
      </c>
    </row>
    <row r="229" spans="16:48" x14ac:dyDescent="0.2">
      <c r="P229" s="392"/>
      <c r="Q229" s="321"/>
      <c r="R229" s="323" t="s">
        <v>545</v>
      </c>
      <c r="S229" s="12" t="s">
        <v>675</v>
      </c>
      <c r="T229" s="269">
        <f>'Pencapaian Sales Value'!G229</f>
        <v>0.17270750000000001</v>
      </c>
      <c r="U229" s="284">
        <f>'Pencapaian Sales Value'!I229</f>
        <v>0</v>
      </c>
      <c r="V229" s="304">
        <f>'Pencapaian Product Focus'!H229</f>
        <v>0</v>
      </c>
      <c r="W229" s="304">
        <f>'Pencapaian Product Focus'!L229</f>
        <v>0</v>
      </c>
      <c r="X229" s="285">
        <f>'Pencapaian Product Focus'!N229</f>
        <v>0</v>
      </c>
      <c r="Y229" s="304">
        <f>'Pencapaian Effective Call'!G229</f>
        <v>0</v>
      </c>
      <c r="Z229" s="285">
        <f>'Pencapaian Effective Call'!I229</f>
        <v>0</v>
      </c>
      <c r="AA229" s="304">
        <f>'Pencapaian New Open Outlet'!G229</f>
        <v>0</v>
      </c>
      <c r="AB229" s="285">
        <f>'Pencapaian New Open Outlet'!I229</f>
        <v>0</v>
      </c>
      <c r="AC229" s="269">
        <f>'Pencapaian Active Outlet'!G229</f>
        <v>0.26</v>
      </c>
      <c r="AD229" s="284">
        <f>'Pencapaian Active Outlet'!I229</f>
        <v>0</v>
      </c>
      <c r="AE229" s="304">
        <f>'Pencapaian Item per Outlet'!G229</f>
        <v>0</v>
      </c>
      <c r="AF229" s="285">
        <f>'Pencapaian Item per Outlet'!I229</f>
        <v>0</v>
      </c>
      <c r="AG229" s="304">
        <f>'Pencapaian Product Display'!G229</f>
        <v>0</v>
      </c>
      <c r="AH229" s="285">
        <f>'Pencapaian Product Display'!I229</f>
        <v>0</v>
      </c>
      <c r="AI229" s="304">
        <f>'Pencapaian Sales Contract'!G229</f>
        <v>0</v>
      </c>
      <c r="AJ229" s="285">
        <f>'Pencapaian Sales Contract'!I229</f>
        <v>0</v>
      </c>
      <c r="AK229" s="304">
        <f>'Pencapaian Co-Branding'!G229</f>
        <v>0</v>
      </c>
      <c r="AL229" s="285">
        <f>'Pencapaian Co-Branding'!I229</f>
        <v>0</v>
      </c>
      <c r="AM229" s="304">
        <f>'Pencapaian Join Event Activity'!G229</f>
        <v>0</v>
      </c>
      <c r="AN229" s="285">
        <f>'Pencapaian Join Event Activity'!I229</f>
        <v>0</v>
      </c>
      <c r="AO229" s="284">
        <f t="shared" si="112"/>
        <v>0</v>
      </c>
      <c r="AP229" s="322">
        <v>0</v>
      </c>
      <c r="AQ229" s="284">
        <f t="shared" si="117"/>
        <v>0</v>
      </c>
      <c r="AR229" s="322">
        <v>0</v>
      </c>
      <c r="AS229" s="284">
        <f t="shared" si="118"/>
        <v>0</v>
      </c>
      <c r="AT229" s="284">
        <f t="shared" si="115"/>
        <v>0</v>
      </c>
      <c r="AU229" s="284">
        <f t="shared" si="119"/>
        <v>0</v>
      </c>
      <c r="AV229" s="284">
        <v>0</v>
      </c>
    </row>
    <row r="230" spans="16:48" x14ac:dyDescent="0.2">
      <c r="P230" s="392"/>
      <c r="Q230" s="321"/>
      <c r="R230" s="323" t="s">
        <v>806</v>
      </c>
      <c r="S230" s="12"/>
      <c r="T230" s="269" t="e">
        <f>'Pencapaian Sales Value'!G230</f>
        <v>#DIV/0!</v>
      </c>
      <c r="U230" s="284">
        <f>'Pencapaian Sales Value'!I230</f>
        <v>0</v>
      </c>
      <c r="V230" s="304">
        <f>'Pencapaian Product Focus'!H230</f>
        <v>0</v>
      </c>
      <c r="W230" s="304">
        <f>'Pencapaian Product Focus'!L230</f>
        <v>0</v>
      </c>
      <c r="X230" s="285">
        <f>'Pencapaian Product Focus'!N230</f>
        <v>0</v>
      </c>
      <c r="Y230" s="304">
        <f>'Pencapaian Effective Call'!G230</f>
        <v>0</v>
      </c>
      <c r="Z230" s="285">
        <f>'Pencapaian Effective Call'!I230</f>
        <v>0</v>
      </c>
      <c r="AA230" s="304">
        <f>'Pencapaian New Open Outlet'!G230</f>
        <v>0</v>
      </c>
      <c r="AB230" s="285">
        <f>'Pencapaian New Open Outlet'!I230</f>
        <v>0</v>
      </c>
      <c r="AC230" s="269" t="e">
        <f>'Pencapaian Active Outlet'!G230</f>
        <v>#DIV/0!</v>
      </c>
      <c r="AD230" s="284">
        <f>'Pencapaian Active Outlet'!I230</f>
        <v>0</v>
      </c>
      <c r="AE230" s="304">
        <f>'Pencapaian Item per Outlet'!G230</f>
        <v>0</v>
      </c>
      <c r="AF230" s="285">
        <f>'Pencapaian Item per Outlet'!I230</f>
        <v>0</v>
      </c>
      <c r="AG230" s="304">
        <f>'Pencapaian Product Display'!G230</f>
        <v>0</v>
      </c>
      <c r="AH230" s="285">
        <f>'Pencapaian Product Display'!I230</f>
        <v>0</v>
      </c>
      <c r="AI230" s="304">
        <f>'Pencapaian Sales Contract'!G230</f>
        <v>0</v>
      </c>
      <c r="AJ230" s="285">
        <f>'Pencapaian Sales Contract'!I230</f>
        <v>0</v>
      </c>
      <c r="AK230" s="304">
        <f>'Pencapaian Co-Branding'!G230</f>
        <v>0</v>
      </c>
      <c r="AL230" s="285">
        <f>'Pencapaian Co-Branding'!I230</f>
        <v>0</v>
      </c>
      <c r="AM230" s="304">
        <f>'Pencapaian Join Event Activity'!G230</f>
        <v>0</v>
      </c>
      <c r="AN230" s="285">
        <f>'Pencapaian Join Event Activity'!I230</f>
        <v>0</v>
      </c>
      <c r="AO230" s="284">
        <f t="shared" si="112"/>
        <v>0</v>
      </c>
      <c r="AP230" s="322">
        <v>0</v>
      </c>
      <c r="AQ230" s="284">
        <f t="shared" si="117"/>
        <v>0</v>
      </c>
      <c r="AR230" s="322">
        <v>0</v>
      </c>
      <c r="AS230" s="284">
        <f t="shared" si="118"/>
        <v>0</v>
      </c>
      <c r="AT230" s="284">
        <f t="shared" si="115"/>
        <v>0</v>
      </c>
      <c r="AU230" s="284">
        <f t="shared" si="119"/>
        <v>0</v>
      </c>
      <c r="AV230" s="284">
        <v>0</v>
      </c>
    </row>
    <row r="231" spans="16:48" x14ac:dyDescent="0.2">
      <c r="P231" s="392"/>
      <c r="Q231" s="321"/>
      <c r="R231" s="323" t="s">
        <v>630</v>
      </c>
      <c r="S231" s="12" t="s">
        <v>675</v>
      </c>
      <c r="T231" s="269">
        <f>'Pencapaian Sales Value'!G231</f>
        <v>0.23880812500000001</v>
      </c>
      <c r="U231" s="284">
        <f>'Pencapaian Sales Value'!I231</f>
        <v>0</v>
      </c>
      <c r="V231" s="304">
        <f>'Pencapaian Product Focus'!H231</f>
        <v>0</v>
      </c>
      <c r="W231" s="304">
        <f>'Pencapaian Product Focus'!L231</f>
        <v>0</v>
      </c>
      <c r="X231" s="285">
        <f>'Pencapaian Product Focus'!N231</f>
        <v>0</v>
      </c>
      <c r="Y231" s="304">
        <f>'Pencapaian Effective Call'!G231</f>
        <v>0</v>
      </c>
      <c r="Z231" s="285">
        <f>'Pencapaian Effective Call'!I231</f>
        <v>0</v>
      </c>
      <c r="AA231" s="304">
        <f>'Pencapaian New Open Outlet'!G231</f>
        <v>0</v>
      </c>
      <c r="AB231" s="285">
        <f>'Pencapaian New Open Outlet'!I231</f>
        <v>0</v>
      </c>
      <c r="AC231" s="269">
        <f>'Pencapaian Active Outlet'!G231</f>
        <v>0.47499999999999998</v>
      </c>
      <c r="AD231" s="284">
        <f>'Pencapaian Active Outlet'!I231</f>
        <v>0</v>
      </c>
      <c r="AE231" s="304">
        <f>'Pencapaian Item per Outlet'!G231</f>
        <v>0</v>
      </c>
      <c r="AF231" s="285">
        <f>'Pencapaian Item per Outlet'!I231</f>
        <v>0</v>
      </c>
      <c r="AG231" s="304">
        <f>'Pencapaian Product Display'!G231</f>
        <v>0</v>
      </c>
      <c r="AH231" s="285">
        <f>'Pencapaian Product Display'!I231</f>
        <v>0</v>
      </c>
      <c r="AI231" s="304">
        <f>'Pencapaian Sales Contract'!G231</f>
        <v>0</v>
      </c>
      <c r="AJ231" s="285">
        <f>'Pencapaian Sales Contract'!I231</f>
        <v>0</v>
      </c>
      <c r="AK231" s="304">
        <f>'Pencapaian Co-Branding'!G231</f>
        <v>0</v>
      </c>
      <c r="AL231" s="285">
        <f>'Pencapaian Co-Branding'!I231</f>
        <v>0</v>
      </c>
      <c r="AM231" s="304">
        <f>'Pencapaian Join Event Activity'!G231</f>
        <v>0</v>
      </c>
      <c r="AN231" s="285">
        <f>'Pencapaian Join Event Activity'!I231</f>
        <v>0</v>
      </c>
      <c r="AO231" s="284">
        <f t="shared" si="112"/>
        <v>0</v>
      </c>
      <c r="AP231" s="322">
        <v>0</v>
      </c>
      <c r="AQ231" s="284">
        <f t="shared" si="117"/>
        <v>0</v>
      </c>
      <c r="AR231" s="322">
        <v>0</v>
      </c>
      <c r="AS231" s="284">
        <f t="shared" si="118"/>
        <v>0</v>
      </c>
      <c r="AT231" s="284">
        <f t="shared" si="115"/>
        <v>0</v>
      </c>
      <c r="AU231" s="284">
        <f t="shared" si="119"/>
        <v>0</v>
      </c>
      <c r="AV231" s="284">
        <v>0</v>
      </c>
    </row>
    <row r="232" spans="16:48" x14ac:dyDescent="0.2">
      <c r="P232" s="392"/>
      <c r="Q232" s="321"/>
      <c r="R232" s="323" t="s">
        <v>546</v>
      </c>
      <c r="S232" s="12" t="s">
        <v>675</v>
      </c>
      <c r="T232" s="269">
        <f>'Pencapaian Sales Value'!G232</f>
        <v>0.47309600000000002</v>
      </c>
      <c r="U232" s="284">
        <f>'Pencapaian Sales Value'!I232</f>
        <v>0</v>
      </c>
      <c r="V232" s="304">
        <f>'Pencapaian Product Focus'!H232</f>
        <v>0</v>
      </c>
      <c r="W232" s="304">
        <f>'Pencapaian Product Focus'!L232</f>
        <v>0</v>
      </c>
      <c r="X232" s="285">
        <f>'Pencapaian Product Focus'!N232</f>
        <v>0</v>
      </c>
      <c r="Y232" s="304">
        <f>'Pencapaian Effective Call'!G232</f>
        <v>0</v>
      </c>
      <c r="Z232" s="285">
        <f>'Pencapaian Effective Call'!I232</f>
        <v>0</v>
      </c>
      <c r="AA232" s="304">
        <f>'Pencapaian New Open Outlet'!G232</f>
        <v>0</v>
      </c>
      <c r="AB232" s="285">
        <f>'Pencapaian New Open Outlet'!I232</f>
        <v>0</v>
      </c>
      <c r="AC232" s="269">
        <f>'Pencapaian Active Outlet'!G232</f>
        <v>0.44</v>
      </c>
      <c r="AD232" s="284">
        <f>'Pencapaian Active Outlet'!I232</f>
        <v>0</v>
      </c>
      <c r="AE232" s="304">
        <f>'Pencapaian Item per Outlet'!G232</f>
        <v>0</v>
      </c>
      <c r="AF232" s="285">
        <f>'Pencapaian Item per Outlet'!I232</f>
        <v>0</v>
      </c>
      <c r="AG232" s="304">
        <f>'Pencapaian Product Display'!G232</f>
        <v>0</v>
      </c>
      <c r="AH232" s="285">
        <f>'Pencapaian Product Display'!I232</f>
        <v>0</v>
      </c>
      <c r="AI232" s="304">
        <f>'Pencapaian Sales Contract'!G232</f>
        <v>0</v>
      </c>
      <c r="AJ232" s="285">
        <f>'Pencapaian Sales Contract'!I232</f>
        <v>0</v>
      </c>
      <c r="AK232" s="304">
        <f>'Pencapaian Co-Branding'!G232</f>
        <v>0</v>
      </c>
      <c r="AL232" s="285">
        <f>'Pencapaian Co-Branding'!I232</f>
        <v>0</v>
      </c>
      <c r="AM232" s="304">
        <f>'Pencapaian Join Event Activity'!G232</f>
        <v>0</v>
      </c>
      <c r="AN232" s="285">
        <f>'Pencapaian Join Event Activity'!I232</f>
        <v>0</v>
      </c>
      <c r="AO232" s="284">
        <f t="shared" si="112"/>
        <v>0</v>
      </c>
      <c r="AP232" s="322">
        <v>0</v>
      </c>
      <c r="AQ232" s="284">
        <f t="shared" si="117"/>
        <v>0</v>
      </c>
      <c r="AR232" s="322">
        <v>0</v>
      </c>
      <c r="AS232" s="284">
        <f t="shared" si="118"/>
        <v>0</v>
      </c>
      <c r="AT232" s="284">
        <f t="shared" si="115"/>
        <v>0</v>
      </c>
      <c r="AU232" s="284">
        <f t="shared" si="119"/>
        <v>0</v>
      </c>
      <c r="AV232" s="284">
        <v>0</v>
      </c>
    </row>
    <row r="233" spans="16:48" x14ac:dyDescent="0.2">
      <c r="P233" s="392"/>
      <c r="Q233" s="321"/>
      <c r="R233" s="323" t="s">
        <v>547</v>
      </c>
      <c r="S233" s="12" t="s">
        <v>675</v>
      </c>
      <c r="T233" s="269">
        <f>'Pencapaian Sales Value'!G233</f>
        <v>1.0115588235294117</v>
      </c>
      <c r="U233" s="284">
        <f>'Pencapaian Sales Value'!I233</f>
        <v>90000</v>
      </c>
      <c r="V233" s="304">
        <f>'Pencapaian Product Focus'!H233</f>
        <v>0</v>
      </c>
      <c r="W233" s="304">
        <f>'Pencapaian Product Focus'!L233</f>
        <v>0</v>
      </c>
      <c r="X233" s="285">
        <f>'Pencapaian Product Focus'!N233</f>
        <v>0</v>
      </c>
      <c r="Y233" s="304">
        <f>'Pencapaian Effective Call'!G233</f>
        <v>0</v>
      </c>
      <c r="Z233" s="285">
        <f>'Pencapaian Effective Call'!I233</f>
        <v>0</v>
      </c>
      <c r="AA233" s="304">
        <f>'Pencapaian New Open Outlet'!G233</f>
        <v>0</v>
      </c>
      <c r="AB233" s="285">
        <f>'Pencapaian New Open Outlet'!I233</f>
        <v>0</v>
      </c>
      <c r="AC233" s="269">
        <f>'Pencapaian Active Outlet'!G233</f>
        <v>0.88</v>
      </c>
      <c r="AD233" s="284">
        <f>'Pencapaian Active Outlet'!I233</f>
        <v>90000</v>
      </c>
      <c r="AE233" s="304">
        <f>'Pencapaian Item per Outlet'!G233</f>
        <v>0</v>
      </c>
      <c r="AF233" s="285">
        <f>'Pencapaian Item per Outlet'!I233</f>
        <v>0</v>
      </c>
      <c r="AG233" s="304">
        <f>'Pencapaian Product Display'!G233</f>
        <v>0</v>
      </c>
      <c r="AH233" s="285">
        <f>'Pencapaian Product Display'!I233</f>
        <v>0</v>
      </c>
      <c r="AI233" s="304">
        <f>'Pencapaian Sales Contract'!G233</f>
        <v>0</v>
      </c>
      <c r="AJ233" s="285">
        <f>'Pencapaian Sales Contract'!I233</f>
        <v>0</v>
      </c>
      <c r="AK233" s="304">
        <f>'Pencapaian Co-Branding'!G233</f>
        <v>0</v>
      </c>
      <c r="AL233" s="285">
        <f>'Pencapaian Co-Branding'!I233</f>
        <v>0</v>
      </c>
      <c r="AM233" s="304">
        <f>'Pencapaian Join Event Activity'!G233</f>
        <v>0</v>
      </c>
      <c r="AN233" s="285">
        <f>'Pencapaian Join Event Activity'!I233</f>
        <v>0</v>
      </c>
      <c r="AO233" s="284">
        <f t="shared" si="112"/>
        <v>180000</v>
      </c>
      <c r="AP233" s="322">
        <v>0</v>
      </c>
      <c r="AQ233" s="284">
        <f t="shared" si="117"/>
        <v>0</v>
      </c>
      <c r="AR233" s="322">
        <v>0</v>
      </c>
      <c r="AS233" s="284">
        <f t="shared" si="118"/>
        <v>0</v>
      </c>
      <c r="AT233" s="284">
        <f t="shared" si="115"/>
        <v>180000</v>
      </c>
      <c r="AU233" s="284">
        <f t="shared" si="119"/>
        <v>180000</v>
      </c>
      <c r="AV233" s="284">
        <v>0</v>
      </c>
    </row>
    <row r="234" spans="16:48" x14ac:dyDescent="0.2">
      <c r="P234" s="392"/>
      <c r="Q234" s="324"/>
      <c r="R234" s="324" t="s">
        <v>694</v>
      </c>
      <c r="S234" s="64" t="s">
        <v>673</v>
      </c>
      <c r="T234" s="258">
        <f>'Pencapaian Sales Value'!G234</f>
        <v>0.52667844444444445</v>
      </c>
      <c r="U234" s="286">
        <f>'Pencapaian Sales Value'!I234</f>
        <v>0</v>
      </c>
      <c r="V234" s="268">
        <f>'Pencapaian Product Focus'!H234</f>
        <v>0</v>
      </c>
      <c r="W234" s="268">
        <f>'Pencapaian Product Focus'!L234</f>
        <v>0</v>
      </c>
      <c r="X234" s="189">
        <f>'Pencapaian Product Focus'!N234</f>
        <v>0</v>
      </c>
      <c r="Y234" s="268">
        <f>'Pencapaian Effective Call'!G234</f>
        <v>0</v>
      </c>
      <c r="Z234" s="189">
        <f>'Pencapaian Effective Call'!I234</f>
        <v>0</v>
      </c>
      <c r="AA234" s="268">
        <f>'Pencapaian New Open Outlet'!G234</f>
        <v>0</v>
      </c>
      <c r="AB234" s="189">
        <f>'Pencapaian New Open Outlet'!I234</f>
        <v>0</v>
      </c>
      <c r="AC234" s="258">
        <f>'Pencapaian Active Outlet'!G234</f>
        <v>0.5117647058823529</v>
      </c>
      <c r="AD234" s="286">
        <f>'Pencapaian Active Outlet'!I234</f>
        <v>0</v>
      </c>
      <c r="AE234" s="268">
        <f>'Pencapaian Item per Outlet'!G234</f>
        <v>0</v>
      </c>
      <c r="AF234" s="189">
        <f>'Pencapaian Item per Outlet'!I234</f>
        <v>0</v>
      </c>
      <c r="AG234" s="268">
        <f>'Pencapaian Product Display'!G234</f>
        <v>0</v>
      </c>
      <c r="AH234" s="189">
        <f>'Pencapaian Product Display'!I234</f>
        <v>0</v>
      </c>
      <c r="AI234" s="268">
        <f>'Pencapaian Sales Contract'!G234</f>
        <v>0</v>
      </c>
      <c r="AJ234" s="189">
        <f>'Pencapaian Sales Contract'!I234</f>
        <v>0</v>
      </c>
      <c r="AK234" s="268">
        <f>'Pencapaian Co-Branding'!G234</f>
        <v>0</v>
      </c>
      <c r="AL234" s="189">
        <f>'Pencapaian Co-Branding'!I234</f>
        <v>0</v>
      </c>
      <c r="AM234" s="268">
        <f>'Pencapaian Join Event Activity'!G234</f>
        <v>0</v>
      </c>
      <c r="AN234" s="189">
        <f>'Pencapaian Join Event Activity'!I234</f>
        <v>0</v>
      </c>
      <c r="AO234" s="286">
        <f t="shared" si="112"/>
        <v>0</v>
      </c>
      <c r="AP234" s="289">
        <v>0</v>
      </c>
      <c r="AQ234" s="286">
        <f t="shared" si="117"/>
        <v>0</v>
      </c>
      <c r="AR234" s="289">
        <v>0</v>
      </c>
      <c r="AS234" s="286">
        <f t="shared" si="118"/>
        <v>0</v>
      </c>
      <c r="AT234" s="286">
        <f t="shared" si="115"/>
        <v>0</v>
      </c>
      <c r="AU234" s="286">
        <f t="shared" si="119"/>
        <v>0</v>
      </c>
      <c r="AV234" s="286">
        <v>0</v>
      </c>
    </row>
    <row r="235" spans="16:48" x14ac:dyDescent="0.2">
      <c r="P235" s="392"/>
      <c r="Q235" s="321"/>
      <c r="R235" s="323" t="s">
        <v>631</v>
      </c>
      <c r="S235" s="12" t="s">
        <v>675</v>
      </c>
      <c r="T235" s="269">
        <f>'Pencapaian Sales Value'!G235</f>
        <v>-9.6939999999999998E-2</v>
      </c>
      <c r="U235" s="284">
        <f>'Pencapaian Sales Value'!I235</f>
        <v>0</v>
      </c>
      <c r="V235" s="304">
        <f>'Pencapaian Product Focus'!H235</f>
        <v>0</v>
      </c>
      <c r="W235" s="304">
        <f>'Pencapaian Product Focus'!L235</f>
        <v>0</v>
      </c>
      <c r="X235" s="285">
        <f>'Pencapaian Product Focus'!N235</f>
        <v>0</v>
      </c>
      <c r="Y235" s="304">
        <f>'Pencapaian Effective Call'!G235</f>
        <v>0</v>
      </c>
      <c r="Z235" s="285">
        <f>'Pencapaian Effective Call'!I235</f>
        <v>0</v>
      </c>
      <c r="AA235" s="304">
        <f>'Pencapaian New Open Outlet'!G235</f>
        <v>0</v>
      </c>
      <c r="AB235" s="285">
        <f>'Pencapaian New Open Outlet'!I235</f>
        <v>0</v>
      </c>
      <c r="AC235" s="269">
        <f>'Pencapaian Active Outlet'!G235</f>
        <v>0.08</v>
      </c>
      <c r="AD235" s="284">
        <f>'Pencapaian Active Outlet'!I235</f>
        <v>0</v>
      </c>
      <c r="AE235" s="304">
        <f>'Pencapaian Item per Outlet'!G235</f>
        <v>0</v>
      </c>
      <c r="AF235" s="285">
        <f>'Pencapaian Item per Outlet'!I235</f>
        <v>0</v>
      </c>
      <c r="AG235" s="304">
        <f>'Pencapaian Product Display'!G235</f>
        <v>0</v>
      </c>
      <c r="AH235" s="285">
        <f>'Pencapaian Product Display'!I235</f>
        <v>0</v>
      </c>
      <c r="AI235" s="304">
        <f>'Pencapaian Sales Contract'!G235</f>
        <v>0</v>
      </c>
      <c r="AJ235" s="285">
        <f>'Pencapaian Sales Contract'!I235</f>
        <v>0</v>
      </c>
      <c r="AK235" s="304">
        <f>'Pencapaian Co-Branding'!G235</f>
        <v>0</v>
      </c>
      <c r="AL235" s="285">
        <f>'Pencapaian Co-Branding'!I235</f>
        <v>0</v>
      </c>
      <c r="AM235" s="304">
        <f>'Pencapaian Join Event Activity'!G235</f>
        <v>0</v>
      </c>
      <c r="AN235" s="285">
        <f>'Pencapaian Join Event Activity'!I235</f>
        <v>0</v>
      </c>
      <c r="AO235" s="284">
        <f t="shared" si="112"/>
        <v>0</v>
      </c>
      <c r="AP235" s="322">
        <v>0</v>
      </c>
      <c r="AQ235" s="284">
        <f t="shared" si="117"/>
        <v>0</v>
      </c>
      <c r="AR235" s="322">
        <v>0</v>
      </c>
      <c r="AS235" s="284">
        <f t="shared" si="118"/>
        <v>0</v>
      </c>
      <c r="AT235" s="284">
        <f t="shared" si="115"/>
        <v>0</v>
      </c>
      <c r="AU235" s="284">
        <f t="shared" si="119"/>
        <v>0</v>
      </c>
      <c r="AV235" s="284">
        <v>0</v>
      </c>
    </row>
    <row r="236" spans="16:48" x14ac:dyDescent="0.2">
      <c r="P236" s="392"/>
      <c r="Q236" s="321"/>
      <c r="R236" s="323" t="s">
        <v>847</v>
      </c>
      <c r="S236" s="12" t="s">
        <v>675</v>
      </c>
      <c r="T236" s="269">
        <f>'Pencapaian Sales Value'!G236</f>
        <v>-0.03</v>
      </c>
      <c r="U236" s="284">
        <f>'Pencapaian Sales Value'!I236</f>
        <v>0</v>
      </c>
      <c r="V236" s="304">
        <f>'Pencapaian Product Focus'!H236</f>
        <v>0</v>
      </c>
      <c r="W236" s="304">
        <f>'Pencapaian Product Focus'!L236</f>
        <v>0</v>
      </c>
      <c r="X236" s="285">
        <f>'Pencapaian Product Focus'!N236</f>
        <v>0</v>
      </c>
      <c r="Y236" s="304">
        <f>'Pencapaian Effective Call'!G236</f>
        <v>0</v>
      </c>
      <c r="Z236" s="285">
        <f>'Pencapaian Effective Call'!I236</f>
        <v>0</v>
      </c>
      <c r="AA236" s="304">
        <f>'Pencapaian New Open Outlet'!G236</f>
        <v>0</v>
      </c>
      <c r="AB236" s="285">
        <f>'Pencapaian New Open Outlet'!I236</f>
        <v>0</v>
      </c>
      <c r="AC236" s="269">
        <f>'Pencapaian Active Outlet'!G236</f>
        <v>0</v>
      </c>
      <c r="AD236" s="284">
        <f>'Pencapaian Active Outlet'!I236</f>
        <v>0</v>
      </c>
      <c r="AE236" s="304">
        <f>'Pencapaian Item per Outlet'!G236</f>
        <v>0</v>
      </c>
      <c r="AF236" s="285">
        <f>'Pencapaian Item per Outlet'!I236</f>
        <v>0</v>
      </c>
      <c r="AG236" s="304">
        <f>'Pencapaian Product Display'!G236</f>
        <v>0</v>
      </c>
      <c r="AH236" s="285">
        <f>'Pencapaian Product Display'!I236</f>
        <v>0</v>
      </c>
      <c r="AI236" s="304">
        <f>'Pencapaian Sales Contract'!G236</f>
        <v>0</v>
      </c>
      <c r="AJ236" s="285">
        <f>'Pencapaian Sales Contract'!I236</f>
        <v>0</v>
      </c>
      <c r="AK236" s="304">
        <f>'Pencapaian Co-Branding'!G236</f>
        <v>0</v>
      </c>
      <c r="AL236" s="285">
        <f>'Pencapaian Co-Branding'!I236</f>
        <v>0</v>
      </c>
      <c r="AM236" s="304">
        <f>'Pencapaian Join Event Activity'!G236</f>
        <v>0</v>
      </c>
      <c r="AN236" s="285">
        <f>'Pencapaian Join Event Activity'!I236</f>
        <v>0</v>
      </c>
      <c r="AO236" s="284">
        <f t="shared" si="112"/>
        <v>0</v>
      </c>
      <c r="AP236" s="322">
        <v>0</v>
      </c>
      <c r="AQ236" s="284">
        <f t="shared" si="117"/>
        <v>0</v>
      </c>
      <c r="AR236" s="322">
        <v>0</v>
      </c>
      <c r="AS236" s="284">
        <f t="shared" si="118"/>
        <v>0</v>
      </c>
      <c r="AT236" s="284">
        <f t="shared" si="115"/>
        <v>0</v>
      </c>
      <c r="AU236" s="284">
        <f t="shared" si="119"/>
        <v>0</v>
      </c>
      <c r="AV236" s="284">
        <v>0</v>
      </c>
    </row>
    <row r="237" spans="16:48" x14ac:dyDescent="0.2">
      <c r="P237" s="392"/>
      <c r="Q237" s="321"/>
      <c r="R237" s="323" t="s">
        <v>848</v>
      </c>
      <c r="S237" s="12" t="s">
        <v>675</v>
      </c>
      <c r="T237" s="269">
        <f>'Pencapaian Sales Value'!G237</f>
        <v>0.32075999999999999</v>
      </c>
      <c r="U237" s="284">
        <f>'Pencapaian Sales Value'!I237</f>
        <v>0</v>
      </c>
      <c r="V237" s="304">
        <f>'Pencapaian Product Focus'!H237</f>
        <v>0</v>
      </c>
      <c r="W237" s="304">
        <f>'Pencapaian Product Focus'!L237</f>
        <v>0</v>
      </c>
      <c r="X237" s="285">
        <f>'Pencapaian Product Focus'!N237</f>
        <v>0</v>
      </c>
      <c r="Y237" s="304">
        <f>'Pencapaian Effective Call'!G237</f>
        <v>0</v>
      </c>
      <c r="Z237" s="285">
        <f>'Pencapaian Effective Call'!I237</f>
        <v>0</v>
      </c>
      <c r="AA237" s="304">
        <f>'Pencapaian New Open Outlet'!G237</f>
        <v>0</v>
      </c>
      <c r="AB237" s="285">
        <f>'Pencapaian New Open Outlet'!I237</f>
        <v>0</v>
      </c>
      <c r="AC237" s="269">
        <f>'Pencapaian Active Outlet'!G237</f>
        <v>0.05</v>
      </c>
      <c r="AD237" s="284">
        <f>'Pencapaian Active Outlet'!I237</f>
        <v>0</v>
      </c>
      <c r="AE237" s="304">
        <f>'Pencapaian Item per Outlet'!G237</f>
        <v>0</v>
      </c>
      <c r="AF237" s="285">
        <f>'Pencapaian Item per Outlet'!I237</f>
        <v>0</v>
      </c>
      <c r="AG237" s="304">
        <f>'Pencapaian Product Display'!G237</f>
        <v>0</v>
      </c>
      <c r="AH237" s="285">
        <f>'Pencapaian Product Display'!I237</f>
        <v>0</v>
      </c>
      <c r="AI237" s="304">
        <f>'Pencapaian Sales Contract'!G237</f>
        <v>0</v>
      </c>
      <c r="AJ237" s="285">
        <f>'Pencapaian Sales Contract'!I237</f>
        <v>0</v>
      </c>
      <c r="AK237" s="304">
        <f>'Pencapaian Co-Branding'!G237</f>
        <v>0</v>
      </c>
      <c r="AL237" s="285">
        <f>'Pencapaian Co-Branding'!I237</f>
        <v>0</v>
      </c>
      <c r="AM237" s="304">
        <f>'Pencapaian Join Event Activity'!G237</f>
        <v>0</v>
      </c>
      <c r="AN237" s="285">
        <f>'Pencapaian Join Event Activity'!I237</f>
        <v>0</v>
      </c>
      <c r="AO237" s="284">
        <f t="shared" si="112"/>
        <v>0</v>
      </c>
      <c r="AP237" s="322">
        <v>0</v>
      </c>
      <c r="AQ237" s="284">
        <f t="shared" si="117"/>
        <v>0</v>
      </c>
      <c r="AR237" s="322">
        <v>0</v>
      </c>
      <c r="AS237" s="284">
        <f t="shared" si="118"/>
        <v>0</v>
      </c>
      <c r="AT237" s="284">
        <f t="shared" si="115"/>
        <v>0</v>
      </c>
      <c r="AU237" s="284">
        <f t="shared" si="119"/>
        <v>0</v>
      </c>
      <c r="AV237" s="284">
        <v>0</v>
      </c>
    </row>
    <row r="238" spans="16:48" x14ac:dyDescent="0.2">
      <c r="P238" s="392"/>
      <c r="Q238" s="321"/>
      <c r="R238" s="323" t="s">
        <v>849</v>
      </c>
      <c r="S238" s="12" t="s">
        <v>675</v>
      </c>
      <c r="T238" s="269">
        <f>'Pencapaian Sales Value'!G238</f>
        <v>-2.691E-2</v>
      </c>
      <c r="U238" s="284">
        <f>'Pencapaian Sales Value'!I238</f>
        <v>0</v>
      </c>
      <c r="V238" s="304">
        <f>'Pencapaian Product Focus'!H238</f>
        <v>0</v>
      </c>
      <c r="W238" s="304">
        <f>'Pencapaian Product Focus'!L238</f>
        <v>0</v>
      </c>
      <c r="X238" s="285">
        <f>'Pencapaian Product Focus'!N238</f>
        <v>0</v>
      </c>
      <c r="Y238" s="304">
        <f>'Pencapaian Effective Call'!G238</f>
        <v>0</v>
      </c>
      <c r="Z238" s="285">
        <f>'Pencapaian Effective Call'!I238</f>
        <v>0</v>
      </c>
      <c r="AA238" s="304">
        <f>'Pencapaian New Open Outlet'!G238</f>
        <v>0</v>
      </c>
      <c r="AB238" s="285">
        <f>'Pencapaian New Open Outlet'!I238</f>
        <v>0</v>
      </c>
      <c r="AC238" s="269">
        <f>'Pencapaian Active Outlet'!G238</f>
        <v>0</v>
      </c>
      <c r="AD238" s="284">
        <f>'Pencapaian Active Outlet'!I238</f>
        <v>0</v>
      </c>
      <c r="AE238" s="304">
        <f>'Pencapaian Item per Outlet'!G238</f>
        <v>0</v>
      </c>
      <c r="AF238" s="285">
        <f>'Pencapaian Item per Outlet'!I238</f>
        <v>0</v>
      </c>
      <c r="AG238" s="304">
        <f>'Pencapaian Product Display'!G238</f>
        <v>0</v>
      </c>
      <c r="AH238" s="285">
        <f>'Pencapaian Product Display'!I238</f>
        <v>0</v>
      </c>
      <c r="AI238" s="304">
        <f>'Pencapaian Sales Contract'!G238</f>
        <v>0</v>
      </c>
      <c r="AJ238" s="285">
        <f>'Pencapaian Sales Contract'!I238</f>
        <v>0</v>
      </c>
      <c r="AK238" s="304">
        <f>'Pencapaian Co-Branding'!G238</f>
        <v>0</v>
      </c>
      <c r="AL238" s="285">
        <f>'Pencapaian Co-Branding'!I238</f>
        <v>0</v>
      </c>
      <c r="AM238" s="304">
        <f>'Pencapaian Join Event Activity'!G238</f>
        <v>0</v>
      </c>
      <c r="AN238" s="285">
        <f>'Pencapaian Join Event Activity'!I238</f>
        <v>0</v>
      </c>
      <c r="AO238" s="284">
        <f t="shared" si="112"/>
        <v>0</v>
      </c>
      <c r="AP238" s="322">
        <v>0</v>
      </c>
      <c r="AQ238" s="284">
        <f t="shared" si="117"/>
        <v>0</v>
      </c>
      <c r="AR238" s="322">
        <v>0</v>
      </c>
      <c r="AS238" s="284">
        <f t="shared" si="118"/>
        <v>0</v>
      </c>
      <c r="AT238" s="284">
        <f t="shared" si="115"/>
        <v>0</v>
      </c>
      <c r="AU238" s="284">
        <f t="shared" si="119"/>
        <v>0</v>
      </c>
      <c r="AV238" s="284">
        <v>0</v>
      </c>
    </row>
    <row r="239" spans="16:48" x14ac:dyDescent="0.2">
      <c r="P239" s="392"/>
      <c r="Q239" s="321"/>
      <c r="R239" s="323" t="s">
        <v>605</v>
      </c>
      <c r="S239" s="12" t="s">
        <v>675</v>
      </c>
      <c r="T239" s="269">
        <f>'Pencapaian Sales Value'!G239</f>
        <v>-5.5717999999999997E-2</v>
      </c>
      <c r="U239" s="284">
        <f>'Pencapaian Sales Value'!I239</f>
        <v>0</v>
      </c>
      <c r="V239" s="304">
        <f>'Pencapaian Product Focus'!H239</f>
        <v>0</v>
      </c>
      <c r="W239" s="304">
        <f>'Pencapaian Product Focus'!L239</f>
        <v>0</v>
      </c>
      <c r="X239" s="285">
        <f>'Pencapaian Product Focus'!N239</f>
        <v>0</v>
      </c>
      <c r="Y239" s="304">
        <f>'Pencapaian Effective Call'!G239</f>
        <v>0</v>
      </c>
      <c r="Z239" s="285">
        <f>'Pencapaian Effective Call'!I239</f>
        <v>0</v>
      </c>
      <c r="AA239" s="304">
        <f>'Pencapaian New Open Outlet'!G239</f>
        <v>0</v>
      </c>
      <c r="AB239" s="285">
        <f>'Pencapaian New Open Outlet'!I239</f>
        <v>0</v>
      </c>
      <c r="AC239" s="269">
        <f>'Pencapaian Active Outlet'!G239</f>
        <v>0.04</v>
      </c>
      <c r="AD239" s="284">
        <f>'Pencapaian Active Outlet'!I239</f>
        <v>0</v>
      </c>
      <c r="AE239" s="304">
        <f>'Pencapaian Item per Outlet'!G239</f>
        <v>0</v>
      </c>
      <c r="AF239" s="285">
        <f>'Pencapaian Item per Outlet'!I239</f>
        <v>0</v>
      </c>
      <c r="AG239" s="304">
        <f>'Pencapaian Product Display'!G239</f>
        <v>0</v>
      </c>
      <c r="AH239" s="285">
        <f>'Pencapaian Product Display'!I239</f>
        <v>0</v>
      </c>
      <c r="AI239" s="304">
        <f>'Pencapaian Sales Contract'!G239</f>
        <v>0</v>
      </c>
      <c r="AJ239" s="285">
        <f>'Pencapaian Sales Contract'!I239</f>
        <v>0</v>
      </c>
      <c r="AK239" s="304">
        <f>'Pencapaian Co-Branding'!G239</f>
        <v>0</v>
      </c>
      <c r="AL239" s="285">
        <f>'Pencapaian Co-Branding'!I239</f>
        <v>0</v>
      </c>
      <c r="AM239" s="304">
        <f>'Pencapaian Join Event Activity'!G239</f>
        <v>0</v>
      </c>
      <c r="AN239" s="285">
        <f>'Pencapaian Join Event Activity'!I239</f>
        <v>0</v>
      </c>
      <c r="AO239" s="284">
        <f t="shared" si="112"/>
        <v>0</v>
      </c>
      <c r="AP239" s="322">
        <v>0</v>
      </c>
      <c r="AQ239" s="284">
        <f t="shared" si="117"/>
        <v>0</v>
      </c>
      <c r="AR239" s="322">
        <v>0</v>
      </c>
      <c r="AS239" s="284">
        <f t="shared" si="118"/>
        <v>0</v>
      </c>
      <c r="AT239" s="284">
        <f t="shared" si="115"/>
        <v>0</v>
      </c>
      <c r="AU239" s="284">
        <f t="shared" si="119"/>
        <v>0</v>
      </c>
      <c r="AV239" s="284">
        <v>0</v>
      </c>
    </row>
    <row r="240" spans="16:48" x14ac:dyDescent="0.2">
      <c r="P240" s="392"/>
      <c r="Q240" s="324"/>
      <c r="R240" s="324" t="s">
        <v>896</v>
      </c>
      <c r="S240" s="64" t="s">
        <v>673</v>
      </c>
      <c r="T240" s="258">
        <f>'Pencapaian Sales Value'!G240</f>
        <v>-3.7200000000000002E-3</v>
      </c>
      <c r="U240" s="286">
        <f>'Pencapaian Sales Value'!I240</f>
        <v>0</v>
      </c>
      <c r="V240" s="268">
        <f>'Pencapaian Product Focus'!H240</f>
        <v>0</v>
      </c>
      <c r="W240" s="268">
        <f>'Pencapaian Product Focus'!L240</f>
        <v>0</v>
      </c>
      <c r="X240" s="189">
        <f>'Pencapaian Product Focus'!N240</f>
        <v>0</v>
      </c>
      <c r="Y240" s="268">
        <f>'Pencapaian Effective Call'!G240</f>
        <v>0</v>
      </c>
      <c r="Z240" s="189">
        <f>'Pencapaian Effective Call'!I240</f>
        <v>0</v>
      </c>
      <c r="AA240" s="268">
        <f>'Pencapaian New Open Outlet'!G240</f>
        <v>0</v>
      </c>
      <c r="AB240" s="189">
        <f>'Pencapaian New Open Outlet'!I240</f>
        <v>0</v>
      </c>
      <c r="AC240" s="258">
        <f>'Pencapaian Active Outlet'!G240</f>
        <v>3.2000000000000001E-2</v>
      </c>
      <c r="AD240" s="286">
        <f>'Pencapaian Active Outlet'!I240</f>
        <v>0</v>
      </c>
      <c r="AE240" s="268">
        <f>'Pencapaian Item per Outlet'!G240</f>
        <v>0</v>
      </c>
      <c r="AF240" s="189">
        <f>'Pencapaian Item per Outlet'!I240</f>
        <v>0</v>
      </c>
      <c r="AG240" s="268">
        <f>'Pencapaian Product Display'!G240</f>
        <v>0</v>
      </c>
      <c r="AH240" s="189">
        <f>'Pencapaian Product Display'!I240</f>
        <v>0</v>
      </c>
      <c r="AI240" s="268">
        <f>'Pencapaian Sales Contract'!G240</f>
        <v>0</v>
      </c>
      <c r="AJ240" s="189">
        <f>'Pencapaian Sales Contract'!I240</f>
        <v>0</v>
      </c>
      <c r="AK240" s="268">
        <f>'Pencapaian Co-Branding'!G240</f>
        <v>0</v>
      </c>
      <c r="AL240" s="189">
        <f>'Pencapaian Co-Branding'!I240</f>
        <v>0</v>
      </c>
      <c r="AM240" s="268">
        <f>'Pencapaian Join Event Activity'!G240</f>
        <v>0</v>
      </c>
      <c r="AN240" s="189">
        <f>'Pencapaian Join Event Activity'!I240</f>
        <v>0</v>
      </c>
      <c r="AO240" s="286">
        <f t="shared" si="112"/>
        <v>0</v>
      </c>
      <c r="AP240" s="289">
        <v>0</v>
      </c>
      <c r="AQ240" s="286">
        <f t="shared" si="117"/>
        <v>0</v>
      </c>
      <c r="AR240" s="289">
        <v>0</v>
      </c>
      <c r="AS240" s="286">
        <f t="shared" si="118"/>
        <v>0</v>
      </c>
      <c r="AT240" s="286">
        <f t="shared" si="115"/>
        <v>0</v>
      </c>
      <c r="AU240" s="286">
        <f t="shared" si="119"/>
        <v>0</v>
      </c>
      <c r="AV240" s="286">
        <v>0</v>
      </c>
    </row>
    <row r="241" spans="16:48" x14ac:dyDescent="0.2">
      <c r="P241" s="392"/>
      <c r="Q241" s="324"/>
      <c r="R241" s="324" t="s">
        <v>73</v>
      </c>
      <c r="S241" s="64" t="s">
        <v>20</v>
      </c>
      <c r="T241" s="258">
        <f>'Pencapaian Sales Value'!G241</f>
        <v>0.40937878846153847</v>
      </c>
      <c r="U241" s="286">
        <f>'Pencapaian Sales Value'!I241</f>
        <v>0</v>
      </c>
      <c r="V241" s="268">
        <f>'Pencapaian Product Focus'!H241</f>
        <v>0</v>
      </c>
      <c r="W241" s="268">
        <f>'Pencapaian Product Focus'!L241</f>
        <v>0</v>
      </c>
      <c r="X241" s="189">
        <f>'Pencapaian Product Focus'!N241</f>
        <v>0</v>
      </c>
      <c r="Y241" s="268">
        <f>'Pencapaian Effective Call'!G241</f>
        <v>0</v>
      </c>
      <c r="Z241" s="189">
        <f>'Pencapaian Effective Call'!I241</f>
        <v>0</v>
      </c>
      <c r="AA241" s="268">
        <f>'Pencapaian New Open Outlet'!G241</f>
        <v>0</v>
      </c>
      <c r="AB241" s="189">
        <f>'Pencapaian New Open Outlet'!I241</f>
        <v>0</v>
      </c>
      <c r="AC241" s="258">
        <f>'Pencapaian Active Outlet'!G241</f>
        <v>0.30847457627118646</v>
      </c>
      <c r="AD241" s="286">
        <f>'Pencapaian Active Outlet'!I241</f>
        <v>0</v>
      </c>
      <c r="AE241" s="268">
        <f>'Pencapaian Item per Outlet'!G241</f>
        <v>0</v>
      </c>
      <c r="AF241" s="189">
        <f>'Pencapaian Item per Outlet'!I241</f>
        <v>0</v>
      </c>
      <c r="AG241" s="268">
        <f>'Pencapaian Product Display'!G241</f>
        <v>0</v>
      </c>
      <c r="AH241" s="189">
        <f>'Pencapaian Product Display'!I241</f>
        <v>0</v>
      </c>
      <c r="AI241" s="268">
        <f>'Pencapaian Sales Contract'!G241</f>
        <v>0</v>
      </c>
      <c r="AJ241" s="189">
        <f>'Pencapaian Sales Contract'!I241</f>
        <v>0</v>
      </c>
      <c r="AK241" s="268">
        <f>'Pencapaian Co-Branding'!G241</f>
        <v>0</v>
      </c>
      <c r="AL241" s="189">
        <f>'Pencapaian Co-Branding'!I241</f>
        <v>0</v>
      </c>
      <c r="AM241" s="268">
        <f>'Pencapaian Join Event Activity'!G241</f>
        <v>0</v>
      </c>
      <c r="AN241" s="189">
        <f>'Pencapaian Join Event Activity'!I241</f>
        <v>0</v>
      </c>
      <c r="AO241" s="286">
        <f t="shared" si="112"/>
        <v>0</v>
      </c>
      <c r="AP241" s="289">
        <v>0</v>
      </c>
      <c r="AQ241" s="286">
        <f t="shared" si="117"/>
        <v>0</v>
      </c>
      <c r="AR241" s="289">
        <v>0</v>
      </c>
      <c r="AS241" s="286">
        <f t="shared" si="118"/>
        <v>0</v>
      </c>
      <c r="AT241" s="286">
        <f t="shared" si="115"/>
        <v>0</v>
      </c>
      <c r="AU241" s="286">
        <f t="shared" si="119"/>
        <v>0</v>
      </c>
      <c r="AV241" s="286">
        <v>0</v>
      </c>
    </row>
    <row r="242" spans="16:48" x14ac:dyDescent="0.2">
      <c r="P242" s="393"/>
      <c r="Q242" s="325"/>
      <c r="R242" s="325" t="s">
        <v>604</v>
      </c>
      <c r="S242" s="42"/>
      <c r="T242" s="264">
        <f>'Pencapaian Sales Value'!G242</f>
        <v>0.40937878846153847</v>
      </c>
      <c r="U242" s="287">
        <f>'Pencapaian Sales Value'!I242</f>
        <v>90000</v>
      </c>
      <c r="V242" s="274">
        <f>'Pencapaian Product Focus'!H242</f>
        <v>0</v>
      </c>
      <c r="W242" s="274">
        <f>'Pencapaian Product Focus'!L242</f>
        <v>0</v>
      </c>
      <c r="X242" s="190">
        <f>'Pencapaian Product Focus'!N242</f>
        <v>0</v>
      </c>
      <c r="Y242" s="274">
        <f>'Pencapaian Effective Call'!G242</f>
        <v>0</v>
      </c>
      <c r="Z242" s="190">
        <f>'Pencapaian Effective Call'!I242</f>
        <v>0</v>
      </c>
      <c r="AA242" s="274">
        <f>'Pencapaian New Open Outlet'!G242</f>
        <v>0</v>
      </c>
      <c r="AB242" s="190">
        <f>'Pencapaian New Open Outlet'!I242</f>
        <v>0</v>
      </c>
      <c r="AC242" s="264">
        <f>'Pencapaian Active Outlet'!G242</f>
        <v>0.30847457627118646</v>
      </c>
      <c r="AD242" s="287">
        <f>'Pencapaian Active Outlet'!I242</f>
        <v>90000</v>
      </c>
      <c r="AE242" s="274">
        <f>'Pencapaian Item per Outlet'!G242</f>
        <v>0</v>
      </c>
      <c r="AF242" s="190">
        <f>'Pencapaian Item per Outlet'!I242</f>
        <v>0</v>
      </c>
      <c r="AG242" s="274">
        <f>'Pencapaian Product Display'!G242</f>
        <v>0</v>
      </c>
      <c r="AH242" s="190">
        <f>'Pencapaian Product Display'!I242</f>
        <v>0</v>
      </c>
      <c r="AI242" s="274">
        <f>'Pencapaian Sales Contract'!G242</f>
        <v>0</v>
      </c>
      <c r="AJ242" s="190">
        <f>'Pencapaian Sales Contract'!I242</f>
        <v>0</v>
      </c>
      <c r="AK242" s="274">
        <f>'Pencapaian Co-Branding'!G242</f>
        <v>0</v>
      </c>
      <c r="AL242" s="190">
        <f>'Pencapaian Co-Branding'!I242</f>
        <v>0</v>
      </c>
      <c r="AM242" s="274">
        <f>'Pencapaian Join Event Activity'!G242</f>
        <v>0</v>
      </c>
      <c r="AN242" s="190">
        <f>'Pencapaian Join Event Activity'!I242</f>
        <v>0</v>
      </c>
      <c r="AO242" s="287">
        <f t="shared" si="112"/>
        <v>180000</v>
      </c>
      <c r="AP242" s="290">
        <v>0</v>
      </c>
      <c r="AQ242" s="287">
        <f>SUM(AQ227:AQ241)</f>
        <v>0</v>
      </c>
      <c r="AR242" s="290">
        <v>0</v>
      </c>
      <c r="AS242" s="287">
        <f>SUM(AS227:AS241)</f>
        <v>0</v>
      </c>
      <c r="AT242" s="287">
        <f t="shared" si="115"/>
        <v>180000</v>
      </c>
      <c r="AU242" s="287">
        <f>SUM(AU227:AU241)</f>
        <v>180000</v>
      </c>
      <c r="AV242" s="287">
        <f>SUM(AV227:AV241)</f>
        <v>0</v>
      </c>
    </row>
    <row r="243" spans="16:48" x14ac:dyDescent="0.2">
      <c r="P243" s="395" t="s">
        <v>632</v>
      </c>
      <c r="Q243" s="321"/>
      <c r="R243" s="323" t="s">
        <v>634</v>
      </c>
      <c r="S243" s="12" t="s">
        <v>675</v>
      </c>
      <c r="T243" s="269">
        <f>'Pencapaian Sales Value'!G243</f>
        <v>1.8583333333333334E-2</v>
      </c>
      <c r="U243" s="284">
        <f>'Pencapaian Sales Value'!I243</f>
        <v>0</v>
      </c>
      <c r="V243" s="304">
        <f>'Pencapaian Product Focus'!H243</f>
        <v>0</v>
      </c>
      <c r="W243" s="304">
        <f>'Pencapaian Product Focus'!L243</f>
        <v>0</v>
      </c>
      <c r="X243" s="285">
        <f>'Pencapaian Product Focus'!N243</f>
        <v>0</v>
      </c>
      <c r="Y243" s="304">
        <f>'Pencapaian Effective Call'!G243</f>
        <v>0</v>
      </c>
      <c r="Z243" s="285">
        <f>'Pencapaian Effective Call'!I243</f>
        <v>0</v>
      </c>
      <c r="AA243" s="304">
        <f>'Pencapaian New Open Outlet'!G243</f>
        <v>0</v>
      </c>
      <c r="AB243" s="285">
        <f>'Pencapaian New Open Outlet'!I243</f>
        <v>0</v>
      </c>
      <c r="AC243" s="269">
        <f>'Pencapaian Active Outlet'!G243</f>
        <v>6.6666666666666666E-2</v>
      </c>
      <c r="AD243" s="284">
        <f>'Pencapaian Active Outlet'!I243</f>
        <v>0</v>
      </c>
      <c r="AE243" s="304">
        <f>'Pencapaian Item per Outlet'!G243</f>
        <v>0</v>
      </c>
      <c r="AF243" s="285">
        <f>'Pencapaian Item per Outlet'!I243</f>
        <v>0</v>
      </c>
      <c r="AG243" s="304">
        <f>'Pencapaian Product Display'!G243</f>
        <v>0</v>
      </c>
      <c r="AH243" s="285">
        <f>'Pencapaian Product Display'!I243</f>
        <v>0</v>
      </c>
      <c r="AI243" s="304">
        <f>'Pencapaian Sales Contract'!G243</f>
        <v>0</v>
      </c>
      <c r="AJ243" s="285">
        <f>'Pencapaian Sales Contract'!I243</f>
        <v>0</v>
      </c>
      <c r="AK243" s="304">
        <f>'Pencapaian Co-Branding'!G243</f>
        <v>0</v>
      </c>
      <c r="AL243" s="285">
        <f>'Pencapaian Co-Branding'!I243</f>
        <v>0</v>
      </c>
      <c r="AM243" s="304">
        <f>'Pencapaian Join Event Activity'!G243</f>
        <v>0</v>
      </c>
      <c r="AN243" s="285">
        <f>'Pencapaian Join Event Activity'!I243</f>
        <v>0</v>
      </c>
      <c r="AO243" s="284">
        <f t="shared" si="112"/>
        <v>0</v>
      </c>
      <c r="AP243" s="322">
        <v>0</v>
      </c>
      <c r="AQ243" s="284">
        <f t="shared" ref="AQ243:AQ248" si="120">IF(AP243&gt;=0.5%,-(AO243*10%),0)</f>
        <v>0</v>
      </c>
      <c r="AR243" s="322">
        <v>0</v>
      </c>
      <c r="AS243" s="284">
        <f t="shared" ref="AS243:AS248" si="121">IF(AR243&gt;0,-(AO243+AQ243),0)</f>
        <v>0</v>
      </c>
      <c r="AT243" s="284">
        <f t="shared" si="115"/>
        <v>0</v>
      </c>
      <c r="AU243" s="284">
        <f t="shared" ref="AU243:AU248" si="122">AT243</f>
        <v>0</v>
      </c>
      <c r="AV243" s="284">
        <v>0</v>
      </c>
    </row>
    <row r="244" spans="16:48" x14ac:dyDescent="0.2">
      <c r="P244" s="392"/>
      <c r="Q244" s="321"/>
      <c r="R244" s="323" t="s">
        <v>635</v>
      </c>
      <c r="S244" s="12" t="s">
        <v>675</v>
      </c>
      <c r="T244" s="269">
        <f>'Pencapaian Sales Value'!G244</f>
        <v>2.9960000000000001E-2</v>
      </c>
      <c r="U244" s="284">
        <f>'Pencapaian Sales Value'!I244</f>
        <v>0</v>
      </c>
      <c r="V244" s="304">
        <f>'Pencapaian Product Focus'!H244</f>
        <v>0</v>
      </c>
      <c r="W244" s="304">
        <f>'Pencapaian Product Focus'!L244</f>
        <v>0</v>
      </c>
      <c r="X244" s="285">
        <f>'Pencapaian Product Focus'!N244</f>
        <v>0</v>
      </c>
      <c r="Y244" s="304">
        <f>'Pencapaian Effective Call'!G244</f>
        <v>0</v>
      </c>
      <c r="Z244" s="285">
        <f>'Pencapaian Effective Call'!I244</f>
        <v>0</v>
      </c>
      <c r="AA244" s="304">
        <f>'Pencapaian New Open Outlet'!G244</f>
        <v>0</v>
      </c>
      <c r="AB244" s="285">
        <f>'Pencapaian New Open Outlet'!I244</f>
        <v>0</v>
      </c>
      <c r="AC244" s="269">
        <f>'Pencapaian Active Outlet'!G244</f>
        <v>8.5714285714285715E-2</v>
      </c>
      <c r="AD244" s="284">
        <f>'Pencapaian Active Outlet'!I244</f>
        <v>0</v>
      </c>
      <c r="AE244" s="304">
        <f>'Pencapaian Item per Outlet'!G244</f>
        <v>0</v>
      </c>
      <c r="AF244" s="285">
        <f>'Pencapaian Item per Outlet'!I244</f>
        <v>0</v>
      </c>
      <c r="AG244" s="304">
        <f>'Pencapaian Product Display'!G244</f>
        <v>0</v>
      </c>
      <c r="AH244" s="285">
        <f>'Pencapaian Product Display'!I244</f>
        <v>0</v>
      </c>
      <c r="AI244" s="304">
        <f>'Pencapaian Sales Contract'!G244</f>
        <v>0</v>
      </c>
      <c r="AJ244" s="285">
        <f>'Pencapaian Sales Contract'!I244</f>
        <v>0</v>
      </c>
      <c r="AK244" s="304">
        <f>'Pencapaian Co-Branding'!G244</f>
        <v>0</v>
      </c>
      <c r="AL244" s="285">
        <f>'Pencapaian Co-Branding'!I244</f>
        <v>0</v>
      </c>
      <c r="AM244" s="304">
        <f>'Pencapaian Join Event Activity'!G244</f>
        <v>0</v>
      </c>
      <c r="AN244" s="285">
        <f>'Pencapaian Join Event Activity'!I244</f>
        <v>0</v>
      </c>
      <c r="AO244" s="284">
        <f t="shared" si="112"/>
        <v>0</v>
      </c>
      <c r="AP244" s="322">
        <v>0</v>
      </c>
      <c r="AQ244" s="284">
        <f t="shared" si="120"/>
        <v>0</v>
      </c>
      <c r="AR244" s="322">
        <v>0</v>
      </c>
      <c r="AS244" s="284">
        <f t="shared" si="121"/>
        <v>0</v>
      </c>
      <c r="AT244" s="284">
        <f t="shared" si="115"/>
        <v>0</v>
      </c>
      <c r="AU244" s="284">
        <f t="shared" si="122"/>
        <v>0</v>
      </c>
      <c r="AV244" s="284">
        <v>0</v>
      </c>
    </row>
    <row r="245" spans="16:48" x14ac:dyDescent="0.2">
      <c r="P245" s="392"/>
      <c r="Q245" s="321"/>
      <c r="R245" s="323" t="s">
        <v>636</v>
      </c>
      <c r="S245" s="12" t="s">
        <v>675</v>
      </c>
      <c r="T245" s="269">
        <f>'Pencapaian Sales Value'!G245</f>
        <v>0.83777999999999997</v>
      </c>
      <c r="U245" s="284">
        <f>'Pencapaian Sales Value'!I245</f>
        <v>60000</v>
      </c>
      <c r="V245" s="304">
        <f>'Pencapaian Product Focus'!H245</f>
        <v>0</v>
      </c>
      <c r="W245" s="304">
        <f>'Pencapaian Product Focus'!L245</f>
        <v>0</v>
      </c>
      <c r="X245" s="285">
        <f>'Pencapaian Product Focus'!N245</f>
        <v>0</v>
      </c>
      <c r="Y245" s="304">
        <f>'Pencapaian Effective Call'!G245</f>
        <v>0</v>
      </c>
      <c r="Z245" s="285">
        <f>'Pencapaian Effective Call'!I245</f>
        <v>0</v>
      </c>
      <c r="AA245" s="304">
        <f>'Pencapaian New Open Outlet'!G245</f>
        <v>0</v>
      </c>
      <c r="AB245" s="285">
        <f>'Pencapaian New Open Outlet'!I245</f>
        <v>0</v>
      </c>
      <c r="AC245" s="269">
        <f>'Pencapaian Active Outlet'!G245</f>
        <v>2.8571428571428571E-2</v>
      </c>
      <c r="AD245" s="284">
        <f>'Pencapaian Active Outlet'!I245</f>
        <v>0</v>
      </c>
      <c r="AE245" s="304">
        <f>'Pencapaian Item per Outlet'!G245</f>
        <v>0</v>
      </c>
      <c r="AF245" s="285">
        <f>'Pencapaian Item per Outlet'!I245</f>
        <v>0</v>
      </c>
      <c r="AG245" s="304">
        <f>'Pencapaian Product Display'!G245</f>
        <v>0</v>
      </c>
      <c r="AH245" s="285">
        <f>'Pencapaian Product Display'!I245</f>
        <v>0</v>
      </c>
      <c r="AI245" s="304">
        <f>'Pencapaian Sales Contract'!G245</f>
        <v>0</v>
      </c>
      <c r="AJ245" s="285">
        <f>'Pencapaian Sales Contract'!I245</f>
        <v>0</v>
      </c>
      <c r="AK245" s="304">
        <f>'Pencapaian Co-Branding'!G245</f>
        <v>0</v>
      </c>
      <c r="AL245" s="285">
        <f>'Pencapaian Co-Branding'!I245</f>
        <v>0</v>
      </c>
      <c r="AM245" s="304">
        <f>'Pencapaian Join Event Activity'!G245</f>
        <v>0</v>
      </c>
      <c r="AN245" s="285">
        <f>'Pencapaian Join Event Activity'!I245</f>
        <v>0</v>
      </c>
      <c r="AO245" s="284">
        <f t="shared" si="112"/>
        <v>60000</v>
      </c>
      <c r="AP245" s="322">
        <v>0</v>
      </c>
      <c r="AQ245" s="284">
        <f t="shared" si="120"/>
        <v>0</v>
      </c>
      <c r="AR245" s="322">
        <v>0</v>
      </c>
      <c r="AS245" s="284">
        <f t="shared" si="121"/>
        <v>0</v>
      </c>
      <c r="AT245" s="284">
        <f t="shared" si="115"/>
        <v>60000</v>
      </c>
      <c r="AU245" s="284">
        <f t="shared" si="122"/>
        <v>60000</v>
      </c>
      <c r="AV245" s="284">
        <v>0</v>
      </c>
    </row>
    <row r="246" spans="16:48" x14ac:dyDescent="0.2">
      <c r="P246" s="392"/>
      <c r="Q246" s="321"/>
      <c r="R246" s="323" t="s">
        <v>807</v>
      </c>
      <c r="S246" s="12"/>
      <c r="T246" s="269" t="e">
        <f>'Pencapaian Sales Value'!G246</f>
        <v>#DIV/0!</v>
      </c>
      <c r="U246" s="284">
        <f>'Pencapaian Sales Value'!I246</f>
        <v>0</v>
      </c>
      <c r="V246" s="304">
        <f>'Pencapaian Product Focus'!H246</f>
        <v>0</v>
      </c>
      <c r="W246" s="304">
        <f>'Pencapaian Product Focus'!L246</f>
        <v>0</v>
      </c>
      <c r="X246" s="285">
        <f>'Pencapaian Product Focus'!N246</f>
        <v>0</v>
      </c>
      <c r="Y246" s="304">
        <f>'Pencapaian Effective Call'!G246</f>
        <v>0</v>
      </c>
      <c r="Z246" s="285">
        <f>'Pencapaian Effective Call'!I246</f>
        <v>0</v>
      </c>
      <c r="AA246" s="304">
        <f>'Pencapaian New Open Outlet'!G246</f>
        <v>0</v>
      </c>
      <c r="AB246" s="285">
        <f>'Pencapaian New Open Outlet'!I246</f>
        <v>0</v>
      </c>
      <c r="AC246" s="269" t="e">
        <f>'Pencapaian Active Outlet'!G246</f>
        <v>#DIV/0!</v>
      </c>
      <c r="AD246" s="284">
        <f>'Pencapaian Active Outlet'!I246</f>
        <v>0</v>
      </c>
      <c r="AE246" s="304">
        <f>'Pencapaian Item per Outlet'!G246</f>
        <v>0</v>
      </c>
      <c r="AF246" s="285">
        <f>'Pencapaian Item per Outlet'!I246</f>
        <v>0</v>
      </c>
      <c r="AG246" s="304">
        <f>'Pencapaian Product Display'!G246</f>
        <v>0</v>
      </c>
      <c r="AH246" s="285">
        <f>'Pencapaian Product Display'!I246</f>
        <v>0</v>
      </c>
      <c r="AI246" s="304">
        <f>'Pencapaian Sales Contract'!G246</f>
        <v>0</v>
      </c>
      <c r="AJ246" s="285">
        <f>'Pencapaian Sales Contract'!I246</f>
        <v>0</v>
      </c>
      <c r="AK246" s="304">
        <f>'Pencapaian Co-Branding'!G246</f>
        <v>0</v>
      </c>
      <c r="AL246" s="285">
        <f>'Pencapaian Co-Branding'!I246</f>
        <v>0</v>
      </c>
      <c r="AM246" s="304">
        <f>'Pencapaian Join Event Activity'!G246</f>
        <v>0</v>
      </c>
      <c r="AN246" s="285">
        <f>'Pencapaian Join Event Activity'!I246</f>
        <v>0</v>
      </c>
      <c r="AO246" s="284">
        <f t="shared" si="112"/>
        <v>0</v>
      </c>
      <c r="AP246" s="322">
        <v>0</v>
      </c>
      <c r="AQ246" s="284">
        <f t="shared" si="120"/>
        <v>0</v>
      </c>
      <c r="AR246" s="322">
        <v>0</v>
      </c>
      <c r="AS246" s="284">
        <f t="shared" si="121"/>
        <v>0</v>
      </c>
      <c r="AT246" s="284">
        <f t="shared" si="115"/>
        <v>0</v>
      </c>
      <c r="AU246" s="284">
        <f t="shared" si="122"/>
        <v>0</v>
      </c>
      <c r="AV246" s="284">
        <v>0</v>
      </c>
    </row>
    <row r="247" spans="16:48" x14ac:dyDescent="0.2">
      <c r="P247" s="392"/>
      <c r="Q247" s="321"/>
      <c r="R247" s="323" t="s">
        <v>637</v>
      </c>
      <c r="S247" s="12" t="s">
        <v>675</v>
      </c>
      <c r="T247" s="269">
        <f>'Pencapaian Sales Value'!G247</f>
        <v>-6.7999999999999996E-3</v>
      </c>
      <c r="U247" s="284">
        <f>'Pencapaian Sales Value'!I247</f>
        <v>0</v>
      </c>
      <c r="V247" s="304">
        <f>'Pencapaian Product Focus'!H247</f>
        <v>0</v>
      </c>
      <c r="W247" s="304">
        <f>'Pencapaian Product Focus'!L247</f>
        <v>0</v>
      </c>
      <c r="X247" s="285">
        <f>'Pencapaian Product Focus'!N247</f>
        <v>0</v>
      </c>
      <c r="Y247" s="304">
        <f>'Pencapaian Effective Call'!G247</f>
        <v>0</v>
      </c>
      <c r="Z247" s="285">
        <f>'Pencapaian Effective Call'!I247</f>
        <v>0</v>
      </c>
      <c r="AA247" s="304">
        <f>'Pencapaian New Open Outlet'!G247</f>
        <v>0</v>
      </c>
      <c r="AB247" s="285">
        <f>'Pencapaian New Open Outlet'!I247</f>
        <v>0</v>
      </c>
      <c r="AC247" s="269">
        <f>'Pencapaian Active Outlet'!G247</f>
        <v>0</v>
      </c>
      <c r="AD247" s="284">
        <f>'Pencapaian Active Outlet'!I247</f>
        <v>0</v>
      </c>
      <c r="AE247" s="304">
        <f>'Pencapaian Item per Outlet'!G247</f>
        <v>0</v>
      </c>
      <c r="AF247" s="285">
        <f>'Pencapaian Item per Outlet'!I247</f>
        <v>0</v>
      </c>
      <c r="AG247" s="304">
        <f>'Pencapaian Product Display'!G247</f>
        <v>0</v>
      </c>
      <c r="AH247" s="285">
        <f>'Pencapaian Product Display'!I247</f>
        <v>0</v>
      </c>
      <c r="AI247" s="304">
        <f>'Pencapaian Sales Contract'!G247</f>
        <v>0</v>
      </c>
      <c r="AJ247" s="285">
        <f>'Pencapaian Sales Contract'!I247</f>
        <v>0</v>
      </c>
      <c r="AK247" s="304">
        <f>'Pencapaian Co-Branding'!G247</f>
        <v>0</v>
      </c>
      <c r="AL247" s="285">
        <f>'Pencapaian Co-Branding'!I247</f>
        <v>0</v>
      </c>
      <c r="AM247" s="304">
        <f>'Pencapaian Join Event Activity'!G247</f>
        <v>0</v>
      </c>
      <c r="AN247" s="285">
        <f>'Pencapaian Join Event Activity'!I247</f>
        <v>0</v>
      </c>
      <c r="AO247" s="284">
        <f t="shared" si="112"/>
        <v>0</v>
      </c>
      <c r="AP247" s="322">
        <v>0</v>
      </c>
      <c r="AQ247" s="284">
        <f t="shared" si="120"/>
        <v>0</v>
      </c>
      <c r="AR247" s="322">
        <v>0</v>
      </c>
      <c r="AS247" s="284">
        <f t="shared" si="121"/>
        <v>0</v>
      </c>
      <c r="AT247" s="284">
        <f t="shared" si="115"/>
        <v>0</v>
      </c>
      <c r="AU247" s="284">
        <f t="shared" si="122"/>
        <v>0</v>
      </c>
      <c r="AV247" s="284">
        <v>0</v>
      </c>
    </row>
    <row r="248" spans="16:48" x14ac:dyDescent="0.2">
      <c r="P248" s="392"/>
      <c r="Q248" s="324"/>
      <c r="R248" s="324" t="s">
        <v>702</v>
      </c>
      <c r="S248" s="64" t="s">
        <v>673</v>
      </c>
      <c r="T248" s="258">
        <f>'Pencapaian Sales Value'!G248</f>
        <v>0.24224722222222222</v>
      </c>
      <c r="U248" s="286">
        <f>'Pencapaian Sales Value'!I248</f>
        <v>0</v>
      </c>
      <c r="V248" s="268">
        <f>'Pencapaian Product Focus'!H248</f>
        <v>0</v>
      </c>
      <c r="W248" s="268">
        <f>'Pencapaian Product Focus'!L248</f>
        <v>0</v>
      </c>
      <c r="X248" s="189">
        <f>'Pencapaian Product Focus'!N248</f>
        <v>0</v>
      </c>
      <c r="Y248" s="268">
        <f>'Pencapaian Effective Call'!G248</f>
        <v>0</v>
      </c>
      <c r="Z248" s="189">
        <f>'Pencapaian Effective Call'!I248</f>
        <v>0</v>
      </c>
      <c r="AA248" s="268">
        <f>'Pencapaian New Open Outlet'!G248</f>
        <v>0</v>
      </c>
      <c r="AB248" s="189">
        <f>'Pencapaian New Open Outlet'!I248</f>
        <v>0</v>
      </c>
      <c r="AC248" s="258">
        <f>'Pencapaian Active Outlet'!G248</f>
        <v>4.4444444444444446E-2</v>
      </c>
      <c r="AD248" s="286">
        <f>'Pencapaian Active Outlet'!I248</f>
        <v>0</v>
      </c>
      <c r="AE248" s="268">
        <f>'Pencapaian Item per Outlet'!G248</f>
        <v>0</v>
      </c>
      <c r="AF248" s="189">
        <f>'Pencapaian Item per Outlet'!I248</f>
        <v>0</v>
      </c>
      <c r="AG248" s="268">
        <f>'Pencapaian Product Display'!G248</f>
        <v>0</v>
      </c>
      <c r="AH248" s="189">
        <f>'Pencapaian Product Display'!I248</f>
        <v>0</v>
      </c>
      <c r="AI248" s="268">
        <f>'Pencapaian Sales Contract'!G248</f>
        <v>0</v>
      </c>
      <c r="AJ248" s="189">
        <f>'Pencapaian Sales Contract'!I248</f>
        <v>0</v>
      </c>
      <c r="AK248" s="268">
        <f>'Pencapaian Co-Branding'!G248</f>
        <v>0</v>
      </c>
      <c r="AL248" s="189">
        <f>'Pencapaian Co-Branding'!I248</f>
        <v>0</v>
      </c>
      <c r="AM248" s="268">
        <f>'Pencapaian Join Event Activity'!G248</f>
        <v>0</v>
      </c>
      <c r="AN248" s="189">
        <f>'Pencapaian Join Event Activity'!I248</f>
        <v>0</v>
      </c>
      <c r="AO248" s="286">
        <f t="shared" si="112"/>
        <v>0</v>
      </c>
      <c r="AP248" s="289">
        <v>0</v>
      </c>
      <c r="AQ248" s="286">
        <f t="shared" si="120"/>
        <v>0</v>
      </c>
      <c r="AR248" s="289">
        <v>0</v>
      </c>
      <c r="AS248" s="286">
        <f t="shared" si="121"/>
        <v>0</v>
      </c>
      <c r="AT248" s="286">
        <f t="shared" si="115"/>
        <v>0</v>
      </c>
      <c r="AU248" s="286">
        <f t="shared" si="122"/>
        <v>0</v>
      </c>
      <c r="AV248" s="286">
        <v>0</v>
      </c>
    </row>
    <row r="249" spans="16:48" x14ac:dyDescent="0.2">
      <c r="P249" s="393"/>
      <c r="Q249" s="325"/>
      <c r="R249" s="325" t="s">
        <v>633</v>
      </c>
      <c r="S249" s="42"/>
      <c r="T249" s="264">
        <f>'Pencapaian Sales Value'!G249</f>
        <v>0.24224722222222222</v>
      </c>
      <c r="U249" s="287">
        <f>'Pencapaian Sales Value'!I249</f>
        <v>60000</v>
      </c>
      <c r="V249" s="274">
        <f>'Pencapaian Product Focus'!H249</f>
        <v>0</v>
      </c>
      <c r="W249" s="274">
        <f>'Pencapaian Product Focus'!L249</f>
        <v>0</v>
      </c>
      <c r="X249" s="190">
        <f>'Pencapaian Product Focus'!N249</f>
        <v>0</v>
      </c>
      <c r="Y249" s="274">
        <f>'Pencapaian Effective Call'!G249</f>
        <v>0</v>
      </c>
      <c r="Z249" s="190">
        <f>'Pencapaian Effective Call'!I249</f>
        <v>0</v>
      </c>
      <c r="AA249" s="274">
        <f>'Pencapaian New Open Outlet'!G249</f>
        <v>0</v>
      </c>
      <c r="AB249" s="190">
        <f>'Pencapaian New Open Outlet'!I249</f>
        <v>0</v>
      </c>
      <c r="AC249" s="264">
        <f>'Pencapaian Active Outlet'!G249</f>
        <v>4.4444444444444446E-2</v>
      </c>
      <c r="AD249" s="287">
        <f>'Pencapaian Active Outlet'!I249</f>
        <v>0</v>
      </c>
      <c r="AE249" s="274">
        <f>'Pencapaian Item per Outlet'!G249</f>
        <v>0</v>
      </c>
      <c r="AF249" s="190">
        <f>'Pencapaian Item per Outlet'!I249</f>
        <v>0</v>
      </c>
      <c r="AG249" s="274">
        <f>'Pencapaian Product Display'!G249</f>
        <v>0</v>
      </c>
      <c r="AH249" s="190">
        <f>'Pencapaian Product Display'!I249</f>
        <v>0</v>
      </c>
      <c r="AI249" s="274">
        <f>'Pencapaian Sales Contract'!G249</f>
        <v>0</v>
      </c>
      <c r="AJ249" s="190">
        <f>'Pencapaian Sales Contract'!I249</f>
        <v>0</v>
      </c>
      <c r="AK249" s="274">
        <f>'Pencapaian Co-Branding'!G249</f>
        <v>0</v>
      </c>
      <c r="AL249" s="190">
        <f>'Pencapaian Co-Branding'!I249</f>
        <v>0</v>
      </c>
      <c r="AM249" s="274">
        <f>'Pencapaian Join Event Activity'!G249</f>
        <v>0</v>
      </c>
      <c r="AN249" s="190">
        <f>'Pencapaian Join Event Activity'!I249</f>
        <v>0</v>
      </c>
      <c r="AO249" s="287">
        <f t="shared" si="112"/>
        <v>60000</v>
      </c>
      <c r="AP249" s="290">
        <v>0</v>
      </c>
      <c r="AQ249" s="287">
        <f>SUM(AQ243:AQ248)</f>
        <v>0</v>
      </c>
      <c r="AR249" s="290">
        <v>0</v>
      </c>
      <c r="AS249" s="287">
        <f>SUM(AS243:AS248)</f>
        <v>0</v>
      </c>
      <c r="AT249" s="287">
        <f t="shared" si="115"/>
        <v>60000</v>
      </c>
      <c r="AU249" s="287">
        <f>SUM(AU243:AU248)</f>
        <v>60000</v>
      </c>
      <c r="AV249" s="287">
        <f>SUM(AV243:AV248)</f>
        <v>0</v>
      </c>
    </row>
    <row r="250" spans="16:48" ht="14.5" customHeight="1" x14ac:dyDescent="0.2">
      <c r="P250" s="395" t="s">
        <v>787</v>
      </c>
      <c r="Q250" s="321" t="s">
        <v>409</v>
      </c>
      <c r="R250" s="321" t="s">
        <v>117</v>
      </c>
      <c r="S250" s="12" t="s">
        <v>571</v>
      </c>
      <c r="T250" s="269" t="e">
        <f>'Pencapaian Sales Value'!G250</f>
        <v>#DIV/0!</v>
      </c>
      <c r="U250" s="284">
        <f>'Pencapaian Sales Value'!I250</f>
        <v>0</v>
      </c>
      <c r="V250" s="304">
        <f>'Pencapaian Product Focus'!H250</f>
        <v>0</v>
      </c>
      <c r="W250" s="304">
        <f>'Pencapaian Product Focus'!L250</f>
        <v>0</v>
      </c>
      <c r="X250" s="285">
        <f>'Pencapaian Product Focus'!N250</f>
        <v>0</v>
      </c>
      <c r="Y250" s="304">
        <f>'Pencapaian Effective Call'!G250</f>
        <v>0</v>
      </c>
      <c r="Z250" s="285">
        <f>'Pencapaian Effective Call'!I250</f>
        <v>0</v>
      </c>
      <c r="AA250" s="304">
        <f>'Pencapaian New Open Outlet'!G250</f>
        <v>0</v>
      </c>
      <c r="AB250" s="285">
        <f>'Pencapaian New Open Outlet'!I250</f>
        <v>0</v>
      </c>
      <c r="AC250" s="269" t="e">
        <f>'Pencapaian Active Outlet'!G250</f>
        <v>#DIV/0!</v>
      </c>
      <c r="AD250" s="284">
        <f>'Pencapaian Active Outlet'!I250</f>
        <v>0</v>
      </c>
      <c r="AE250" s="304">
        <f>'Pencapaian Item per Outlet'!G250</f>
        <v>0</v>
      </c>
      <c r="AF250" s="285">
        <f>'Pencapaian Item per Outlet'!I250</f>
        <v>0</v>
      </c>
      <c r="AG250" s="304">
        <f>'Pencapaian Product Display'!G250</f>
        <v>0</v>
      </c>
      <c r="AH250" s="285">
        <f>'Pencapaian Product Display'!I250</f>
        <v>0</v>
      </c>
      <c r="AI250" s="304">
        <f>'Pencapaian Sales Contract'!G250</f>
        <v>0</v>
      </c>
      <c r="AJ250" s="285">
        <f>'Pencapaian Sales Contract'!I250</f>
        <v>0</v>
      </c>
      <c r="AK250" s="304">
        <f>'Pencapaian Co-Branding'!G250</f>
        <v>0</v>
      </c>
      <c r="AL250" s="285">
        <f>'Pencapaian Co-Branding'!I250</f>
        <v>0</v>
      </c>
      <c r="AM250" s="304">
        <f>'Pencapaian Join Event Activity'!G250</f>
        <v>0</v>
      </c>
      <c r="AN250" s="285">
        <f>'Pencapaian Join Event Activity'!I250</f>
        <v>0</v>
      </c>
      <c r="AO250" s="284">
        <f t="shared" si="112"/>
        <v>0</v>
      </c>
      <c r="AP250" s="322">
        <v>0</v>
      </c>
      <c r="AQ250" s="284">
        <f t="shared" ref="AQ250:AQ312" si="123">IF(AP250&gt;=0.5%,-(AO250*10%),0)</f>
        <v>0</v>
      </c>
      <c r="AR250" s="322">
        <v>0</v>
      </c>
      <c r="AS250" s="284">
        <f t="shared" ref="AS250:AS312" si="124">IF(AR250&gt;0,-(AO250+AQ250),0)</f>
        <v>0</v>
      </c>
      <c r="AT250" s="284">
        <f t="shared" si="115"/>
        <v>0</v>
      </c>
      <c r="AU250" s="284">
        <f t="shared" ref="AU250:AU257" si="125">AT250</f>
        <v>0</v>
      </c>
      <c r="AV250" s="284">
        <v>0</v>
      </c>
    </row>
    <row r="251" spans="16:48" x14ac:dyDescent="0.2">
      <c r="P251" s="392"/>
      <c r="Q251" s="321"/>
      <c r="R251" s="323" t="s">
        <v>567</v>
      </c>
      <c r="S251" s="12" t="s">
        <v>675</v>
      </c>
      <c r="T251" s="269">
        <f>'Pencapaian Sales Value'!G251</f>
        <v>0.47336268041237112</v>
      </c>
      <c r="U251" s="284">
        <f>'Pencapaian Sales Value'!I251</f>
        <v>0</v>
      </c>
      <c r="V251" s="304">
        <f>'Pencapaian Product Focus'!H251</f>
        <v>0</v>
      </c>
      <c r="W251" s="304">
        <f>'Pencapaian Product Focus'!L251</f>
        <v>0</v>
      </c>
      <c r="X251" s="285">
        <f>'Pencapaian Product Focus'!N251</f>
        <v>0</v>
      </c>
      <c r="Y251" s="304">
        <f>'Pencapaian Effective Call'!G251</f>
        <v>0</v>
      </c>
      <c r="Z251" s="285">
        <f>'Pencapaian Effective Call'!I251</f>
        <v>0</v>
      </c>
      <c r="AA251" s="304">
        <f>'Pencapaian New Open Outlet'!G251</f>
        <v>0</v>
      </c>
      <c r="AB251" s="285">
        <f>'Pencapaian New Open Outlet'!I251</f>
        <v>0</v>
      </c>
      <c r="AC251" s="269">
        <f>'Pencapaian Active Outlet'!G251</f>
        <v>0.56000000000000005</v>
      </c>
      <c r="AD251" s="284">
        <f>'Pencapaian Active Outlet'!I251</f>
        <v>0</v>
      </c>
      <c r="AE251" s="304">
        <f>'Pencapaian Item per Outlet'!G251</f>
        <v>0</v>
      </c>
      <c r="AF251" s="285">
        <f>'Pencapaian Item per Outlet'!I251</f>
        <v>0</v>
      </c>
      <c r="AG251" s="304">
        <f>'Pencapaian Product Display'!G251</f>
        <v>0</v>
      </c>
      <c r="AH251" s="285">
        <f>'Pencapaian Product Display'!I251</f>
        <v>0</v>
      </c>
      <c r="AI251" s="304">
        <f>'Pencapaian Sales Contract'!G251</f>
        <v>0</v>
      </c>
      <c r="AJ251" s="285">
        <f>'Pencapaian Sales Contract'!I251</f>
        <v>0</v>
      </c>
      <c r="AK251" s="304">
        <f>'Pencapaian Co-Branding'!G251</f>
        <v>0</v>
      </c>
      <c r="AL251" s="285">
        <f>'Pencapaian Co-Branding'!I251</f>
        <v>0</v>
      </c>
      <c r="AM251" s="304">
        <f>'Pencapaian Join Event Activity'!G251</f>
        <v>0</v>
      </c>
      <c r="AN251" s="285">
        <f>'Pencapaian Join Event Activity'!I251</f>
        <v>0</v>
      </c>
      <c r="AO251" s="284">
        <f t="shared" si="112"/>
        <v>0</v>
      </c>
      <c r="AP251" s="322">
        <v>0</v>
      </c>
      <c r="AQ251" s="284">
        <f t="shared" si="123"/>
        <v>0</v>
      </c>
      <c r="AR251" s="322">
        <v>0</v>
      </c>
      <c r="AS251" s="284">
        <f t="shared" si="124"/>
        <v>0</v>
      </c>
      <c r="AT251" s="284">
        <f t="shared" si="115"/>
        <v>0</v>
      </c>
      <c r="AU251" s="284">
        <f t="shared" si="125"/>
        <v>0</v>
      </c>
      <c r="AV251" s="284">
        <v>0</v>
      </c>
    </row>
    <row r="252" spans="16:48" ht="14.5" customHeight="1" x14ac:dyDescent="0.2">
      <c r="P252" s="392"/>
      <c r="Q252" s="321"/>
      <c r="R252" s="323" t="s">
        <v>569</v>
      </c>
      <c r="S252" s="12" t="s">
        <v>675</v>
      </c>
      <c r="T252" s="269">
        <f>'Pencapaian Sales Value'!G252</f>
        <v>0.68436391752577319</v>
      </c>
      <c r="U252" s="284">
        <f>'Pencapaian Sales Value'!I252</f>
        <v>0</v>
      </c>
      <c r="V252" s="304">
        <f>'Pencapaian Product Focus'!H252</f>
        <v>0</v>
      </c>
      <c r="W252" s="304">
        <f>'Pencapaian Product Focus'!L252</f>
        <v>0</v>
      </c>
      <c r="X252" s="285">
        <f>'Pencapaian Product Focus'!N252</f>
        <v>0</v>
      </c>
      <c r="Y252" s="304">
        <f>'Pencapaian Effective Call'!G252</f>
        <v>0</v>
      </c>
      <c r="Z252" s="285">
        <f>'Pencapaian Effective Call'!I252</f>
        <v>0</v>
      </c>
      <c r="AA252" s="304">
        <f>'Pencapaian New Open Outlet'!G252</f>
        <v>0</v>
      </c>
      <c r="AB252" s="285">
        <f>'Pencapaian New Open Outlet'!I252</f>
        <v>0</v>
      </c>
      <c r="AC252" s="269">
        <f>'Pencapaian Active Outlet'!G252</f>
        <v>0.38</v>
      </c>
      <c r="AD252" s="284">
        <f>'Pencapaian Active Outlet'!I252</f>
        <v>0</v>
      </c>
      <c r="AE252" s="304">
        <f>'Pencapaian Item per Outlet'!G252</f>
        <v>0</v>
      </c>
      <c r="AF252" s="285">
        <f>'Pencapaian Item per Outlet'!I252</f>
        <v>0</v>
      </c>
      <c r="AG252" s="304">
        <f>'Pencapaian Product Display'!G252</f>
        <v>0</v>
      </c>
      <c r="AH252" s="285">
        <f>'Pencapaian Product Display'!I252</f>
        <v>0</v>
      </c>
      <c r="AI252" s="304">
        <f>'Pencapaian Sales Contract'!G252</f>
        <v>0</v>
      </c>
      <c r="AJ252" s="285">
        <f>'Pencapaian Sales Contract'!I252</f>
        <v>0</v>
      </c>
      <c r="AK252" s="304">
        <f>'Pencapaian Co-Branding'!G252</f>
        <v>0</v>
      </c>
      <c r="AL252" s="285">
        <f>'Pencapaian Co-Branding'!I252</f>
        <v>0</v>
      </c>
      <c r="AM252" s="304">
        <f>'Pencapaian Join Event Activity'!G252</f>
        <v>0</v>
      </c>
      <c r="AN252" s="285">
        <f>'Pencapaian Join Event Activity'!I252</f>
        <v>0</v>
      </c>
      <c r="AO252" s="284">
        <f t="shared" si="112"/>
        <v>0</v>
      </c>
      <c r="AP252" s="322">
        <v>0</v>
      </c>
      <c r="AQ252" s="284">
        <f t="shared" si="123"/>
        <v>0</v>
      </c>
      <c r="AR252" s="322">
        <v>0</v>
      </c>
      <c r="AS252" s="284">
        <f t="shared" si="124"/>
        <v>0</v>
      </c>
      <c r="AT252" s="284">
        <f t="shared" si="115"/>
        <v>0</v>
      </c>
      <c r="AU252" s="284">
        <f t="shared" si="125"/>
        <v>0</v>
      </c>
      <c r="AV252" s="284">
        <v>0</v>
      </c>
    </row>
    <row r="253" spans="16:48" x14ac:dyDescent="0.2">
      <c r="P253" s="392"/>
      <c r="Q253" s="321"/>
      <c r="R253" s="323" t="s">
        <v>808</v>
      </c>
      <c r="S253" s="12"/>
      <c r="T253" s="269" t="e">
        <f>'Pencapaian Sales Value'!G253</f>
        <v>#DIV/0!</v>
      </c>
      <c r="U253" s="284">
        <f>'Pencapaian Sales Value'!I253</f>
        <v>0</v>
      </c>
      <c r="V253" s="304">
        <f>'Pencapaian Product Focus'!H253</f>
        <v>0</v>
      </c>
      <c r="W253" s="304">
        <f>'Pencapaian Product Focus'!L253</f>
        <v>0</v>
      </c>
      <c r="X253" s="285">
        <f>'Pencapaian Product Focus'!N253</f>
        <v>0</v>
      </c>
      <c r="Y253" s="304">
        <f>'Pencapaian Effective Call'!G253</f>
        <v>0</v>
      </c>
      <c r="Z253" s="285">
        <f>'Pencapaian Effective Call'!I253</f>
        <v>0</v>
      </c>
      <c r="AA253" s="304">
        <f>'Pencapaian New Open Outlet'!G253</f>
        <v>0</v>
      </c>
      <c r="AB253" s="285">
        <f>'Pencapaian New Open Outlet'!I253</f>
        <v>0</v>
      </c>
      <c r="AC253" s="269" t="e">
        <f>'Pencapaian Active Outlet'!G253</f>
        <v>#DIV/0!</v>
      </c>
      <c r="AD253" s="284">
        <f>'Pencapaian Active Outlet'!I253</f>
        <v>0</v>
      </c>
      <c r="AE253" s="304">
        <f>'Pencapaian Item per Outlet'!G253</f>
        <v>0</v>
      </c>
      <c r="AF253" s="285">
        <f>'Pencapaian Item per Outlet'!I253</f>
        <v>0</v>
      </c>
      <c r="AG253" s="304">
        <f>'Pencapaian Product Display'!G253</f>
        <v>0</v>
      </c>
      <c r="AH253" s="285">
        <f>'Pencapaian Product Display'!I253</f>
        <v>0</v>
      </c>
      <c r="AI253" s="304">
        <f>'Pencapaian Sales Contract'!G253</f>
        <v>0</v>
      </c>
      <c r="AJ253" s="285">
        <f>'Pencapaian Sales Contract'!I253</f>
        <v>0</v>
      </c>
      <c r="AK253" s="304">
        <f>'Pencapaian Co-Branding'!G253</f>
        <v>0</v>
      </c>
      <c r="AL253" s="285">
        <f>'Pencapaian Co-Branding'!I253</f>
        <v>0</v>
      </c>
      <c r="AM253" s="304">
        <f>'Pencapaian Join Event Activity'!G253</f>
        <v>0</v>
      </c>
      <c r="AN253" s="285">
        <f>'Pencapaian Join Event Activity'!I253</f>
        <v>0</v>
      </c>
      <c r="AO253" s="284">
        <f t="shared" si="112"/>
        <v>0</v>
      </c>
      <c r="AP253" s="322">
        <v>0</v>
      </c>
      <c r="AQ253" s="284">
        <f t="shared" si="123"/>
        <v>0</v>
      </c>
      <c r="AR253" s="322">
        <v>0</v>
      </c>
      <c r="AS253" s="284">
        <f t="shared" si="124"/>
        <v>0</v>
      </c>
      <c r="AT253" s="284">
        <f t="shared" si="115"/>
        <v>0</v>
      </c>
      <c r="AU253" s="284">
        <f t="shared" si="125"/>
        <v>0</v>
      </c>
      <c r="AV253" s="284">
        <v>0</v>
      </c>
    </row>
    <row r="254" spans="16:48" x14ac:dyDescent="0.2">
      <c r="P254" s="392"/>
      <c r="Q254" s="321"/>
      <c r="R254" s="323" t="s">
        <v>568</v>
      </c>
      <c r="S254" s="12" t="s">
        <v>675</v>
      </c>
      <c r="T254" s="269">
        <f>'Pencapaian Sales Value'!G254</f>
        <v>0.63697876288659794</v>
      </c>
      <c r="U254" s="284">
        <f>'Pencapaian Sales Value'!I254</f>
        <v>0</v>
      </c>
      <c r="V254" s="304">
        <f>'Pencapaian Product Focus'!H254</f>
        <v>0</v>
      </c>
      <c r="W254" s="304">
        <f>'Pencapaian Product Focus'!L254</f>
        <v>0</v>
      </c>
      <c r="X254" s="285">
        <f>'Pencapaian Product Focus'!N254</f>
        <v>0</v>
      </c>
      <c r="Y254" s="304">
        <f>'Pencapaian Effective Call'!G254</f>
        <v>0</v>
      </c>
      <c r="Z254" s="285">
        <f>'Pencapaian Effective Call'!I254</f>
        <v>0</v>
      </c>
      <c r="AA254" s="304">
        <f>'Pencapaian New Open Outlet'!G254</f>
        <v>0</v>
      </c>
      <c r="AB254" s="285">
        <f>'Pencapaian New Open Outlet'!I254</f>
        <v>0</v>
      </c>
      <c r="AC254" s="269">
        <f>'Pencapaian Active Outlet'!G254</f>
        <v>0.42</v>
      </c>
      <c r="AD254" s="284">
        <f>'Pencapaian Active Outlet'!I254</f>
        <v>0</v>
      </c>
      <c r="AE254" s="304">
        <f>'Pencapaian Item per Outlet'!G254</f>
        <v>0</v>
      </c>
      <c r="AF254" s="285">
        <f>'Pencapaian Item per Outlet'!I254</f>
        <v>0</v>
      </c>
      <c r="AG254" s="304">
        <f>'Pencapaian Product Display'!G254</f>
        <v>0</v>
      </c>
      <c r="AH254" s="285">
        <f>'Pencapaian Product Display'!I254</f>
        <v>0</v>
      </c>
      <c r="AI254" s="304">
        <f>'Pencapaian Sales Contract'!G254</f>
        <v>0</v>
      </c>
      <c r="AJ254" s="285">
        <f>'Pencapaian Sales Contract'!I254</f>
        <v>0</v>
      </c>
      <c r="AK254" s="304">
        <f>'Pencapaian Co-Branding'!G254</f>
        <v>0</v>
      </c>
      <c r="AL254" s="285">
        <f>'Pencapaian Co-Branding'!I254</f>
        <v>0</v>
      </c>
      <c r="AM254" s="304">
        <f>'Pencapaian Join Event Activity'!G254</f>
        <v>0</v>
      </c>
      <c r="AN254" s="285">
        <f>'Pencapaian Join Event Activity'!I254</f>
        <v>0</v>
      </c>
      <c r="AO254" s="284">
        <f t="shared" si="112"/>
        <v>0</v>
      </c>
      <c r="AP254" s="322">
        <v>0</v>
      </c>
      <c r="AQ254" s="284">
        <f t="shared" si="123"/>
        <v>0</v>
      </c>
      <c r="AR254" s="322">
        <v>0</v>
      </c>
      <c r="AS254" s="284">
        <f t="shared" si="124"/>
        <v>0</v>
      </c>
      <c r="AT254" s="284">
        <f t="shared" si="115"/>
        <v>0</v>
      </c>
      <c r="AU254" s="284">
        <f t="shared" si="125"/>
        <v>0</v>
      </c>
      <c r="AV254" s="284">
        <v>0</v>
      </c>
    </row>
    <row r="255" spans="16:48" x14ac:dyDescent="0.2">
      <c r="P255" s="392"/>
      <c r="Q255" s="321"/>
      <c r="R255" s="323" t="s">
        <v>566</v>
      </c>
      <c r="S255" s="12" t="s">
        <v>675</v>
      </c>
      <c r="T255" s="269">
        <f>'Pencapaian Sales Value'!G255</f>
        <v>6.9002753846153841E-2</v>
      </c>
      <c r="U255" s="284">
        <f>'Pencapaian Sales Value'!I255</f>
        <v>0</v>
      </c>
      <c r="V255" s="304">
        <f>'Pencapaian Product Focus'!H255</f>
        <v>0</v>
      </c>
      <c r="W255" s="304">
        <f>'Pencapaian Product Focus'!L255</f>
        <v>0</v>
      </c>
      <c r="X255" s="285">
        <f>'Pencapaian Product Focus'!N255</f>
        <v>0</v>
      </c>
      <c r="Y255" s="304">
        <f>'Pencapaian Effective Call'!G255</f>
        <v>0</v>
      </c>
      <c r="Z255" s="285">
        <f>'Pencapaian Effective Call'!I255</f>
        <v>0</v>
      </c>
      <c r="AA255" s="304">
        <f>'Pencapaian New Open Outlet'!G255</f>
        <v>0</v>
      </c>
      <c r="AB255" s="285">
        <f>'Pencapaian New Open Outlet'!I255</f>
        <v>0</v>
      </c>
      <c r="AC255" s="269">
        <f>'Pencapaian Active Outlet'!G255</f>
        <v>0.1</v>
      </c>
      <c r="AD255" s="284">
        <f>'Pencapaian Active Outlet'!I255</f>
        <v>0</v>
      </c>
      <c r="AE255" s="304">
        <f>'Pencapaian Item per Outlet'!G255</f>
        <v>0</v>
      </c>
      <c r="AF255" s="285">
        <f>'Pencapaian Item per Outlet'!I255</f>
        <v>0</v>
      </c>
      <c r="AG255" s="304">
        <f>'Pencapaian Product Display'!G255</f>
        <v>0</v>
      </c>
      <c r="AH255" s="285">
        <f>'Pencapaian Product Display'!I255</f>
        <v>0</v>
      </c>
      <c r="AI255" s="304">
        <f>'Pencapaian Sales Contract'!G255</f>
        <v>0</v>
      </c>
      <c r="AJ255" s="285">
        <f>'Pencapaian Sales Contract'!I255</f>
        <v>0</v>
      </c>
      <c r="AK255" s="304">
        <f>'Pencapaian Co-Branding'!G255</f>
        <v>0</v>
      </c>
      <c r="AL255" s="285">
        <f>'Pencapaian Co-Branding'!I255</f>
        <v>0</v>
      </c>
      <c r="AM255" s="304">
        <f>'Pencapaian Join Event Activity'!G255</f>
        <v>0</v>
      </c>
      <c r="AN255" s="285">
        <f>'Pencapaian Join Event Activity'!I255</f>
        <v>0</v>
      </c>
      <c r="AO255" s="284">
        <f t="shared" si="112"/>
        <v>0</v>
      </c>
      <c r="AP255" s="322">
        <v>0</v>
      </c>
      <c r="AQ255" s="284">
        <f t="shared" si="123"/>
        <v>0</v>
      </c>
      <c r="AR255" s="322">
        <v>0</v>
      </c>
      <c r="AS255" s="284">
        <f t="shared" si="124"/>
        <v>0</v>
      </c>
      <c r="AT255" s="284">
        <f t="shared" si="115"/>
        <v>0</v>
      </c>
      <c r="AU255" s="284">
        <f t="shared" si="125"/>
        <v>0</v>
      </c>
      <c r="AV255" s="284">
        <v>0</v>
      </c>
    </row>
    <row r="256" spans="16:48" x14ac:dyDescent="0.2">
      <c r="P256" s="392"/>
      <c r="Q256" s="321"/>
      <c r="R256" s="323" t="s">
        <v>570</v>
      </c>
      <c r="S256" s="12" t="s">
        <v>675</v>
      </c>
      <c r="T256" s="269">
        <f>'Pencapaian Sales Value'!G256</f>
        <v>0.697763795620438</v>
      </c>
      <c r="U256" s="284">
        <f>'Pencapaian Sales Value'!I256</f>
        <v>0</v>
      </c>
      <c r="V256" s="304">
        <f>'Pencapaian Product Focus'!H256</f>
        <v>0</v>
      </c>
      <c r="W256" s="304">
        <f>'Pencapaian Product Focus'!L256</f>
        <v>0</v>
      </c>
      <c r="X256" s="285">
        <f>'Pencapaian Product Focus'!N256</f>
        <v>0</v>
      </c>
      <c r="Y256" s="304">
        <f>'Pencapaian Effective Call'!G256</f>
        <v>0</v>
      </c>
      <c r="Z256" s="285">
        <f>'Pencapaian Effective Call'!I256</f>
        <v>0</v>
      </c>
      <c r="AA256" s="304">
        <f>'Pencapaian New Open Outlet'!G256</f>
        <v>0</v>
      </c>
      <c r="AB256" s="285">
        <f>'Pencapaian New Open Outlet'!I256</f>
        <v>0</v>
      </c>
      <c r="AC256" s="269">
        <f>'Pencapaian Active Outlet'!G256</f>
        <v>0.68</v>
      </c>
      <c r="AD256" s="284">
        <f>'Pencapaian Active Outlet'!I256</f>
        <v>0</v>
      </c>
      <c r="AE256" s="304">
        <f>'Pencapaian Item per Outlet'!G256</f>
        <v>0</v>
      </c>
      <c r="AF256" s="285">
        <f>'Pencapaian Item per Outlet'!I256</f>
        <v>0</v>
      </c>
      <c r="AG256" s="304">
        <f>'Pencapaian Product Display'!G256</f>
        <v>0</v>
      </c>
      <c r="AH256" s="285">
        <f>'Pencapaian Product Display'!I256</f>
        <v>0</v>
      </c>
      <c r="AI256" s="304">
        <f>'Pencapaian Sales Contract'!G256</f>
        <v>0</v>
      </c>
      <c r="AJ256" s="285">
        <f>'Pencapaian Sales Contract'!I256</f>
        <v>0</v>
      </c>
      <c r="AK256" s="304">
        <f>'Pencapaian Co-Branding'!G256</f>
        <v>0</v>
      </c>
      <c r="AL256" s="285">
        <f>'Pencapaian Co-Branding'!I256</f>
        <v>0</v>
      </c>
      <c r="AM256" s="304">
        <f>'Pencapaian Join Event Activity'!G256</f>
        <v>0</v>
      </c>
      <c r="AN256" s="285">
        <f>'Pencapaian Join Event Activity'!I256</f>
        <v>0</v>
      </c>
      <c r="AO256" s="284">
        <f t="shared" si="112"/>
        <v>0</v>
      </c>
      <c r="AP256" s="322">
        <v>0</v>
      </c>
      <c r="AQ256" s="284">
        <f t="shared" si="123"/>
        <v>0</v>
      </c>
      <c r="AR256" s="322">
        <v>0</v>
      </c>
      <c r="AS256" s="284">
        <f t="shared" si="124"/>
        <v>0</v>
      </c>
      <c r="AT256" s="284">
        <f t="shared" si="115"/>
        <v>0</v>
      </c>
      <c r="AU256" s="284">
        <f t="shared" si="125"/>
        <v>0</v>
      </c>
      <c r="AV256" s="284">
        <v>0</v>
      </c>
    </row>
    <row r="257" spans="16:48" x14ac:dyDescent="0.2">
      <c r="P257" s="392"/>
      <c r="Q257" s="324"/>
      <c r="R257" s="324" t="s">
        <v>734</v>
      </c>
      <c r="S257" s="64" t="s">
        <v>673</v>
      </c>
      <c r="T257" s="258">
        <f>'Pencapaian Sales Value'!G257</f>
        <v>0.53519257109915452</v>
      </c>
      <c r="U257" s="286">
        <f>'Pencapaian Sales Value'!I257</f>
        <v>0</v>
      </c>
      <c r="V257" s="268">
        <f>'Pencapaian Product Focus'!H257</f>
        <v>0</v>
      </c>
      <c r="W257" s="268">
        <f>'Pencapaian Product Focus'!L257</f>
        <v>0</v>
      </c>
      <c r="X257" s="189">
        <f>'Pencapaian Product Focus'!N257</f>
        <v>0</v>
      </c>
      <c r="Y257" s="268">
        <f>'Pencapaian Effective Call'!G257</f>
        <v>0</v>
      </c>
      <c r="Z257" s="189">
        <f>'Pencapaian Effective Call'!I257</f>
        <v>0</v>
      </c>
      <c r="AA257" s="268">
        <f>'Pencapaian New Open Outlet'!G257</f>
        <v>0</v>
      </c>
      <c r="AB257" s="189">
        <f>'Pencapaian New Open Outlet'!I257</f>
        <v>0</v>
      </c>
      <c r="AC257" s="258">
        <f>'Pencapaian Active Outlet'!G257</f>
        <v>0.4702702702702703</v>
      </c>
      <c r="AD257" s="286">
        <f>'Pencapaian Active Outlet'!I257</f>
        <v>0</v>
      </c>
      <c r="AE257" s="268">
        <f>'Pencapaian Item per Outlet'!G257</f>
        <v>0</v>
      </c>
      <c r="AF257" s="189">
        <f>'Pencapaian Item per Outlet'!I257</f>
        <v>0</v>
      </c>
      <c r="AG257" s="268">
        <f>'Pencapaian Product Display'!G257</f>
        <v>0</v>
      </c>
      <c r="AH257" s="189">
        <f>'Pencapaian Product Display'!I257</f>
        <v>0</v>
      </c>
      <c r="AI257" s="268">
        <f>'Pencapaian Sales Contract'!G257</f>
        <v>0</v>
      </c>
      <c r="AJ257" s="189">
        <f>'Pencapaian Sales Contract'!I257</f>
        <v>0</v>
      </c>
      <c r="AK257" s="268">
        <f>'Pencapaian Co-Branding'!G257</f>
        <v>0</v>
      </c>
      <c r="AL257" s="189">
        <f>'Pencapaian Co-Branding'!I257</f>
        <v>0</v>
      </c>
      <c r="AM257" s="268">
        <f>'Pencapaian Join Event Activity'!G257</f>
        <v>0</v>
      </c>
      <c r="AN257" s="189">
        <f>'Pencapaian Join Event Activity'!I257</f>
        <v>0</v>
      </c>
      <c r="AO257" s="286">
        <f t="shared" si="112"/>
        <v>0</v>
      </c>
      <c r="AP257" s="289">
        <v>0</v>
      </c>
      <c r="AQ257" s="286">
        <f t="shared" si="123"/>
        <v>0</v>
      </c>
      <c r="AR257" s="289">
        <v>0</v>
      </c>
      <c r="AS257" s="286">
        <f t="shared" si="124"/>
        <v>0</v>
      </c>
      <c r="AT257" s="286">
        <f t="shared" si="115"/>
        <v>0</v>
      </c>
      <c r="AU257" s="286">
        <f t="shared" si="125"/>
        <v>0</v>
      </c>
      <c r="AV257" s="286">
        <v>0</v>
      </c>
    </row>
    <row r="258" spans="16:48" x14ac:dyDescent="0.2">
      <c r="P258" s="393"/>
      <c r="Q258" s="325"/>
      <c r="R258" s="325" t="s">
        <v>51</v>
      </c>
      <c r="S258" s="42"/>
      <c r="T258" s="264">
        <f>'Pencapaian Sales Value'!G258</f>
        <v>0.53519257109915452</v>
      </c>
      <c r="U258" s="287">
        <f>'Pencapaian Sales Value'!I258</f>
        <v>0</v>
      </c>
      <c r="V258" s="274">
        <f>'Pencapaian Product Focus'!H258</f>
        <v>0</v>
      </c>
      <c r="W258" s="274">
        <f>'Pencapaian Product Focus'!L258</f>
        <v>0</v>
      </c>
      <c r="X258" s="190">
        <f>'Pencapaian Product Focus'!N258</f>
        <v>0</v>
      </c>
      <c r="Y258" s="274">
        <f>'Pencapaian Effective Call'!G258</f>
        <v>0</v>
      </c>
      <c r="Z258" s="190">
        <f>'Pencapaian Effective Call'!I258</f>
        <v>0</v>
      </c>
      <c r="AA258" s="274">
        <f>'Pencapaian New Open Outlet'!G258</f>
        <v>0</v>
      </c>
      <c r="AB258" s="190">
        <f>'Pencapaian New Open Outlet'!I258</f>
        <v>0</v>
      </c>
      <c r="AC258" s="264">
        <f>'Pencapaian Active Outlet'!G258</f>
        <v>0.4702702702702703</v>
      </c>
      <c r="AD258" s="287">
        <f>'Pencapaian Active Outlet'!I258</f>
        <v>0</v>
      </c>
      <c r="AE258" s="274">
        <f>'Pencapaian Item per Outlet'!G258</f>
        <v>0</v>
      </c>
      <c r="AF258" s="190">
        <f>'Pencapaian Item per Outlet'!I258</f>
        <v>0</v>
      </c>
      <c r="AG258" s="274">
        <f>'Pencapaian Product Display'!G258</f>
        <v>0</v>
      </c>
      <c r="AH258" s="190">
        <f>'Pencapaian Product Display'!I258</f>
        <v>0</v>
      </c>
      <c r="AI258" s="274">
        <f>'Pencapaian Sales Contract'!G258</f>
        <v>0</v>
      </c>
      <c r="AJ258" s="190">
        <f>'Pencapaian Sales Contract'!I258</f>
        <v>0</v>
      </c>
      <c r="AK258" s="274">
        <f>'Pencapaian Co-Branding'!G258</f>
        <v>0</v>
      </c>
      <c r="AL258" s="190">
        <f>'Pencapaian Co-Branding'!I258</f>
        <v>0</v>
      </c>
      <c r="AM258" s="274">
        <f>'Pencapaian Join Event Activity'!G258</f>
        <v>0</v>
      </c>
      <c r="AN258" s="190">
        <f>'Pencapaian Join Event Activity'!I258</f>
        <v>0</v>
      </c>
      <c r="AO258" s="287">
        <f t="shared" si="112"/>
        <v>0</v>
      </c>
      <c r="AP258" s="290">
        <v>0</v>
      </c>
      <c r="AQ258" s="287">
        <f>SUM(AQ250:AQ257)</f>
        <v>0</v>
      </c>
      <c r="AR258" s="290">
        <v>0</v>
      </c>
      <c r="AS258" s="287">
        <f>SUM(AS250:AS257)</f>
        <v>0</v>
      </c>
      <c r="AT258" s="287">
        <f t="shared" si="115"/>
        <v>0</v>
      </c>
      <c r="AU258" s="287">
        <f>SUM(AU250:AU257)</f>
        <v>0</v>
      </c>
      <c r="AV258" s="287">
        <f>SUM(AV250:AV257)</f>
        <v>0</v>
      </c>
    </row>
    <row r="259" spans="16:48" ht="14.5" customHeight="1" x14ac:dyDescent="0.2">
      <c r="P259" s="326"/>
      <c r="Q259" s="326"/>
      <c r="R259" s="326" t="s">
        <v>638</v>
      </c>
      <c r="S259" s="209"/>
      <c r="T259" s="305">
        <f>'Pencapaian Sales Value'!G259</f>
        <v>0.48716104395604398</v>
      </c>
      <c r="U259" s="288">
        <f>'Pencapaian Sales Value'!I259</f>
        <v>150000</v>
      </c>
      <c r="V259" s="274">
        <f>'Pencapaian Product Focus'!H259</f>
        <v>0</v>
      </c>
      <c r="W259" s="274">
        <f>'Pencapaian Product Focus'!L259</f>
        <v>0</v>
      </c>
      <c r="X259" s="190">
        <f>'Pencapaian Product Focus'!N259</f>
        <v>0</v>
      </c>
      <c r="Y259" s="274">
        <f>'Pencapaian Effective Call'!G259</f>
        <v>0</v>
      </c>
      <c r="Z259" s="190">
        <f>'Pencapaian Effective Call'!I259</f>
        <v>0</v>
      </c>
      <c r="AA259" s="274">
        <f>'Pencapaian New Open Outlet'!G259</f>
        <v>0</v>
      </c>
      <c r="AB259" s="190">
        <f>'Pencapaian New Open Outlet'!I259</f>
        <v>0</v>
      </c>
      <c r="AC259" s="305">
        <f>'Pencapaian Active Outlet'!G259</f>
        <v>0.29918699186991871</v>
      </c>
      <c r="AD259" s="288">
        <f>'Pencapaian Active Outlet'!I259</f>
        <v>90000</v>
      </c>
      <c r="AE259" s="274">
        <f>'Pencapaian Item per Outlet'!G259</f>
        <v>0</v>
      </c>
      <c r="AF259" s="190">
        <f>'Pencapaian Item per Outlet'!I259</f>
        <v>0</v>
      </c>
      <c r="AG259" s="274">
        <f>'Pencapaian Product Display'!G259</f>
        <v>0</v>
      </c>
      <c r="AH259" s="190">
        <f>'Pencapaian Product Display'!I259</f>
        <v>0</v>
      </c>
      <c r="AI259" s="274">
        <f>'Pencapaian Sales Contract'!G259</f>
        <v>0</v>
      </c>
      <c r="AJ259" s="190">
        <f>'Pencapaian Sales Contract'!I259</f>
        <v>0</v>
      </c>
      <c r="AK259" s="274">
        <f>'Pencapaian Co-Branding'!G259</f>
        <v>0</v>
      </c>
      <c r="AL259" s="190">
        <f>'Pencapaian Co-Branding'!I259</f>
        <v>0</v>
      </c>
      <c r="AM259" s="274">
        <f>'Pencapaian Join Event Activity'!G259</f>
        <v>0</v>
      </c>
      <c r="AN259" s="190">
        <f>'Pencapaian Join Event Activity'!I259</f>
        <v>0</v>
      </c>
      <c r="AO259" s="288">
        <f t="shared" si="112"/>
        <v>240000</v>
      </c>
      <c r="AP259" s="291">
        <v>0</v>
      </c>
      <c r="AQ259" s="288">
        <f>SUM(AQ258,AQ249,AQ242)</f>
        <v>0</v>
      </c>
      <c r="AR259" s="291">
        <v>0</v>
      </c>
      <c r="AS259" s="288">
        <f>SUM(AS258,AS249,AS242)</f>
        <v>0</v>
      </c>
      <c r="AT259" s="288">
        <f t="shared" si="115"/>
        <v>240000</v>
      </c>
      <c r="AU259" s="288">
        <f>SUM(AU249,AU242,AU258)</f>
        <v>240000</v>
      </c>
      <c r="AV259" s="288">
        <f>SUM(AV249,AV242,AV258)</f>
        <v>0</v>
      </c>
    </row>
    <row r="260" spans="16:48" ht="14.5" customHeight="1" x14ac:dyDescent="0.2">
      <c r="P260" s="392" t="s">
        <v>787</v>
      </c>
      <c r="Q260" s="321"/>
      <c r="R260" s="323" t="s">
        <v>612</v>
      </c>
      <c r="S260" s="12" t="s">
        <v>675</v>
      </c>
      <c r="T260" s="269">
        <f>'Pencapaian Sales Value'!G260</f>
        <v>0.18298</v>
      </c>
      <c r="U260" s="284">
        <f>'Pencapaian Sales Value'!I260</f>
        <v>0</v>
      </c>
      <c r="V260" s="304">
        <f>'Pencapaian Product Focus'!H260</f>
        <v>0</v>
      </c>
      <c r="W260" s="304">
        <f>'Pencapaian Product Focus'!L260</f>
        <v>0</v>
      </c>
      <c r="X260" s="285">
        <f>'Pencapaian Product Focus'!N260</f>
        <v>0</v>
      </c>
      <c r="Y260" s="304">
        <f>'Pencapaian Effective Call'!G260</f>
        <v>0</v>
      </c>
      <c r="Z260" s="285">
        <f>'Pencapaian Effective Call'!I260</f>
        <v>0</v>
      </c>
      <c r="AA260" s="304">
        <f>'Pencapaian New Open Outlet'!G260</f>
        <v>0</v>
      </c>
      <c r="AB260" s="285">
        <f>'Pencapaian New Open Outlet'!I260</f>
        <v>0</v>
      </c>
      <c r="AC260" s="269">
        <f>'Pencapaian Active Outlet'!G260</f>
        <v>0.16</v>
      </c>
      <c r="AD260" s="284">
        <f>'Pencapaian Active Outlet'!I260</f>
        <v>0</v>
      </c>
      <c r="AE260" s="304">
        <f>'Pencapaian Item per Outlet'!G260</f>
        <v>0</v>
      </c>
      <c r="AF260" s="285">
        <f>'Pencapaian Item per Outlet'!I260</f>
        <v>0</v>
      </c>
      <c r="AG260" s="304">
        <f>'Pencapaian Product Display'!G260</f>
        <v>0</v>
      </c>
      <c r="AH260" s="285">
        <f>'Pencapaian Product Display'!I260</f>
        <v>0</v>
      </c>
      <c r="AI260" s="304">
        <f>'Pencapaian Sales Contract'!G260</f>
        <v>0</v>
      </c>
      <c r="AJ260" s="285">
        <f>'Pencapaian Sales Contract'!I260</f>
        <v>0</v>
      </c>
      <c r="AK260" s="304">
        <f>'Pencapaian Co-Branding'!G260</f>
        <v>0</v>
      </c>
      <c r="AL260" s="285">
        <f>'Pencapaian Co-Branding'!I260</f>
        <v>0</v>
      </c>
      <c r="AM260" s="304">
        <f>'Pencapaian Join Event Activity'!G260</f>
        <v>0</v>
      </c>
      <c r="AN260" s="285">
        <f>'Pencapaian Join Event Activity'!I260</f>
        <v>0</v>
      </c>
      <c r="AO260" s="284">
        <f t="shared" si="112"/>
        <v>0</v>
      </c>
      <c r="AP260" s="322">
        <v>0</v>
      </c>
      <c r="AQ260" s="284">
        <f t="shared" si="123"/>
        <v>0</v>
      </c>
      <c r="AR260" s="322">
        <v>0</v>
      </c>
      <c r="AS260" s="284">
        <f t="shared" si="124"/>
        <v>0</v>
      </c>
      <c r="AT260" s="284">
        <f t="shared" si="115"/>
        <v>0</v>
      </c>
      <c r="AU260" s="284">
        <f t="shared" ref="AU260:AU273" si="126">AT260</f>
        <v>0</v>
      </c>
      <c r="AV260" s="284">
        <v>0</v>
      </c>
    </row>
    <row r="261" spans="16:48" x14ac:dyDescent="0.2">
      <c r="P261" s="392"/>
      <c r="Q261" s="321"/>
      <c r="R261" s="323" t="s">
        <v>609</v>
      </c>
      <c r="S261" s="12" t="s">
        <v>675</v>
      </c>
      <c r="T261" s="269">
        <f>'Pencapaian Sales Value'!G261</f>
        <v>0.50340600000000002</v>
      </c>
      <c r="U261" s="284">
        <f>'Pencapaian Sales Value'!I261</f>
        <v>0</v>
      </c>
      <c r="V261" s="304">
        <f>'Pencapaian Product Focus'!H261</f>
        <v>0</v>
      </c>
      <c r="W261" s="304">
        <f>'Pencapaian Product Focus'!L261</f>
        <v>0</v>
      </c>
      <c r="X261" s="285">
        <f>'Pencapaian Product Focus'!N261</f>
        <v>0</v>
      </c>
      <c r="Y261" s="304">
        <f>'Pencapaian Effective Call'!G261</f>
        <v>0</v>
      </c>
      <c r="Z261" s="285">
        <f>'Pencapaian Effective Call'!I261</f>
        <v>0</v>
      </c>
      <c r="AA261" s="304">
        <f>'Pencapaian New Open Outlet'!G261</f>
        <v>0</v>
      </c>
      <c r="AB261" s="285">
        <f>'Pencapaian New Open Outlet'!I261</f>
        <v>0</v>
      </c>
      <c r="AC261" s="269">
        <f>'Pencapaian Active Outlet'!G261</f>
        <v>0.3</v>
      </c>
      <c r="AD261" s="284">
        <f>'Pencapaian Active Outlet'!I261</f>
        <v>0</v>
      </c>
      <c r="AE261" s="304">
        <f>'Pencapaian Item per Outlet'!G261</f>
        <v>0</v>
      </c>
      <c r="AF261" s="285">
        <f>'Pencapaian Item per Outlet'!I261</f>
        <v>0</v>
      </c>
      <c r="AG261" s="304">
        <f>'Pencapaian Product Display'!G261</f>
        <v>0</v>
      </c>
      <c r="AH261" s="285">
        <f>'Pencapaian Product Display'!I261</f>
        <v>0</v>
      </c>
      <c r="AI261" s="304">
        <f>'Pencapaian Sales Contract'!G261</f>
        <v>0</v>
      </c>
      <c r="AJ261" s="285">
        <f>'Pencapaian Sales Contract'!I261</f>
        <v>0</v>
      </c>
      <c r="AK261" s="304">
        <f>'Pencapaian Co-Branding'!G261</f>
        <v>0</v>
      </c>
      <c r="AL261" s="285">
        <f>'Pencapaian Co-Branding'!I261</f>
        <v>0</v>
      </c>
      <c r="AM261" s="304">
        <f>'Pencapaian Join Event Activity'!G261</f>
        <v>0</v>
      </c>
      <c r="AN261" s="285">
        <f>'Pencapaian Join Event Activity'!I261</f>
        <v>0</v>
      </c>
      <c r="AO261" s="284">
        <f t="shared" si="112"/>
        <v>0</v>
      </c>
      <c r="AP261" s="322">
        <v>0</v>
      </c>
      <c r="AQ261" s="284">
        <f t="shared" si="123"/>
        <v>0</v>
      </c>
      <c r="AR261" s="322">
        <v>0</v>
      </c>
      <c r="AS261" s="284">
        <f t="shared" si="124"/>
        <v>0</v>
      </c>
      <c r="AT261" s="284">
        <f t="shared" si="115"/>
        <v>0</v>
      </c>
      <c r="AU261" s="284">
        <f t="shared" si="126"/>
        <v>0</v>
      </c>
      <c r="AV261" s="284">
        <v>0</v>
      </c>
    </row>
    <row r="262" spans="16:48" ht="14.5" customHeight="1" x14ac:dyDescent="0.2">
      <c r="P262" s="392"/>
      <c r="Q262" s="321"/>
      <c r="R262" s="323" t="s">
        <v>610</v>
      </c>
      <c r="S262" s="12" t="s">
        <v>675</v>
      </c>
      <c r="T262" s="269">
        <f>'Pencapaian Sales Value'!G262</f>
        <v>1.3170672000000001</v>
      </c>
      <c r="U262" s="284">
        <f>'Pencapaian Sales Value'!I262</f>
        <v>90000</v>
      </c>
      <c r="V262" s="304">
        <f>'Pencapaian Product Focus'!H262</f>
        <v>0</v>
      </c>
      <c r="W262" s="304">
        <f>'Pencapaian Product Focus'!L262</f>
        <v>0</v>
      </c>
      <c r="X262" s="285">
        <f>'Pencapaian Product Focus'!N262</f>
        <v>0</v>
      </c>
      <c r="Y262" s="304">
        <f>'Pencapaian Effective Call'!G262</f>
        <v>0</v>
      </c>
      <c r="Z262" s="285">
        <f>'Pencapaian Effective Call'!I262</f>
        <v>0</v>
      </c>
      <c r="AA262" s="304">
        <f>'Pencapaian New Open Outlet'!G262</f>
        <v>0</v>
      </c>
      <c r="AB262" s="285">
        <f>'Pencapaian New Open Outlet'!I262</f>
        <v>0</v>
      </c>
      <c r="AC262" s="269">
        <f>'Pencapaian Active Outlet'!G262</f>
        <v>0.1</v>
      </c>
      <c r="AD262" s="284">
        <f>'Pencapaian Active Outlet'!I262</f>
        <v>0</v>
      </c>
      <c r="AE262" s="304">
        <f>'Pencapaian Item per Outlet'!G262</f>
        <v>0</v>
      </c>
      <c r="AF262" s="285">
        <f>'Pencapaian Item per Outlet'!I262</f>
        <v>0</v>
      </c>
      <c r="AG262" s="304">
        <f>'Pencapaian Product Display'!G262</f>
        <v>0</v>
      </c>
      <c r="AH262" s="285">
        <f>'Pencapaian Product Display'!I262</f>
        <v>0</v>
      </c>
      <c r="AI262" s="304">
        <f>'Pencapaian Sales Contract'!G262</f>
        <v>0</v>
      </c>
      <c r="AJ262" s="285">
        <f>'Pencapaian Sales Contract'!I262</f>
        <v>0</v>
      </c>
      <c r="AK262" s="304">
        <f>'Pencapaian Co-Branding'!G262</f>
        <v>0</v>
      </c>
      <c r="AL262" s="285">
        <f>'Pencapaian Co-Branding'!I262</f>
        <v>0</v>
      </c>
      <c r="AM262" s="304">
        <f>'Pencapaian Join Event Activity'!G262</f>
        <v>0</v>
      </c>
      <c r="AN262" s="285">
        <f>'Pencapaian Join Event Activity'!I262</f>
        <v>0</v>
      </c>
      <c r="AO262" s="284">
        <f t="shared" si="112"/>
        <v>90000</v>
      </c>
      <c r="AP262" s="322">
        <v>0</v>
      </c>
      <c r="AQ262" s="284">
        <f t="shared" si="123"/>
        <v>0</v>
      </c>
      <c r="AR262" s="322">
        <v>0</v>
      </c>
      <c r="AS262" s="284">
        <f t="shared" si="124"/>
        <v>0</v>
      </c>
      <c r="AT262" s="284">
        <f t="shared" si="115"/>
        <v>90000</v>
      </c>
      <c r="AU262" s="284">
        <f t="shared" si="126"/>
        <v>90000</v>
      </c>
      <c r="AV262" s="284">
        <v>0</v>
      </c>
    </row>
    <row r="263" spans="16:48" x14ac:dyDescent="0.2">
      <c r="P263" s="392"/>
      <c r="Q263" s="321"/>
      <c r="R263" s="323" t="s">
        <v>611</v>
      </c>
      <c r="S263" s="12" t="s">
        <v>675</v>
      </c>
      <c r="T263" s="269">
        <f>'Pencapaian Sales Value'!G263</f>
        <v>1.2E-2</v>
      </c>
      <c r="U263" s="284">
        <f>'Pencapaian Sales Value'!I263</f>
        <v>0</v>
      </c>
      <c r="V263" s="304">
        <f>'Pencapaian Product Focus'!H263</f>
        <v>0</v>
      </c>
      <c r="W263" s="304">
        <f>'Pencapaian Product Focus'!L263</f>
        <v>0</v>
      </c>
      <c r="X263" s="285">
        <f>'Pencapaian Product Focus'!N263</f>
        <v>0</v>
      </c>
      <c r="Y263" s="304">
        <f>'Pencapaian Effective Call'!G263</f>
        <v>0</v>
      </c>
      <c r="Z263" s="285">
        <f>'Pencapaian Effective Call'!I263</f>
        <v>0</v>
      </c>
      <c r="AA263" s="304">
        <f>'Pencapaian New Open Outlet'!G263</f>
        <v>0</v>
      </c>
      <c r="AB263" s="285">
        <f>'Pencapaian New Open Outlet'!I263</f>
        <v>0</v>
      </c>
      <c r="AC263" s="269">
        <f>'Pencapaian Active Outlet'!G263</f>
        <v>0.05</v>
      </c>
      <c r="AD263" s="284">
        <f>'Pencapaian Active Outlet'!I263</f>
        <v>0</v>
      </c>
      <c r="AE263" s="304">
        <f>'Pencapaian Item per Outlet'!G263</f>
        <v>0</v>
      </c>
      <c r="AF263" s="285">
        <f>'Pencapaian Item per Outlet'!I263</f>
        <v>0</v>
      </c>
      <c r="AG263" s="304">
        <f>'Pencapaian Product Display'!G263</f>
        <v>0</v>
      </c>
      <c r="AH263" s="285">
        <f>'Pencapaian Product Display'!I263</f>
        <v>0</v>
      </c>
      <c r="AI263" s="304">
        <f>'Pencapaian Sales Contract'!G263</f>
        <v>0</v>
      </c>
      <c r="AJ263" s="285">
        <f>'Pencapaian Sales Contract'!I263</f>
        <v>0</v>
      </c>
      <c r="AK263" s="304">
        <f>'Pencapaian Co-Branding'!G263</f>
        <v>0</v>
      </c>
      <c r="AL263" s="285">
        <f>'Pencapaian Co-Branding'!I263</f>
        <v>0</v>
      </c>
      <c r="AM263" s="304">
        <f>'Pencapaian Join Event Activity'!G263</f>
        <v>0</v>
      </c>
      <c r="AN263" s="285">
        <f>'Pencapaian Join Event Activity'!I263</f>
        <v>0</v>
      </c>
      <c r="AO263" s="284">
        <f t="shared" si="112"/>
        <v>0</v>
      </c>
      <c r="AP263" s="322">
        <v>0</v>
      </c>
      <c r="AQ263" s="284">
        <f t="shared" si="123"/>
        <v>0</v>
      </c>
      <c r="AR263" s="322">
        <v>0</v>
      </c>
      <c r="AS263" s="284">
        <f t="shared" si="124"/>
        <v>0</v>
      </c>
      <c r="AT263" s="284">
        <f t="shared" si="115"/>
        <v>0</v>
      </c>
      <c r="AU263" s="284">
        <f t="shared" si="126"/>
        <v>0</v>
      </c>
      <c r="AV263" s="284">
        <v>0</v>
      </c>
    </row>
    <row r="264" spans="16:48" ht="14.5" customHeight="1" x14ac:dyDescent="0.2">
      <c r="P264" s="392"/>
      <c r="Q264" s="321"/>
      <c r="R264" s="323" t="s">
        <v>850</v>
      </c>
      <c r="S264" s="12" t="s">
        <v>675</v>
      </c>
      <c r="T264" s="269">
        <f>'Pencapaian Sales Value'!G264</f>
        <v>4.6460000000000001E-2</v>
      </c>
      <c r="U264" s="284">
        <f>'Pencapaian Sales Value'!I264</f>
        <v>0</v>
      </c>
      <c r="V264" s="304">
        <f>'Pencapaian Product Focus'!H264</f>
        <v>0</v>
      </c>
      <c r="W264" s="304">
        <f>'Pencapaian Product Focus'!L264</f>
        <v>0</v>
      </c>
      <c r="X264" s="285">
        <f>'Pencapaian Product Focus'!N264</f>
        <v>0</v>
      </c>
      <c r="Y264" s="304">
        <f>'Pencapaian Effective Call'!G264</f>
        <v>0</v>
      </c>
      <c r="Z264" s="285">
        <f>'Pencapaian Effective Call'!I264</f>
        <v>0</v>
      </c>
      <c r="AA264" s="304">
        <f>'Pencapaian New Open Outlet'!G264</f>
        <v>0</v>
      </c>
      <c r="AB264" s="285">
        <f>'Pencapaian New Open Outlet'!I264</f>
        <v>0</v>
      </c>
      <c r="AC264" s="269">
        <f>'Pencapaian Active Outlet'!G264</f>
        <v>3.3333333333333333E-2</v>
      </c>
      <c r="AD264" s="284">
        <f>'Pencapaian Active Outlet'!I264</f>
        <v>0</v>
      </c>
      <c r="AE264" s="304">
        <f>'Pencapaian Item per Outlet'!G264</f>
        <v>0</v>
      </c>
      <c r="AF264" s="285">
        <f>'Pencapaian Item per Outlet'!I264</f>
        <v>0</v>
      </c>
      <c r="AG264" s="304">
        <f>'Pencapaian Product Display'!G264</f>
        <v>0</v>
      </c>
      <c r="AH264" s="285">
        <f>'Pencapaian Product Display'!I264</f>
        <v>0</v>
      </c>
      <c r="AI264" s="304">
        <f>'Pencapaian Sales Contract'!G264</f>
        <v>0</v>
      </c>
      <c r="AJ264" s="285">
        <f>'Pencapaian Sales Contract'!I264</f>
        <v>0</v>
      </c>
      <c r="AK264" s="304">
        <f>'Pencapaian Co-Branding'!G264</f>
        <v>0</v>
      </c>
      <c r="AL264" s="285">
        <f>'Pencapaian Co-Branding'!I264</f>
        <v>0</v>
      </c>
      <c r="AM264" s="304">
        <f>'Pencapaian Join Event Activity'!G264</f>
        <v>0</v>
      </c>
      <c r="AN264" s="285">
        <f>'Pencapaian Join Event Activity'!I264</f>
        <v>0</v>
      </c>
      <c r="AO264" s="284">
        <f t="shared" si="112"/>
        <v>0</v>
      </c>
      <c r="AP264" s="322">
        <v>0</v>
      </c>
      <c r="AQ264" s="284">
        <f t="shared" si="123"/>
        <v>0</v>
      </c>
      <c r="AR264" s="322">
        <v>0</v>
      </c>
      <c r="AS264" s="284">
        <f t="shared" si="124"/>
        <v>0</v>
      </c>
      <c r="AT264" s="284">
        <f t="shared" si="115"/>
        <v>0</v>
      </c>
      <c r="AU264" s="284">
        <f t="shared" si="126"/>
        <v>0</v>
      </c>
      <c r="AV264" s="284">
        <v>0</v>
      </c>
    </row>
    <row r="265" spans="16:48" ht="14.5" customHeight="1" x14ac:dyDescent="0.2">
      <c r="P265" s="392"/>
      <c r="Q265" s="324"/>
      <c r="R265" s="324" t="s">
        <v>743</v>
      </c>
      <c r="S265" s="64" t="s">
        <v>673</v>
      </c>
      <c r="T265" s="258">
        <f>'Pencapaian Sales Value'!G265</f>
        <v>0.42906525000000001</v>
      </c>
      <c r="U265" s="286">
        <f>'Pencapaian Sales Value'!I265</f>
        <v>0</v>
      </c>
      <c r="V265" s="268">
        <f>'Pencapaian Product Focus'!H265</f>
        <v>0</v>
      </c>
      <c r="W265" s="268">
        <f>'Pencapaian Product Focus'!L265</f>
        <v>0</v>
      </c>
      <c r="X265" s="189">
        <f>'Pencapaian Product Focus'!N265</f>
        <v>0</v>
      </c>
      <c r="Y265" s="268">
        <f>'Pencapaian Effective Call'!G265</f>
        <v>0</v>
      </c>
      <c r="Z265" s="189">
        <f>'Pencapaian Effective Call'!I265</f>
        <v>0</v>
      </c>
      <c r="AA265" s="268">
        <f>'Pencapaian New Open Outlet'!G265</f>
        <v>0</v>
      </c>
      <c r="AB265" s="189">
        <f>'Pencapaian New Open Outlet'!I265</f>
        <v>0</v>
      </c>
      <c r="AC265" s="258">
        <f>'Pencapaian Active Outlet'!G265</f>
        <v>0.13333333333333333</v>
      </c>
      <c r="AD265" s="286">
        <f>'Pencapaian Active Outlet'!I265</f>
        <v>0</v>
      </c>
      <c r="AE265" s="268">
        <f>'Pencapaian Item per Outlet'!G265</f>
        <v>0</v>
      </c>
      <c r="AF265" s="189">
        <f>'Pencapaian Item per Outlet'!I265</f>
        <v>0</v>
      </c>
      <c r="AG265" s="268">
        <f>'Pencapaian Product Display'!G265</f>
        <v>0</v>
      </c>
      <c r="AH265" s="189">
        <f>'Pencapaian Product Display'!I265</f>
        <v>0</v>
      </c>
      <c r="AI265" s="268">
        <f>'Pencapaian Sales Contract'!G265</f>
        <v>0</v>
      </c>
      <c r="AJ265" s="189">
        <f>'Pencapaian Sales Contract'!I265</f>
        <v>0</v>
      </c>
      <c r="AK265" s="268">
        <f>'Pencapaian Co-Branding'!G265</f>
        <v>0</v>
      </c>
      <c r="AL265" s="189">
        <f>'Pencapaian Co-Branding'!I265</f>
        <v>0</v>
      </c>
      <c r="AM265" s="268">
        <f>'Pencapaian Join Event Activity'!G265</f>
        <v>0</v>
      </c>
      <c r="AN265" s="189">
        <f>'Pencapaian Join Event Activity'!I265</f>
        <v>0</v>
      </c>
      <c r="AO265" s="286">
        <f t="shared" si="112"/>
        <v>0</v>
      </c>
      <c r="AP265" s="289">
        <v>0</v>
      </c>
      <c r="AQ265" s="286">
        <f t="shared" si="123"/>
        <v>0</v>
      </c>
      <c r="AR265" s="289">
        <v>0</v>
      </c>
      <c r="AS265" s="286">
        <f t="shared" si="124"/>
        <v>0</v>
      </c>
      <c r="AT265" s="286">
        <f t="shared" si="115"/>
        <v>0</v>
      </c>
      <c r="AU265" s="286">
        <f t="shared" si="126"/>
        <v>0</v>
      </c>
      <c r="AV265" s="286">
        <v>0</v>
      </c>
    </row>
    <row r="266" spans="16:48" ht="14.5" customHeight="1" x14ac:dyDescent="0.2">
      <c r="P266" s="392"/>
      <c r="Q266" s="321"/>
      <c r="R266" s="323" t="s">
        <v>606</v>
      </c>
      <c r="S266" s="12" t="s">
        <v>675</v>
      </c>
      <c r="T266" s="269">
        <f>'Pencapaian Sales Value'!G266</f>
        <v>1.3119555555555555</v>
      </c>
      <c r="U266" s="284">
        <f>'Pencapaian Sales Value'!I266</f>
        <v>90000</v>
      </c>
      <c r="V266" s="304">
        <f>'Pencapaian Product Focus'!H266</f>
        <v>0</v>
      </c>
      <c r="W266" s="304">
        <f>'Pencapaian Product Focus'!L266</f>
        <v>0</v>
      </c>
      <c r="X266" s="285">
        <f>'Pencapaian Product Focus'!N266</f>
        <v>0</v>
      </c>
      <c r="Y266" s="304">
        <f>'Pencapaian Effective Call'!G266</f>
        <v>0</v>
      </c>
      <c r="Z266" s="285">
        <f>'Pencapaian Effective Call'!I266</f>
        <v>0</v>
      </c>
      <c r="AA266" s="304">
        <f>'Pencapaian New Open Outlet'!G266</f>
        <v>0</v>
      </c>
      <c r="AB266" s="285">
        <f>'Pencapaian New Open Outlet'!I266</f>
        <v>0</v>
      </c>
      <c r="AC266" s="269">
        <f>'Pencapaian Active Outlet'!G266</f>
        <v>0.12</v>
      </c>
      <c r="AD266" s="284">
        <f>'Pencapaian Active Outlet'!I266</f>
        <v>0</v>
      </c>
      <c r="AE266" s="304">
        <f>'Pencapaian Item per Outlet'!G266</f>
        <v>0</v>
      </c>
      <c r="AF266" s="285">
        <f>'Pencapaian Item per Outlet'!I266</f>
        <v>0</v>
      </c>
      <c r="AG266" s="304">
        <f>'Pencapaian Product Display'!G266</f>
        <v>0</v>
      </c>
      <c r="AH266" s="285">
        <f>'Pencapaian Product Display'!I266</f>
        <v>0</v>
      </c>
      <c r="AI266" s="304">
        <f>'Pencapaian Sales Contract'!G266</f>
        <v>0</v>
      </c>
      <c r="AJ266" s="285">
        <f>'Pencapaian Sales Contract'!I266</f>
        <v>0</v>
      </c>
      <c r="AK266" s="304">
        <f>'Pencapaian Co-Branding'!G266</f>
        <v>0</v>
      </c>
      <c r="AL266" s="285">
        <f>'Pencapaian Co-Branding'!I266</f>
        <v>0</v>
      </c>
      <c r="AM266" s="304">
        <f>'Pencapaian Join Event Activity'!G266</f>
        <v>0</v>
      </c>
      <c r="AN266" s="285">
        <f>'Pencapaian Join Event Activity'!I266</f>
        <v>0</v>
      </c>
      <c r="AO266" s="284">
        <f t="shared" si="112"/>
        <v>90000</v>
      </c>
      <c r="AP266" s="322">
        <v>0</v>
      </c>
      <c r="AQ266" s="284">
        <f t="shared" si="123"/>
        <v>0</v>
      </c>
      <c r="AR266" s="322">
        <v>0</v>
      </c>
      <c r="AS266" s="284">
        <f t="shared" si="124"/>
        <v>0</v>
      </c>
      <c r="AT266" s="284">
        <f t="shared" si="115"/>
        <v>90000</v>
      </c>
      <c r="AU266" s="284">
        <f t="shared" si="126"/>
        <v>90000</v>
      </c>
      <c r="AV266" s="284">
        <v>0</v>
      </c>
    </row>
    <row r="267" spans="16:48" x14ac:dyDescent="0.2">
      <c r="P267" s="392"/>
      <c r="Q267" s="321"/>
      <c r="R267" s="323" t="s">
        <v>901</v>
      </c>
      <c r="S267" s="12"/>
      <c r="T267" s="269" t="e">
        <f>'Pencapaian Sales Value'!G267</f>
        <v>#DIV/0!</v>
      </c>
      <c r="U267" s="284">
        <f>'Pencapaian Sales Value'!I267</f>
        <v>0</v>
      </c>
      <c r="V267" s="304">
        <f>'Pencapaian Product Focus'!H267</f>
        <v>0</v>
      </c>
      <c r="W267" s="304">
        <f>'Pencapaian Product Focus'!L267</f>
        <v>0</v>
      </c>
      <c r="X267" s="285">
        <f>'Pencapaian Product Focus'!N267</f>
        <v>0</v>
      </c>
      <c r="Y267" s="304">
        <f>'Pencapaian Effective Call'!G267</f>
        <v>0</v>
      </c>
      <c r="Z267" s="285">
        <f>'Pencapaian Effective Call'!I267</f>
        <v>0</v>
      </c>
      <c r="AA267" s="304">
        <f>'Pencapaian New Open Outlet'!G267</f>
        <v>0</v>
      </c>
      <c r="AB267" s="285">
        <f>'Pencapaian New Open Outlet'!I267</f>
        <v>0</v>
      </c>
      <c r="AC267" s="269" t="e">
        <f>'Pencapaian Active Outlet'!G267</f>
        <v>#DIV/0!</v>
      </c>
      <c r="AD267" s="284">
        <f>'Pencapaian Active Outlet'!I267</f>
        <v>0</v>
      </c>
      <c r="AE267" s="304">
        <f>'Pencapaian Item per Outlet'!G267</f>
        <v>0</v>
      </c>
      <c r="AF267" s="285">
        <f>'Pencapaian Item per Outlet'!I267</f>
        <v>0</v>
      </c>
      <c r="AG267" s="304">
        <f>'Pencapaian Product Display'!G267</f>
        <v>0</v>
      </c>
      <c r="AH267" s="285">
        <f>'Pencapaian Product Display'!I267</f>
        <v>0</v>
      </c>
      <c r="AI267" s="304">
        <f>'Pencapaian Sales Contract'!G267</f>
        <v>0</v>
      </c>
      <c r="AJ267" s="285">
        <f>'Pencapaian Sales Contract'!I267</f>
        <v>0</v>
      </c>
      <c r="AK267" s="304">
        <f>'Pencapaian Co-Branding'!G267</f>
        <v>0</v>
      </c>
      <c r="AL267" s="285">
        <f>'Pencapaian Co-Branding'!I267</f>
        <v>0</v>
      </c>
      <c r="AM267" s="304">
        <f>'Pencapaian Join Event Activity'!G267</f>
        <v>0</v>
      </c>
      <c r="AN267" s="285">
        <f>'Pencapaian Join Event Activity'!I267</f>
        <v>0</v>
      </c>
      <c r="AO267" s="284">
        <f t="shared" si="112"/>
        <v>0</v>
      </c>
      <c r="AP267" s="322">
        <v>0</v>
      </c>
      <c r="AQ267" s="284">
        <f t="shared" si="123"/>
        <v>0</v>
      </c>
      <c r="AR267" s="322">
        <v>0</v>
      </c>
      <c r="AS267" s="284">
        <f t="shared" si="124"/>
        <v>0</v>
      </c>
      <c r="AT267" s="284">
        <f t="shared" si="115"/>
        <v>0</v>
      </c>
      <c r="AU267" s="284">
        <f t="shared" si="126"/>
        <v>0</v>
      </c>
      <c r="AV267" s="284">
        <v>0</v>
      </c>
    </row>
    <row r="268" spans="16:48" x14ac:dyDescent="0.2">
      <c r="P268" s="392"/>
      <c r="Q268" s="321"/>
      <c r="R268" s="323" t="s">
        <v>607</v>
      </c>
      <c r="S268" s="12" t="s">
        <v>675</v>
      </c>
      <c r="T268" s="269">
        <f>'Pencapaian Sales Value'!G268</f>
        <v>0.48789399999999999</v>
      </c>
      <c r="U268" s="284">
        <f>'Pencapaian Sales Value'!I268</f>
        <v>0</v>
      </c>
      <c r="V268" s="304">
        <f>'Pencapaian Product Focus'!H268</f>
        <v>0</v>
      </c>
      <c r="W268" s="304">
        <f>'Pencapaian Product Focus'!L268</f>
        <v>0</v>
      </c>
      <c r="X268" s="285">
        <f>'Pencapaian Product Focus'!N268</f>
        <v>0</v>
      </c>
      <c r="Y268" s="304">
        <f>'Pencapaian Effective Call'!G268</f>
        <v>0</v>
      </c>
      <c r="Z268" s="285">
        <f>'Pencapaian Effective Call'!I268</f>
        <v>0</v>
      </c>
      <c r="AA268" s="304">
        <f>'Pencapaian New Open Outlet'!G268</f>
        <v>0</v>
      </c>
      <c r="AB268" s="285">
        <f>'Pencapaian New Open Outlet'!I268</f>
        <v>0</v>
      </c>
      <c r="AC268" s="269">
        <f>'Pencapaian Active Outlet'!G268</f>
        <v>0.4</v>
      </c>
      <c r="AD268" s="284">
        <f>'Pencapaian Active Outlet'!I268</f>
        <v>0</v>
      </c>
      <c r="AE268" s="304">
        <f>'Pencapaian Item per Outlet'!G268</f>
        <v>0</v>
      </c>
      <c r="AF268" s="285">
        <f>'Pencapaian Item per Outlet'!I268</f>
        <v>0</v>
      </c>
      <c r="AG268" s="304">
        <f>'Pencapaian Product Display'!G268</f>
        <v>0</v>
      </c>
      <c r="AH268" s="285">
        <f>'Pencapaian Product Display'!I268</f>
        <v>0</v>
      </c>
      <c r="AI268" s="304">
        <f>'Pencapaian Sales Contract'!G268</f>
        <v>0</v>
      </c>
      <c r="AJ268" s="285">
        <f>'Pencapaian Sales Contract'!I268</f>
        <v>0</v>
      </c>
      <c r="AK268" s="304">
        <f>'Pencapaian Co-Branding'!G268</f>
        <v>0</v>
      </c>
      <c r="AL268" s="285">
        <f>'Pencapaian Co-Branding'!I268</f>
        <v>0</v>
      </c>
      <c r="AM268" s="304">
        <f>'Pencapaian Join Event Activity'!G268</f>
        <v>0</v>
      </c>
      <c r="AN268" s="285">
        <f>'Pencapaian Join Event Activity'!I268</f>
        <v>0</v>
      </c>
      <c r="AO268" s="284">
        <f t="shared" si="112"/>
        <v>0</v>
      </c>
      <c r="AP268" s="322">
        <v>0</v>
      </c>
      <c r="AQ268" s="284">
        <f t="shared" si="123"/>
        <v>0</v>
      </c>
      <c r="AR268" s="322">
        <v>0</v>
      </c>
      <c r="AS268" s="284">
        <f t="shared" si="124"/>
        <v>0</v>
      </c>
      <c r="AT268" s="284">
        <f t="shared" si="115"/>
        <v>0</v>
      </c>
      <c r="AU268" s="284">
        <f t="shared" si="126"/>
        <v>0</v>
      </c>
      <c r="AV268" s="284">
        <v>0</v>
      </c>
    </row>
    <row r="269" spans="16:48" x14ac:dyDescent="0.2">
      <c r="P269" s="392"/>
      <c r="Q269" s="321"/>
      <c r="R269" s="323" t="s">
        <v>608</v>
      </c>
      <c r="S269" s="12" t="s">
        <v>675</v>
      </c>
      <c r="T269" s="269">
        <f>'Pencapaian Sales Value'!G269</f>
        <v>0.52934599999999998</v>
      </c>
      <c r="U269" s="284">
        <f>'Pencapaian Sales Value'!I269</f>
        <v>0</v>
      </c>
      <c r="V269" s="304">
        <f>'Pencapaian Product Focus'!H269</f>
        <v>0</v>
      </c>
      <c r="W269" s="304">
        <f>'Pencapaian Product Focus'!L269</f>
        <v>0</v>
      </c>
      <c r="X269" s="285">
        <f>'Pencapaian Product Focus'!N269</f>
        <v>0</v>
      </c>
      <c r="Y269" s="304">
        <f>'Pencapaian Effective Call'!G269</f>
        <v>0</v>
      </c>
      <c r="Z269" s="285">
        <f>'Pencapaian Effective Call'!I269</f>
        <v>0</v>
      </c>
      <c r="AA269" s="304">
        <f>'Pencapaian New Open Outlet'!G269</f>
        <v>0</v>
      </c>
      <c r="AB269" s="285">
        <f>'Pencapaian New Open Outlet'!I269</f>
        <v>0</v>
      </c>
      <c r="AC269" s="269">
        <f>'Pencapaian Active Outlet'!G269</f>
        <v>0.24</v>
      </c>
      <c r="AD269" s="284">
        <f>'Pencapaian Active Outlet'!I269</f>
        <v>0</v>
      </c>
      <c r="AE269" s="304">
        <f>'Pencapaian Item per Outlet'!G269</f>
        <v>0</v>
      </c>
      <c r="AF269" s="285">
        <f>'Pencapaian Item per Outlet'!I269</f>
        <v>0</v>
      </c>
      <c r="AG269" s="304">
        <f>'Pencapaian Product Display'!G269</f>
        <v>0</v>
      </c>
      <c r="AH269" s="285">
        <f>'Pencapaian Product Display'!I269</f>
        <v>0</v>
      </c>
      <c r="AI269" s="304">
        <f>'Pencapaian Sales Contract'!G269</f>
        <v>0</v>
      </c>
      <c r="AJ269" s="285">
        <f>'Pencapaian Sales Contract'!I269</f>
        <v>0</v>
      </c>
      <c r="AK269" s="304">
        <f>'Pencapaian Co-Branding'!G269</f>
        <v>0</v>
      </c>
      <c r="AL269" s="285">
        <f>'Pencapaian Co-Branding'!I269</f>
        <v>0</v>
      </c>
      <c r="AM269" s="304">
        <f>'Pencapaian Join Event Activity'!G269</f>
        <v>0</v>
      </c>
      <c r="AN269" s="285">
        <f>'Pencapaian Join Event Activity'!I269</f>
        <v>0</v>
      </c>
      <c r="AO269" s="284">
        <f t="shared" si="112"/>
        <v>0</v>
      </c>
      <c r="AP269" s="322">
        <v>0</v>
      </c>
      <c r="AQ269" s="284">
        <f t="shared" si="123"/>
        <v>0</v>
      </c>
      <c r="AR269" s="322">
        <v>0</v>
      </c>
      <c r="AS269" s="284">
        <f t="shared" si="124"/>
        <v>0</v>
      </c>
      <c r="AT269" s="284">
        <f t="shared" si="115"/>
        <v>0</v>
      </c>
      <c r="AU269" s="284">
        <f t="shared" si="126"/>
        <v>0</v>
      </c>
      <c r="AV269" s="284">
        <v>0</v>
      </c>
    </row>
    <row r="270" spans="16:48" x14ac:dyDescent="0.2">
      <c r="P270" s="392"/>
      <c r="Q270" s="321"/>
      <c r="R270" s="323" t="s">
        <v>640</v>
      </c>
      <c r="S270" s="12" t="s">
        <v>675</v>
      </c>
      <c r="T270" s="269">
        <f>'Pencapaian Sales Value'!G270</f>
        <v>7.4618000000000004E-2</v>
      </c>
      <c r="U270" s="284">
        <f>'Pencapaian Sales Value'!I270</f>
        <v>0</v>
      </c>
      <c r="V270" s="304">
        <f>'Pencapaian Product Focus'!H270</f>
        <v>0</v>
      </c>
      <c r="W270" s="304">
        <f>'Pencapaian Product Focus'!L270</f>
        <v>0</v>
      </c>
      <c r="X270" s="285">
        <f>'Pencapaian Product Focus'!N270</f>
        <v>0</v>
      </c>
      <c r="Y270" s="304">
        <f>'Pencapaian Effective Call'!G270</f>
        <v>0</v>
      </c>
      <c r="Z270" s="285">
        <f>'Pencapaian Effective Call'!I270</f>
        <v>0</v>
      </c>
      <c r="AA270" s="304">
        <f>'Pencapaian New Open Outlet'!G270</f>
        <v>0</v>
      </c>
      <c r="AB270" s="285">
        <f>'Pencapaian New Open Outlet'!I270</f>
        <v>0</v>
      </c>
      <c r="AC270" s="269">
        <f>'Pencapaian Active Outlet'!G270</f>
        <v>0.2</v>
      </c>
      <c r="AD270" s="284">
        <f>'Pencapaian Active Outlet'!I270</f>
        <v>0</v>
      </c>
      <c r="AE270" s="304">
        <f>'Pencapaian Item per Outlet'!G270</f>
        <v>0</v>
      </c>
      <c r="AF270" s="285">
        <f>'Pencapaian Item per Outlet'!I270</f>
        <v>0</v>
      </c>
      <c r="AG270" s="304">
        <f>'Pencapaian Product Display'!G270</f>
        <v>0</v>
      </c>
      <c r="AH270" s="285">
        <f>'Pencapaian Product Display'!I270</f>
        <v>0</v>
      </c>
      <c r="AI270" s="304">
        <f>'Pencapaian Sales Contract'!G270</f>
        <v>0</v>
      </c>
      <c r="AJ270" s="285">
        <f>'Pencapaian Sales Contract'!I270</f>
        <v>0</v>
      </c>
      <c r="AK270" s="304">
        <f>'Pencapaian Co-Branding'!G270</f>
        <v>0</v>
      </c>
      <c r="AL270" s="285">
        <f>'Pencapaian Co-Branding'!I270</f>
        <v>0</v>
      </c>
      <c r="AM270" s="304">
        <f>'Pencapaian Join Event Activity'!G270</f>
        <v>0</v>
      </c>
      <c r="AN270" s="285">
        <f>'Pencapaian Join Event Activity'!I270</f>
        <v>0</v>
      </c>
      <c r="AO270" s="284">
        <f t="shared" si="112"/>
        <v>0</v>
      </c>
      <c r="AP270" s="322">
        <v>0</v>
      </c>
      <c r="AQ270" s="284">
        <f t="shared" si="123"/>
        <v>0</v>
      </c>
      <c r="AR270" s="322">
        <v>0</v>
      </c>
      <c r="AS270" s="284">
        <f t="shared" si="124"/>
        <v>0</v>
      </c>
      <c r="AT270" s="284">
        <f t="shared" si="115"/>
        <v>0</v>
      </c>
      <c r="AU270" s="284">
        <f t="shared" si="126"/>
        <v>0</v>
      </c>
      <c r="AV270" s="284">
        <v>0</v>
      </c>
    </row>
    <row r="271" spans="16:48" x14ac:dyDescent="0.2">
      <c r="P271" s="392"/>
      <c r="Q271" s="321"/>
      <c r="R271" s="323" t="s">
        <v>851</v>
      </c>
      <c r="S271" s="12" t="s">
        <v>675</v>
      </c>
      <c r="T271" s="269">
        <f>'Pencapaian Sales Value'!G271</f>
        <v>0.26938119999999999</v>
      </c>
      <c r="U271" s="284">
        <f>'Pencapaian Sales Value'!I271</f>
        <v>0</v>
      </c>
      <c r="V271" s="304">
        <f>'Pencapaian Product Focus'!H271</f>
        <v>0</v>
      </c>
      <c r="W271" s="304">
        <f>'Pencapaian Product Focus'!L271</f>
        <v>0</v>
      </c>
      <c r="X271" s="285">
        <f>'Pencapaian Product Focus'!N271</f>
        <v>0</v>
      </c>
      <c r="Y271" s="304">
        <f>'Pencapaian Effective Call'!G271</f>
        <v>0</v>
      </c>
      <c r="Z271" s="285">
        <f>'Pencapaian Effective Call'!I271</f>
        <v>0</v>
      </c>
      <c r="AA271" s="304">
        <f>'Pencapaian New Open Outlet'!G271</f>
        <v>0</v>
      </c>
      <c r="AB271" s="285">
        <f>'Pencapaian New Open Outlet'!I271</f>
        <v>0</v>
      </c>
      <c r="AC271" s="269">
        <f>'Pencapaian Active Outlet'!G271</f>
        <v>0.2</v>
      </c>
      <c r="AD271" s="284">
        <f>'Pencapaian Active Outlet'!I271</f>
        <v>0</v>
      </c>
      <c r="AE271" s="304">
        <f>'Pencapaian Item per Outlet'!G271</f>
        <v>0</v>
      </c>
      <c r="AF271" s="285">
        <f>'Pencapaian Item per Outlet'!I271</f>
        <v>0</v>
      </c>
      <c r="AG271" s="304">
        <f>'Pencapaian Product Display'!G271</f>
        <v>0</v>
      </c>
      <c r="AH271" s="285">
        <f>'Pencapaian Product Display'!I271</f>
        <v>0</v>
      </c>
      <c r="AI271" s="304">
        <f>'Pencapaian Sales Contract'!G271</f>
        <v>0</v>
      </c>
      <c r="AJ271" s="285">
        <f>'Pencapaian Sales Contract'!I271</f>
        <v>0</v>
      </c>
      <c r="AK271" s="304">
        <f>'Pencapaian Co-Branding'!G271</f>
        <v>0</v>
      </c>
      <c r="AL271" s="285">
        <f>'Pencapaian Co-Branding'!I271</f>
        <v>0</v>
      </c>
      <c r="AM271" s="304">
        <f>'Pencapaian Join Event Activity'!G271</f>
        <v>0</v>
      </c>
      <c r="AN271" s="285">
        <f>'Pencapaian Join Event Activity'!I271</f>
        <v>0</v>
      </c>
      <c r="AO271" s="284">
        <f t="shared" si="112"/>
        <v>0</v>
      </c>
      <c r="AP271" s="322">
        <v>0</v>
      </c>
      <c r="AQ271" s="284">
        <f t="shared" si="123"/>
        <v>0</v>
      </c>
      <c r="AR271" s="322">
        <v>0</v>
      </c>
      <c r="AS271" s="284">
        <f t="shared" si="124"/>
        <v>0</v>
      </c>
      <c r="AT271" s="284">
        <f t="shared" si="115"/>
        <v>0</v>
      </c>
      <c r="AU271" s="284">
        <f t="shared" si="126"/>
        <v>0</v>
      </c>
      <c r="AV271" s="284">
        <v>0</v>
      </c>
    </row>
    <row r="272" spans="16:48" ht="14.5" customHeight="1" x14ac:dyDescent="0.2">
      <c r="P272" s="392"/>
      <c r="Q272" s="324"/>
      <c r="R272" s="324" t="s">
        <v>898</v>
      </c>
      <c r="S272" s="64" t="s">
        <v>673</v>
      </c>
      <c r="T272" s="258">
        <f>'Pencapaian Sales Value'!G272</f>
        <v>0.72916592592592588</v>
      </c>
      <c r="U272" s="286">
        <f>'Pencapaian Sales Value'!I272</f>
        <v>0</v>
      </c>
      <c r="V272" s="268">
        <f>'Pencapaian Product Focus'!H272</f>
        <v>0</v>
      </c>
      <c r="W272" s="268">
        <f>'Pencapaian Product Focus'!L272</f>
        <v>0</v>
      </c>
      <c r="X272" s="189">
        <f>'Pencapaian Product Focus'!N272</f>
        <v>0</v>
      </c>
      <c r="Y272" s="268">
        <f>'Pencapaian Effective Call'!G272</f>
        <v>0</v>
      </c>
      <c r="Z272" s="189">
        <f>'Pencapaian Effective Call'!I272</f>
        <v>0</v>
      </c>
      <c r="AA272" s="268">
        <f>'Pencapaian New Open Outlet'!G272</f>
        <v>0</v>
      </c>
      <c r="AB272" s="189">
        <f>'Pencapaian New Open Outlet'!I272</f>
        <v>0</v>
      </c>
      <c r="AC272" s="258">
        <f>'Pencapaian Active Outlet'!G272</f>
        <v>0.24</v>
      </c>
      <c r="AD272" s="286">
        <f>'Pencapaian Active Outlet'!I272</f>
        <v>0</v>
      </c>
      <c r="AE272" s="268">
        <f>'Pencapaian Item per Outlet'!G272</f>
        <v>0</v>
      </c>
      <c r="AF272" s="189">
        <f>'Pencapaian Item per Outlet'!I272</f>
        <v>0</v>
      </c>
      <c r="AG272" s="268">
        <f>'Pencapaian Product Display'!G272</f>
        <v>0</v>
      </c>
      <c r="AH272" s="189">
        <f>'Pencapaian Product Display'!I272</f>
        <v>0</v>
      </c>
      <c r="AI272" s="268">
        <f>'Pencapaian Sales Contract'!G272</f>
        <v>0</v>
      </c>
      <c r="AJ272" s="189">
        <f>'Pencapaian Sales Contract'!I272</f>
        <v>0</v>
      </c>
      <c r="AK272" s="268">
        <f>'Pencapaian Co-Branding'!G272</f>
        <v>0</v>
      </c>
      <c r="AL272" s="189">
        <f>'Pencapaian Co-Branding'!I272</f>
        <v>0</v>
      </c>
      <c r="AM272" s="268">
        <f>'Pencapaian Join Event Activity'!G272</f>
        <v>0</v>
      </c>
      <c r="AN272" s="189">
        <f>'Pencapaian Join Event Activity'!I272</f>
        <v>0</v>
      </c>
      <c r="AO272" s="286">
        <f t="shared" si="112"/>
        <v>0</v>
      </c>
      <c r="AP272" s="289">
        <v>0</v>
      </c>
      <c r="AQ272" s="286">
        <f t="shared" si="123"/>
        <v>0</v>
      </c>
      <c r="AR272" s="289">
        <v>0</v>
      </c>
      <c r="AS272" s="286">
        <f t="shared" si="124"/>
        <v>0</v>
      </c>
      <c r="AT272" s="286">
        <f t="shared" si="115"/>
        <v>0</v>
      </c>
      <c r="AU272" s="286">
        <f t="shared" si="126"/>
        <v>0</v>
      </c>
      <c r="AV272" s="286">
        <v>0</v>
      </c>
    </row>
    <row r="273" spans="16:48" ht="14.5" customHeight="1" x14ac:dyDescent="0.2">
      <c r="P273" s="392"/>
      <c r="Q273" s="324"/>
      <c r="R273" s="324" t="s">
        <v>897</v>
      </c>
      <c r="S273" s="64" t="s">
        <v>20</v>
      </c>
      <c r="T273" s="258">
        <f>'Pencapaian Sales Value'!G273</f>
        <v>0.54383725257069404</v>
      </c>
      <c r="U273" s="286">
        <f>'Pencapaian Sales Value'!I273</f>
        <v>0</v>
      </c>
      <c r="V273" s="268">
        <f>'Pencapaian Product Focus'!H273</f>
        <v>0</v>
      </c>
      <c r="W273" s="268">
        <f>'Pencapaian Product Focus'!L273</f>
        <v>0</v>
      </c>
      <c r="X273" s="189">
        <f>'Pencapaian Product Focus'!N273</f>
        <v>0</v>
      </c>
      <c r="Y273" s="268">
        <f>'Pencapaian Effective Call'!G273</f>
        <v>0</v>
      </c>
      <c r="Z273" s="189">
        <f>'Pencapaian Effective Call'!I273</f>
        <v>0</v>
      </c>
      <c r="AA273" s="268">
        <f>'Pencapaian New Open Outlet'!G273</f>
        <v>0</v>
      </c>
      <c r="AB273" s="189">
        <f>'Pencapaian New Open Outlet'!I273</f>
        <v>0</v>
      </c>
      <c r="AC273" s="258">
        <f>'Pencapaian Active Outlet'!G273</f>
        <v>0.30337078651685395</v>
      </c>
      <c r="AD273" s="286">
        <f>'Pencapaian Active Outlet'!I273</f>
        <v>0</v>
      </c>
      <c r="AE273" s="268">
        <f>'Pencapaian Item per Outlet'!G273</f>
        <v>0</v>
      </c>
      <c r="AF273" s="189">
        <f>'Pencapaian Item per Outlet'!I273</f>
        <v>0</v>
      </c>
      <c r="AG273" s="268">
        <f>'Pencapaian Product Display'!G273</f>
        <v>0</v>
      </c>
      <c r="AH273" s="189">
        <f>'Pencapaian Product Display'!I273</f>
        <v>0</v>
      </c>
      <c r="AI273" s="268">
        <f>'Pencapaian Sales Contract'!G273</f>
        <v>0</v>
      </c>
      <c r="AJ273" s="189">
        <f>'Pencapaian Sales Contract'!I273</f>
        <v>0</v>
      </c>
      <c r="AK273" s="268">
        <f>'Pencapaian Co-Branding'!G273</f>
        <v>0</v>
      </c>
      <c r="AL273" s="189">
        <f>'Pencapaian Co-Branding'!I273</f>
        <v>0</v>
      </c>
      <c r="AM273" s="268">
        <f>'Pencapaian Join Event Activity'!G273</f>
        <v>0</v>
      </c>
      <c r="AN273" s="189">
        <f>'Pencapaian Join Event Activity'!I273</f>
        <v>0</v>
      </c>
      <c r="AO273" s="286">
        <f t="shared" si="112"/>
        <v>0</v>
      </c>
      <c r="AP273" s="289">
        <v>0</v>
      </c>
      <c r="AQ273" s="286">
        <f t="shared" si="123"/>
        <v>0</v>
      </c>
      <c r="AR273" s="289">
        <v>0</v>
      </c>
      <c r="AS273" s="286">
        <f t="shared" si="124"/>
        <v>0</v>
      </c>
      <c r="AT273" s="286">
        <f t="shared" si="115"/>
        <v>0</v>
      </c>
      <c r="AU273" s="286">
        <f t="shared" si="126"/>
        <v>0</v>
      </c>
      <c r="AV273" s="286">
        <v>0</v>
      </c>
    </row>
    <row r="274" spans="16:48" x14ac:dyDescent="0.2">
      <c r="P274" s="393"/>
      <c r="Q274" s="325"/>
      <c r="R274" s="325" t="s">
        <v>639</v>
      </c>
      <c r="S274" s="42"/>
      <c r="T274" s="264">
        <f>'Pencapaian Sales Value'!G274</f>
        <v>0.58794207843137258</v>
      </c>
      <c r="U274" s="287">
        <f>'Pencapaian Sales Value'!I274</f>
        <v>180000</v>
      </c>
      <c r="V274" s="274">
        <f>'Pencapaian Product Focus'!H274</f>
        <v>0</v>
      </c>
      <c r="W274" s="274">
        <f>'Pencapaian Product Focus'!L274</f>
        <v>0</v>
      </c>
      <c r="X274" s="190">
        <f>'Pencapaian Product Focus'!N274</f>
        <v>0</v>
      </c>
      <c r="Y274" s="274">
        <f>'Pencapaian Effective Call'!G274</f>
        <v>0</v>
      </c>
      <c r="Z274" s="190">
        <f>'Pencapaian Effective Call'!I274</f>
        <v>0</v>
      </c>
      <c r="AA274" s="274">
        <f>'Pencapaian New Open Outlet'!G274</f>
        <v>0</v>
      </c>
      <c r="AB274" s="190">
        <f>'Pencapaian New Open Outlet'!I274</f>
        <v>0</v>
      </c>
      <c r="AC274" s="264">
        <f>'Pencapaian Active Outlet'!G274</f>
        <v>0.18461538461538463</v>
      </c>
      <c r="AD274" s="287">
        <f>'Pencapaian Active Outlet'!I274</f>
        <v>0</v>
      </c>
      <c r="AE274" s="274">
        <f>'Pencapaian Item per Outlet'!G274</f>
        <v>0</v>
      </c>
      <c r="AF274" s="190">
        <f>'Pencapaian Item per Outlet'!I274</f>
        <v>0</v>
      </c>
      <c r="AG274" s="274">
        <f>'Pencapaian Product Display'!G274</f>
        <v>0</v>
      </c>
      <c r="AH274" s="190">
        <f>'Pencapaian Product Display'!I274</f>
        <v>0</v>
      </c>
      <c r="AI274" s="274">
        <f>'Pencapaian Sales Contract'!G274</f>
        <v>0</v>
      </c>
      <c r="AJ274" s="190">
        <f>'Pencapaian Sales Contract'!I274</f>
        <v>0</v>
      </c>
      <c r="AK274" s="274">
        <f>'Pencapaian Co-Branding'!G274</f>
        <v>0</v>
      </c>
      <c r="AL274" s="190">
        <f>'Pencapaian Co-Branding'!I274</f>
        <v>0</v>
      </c>
      <c r="AM274" s="274">
        <f>'Pencapaian Join Event Activity'!G274</f>
        <v>0</v>
      </c>
      <c r="AN274" s="190">
        <f>'Pencapaian Join Event Activity'!I274</f>
        <v>0</v>
      </c>
      <c r="AO274" s="287">
        <f t="shared" si="112"/>
        <v>180000</v>
      </c>
      <c r="AP274" s="290">
        <v>0</v>
      </c>
      <c r="AQ274" s="287">
        <f>SUM(AQ260:AQ273)</f>
        <v>0</v>
      </c>
      <c r="AR274" s="290">
        <v>0</v>
      </c>
      <c r="AS274" s="287">
        <f>SUM(AS260:AS273)</f>
        <v>0</v>
      </c>
      <c r="AT274" s="287">
        <f t="shared" si="115"/>
        <v>180000</v>
      </c>
      <c r="AU274" s="287">
        <f>SUM(AU260:AU273)</f>
        <v>180000</v>
      </c>
      <c r="AV274" s="287">
        <f>SUM(AV260:AV273)</f>
        <v>0</v>
      </c>
    </row>
    <row r="275" spans="16:48" x14ac:dyDescent="0.2">
      <c r="P275" s="395" t="s">
        <v>641</v>
      </c>
      <c r="Q275" s="321"/>
      <c r="R275" s="323" t="s">
        <v>902</v>
      </c>
      <c r="S275" s="12"/>
      <c r="T275" s="269" t="e">
        <f>'Pencapaian Sales Value'!G275</f>
        <v>#DIV/0!</v>
      </c>
      <c r="U275" s="284">
        <f>'Pencapaian Sales Value'!I275</f>
        <v>0</v>
      </c>
      <c r="V275" s="304">
        <f>'Pencapaian Product Focus'!H275</f>
        <v>0</v>
      </c>
      <c r="W275" s="304">
        <f>'Pencapaian Product Focus'!L275</f>
        <v>0</v>
      </c>
      <c r="X275" s="285">
        <f>'Pencapaian Product Focus'!N275</f>
        <v>0</v>
      </c>
      <c r="Y275" s="304">
        <f>'Pencapaian Effective Call'!G275</f>
        <v>0</v>
      </c>
      <c r="Z275" s="285">
        <f>'Pencapaian Effective Call'!I275</f>
        <v>0</v>
      </c>
      <c r="AA275" s="304">
        <f>'Pencapaian New Open Outlet'!G275</f>
        <v>0</v>
      </c>
      <c r="AB275" s="285">
        <f>'Pencapaian New Open Outlet'!I275</f>
        <v>0</v>
      </c>
      <c r="AC275" s="269" t="e">
        <f>'Pencapaian Active Outlet'!G275</f>
        <v>#DIV/0!</v>
      </c>
      <c r="AD275" s="284">
        <f>'Pencapaian Active Outlet'!I275</f>
        <v>0</v>
      </c>
      <c r="AE275" s="304">
        <f>'Pencapaian Item per Outlet'!G275</f>
        <v>0</v>
      </c>
      <c r="AF275" s="285">
        <f>'Pencapaian Item per Outlet'!I275</f>
        <v>0</v>
      </c>
      <c r="AG275" s="304">
        <f>'Pencapaian Product Display'!G275</f>
        <v>0</v>
      </c>
      <c r="AH275" s="285">
        <f>'Pencapaian Product Display'!I275</f>
        <v>0</v>
      </c>
      <c r="AI275" s="304">
        <f>'Pencapaian Sales Contract'!G275</f>
        <v>0</v>
      </c>
      <c r="AJ275" s="285">
        <f>'Pencapaian Sales Contract'!I275</f>
        <v>0</v>
      </c>
      <c r="AK275" s="304">
        <f>'Pencapaian Co-Branding'!G275</f>
        <v>0</v>
      </c>
      <c r="AL275" s="285">
        <f>'Pencapaian Co-Branding'!I275</f>
        <v>0</v>
      </c>
      <c r="AM275" s="304">
        <f>'Pencapaian Join Event Activity'!G275</f>
        <v>0</v>
      </c>
      <c r="AN275" s="285">
        <f>'Pencapaian Join Event Activity'!I275</f>
        <v>0</v>
      </c>
      <c r="AO275" s="284">
        <f t="shared" si="112"/>
        <v>0</v>
      </c>
      <c r="AP275" s="322">
        <v>0</v>
      </c>
      <c r="AQ275" s="284">
        <f t="shared" si="123"/>
        <v>0</v>
      </c>
      <c r="AR275" s="322">
        <v>0</v>
      </c>
      <c r="AS275" s="284">
        <f t="shared" si="124"/>
        <v>0</v>
      </c>
      <c r="AT275" s="284">
        <f t="shared" si="115"/>
        <v>0</v>
      </c>
      <c r="AU275" s="284">
        <f t="shared" ref="AU275:AU279" si="127">AT275</f>
        <v>0</v>
      </c>
      <c r="AV275" s="284">
        <v>0</v>
      </c>
    </row>
    <row r="276" spans="16:48" x14ac:dyDescent="0.2">
      <c r="P276" s="392"/>
      <c r="Q276" s="321"/>
      <c r="R276" s="323" t="s">
        <v>852</v>
      </c>
      <c r="S276" s="12" t="s">
        <v>675</v>
      </c>
      <c r="T276" s="269">
        <f>'Pencapaian Sales Value'!G276</f>
        <v>0.33029533333333333</v>
      </c>
      <c r="U276" s="284">
        <f>'Pencapaian Sales Value'!I276</f>
        <v>0</v>
      </c>
      <c r="V276" s="304">
        <f>'Pencapaian Product Focus'!H276</f>
        <v>0</v>
      </c>
      <c r="W276" s="304">
        <f>'Pencapaian Product Focus'!L276</f>
        <v>0</v>
      </c>
      <c r="X276" s="285">
        <f>'Pencapaian Product Focus'!N276</f>
        <v>0</v>
      </c>
      <c r="Y276" s="304">
        <f>'Pencapaian Effective Call'!G276</f>
        <v>0</v>
      </c>
      <c r="Z276" s="285">
        <f>'Pencapaian Effective Call'!I276</f>
        <v>0</v>
      </c>
      <c r="AA276" s="304">
        <f>'Pencapaian New Open Outlet'!G276</f>
        <v>0</v>
      </c>
      <c r="AB276" s="285">
        <f>'Pencapaian New Open Outlet'!I276</f>
        <v>0</v>
      </c>
      <c r="AC276" s="269">
        <f>'Pencapaian Active Outlet'!G276</f>
        <v>0.36</v>
      </c>
      <c r="AD276" s="284">
        <f>'Pencapaian Active Outlet'!I276</f>
        <v>0</v>
      </c>
      <c r="AE276" s="304">
        <f>'Pencapaian Item per Outlet'!G276</f>
        <v>0</v>
      </c>
      <c r="AF276" s="285">
        <f>'Pencapaian Item per Outlet'!I276</f>
        <v>0</v>
      </c>
      <c r="AG276" s="304">
        <f>'Pencapaian Product Display'!G276</f>
        <v>0</v>
      </c>
      <c r="AH276" s="285">
        <f>'Pencapaian Product Display'!I276</f>
        <v>0</v>
      </c>
      <c r="AI276" s="304">
        <f>'Pencapaian Sales Contract'!G276</f>
        <v>0</v>
      </c>
      <c r="AJ276" s="285">
        <f>'Pencapaian Sales Contract'!I276</f>
        <v>0</v>
      </c>
      <c r="AK276" s="304">
        <f>'Pencapaian Co-Branding'!G276</f>
        <v>0</v>
      </c>
      <c r="AL276" s="285">
        <f>'Pencapaian Co-Branding'!I276</f>
        <v>0</v>
      </c>
      <c r="AM276" s="304">
        <f>'Pencapaian Join Event Activity'!G276</f>
        <v>0</v>
      </c>
      <c r="AN276" s="285">
        <f>'Pencapaian Join Event Activity'!I276</f>
        <v>0</v>
      </c>
      <c r="AO276" s="284">
        <f t="shared" si="112"/>
        <v>0</v>
      </c>
      <c r="AP276" s="322">
        <v>0</v>
      </c>
      <c r="AQ276" s="284">
        <f t="shared" si="123"/>
        <v>0</v>
      </c>
      <c r="AR276" s="322">
        <v>0</v>
      </c>
      <c r="AS276" s="284">
        <f t="shared" si="124"/>
        <v>0</v>
      </c>
      <c r="AT276" s="284">
        <f t="shared" si="115"/>
        <v>0</v>
      </c>
      <c r="AU276" s="284">
        <f t="shared" si="127"/>
        <v>0</v>
      </c>
      <c r="AV276" s="284">
        <v>0</v>
      </c>
    </row>
    <row r="277" spans="16:48" x14ac:dyDescent="0.2">
      <c r="P277" s="392"/>
      <c r="Q277" s="321"/>
      <c r="R277" s="323" t="s">
        <v>853</v>
      </c>
      <c r="S277" s="12" t="s">
        <v>675</v>
      </c>
      <c r="T277" s="269">
        <f>'Pencapaian Sales Value'!G277</f>
        <v>0.20923</v>
      </c>
      <c r="U277" s="284">
        <f>'Pencapaian Sales Value'!I277</f>
        <v>0</v>
      </c>
      <c r="V277" s="304">
        <f>'Pencapaian Product Focus'!H277</f>
        <v>0</v>
      </c>
      <c r="W277" s="304">
        <f>'Pencapaian Product Focus'!L277</f>
        <v>0</v>
      </c>
      <c r="X277" s="285">
        <f>'Pencapaian Product Focus'!N277</f>
        <v>0</v>
      </c>
      <c r="Y277" s="304">
        <f>'Pencapaian Effective Call'!G277</f>
        <v>0</v>
      </c>
      <c r="Z277" s="285">
        <f>'Pencapaian Effective Call'!I277</f>
        <v>0</v>
      </c>
      <c r="AA277" s="304">
        <f>'Pencapaian New Open Outlet'!G277</f>
        <v>0</v>
      </c>
      <c r="AB277" s="285">
        <f>'Pencapaian New Open Outlet'!I277</f>
        <v>0</v>
      </c>
      <c r="AC277" s="269">
        <f>'Pencapaian Active Outlet'!G277</f>
        <v>0.16</v>
      </c>
      <c r="AD277" s="284">
        <f>'Pencapaian Active Outlet'!I277</f>
        <v>0</v>
      </c>
      <c r="AE277" s="304">
        <f>'Pencapaian Item per Outlet'!G277</f>
        <v>0</v>
      </c>
      <c r="AF277" s="285">
        <f>'Pencapaian Item per Outlet'!I277</f>
        <v>0</v>
      </c>
      <c r="AG277" s="304">
        <f>'Pencapaian Product Display'!G277</f>
        <v>0</v>
      </c>
      <c r="AH277" s="285">
        <f>'Pencapaian Product Display'!I277</f>
        <v>0</v>
      </c>
      <c r="AI277" s="304">
        <f>'Pencapaian Sales Contract'!G277</f>
        <v>0</v>
      </c>
      <c r="AJ277" s="285">
        <f>'Pencapaian Sales Contract'!I277</f>
        <v>0</v>
      </c>
      <c r="AK277" s="304">
        <f>'Pencapaian Co-Branding'!G277</f>
        <v>0</v>
      </c>
      <c r="AL277" s="285">
        <f>'Pencapaian Co-Branding'!I277</f>
        <v>0</v>
      </c>
      <c r="AM277" s="304">
        <f>'Pencapaian Join Event Activity'!G277</f>
        <v>0</v>
      </c>
      <c r="AN277" s="285">
        <f>'Pencapaian Join Event Activity'!I277</f>
        <v>0</v>
      </c>
      <c r="AO277" s="284">
        <f t="shared" si="112"/>
        <v>0</v>
      </c>
      <c r="AP277" s="322">
        <v>0</v>
      </c>
      <c r="AQ277" s="284">
        <f t="shared" si="123"/>
        <v>0</v>
      </c>
      <c r="AR277" s="322">
        <v>0</v>
      </c>
      <c r="AS277" s="284">
        <f t="shared" si="124"/>
        <v>0</v>
      </c>
      <c r="AT277" s="284">
        <f t="shared" si="115"/>
        <v>0</v>
      </c>
      <c r="AU277" s="284">
        <f t="shared" si="127"/>
        <v>0</v>
      </c>
      <c r="AV277" s="284">
        <v>0</v>
      </c>
    </row>
    <row r="278" spans="16:48" ht="14.5" customHeight="1" x14ac:dyDescent="0.2">
      <c r="P278" s="392"/>
      <c r="Q278" s="321"/>
      <c r="R278" s="323" t="s">
        <v>854</v>
      </c>
      <c r="S278" s="12" t="s">
        <v>675</v>
      </c>
      <c r="T278" s="269" t="e">
        <f>'Pencapaian Sales Value'!G278</f>
        <v>#DIV/0!</v>
      </c>
      <c r="U278" s="284">
        <f>'Pencapaian Sales Value'!I278</f>
        <v>0</v>
      </c>
      <c r="V278" s="304">
        <f>'Pencapaian Product Focus'!H278</f>
        <v>0</v>
      </c>
      <c r="W278" s="304">
        <f>'Pencapaian Product Focus'!L278</f>
        <v>0</v>
      </c>
      <c r="X278" s="285">
        <f>'Pencapaian Product Focus'!N278</f>
        <v>0</v>
      </c>
      <c r="Y278" s="304">
        <f>'Pencapaian Effective Call'!G278</f>
        <v>0</v>
      </c>
      <c r="Z278" s="285">
        <f>'Pencapaian Effective Call'!I278</f>
        <v>0</v>
      </c>
      <c r="AA278" s="304">
        <f>'Pencapaian New Open Outlet'!G278</f>
        <v>0</v>
      </c>
      <c r="AB278" s="285">
        <f>'Pencapaian New Open Outlet'!I278</f>
        <v>0</v>
      </c>
      <c r="AC278" s="269" t="e">
        <f>'Pencapaian Active Outlet'!G278</f>
        <v>#DIV/0!</v>
      </c>
      <c r="AD278" s="284">
        <f>'Pencapaian Active Outlet'!I278</f>
        <v>0</v>
      </c>
      <c r="AE278" s="304">
        <f>'Pencapaian Item per Outlet'!G278</f>
        <v>0</v>
      </c>
      <c r="AF278" s="285">
        <f>'Pencapaian Item per Outlet'!I278</f>
        <v>0</v>
      </c>
      <c r="AG278" s="304">
        <f>'Pencapaian Product Display'!G278</f>
        <v>0</v>
      </c>
      <c r="AH278" s="285">
        <f>'Pencapaian Product Display'!I278</f>
        <v>0</v>
      </c>
      <c r="AI278" s="304">
        <f>'Pencapaian Sales Contract'!G278</f>
        <v>0</v>
      </c>
      <c r="AJ278" s="285">
        <f>'Pencapaian Sales Contract'!I278</f>
        <v>0</v>
      </c>
      <c r="AK278" s="304">
        <f>'Pencapaian Co-Branding'!G278</f>
        <v>0</v>
      </c>
      <c r="AL278" s="285">
        <f>'Pencapaian Co-Branding'!I278</f>
        <v>0</v>
      </c>
      <c r="AM278" s="304">
        <f>'Pencapaian Join Event Activity'!G278</f>
        <v>0</v>
      </c>
      <c r="AN278" s="285">
        <f>'Pencapaian Join Event Activity'!I278</f>
        <v>0</v>
      </c>
      <c r="AO278" s="284">
        <f t="shared" si="112"/>
        <v>0</v>
      </c>
      <c r="AP278" s="322">
        <v>0</v>
      </c>
      <c r="AQ278" s="284">
        <f t="shared" si="123"/>
        <v>0</v>
      </c>
      <c r="AR278" s="322">
        <v>0</v>
      </c>
      <c r="AS278" s="284">
        <f t="shared" si="124"/>
        <v>0</v>
      </c>
      <c r="AT278" s="284">
        <f t="shared" si="115"/>
        <v>0</v>
      </c>
      <c r="AU278" s="284">
        <f t="shared" si="127"/>
        <v>0</v>
      </c>
      <c r="AV278" s="284">
        <v>0</v>
      </c>
    </row>
    <row r="279" spans="16:48" ht="14.5" customHeight="1" x14ac:dyDescent="0.2">
      <c r="P279" s="392"/>
      <c r="Q279" s="324"/>
      <c r="R279" s="324" t="s">
        <v>746</v>
      </c>
      <c r="S279" s="64" t="s">
        <v>673</v>
      </c>
      <c r="T279" s="258">
        <f>'Pencapaian Sales Value'!G279</f>
        <v>0.29983033333333331</v>
      </c>
      <c r="U279" s="286">
        <f>'Pencapaian Sales Value'!I279</f>
        <v>0</v>
      </c>
      <c r="V279" s="268">
        <f>'Pencapaian Product Focus'!H279</f>
        <v>0</v>
      </c>
      <c r="W279" s="268">
        <f>'Pencapaian Product Focus'!L279</f>
        <v>0</v>
      </c>
      <c r="X279" s="189">
        <f>'Pencapaian Product Focus'!N279</f>
        <v>0</v>
      </c>
      <c r="Y279" s="268">
        <f>'Pencapaian Effective Call'!G279</f>
        <v>0</v>
      </c>
      <c r="Z279" s="189">
        <f>'Pencapaian Effective Call'!I279</f>
        <v>0</v>
      </c>
      <c r="AA279" s="268">
        <f>'Pencapaian New Open Outlet'!G279</f>
        <v>0</v>
      </c>
      <c r="AB279" s="189">
        <f>'Pencapaian New Open Outlet'!I279</f>
        <v>0</v>
      </c>
      <c r="AC279" s="258">
        <f>'Pencapaian Active Outlet'!G279</f>
        <v>0.3</v>
      </c>
      <c r="AD279" s="286">
        <f>'Pencapaian Active Outlet'!I279</f>
        <v>0</v>
      </c>
      <c r="AE279" s="268">
        <f>'Pencapaian Item per Outlet'!G279</f>
        <v>0</v>
      </c>
      <c r="AF279" s="189">
        <f>'Pencapaian Item per Outlet'!I279</f>
        <v>0</v>
      </c>
      <c r="AG279" s="268">
        <f>'Pencapaian Product Display'!G279</f>
        <v>0</v>
      </c>
      <c r="AH279" s="189">
        <f>'Pencapaian Product Display'!I279</f>
        <v>0</v>
      </c>
      <c r="AI279" s="268">
        <f>'Pencapaian Sales Contract'!G279</f>
        <v>0</v>
      </c>
      <c r="AJ279" s="189">
        <f>'Pencapaian Sales Contract'!I279</f>
        <v>0</v>
      </c>
      <c r="AK279" s="268">
        <f>'Pencapaian Co-Branding'!G279</f>
        <v>0</v>
      </c>
      <c r="AL279" s="189">
        <f>'Pencapaian Co-Branding'!I279</f>
        <v>0</v>
      </c>
      <c r="AM279" s="268">
        <f>'Pencapaian Join Event Activity'!G279</f>
        <v>0</v>
      </c>
      <c r="AN279" s="189">
        <f>'Pencapaian Join Event Activity'!I279</f>
        <v>0</v>
      </c>
      <c r="AO279" s="286">
        <f t="shared" si="112"/>
        <v>0</v>
      </c>
      <c r="AP279" s="289">
        <v>0</v>
      </c>
      <c r="AQ279" s="286">
        <f t="shared" si="123"/>
        <v>0</v>
      </c>
      <c r="AR279" s="289">
        <v>0</v>
      </c>
      <c r="AS279" s="286">
        <f t="shared" si="124"/>
        <v>0</v>
      </c>
      <c r="AT279" s="286">
        <f t="shared" si="115"/>
        <v>0</v>
      </c>
      <c r="AU279" s="286">
        <f t="shared" si="127"/>
        <v>0</v>
      </c>
      <c r="AV279" s="286">
        <v>0</v>
      </c>
    </row>
    <row r="280" spans="16:48" x14ac:dyDescent="0.2">
      <c r="P280" s="393"/>
      <c r="Q280" s="325"/>
      <c r="R280" s="325" t="s">
        <v>642</v>
      </c>
      <c r="S280" s="42"/>
      <c r="T280" s="264">
        <f>'Pencapaian Sales Value'!G280</f>
        <v>0.29983033333333331</v>
      </c>
      <c r="U280" s="287">
        <f>'Pencapaian Sales Value'!I280</f>
        <v>0</v>
      </c>
      <c r="V280" s="274">
        <f>'Pencapaian Product Focus'!H280</f>
        <v>0</v>
      </c>
      <c r="W280" s="274">
        <f>'Pencapaian Product Focus'!L280</f>
        <v>0</v>
      </c>
      <c r="X280" s="190">
        <f>'Pencapaian Product Focus'!N280</f>
        <v>0</v>
      </c>
      <c r="Y280" s="274">
        <f>'Pencapaian Effective Call'!G280</f>
        <v>0</v>
      </c>
      <c r="Z280" s="190">
        <f>'Pencapaian Effective Call'!I280</f>
        <v>0</v>
      </c>
      <c r="AA280" s="274">
        <f>'Pencapaian New Open Outlet'!G280</f>
        <v>0</v>
      </c>
      <c r="AB280" s="190">
        <f>'Pencapaian New Open Outlet'!I280</f>
        <v>0</v>
      </c>
      <c r="AC280" s="264">
        <f>'Pencapaian Active Outlet'!G280</f>
        <v>0.3</v>
      </c>
      <c r="AD280" s="287">
        <f>'Pencapaian Active Outlet'!I280</f>
        <v>0</v>
      </c>
      <c r="AE280" s="274">
        <f>'Pencapaian Item per Outlet'!G280</f>
        <v>0</v>
      </c>
      <c r="AF280" s="190">
        <f>'Pencapaian Item per Outlet'!I280</f>
        <v>0</v>
      </c>
      <c r="AG280" s="274">
        <f>'Pencapaian Product Display'!G280</f>
        <v>0</v>
      </c>
      <c r="AH280" s="190">
        <f>'Pencapaian Product Display'!I280</f>
        <v>0</v>
      </c>
      <c r="AI280" s="274">
        <f>'Pencapaian Sales Contract'!G280</f>
        <v>0</v>
      </c>
      <c r="AJ280" s="190">
        <f>'Pencapaian Sales Contract'!I280</f>
        <v>0</v>
      </c>
      <c r="AK280" s="274">
        <f>'Pencapaian Co-Branding'!G280</f>
        <v>0</v>
      </c>
      <c r="AL280" s="190">
        <f>'Pencapaian Co-Branding'!I280</f>
        <v>0</v>
      </c>
      <c r="AM280" s="274">
        <f>'Pencapaian Join Event Activity'!G280</f>
        <v>0</v>
      </c>
      <c r="AN280" s="190">
        <f>'Pencapaian Join Event Activity'!I280</f>
        <v>0</v>
      </c>
      <c r="AO280" s="287">
        <f t="shared" si="112"/>
        <v>0</v>
      </c>
      <c r="AP280" s="290">
        <v>0</v>
      </c>
      <c r="AQ280" s="287">
        <f>SUM(AQ275:AQ279)</f>
        <v>0</v>
      </c>
      <c r="AR280" s="290">
        <v>0</v>
      </c>
      <c r="AS280" s="287">
        <f>SUM(AS275:AS279)</f>
        <v>0</v>
      </c>
      <c r="AT280" s="287">
        <f t="shared" si="115"/>
        <v>0</v>
      </c>
      <c r="AU280" s="287">
        <f>SUM(AU275:AU279)</f>
        <v>0</v>
      </c>
      <c r="AV280" s="287">
        <f>SUM(AV275:AV279)</f>
        <v>0</v>
      </c>
    </row>
    <row r="281" spans="16:48" x14ac:dyDescent="0.2">
      <c r="P281" s="326"/>
      <c r="Q281" s="326"/>
      <c r="R281" s="326" t="s">
        <v>643</v>
      </c>
      <c r="S281" s="209"/>
      <c r="T281" s="305">
        <f>'Pencapaian Sales Value'!G281</f>
        <v>0.55761452631578945</v>
      </c>
      <c r="U281" s="288">
        <f>'Pencapaian Sales Value'!I281</f>
        <v>180000</v>
      </c>
      <c r="V281" s="274">
        <f>'Pencapaian Product Focus'!H281</f>
        <v>0</v>
      </c>
      <c r="W281" s="274">
        <f>'Pencapaian Product Focus'!L281</f>
        <v>0</v>
      </c>
      <c r="X281" s="190">
        <f>'Pencapaian Product Focus'!N281</f>
        <v>0</v>
      </c>
      <c r="Y281" s="274">
        <f>'Pencapaian Effective Call'!G281</f>
        <v>0</v>
      </c>
      <c r="Z281" s="190">
        <f>'Pencapaian Effective Call'!I281</f>
        <v>0</v>
      </c>
      <c r="AA281" s="274">
        <f>'Pencapaian New Open Outlet'!G281</f>
        <v>0</v>
      </c>
      <c r="AB281" s="190">
        <f>'Pencapaian New Open Outlet'!I281</f>
        <v>0</v>
      </c>
      <c r="AC281" s="305">
        <f>'Pencapaian Active Outlet'!G281</f>
        <v>0.20322580645161289</v>
      </c>
      <c r="AD281" s="288">
        <f>'Pencapaian Active Outlet'!I281</f>
        <v>0</v>
      </c>
      <c r="AE281" s="274">
        <f>'Pencapaian Item per Outlet'!G281</f>
        <v>0</v>
      </c>
      <c r="AF281" s="190">
        <f>'Pencapaian Item per Outlet'!I281</f>
        <v>0</v>
      </c>
      <c r="AG281" s="274">
        <f>'Pencapaian Product Display'!G281</f>
        <v>0</v>
      </c>
      <c r="AH281" s="190">
        <f>'Pencapaian Product Display'!I281</f>
        <v>0</v>
      </c>
      <c r="AI281" s="274">
        <f>'Pencapaian Sales Contract'!G281</f>
        <v>0</v>
      </c>
      <c r="AJ281" s="190">
        <f>'Pencapaian Sales Contract'!I281</f>
        <v>0</v>
      </c>
      <c r="AK281" s="274">
        <f>'Pencapaian Co-Branding'!G281</f>
        <v>0</v>
      </c>
      <c r="AL281" s="190">
        <f>'Pencapaian Co-Branding'!I281</f>
        <v>0</v>
      </c>
      <c r="AM281" s="274">
        <f>'Pencapaian Join Event Activity'!G281</f>
        <v>0</v>
      </c>
      <c r="AN281" s="190">
        <f>'Pencapaian Join Event Activity'!I281</f>
        <v>0</v>
      </c>
      <c r="AO281" s="288">
        <f t="shared" si="112"/>
        <v>180000</v>
      </c>
      <c r="AP281" s="291">
        <v>0</v>
      </c>
      <c r="AQ281" s="288">
        <f>SUM(AQ280,AQ274)</f>
        <v>0</v>
      </c>
      <c r="AR281" s="291">
        <v>0</v>
      </c>
      <c r="AS281" s="288">
        <f>SUM(AS280,AS274)</f>
        <v>0</v>
      </c>
      <c r="AT281" s="288">
        <f t="shared" si="115"/>
        <v>180000</v>
      </c>
      <c r="AU281" s="288">
        <f>SUM(AU280,AU274)</f>
        <v>180000</v>
      </c>
      <c r="AV281" s="288">
        <f>SUM(AV280,AV274)</f>
        <v>0</v>
      </c>
    </row>
    <row r="282" spans="16:48" x14ac:dyDescent="0.2">
      <c r="P282" s="395" t="s">
        <v>644</v>
      </c>
      <c r="Q282" s="321"/>
      <c r="R282" s="323" t="s">
        <v>646</v>
      </c>
      <c r="S282" s="12" t="s">
        <v>675</v>
      </c>
      <c r="T282" s="269">
        <f>'Pencapaian Sales Value'!G282</f>
        <v>7.2900000000000006E-2</v>
      </c>
      <c r="U282" s="284">
        <f>'Pencapaian Sales Value'!I282</f>
        <v>0</v>
      </c>
      <c r="V282" s="304">
        <f>'Pencapaian Product Focus'!H282</f>
        <v>0</v>
      </c>
      <c r="W282" s="304">
        <f>'Pencapaian Product Focus'!L282</f>
        <v>0</v>
      </c>
      <c r="X282" s="285">
        <f>'Pencapaian Product Focus'!N282</f>
        <v>0</v>
      </c>
      <c r="Y282" s="304">
        <f>'Pencapaian Effective Call'!G282</f>
        <v>0</v>
      </c>
      <c r="Z282" s="285">
        <f>'Pencapaian Effective Call'!I282</f>
        <v>0</v>
      </c>
      <c r="AA282" s="304">
        <f>'Pencapaian New Open Outlet'!G282</f>
        <v>0</v>
      </c>
      <c r="AB282" s="285">
        <f>'Pencapaian New Open Outlet'!I282</f>
        <v>0</v>
      </c>
      <c r="AC282" s="269">
        <f>'Pencapaian Active Outlet'!G282</f>
        <v>3.3333333333333333E-2</v>
      </c>
      <c r="AD282" s="284">
        <f>'Pencapaian Active Outlet'!I282</f>
        <v>0</v>
      </c>
      <c r="AE282" s="304">
        <f>'Pencapaian Item per Outlet'!G282</f>
        <v>0</v>
      </c>
      <c r="AF282" s="285">
        <f>'Pencapaian Item per Outlet'!I282</f>
        <v>0</v>
      </c>
      <c r="AG282" s="304">
        <f>'Pencapaian Product Display'!G282</f>
        <v>0</v>
      </c>
      <c r="AH282" s="285">
        <f>'Pencapaian Product Display'!I282</f>
        <v>0</v>
      </c>
      <c r="AI282" s="304">
        <f>'Pencapaian Sales Contract'!G282</f>
        <v>0</v>
      </c>
      <c r="AJ282" s="285">
        <f>'Pencapaian Sales Contract'!I282</f>
        <v>0</v>
      </c>
      <c r="AK282" s="304">
        <f>'Pencapaian Co-Branding'!G282</f>
        <v>0</v>
      </c>
      <c r="AL282" s="285">
        <f>'Pencapaian Co-Branding'!I282</f>
        <v>0</v>
      </c>
      <c r="AM282" s="304">
        <f>'Pencapaian Join Event Activity'!G282</f>
        <v>0</v>
      </c>
      <c r="AN282" s="285">
        <f>'Pencapaian Join Event Activity'!I282</f>
        <v>0</v>
      </c>
      <c r="AO282" s="284">
        <f t="shared" si="112"/>
        <v>0</v>
      </c>
      <c r="AP282" s="322">
        <v>0</v>
      </c>
      <c r="AQ282" s="284">
        <f t="shared" si="123"/>
        <v>0</v>
      </c>
      <c r="AR282" s="322">
        <v>0</v>
      </c>
      <c r="AS282" s="284">
        <f t="shared" si="124"/>
        <v>0</v>
      </c>
      <c r="AT282" s="284">
        <f t="shared" si="115"/>
        <v>0</v>
      </c>
      <c r="AU282" s="284">
        <f t="shared" ref="AU282:AU287" si="128">AT282</f>
        <v>0</v>
      </c>
      <c r="AV282" s="284">
        <v>0</v>
      </c>
    </row>
    <row r="283" spans="16:48" x14ac:dyDescent="0.2">
      <c r="P283" s="392"/>
      <c r="Q283" s="321"/>
      <c r="R283" s="323" t="s">
        <v>791</v>
      </c>
      <c r="S283" s="12" t="s">
        <v>675</v>
      </c>
      <c r="T283" s="269">
        <f>'Pencapaian Sales Value'!G283</f>
        <v>2.7167666666666666E-2</v>
      </c>
      <c r="U283" s="284">
        <f>'Pencapaian Sales Value'!I283</f>
        <v>0</v>
      </c>
      <c r="V283" s="304">
        <f>'Pencapaian Product Focus'!H283</f>
        <v>0</v>
      </c>
      <c r="W283" s="304">
        <f>'Pencapaian Product Focus'!L283</f>
        <v>0</v>
      </c>
      <c r="X283" s="285">
        <f>'Pencapaian Product Focus'!N283</f>
        <v>0</v>
      </c>
      <c r="Y283" s="304">
        <f>'Pencapaian Effective Call'!G283</f>
        <v>0</v>
      </c>
      <c r="Z283" s="285">
        <f>'Pencapaian Effective Call'!I283</f>
        <v>0</v>
      </c>
      <c r="AA283" s="304">
        <f>'Pencapaian New Open Outlet'!G283</f>
        <v>0</v>
      </c>
      <c r="AB283" s="285">
        <f>'Pencapaian New Open Outlet'!I283</f>
        <v>0</v>
      </c>
      <c r="AC283" s="269">
        <f>'Pencapaian Active Outlet'!G283</f>
        <v>0.16666666666666666</v>
      </c>
      <c r="AD283" s="284">
        <f>'Pencapaian Active Outlet'!I283</f>
        <v>0</v>
      </c>
      <c r="AE283" s="304">
        <f>'Pencapaian Item per Outlet'!G283</f>
        <v>0</v>
      </c>
      <c r="AF283" s="285">
        <f>'Pencapaian Item per Outlet'!I283</f>
        <v>0</v>
      </c>
      <c r="AG283" s="304">
        <f>'Pencapaian Product Display'!G283</f>
        <v>0</v>
      </c>
      <c r="AH283" s="285">
        <f>'Pencapaian Product Display'!I283</f>
        <v>0</v>
      </c>
      <c r="AI283" s="304">
        <f>'Pencapaian Sales Contract'!G283</f>
        <v>0</v>
      </c>
      <c r="AJ283" s="285">
        <f>'Pencapaian Sales Contract'!I283</f>
        <v>0</v>
      </c>
      <c r="AK283" s="304">
        <f>'Pencapaian Co-Branding'!G283</f>
        <v>0</v>
      </c>
      <c r="AL283" s="285">
        <f>'Pencapaian Co-Branding'!I283</f>
        <v>0</v>
      </c>
      <c r="AM283" s="304">
        <f>'Pencapaian Join Event Activity'!G283</f>
        <v>0</v>
      </c>
      <c r="AN283" s="285">
        <f>'Pencapaian Join Event Activity'!I283</f>
        <v>0</v>
      </c>
      <c r="AO283" s="284">
        <f t="shared" si="112"/>
        <v>0</v>
      </c>
      <c r="AP283" s="322">
        <v>0</v>
      </c>
      <c r="AQ283" s="284">
        <f t="shared" si="123"/>
        <v>0</v>
      </c>
      <c r="AR283" s="322">
        <v>0</v>
      </c>
      <c r="AS283" s="284">
        <f t="shared" si="124"/>
        <v>0</v>
      </c>
      <c r="AT283" s="284">
        <f t="shared" si="115"/>
        <v>0</v>
      </c>
      <c r="AU283" s="284">
        <f t="shared" si="128"/>
        <v>0</v>
      </c>
      <c r="AV283" s="284">
        <v>0</v>
      </c>
    </row>
    <row r="284" spans="16:48" x14ac:dyDescent="0.2">
      <c r="P284" s="392"/>
      <c r="Q284" s="321"/>
      <c r="R284" s="323" t="s">
        <v>647</v>
      </c>
      <c r="S284" s="12" t="s">
        <v>675</v>
      </c>
      <c r="T284" s="269">
        <f>'Pencapaian Sales Value'!G284</f>
        <v>9.9224999999999994E-2</v>
      </c>
      <c r="U284" s="284">
        <f>'Pencapaian Sales Value'!I284</f>
        <v>0</v>
      </c>
      <c r="V284" s="304">
        <f>'Pencapaian Product Focus'!H284</f>
        <v>0</v>
      </c>
      <c r="W284" s="304">
        <f>'Pencapaian Product Focus'!L284</f>
        <v>0</v>
      </c>
      <c r="X284" s="285">
        <f>'Pencapaian Product Focus'!N284</f>
        <v>0</v>
      </c>
      <c r="Y284" s="304">
        <f>'Pencapaian Effective Call'!G284</f>
        <v>0</v>
      </c>
      <c r="Z284" s="285">
        <f>'Pencapaian Effective Call'!I284</f>
        <v>0</v>
      </c>
      <c r="AA284" s="304">
        <f>'Pencapaian New Open Outlet'!G284</f>
        <v>0</v>
      </c>
      <c r="AB284" s="285">
        <f>'Pencapaian New Open Outlet'!I284</f>
        <v>0</v>
      </c>
      <c r="AC284" s="269">
        <f>'Pencapaian Active Outlet'!G284</f>
        <v>0.04</v>
      </c>
      <c r="AD284" s="284">
        <f>'Pencapaian Active Outlet'!I284</f>
        <v>0</v>
      </c>
      <c r="AE284" s="304">
        <f>'Pencapaian Item per Outlet'!G284</f>
        <v>0</v>
      </c>
      <c r="AF284" s="285">
        <f>'Pencapaian Item per Outlet'!I284</f>
        <v>0</v>
      </c>
      <c r="AG284" s="304">
        <f>'Pencapaian Product Display'!G284</f>
        <v>0</v>
      </c>
      <c r="AH284" s="285">
        <f>'Pencapaian Product Display'!I284</f>
        <v>0</v>
      </c>
      <c r="AI284" s="304">
        <f>'Pencapaian Sales Contract'!G284</f>
        <v>0</v>
      </c>
      <c r="AJ284" s="285">
        <f>'Pencapaian Sales Contract'!I284</f>
        <v>0</v>
      </c>
      <c r="AK284" s="304">
        <f>'Pencapaian Co-Branding'!G284</f>
        <v>0</v>
      </c>
      <c r="AL284" s="285">
        <f>'Pencapaian Co-Branding'!I284</f>
        <v>0</v>
      </c>
      <c r="AM284" s="304">
        <f>'Pencapaian Join Event Activity'!G284</f>
        <v>0</v>
      </c>
      <c r="AN284" s="285">
        <f>'Pencapaian Join Event Activity'!I284</f>
        <v>0</v>
      </c>
      <c r="AO284" s="284">
        <f t="shared" si="112"/>
        <v>0</v>
      </c>
      <c r="AP284" s="322">
        <v>0</v>
      </c>
      <c r="AQ284" s="284">
        <f t="shared" si="123"/>
        <v>0</v>
      </c>
      <c r="AR284" s="322">
        <v>0</v>
      </c>
      <c r="AS284" s="284">
        <f t="shared" si="124"/>
        <v>0</v>
      </c>
      <c r="AT284" s="284">
        <f t="shared" si="115"/>
        <v>0</v>
      </c>
      <c r="AU284" s="284">
        <f t="shared" si="128"/>
        <v>0</v>
      </c>
      <c r="AV284" s="284">
        <v>0</v>
      </c>
    </row>
    <row r="285" spans="16:48" x14ac:dyDescent="0.2">
      <c r="P285" s="392"/>
      <c r="Q285" s="321"/>
      <c r="R285" s="323" t="s">
        <v>857</v>
      </c>
      <c r="S285" s="12" t="s">
        <v>675</v>
      </c>
      <c r="T285" s="269">
        <f>'Pencapaian Sales Value'!G285</f>
        <v>-5.4999999999999997E-3</v>
      </c>
      <c r="U285" s="284">
        <f>'Pencapaian Sales Value'!I285</f>
        <v>0</v>
      </c>
      <c r="V285" s="304">
        <f>'Pencapaian Product Focus'!H285</f>
        <v>0</v>
      </c>
      <c r="W285" s="304">
        <f>'Pencapaian Product Focus'!L285</f>
        <v>0</v>
      </c>
      <c r="X285" s="285">
        <f>'Pencapaian Product Focus'!N285</f>
        <v>0</v>
      </c>
      <c r="Y285" s="304">
        <f>'Pencapaian Effective Call'!G285</f>
        <v>0</v>
      </c>
      <c r="Z285" s="285">
        <f>'Pencapaian Effective Call'!I285</f>
        <v>0</v>
      </c>
      <c r="AA285" s="304">
        <f>'Pencapaian New Open Outlet'!G285</f>
        <v>0</v>
      </c>
      <c r="AB285" s="285">
        <f>'Pencapaian New Open Outlet'!I285</f>
        <v>0</v>
      </c>
      <c r="AC285" s="269">
        <f>'Pencapaian Active Outlet'!G285</f>
        <v>0</v>
      </c>
      <c r="AD285" s="284">
        <f>'Pencapaian Active Outlet'!I285</f>
        <v>0</v>
      </c>
      <c r="AE285" s="304">
        <f>'Pencapaian Item per Outlet'!G285</f>
        <v>0</v>
      </c>
      <c r="AF285" s="285">
        <f>'Pencapaian Item per Outlet'!I285</f>
        <v>0</v>
      </c>
      <c r="AG285" s="304">
        <f>'Pencapaian Product Display'!G285</f>
        <v>0</v>
      </c>
      <c r="AH285" s="285">
        <f>'Pencapaian Product Display'!I285</f>
        <v>0</v>
      </c>
      <c r="AI285" s="304">
        <f>'Pencapaian Sales Contract'!G285</f>
        <v>0</v>
      </c>
      <c r="AJ285" s="285">
        <f>'Pencapaian Sales Contract'!I285</f>
        <v>0</v>
      </c>
      <c r="AK285" s="304">
        <f>'Pencapaian Co-Branding'!G285</f>
        <v>0</v>
      </c>
      <c r="AL285" s="285">
        <f>'Pencapaian Co-Branding'!I285</f>
        <v>0</v>
      </c>
      <c r="AM285" s="304">
        <f>'Pencapaian Join Event Activity'!G285</f>
        <v>0</v>
      </c>
      <c r="AN285" s="285">
        <f>'Pencapaian Join Event Activity'!I285</f>
        <v>0</v>
      </c>
      <c r="AO285" s="284">
        <f t="shared" ref="AO285:AO315" si="129">SUM(AN285,AL285,AJ285,AH285,AF285,AD285,AB285,Z285,X285,U285)</f>
        <v>0</v>
      </c>
      <c r="AP285" s="322">
        <v>0</v>
      </c>
      <c r="AQ285" s="284">
        <f t="shared" si="123"/>
        <v>0</v>
      </c>
      <c r="AR285" s="322">
        <v>0</v>
      </c>
      <c r="AS285" s="284">
        <f t="shared" si="124"/>
        <v>0</v>
      </c>
      <c r="AT285" s="284">
        <f t="shared" ref="AT285:AT315" si="130">SUM(AS285,AQ285,AO285)</f>
        <v>0</v>
      </c>
      <c r="AU285" s="284">
        <f t="shared" si="128"/>
        <v>0</v>
      </c>
      <c r="AV285" s="284">
        <v>0</v>
      </c>
    </row>
    <row r="286" spans="16:48" x14ac:dyDescent="0.2">
      <c r="P286" s="392"/>
      <c r="Q286" s="321"/>
      <c r="R286" s="323" t="s">
        <v>648</v>
      </c>
      <c r="S286" s="12" t="s">
        <v>675</v>
      </c>
      <c r="T286" s="269">
        <f>'Pencapaian Sales Value'!G286</f>
        <v>8.175E-3</v>
      </c>
      <c r="U286" s="284">
        <f>'Pencapaian Sales Value'!I286</f>
        <v>0</v>
      </c>
      <c r="V286" s="304">
        <f>'Pencapaian Product Focus'!H286</f>
        <v>0</v>
      </c>
      <c r="W286" s="304">
        <f>'Pencapaian Product Focus'!L286</f>
        <v>0</v>
      </c>
      <c r="X286" s="285">
        <f>'Pencapaian Product Focus'!N286</f>
        <v>0</v>
      </c>
      <c r="Y286" s="304">
        <f>'Pencapaian Effective Call'!G286</f>
        <v>0</v>
      </c>
      <c r="Z286" s="285">
        <f>'Pencapaian Effective Call'!I286</f>
        <v>0</v>
      </c>
      <c r="AA286" s="304">
        <f>'Pencapaian New Open Outlet'!G286</f>
        <v>0</v>
      </c>
      <c r="AB286" s="285">
        <f>'Pencapaian New Open Outlet'!I286</f>
        <v>0</v>
      </c>
      <c r="AC286" s="269">
        <f>'Pencapaian Active Outlet'!G286</f>
        <v>0.10101010101010101</v>
      </c>
      <c r="AD286" s="284">
        <f>'Pencapaian Active Outlet'!I286</f>
        <v>0</v>
      </c>
      <c r="AE286" s="304">
        <f>'Pencapaian Item per Outlet'!G286</f>
        <v>0</v>
      </c>
      <c r="AF286" s="285">
        <f>'Pencapaian Item per Outlet'!I286</f>
        <v>0</v>
      </c>
      <c r="AG286" s="304">
        <f>'Pencapaian Product Display'!G286</f>
        <v>0</v>
      </c>
      <c r="AH286" s="285">
        <f>'Pencapaian Product Display'!I286</f>
        <v>0</v>
      </c>
      <c r="AI286" s="304">
        <f>'Pencapaian Sales Contract'!G286</f>
        <v>0</v>
      </c>
      <c r="AJ286" s="285">
        <f>'Pencapaian Sales Contract'!I286</f>
        <v>0</v>
      </c>
      <c r="AK286" s="304">
        <f>'Pencapaian Co-Branding'!G286</f>
        <v>0</v>
      </c>
      <c r="AL286" s="285">
        <f>'Pencapaian Co-Branding'!I286</f>
        <v>0</v>
      </c>
      <c r="AM286" s="304">
        <f>'Pencapaian Join Event Activity'!G286</f>
        <v>0</v>
      </c>
      <c r="AN286" s="285">
        <f>'Pencapaian Join Event Activity'!I286</f>
        <v>0</v>
      </c>
      <c r="AO286" s="284">
        <f t="shared" si="129"/>
        <v>0</v>
      </c>
      <c r="AP286" s="322">
        <v>0</v>
      </c>
      <c r="AQ286" s="284">
        <f t="shared" si="123"/>
        <v>0</v>
      </c>
      <c r="AR286" s="322">
        <v>0</v>
      </c>
      <c r="AS286" s="284">
        <f t="shared" si="124"/>
        <v>0</v>
      </c>
      <c r="AT286" s="284">
        <f t="shared" si="130"/>
        <v>0</v>
      </c>
      <c r="AU286" s="284">
        <f t="shared" si="128"/>
        <v>0</v>
      </c>
      <c r="AV286" s="284">
        <v>0</v>
      </c>
    </row>
    <row r="287" spans="16:48" x14ac:dyDescent="0.2">
      <c r="P287" s="392"/>
      <c r="Q287" s="324"/>
      <c r="R287" s="324" t="s">
        <v>747</v>
      </c>
      <c r="S287" s="64" t="s">
        <v>673</v>
      </c>
      <c r="T287" s="258">
        <f>'Pencapaian Sales Value'!G287</f>
        <v>4.6463533333333334E-2</v>
      </c>
      <c r="U287" s="286">
        <f>'Pencapaian Sales Value'!I287</f>
        <v>0</v>
      </c>
      <c r="V287" s="268">
        <f>'Pencapaian Product Focus'!H287</f>
        <v>0</v>
      </c>
      <c r="W287" s="268">
        <f>'Pencapaian Product Focus'!L287</f>
        <v>0</v>
      </c>
      <c r="X287" s="189">
        <f>'Pencapaian Product Focus'!N287</f>
        <v>0</v>
      </c>
      <c r="Y287" s="268">
        <f>'Pencapaian Effective Call'!G287</f>
        <v>0</v>
      </c>
      <c r="Z287" s="189">
        <f>'Pencapaian Effective Call'!I287</f>
        <v>0</v>
      </c>
      <c r="AA287" s="268">
        <f>'Pencapaian New Open Outlet'!G287</f>
        <v>0</v>
      </c>
      <c r="AB287" s="189">
        <f>'Pencapaian New Open Outlet'!I287</f>
        <v>0</v>
      </c>
      <c r="AC287" s="258">
        <f>'Pencapaian Active Outlet'!G287</f>
        <v>6.6765578635014824E-2</v>
      </c>
      <c r="AD287" s="286">
        <f>'Pencapaian Active Outlet'!I287</f>
        <v>0</v>
      </c>
      <c r="AE287" s="268">
        <f>'Pencapaian Item per Outlet'!G287</f>
        <v>0</v>
      </c>
      <c r="AF287" s="189">
        <f>'Pencapaian Item per Outlet'!I287</f>
        <v>0</v>
      </c>
      <c r="AG287" s="268">
        <f>'Pencapaian Product Display'!G287</f>
        <v>0</v>
      </c>
      <c r="AH287" s="189">
        <f>'Pencapaian Product Display'!I287</f>
        <v>0</v>
      </c>
      <c r="AI287" s="268">
        <f>'Pencapaian Sales Contract'!G287</f>
        <v>0</v>
      </c>
      <c r="AJ287" s="189">
        <f>'Pencapaian Sales Contract'!I287</f>
        <v>0</v>
      </c>
      <c r="AK287" s="268">
        <f>'Pencapaian Co-Branding'!G287</f>
        <v>0</v>
      </c>
      <c r="AL287" s="189">
        <f>'Pencapaian Co-Branding'!I287</f>
        <v>0</v>
      </c>
      <c r="AM287" s="268">
        <f>'Pencapaian Join Event Activity'!G287</f>
        <v>0</v>
      </c>
      <c r="AN287" s="189">
        <f>'Pencapaian Join Event Activity'!I287</f>
        <v>0</v>
      </c>
      <c r="AO287" s="286">
        <f t="shared" si="129"/>
        <v>0</v>
      </c>
      <c r="AP287" s="289">
        <v>0</v>
      </c>
      <c r="AQ287" s="286">
        <f t="shared" si="123"/>
        <v>0</v>
      </c>
      <c r="AR287" s="289">
        <v>0</v>
      </c>
      <c r="AS287" s="286">
        <f t="shared" si="124"/>
        <v>0</v>
      </c>
      <c r="AT287" s="286">
        <f t="shared" si="130"/>
        <v>0</v>
      </c>
      <c r="AU287" s="286">
        <f t="shared" si="128"/>
        <v>0</v>
      </c>
      <c r="AV287" s="286">
        <v>0</v>
      </c>
    </row>
    <row r="288" spans="16:48" x14ac:dyDescent="0.2">
      <c r="P288" s="393"/>
      <c r="Q288" s="325"/>
      <c r="R288" s="325" t="s">
        <v>645</v>
      </c>
      <c r="S288" s="42"/>
      <c r="T288" s="264">
        <f>'Pencapaian Sales Value'!G288</f>
        <v>4.6463533333333334E-2</v>
      </c>
      <c r="U288" s="287">
        <f>'Pencapaian Sales Value'!I288</f>
        <v>0</v>
      </c>
      <c r="V288" s="274">
        <f>'Pencapaian Product Focus'!H288</f>
        <v>0</v>
      </c>
      <c r="W288" s="274">
        <f>'Pencapaian Product Focus'!L288</f>
        <v>0</v>
      </c>
      <c r="X288" s="190">
        <f>'Pencapaian Product Focus'!N288</f>
        <v>0</v>
      </c>
      <c r="Y288" s="274">
        <f>'Pencapaian Effective Call'!G288</f>
        <v>0</v>
      </c>
      <c r="Z288" s="190">
        <f>'Pencapaian Effective Call'!I288</f>
        <v>0</v>
      </c>
      <c r="AA288" s="274">
        <f>'Pencapaian New Open Outlet'!G288</f>
        <v>0</v>
      </c>
      <c r="AB288" s="190">
        <f>'Pencapaian New Open Outlet'!I288</f>
        <v>0</v>
      </c>
      <c r="AC288" s="264">
        <f>'Pencapaian Active Outlet'!G288</f>
        <v>6.6765578635014824E-2</v>
      </c>
      <c r="AD288" s="287">
        <f>'Pencapaian Active Outlet'!I288</f>
        <v>0</v>
      </c>
      <c r="AE288" s="274">
        <f>'Pencapaian Item per Outlet'!G288</f>
        <v>0</v>
      </c>
      <c r="AF288" s="190">
        <f>'Pencapaian Item per Outlet'!I288</f>
        <v>0</v>
      </c>
      <c r="AG288" s="274">
        <f>'Pencapaian Product Display'!G288</f>
        <v>0</v>
      </c>
      <c r="AH288" s="190">
        <f>'Pencapaian Product Display'!I288</f>
        <v>0</v>
      </c>
      <c r="AI288" s="274">
        <f>'Pencapaian Sales Contract'!G288</f>
        <v>0</v>
      </c>
      <c r="AJ288" s="190">
        <f>'Pencapaian Sales Contract'!I288</f>
        <v>0</v>
      </c>
      <c r="AK288" s="274">
        <f>'Pencapaian Co-Branding'!G288</f>
        <v>0</v>
      </c>
      <c r="AL288" s="190">
        <f>'Pencapaian Co-Branding'!I288</f>
        <v>0</v>
      </c>
      <c r="AM288" s="274">
        <f>'Pencapaian Join Event Activity'!G288</f>
        <v>0</v>
      </c>
      <c r="AN288" s="190">
        <f>'Pencapaian Join Event Activity'!I288</f>
        <v>0</v>
      </c>
      <c r="AO288" s="287">
        <f t="shared" si="129"/>
        <v>0</v>
      </c>
      <c r="AP288" s="290">
        <v>0</v>
      </c>
      <c r="AQ288" s="287">
        <f>SUM(AQ282:AQ287)</f>
        <v>0</v>
      </c>
      <c r="AR288" s="290">
        <v>0</v>
      </c>
      <c r="AS288" s="287">
        <f>SUM(AS282:AS287)</f>
        <v>0</v>
      </c>
      <c r="AT288" s="287">
        <f t="shared" si="130"/>
        <v>0</v>
      </c>
      <c r="AU288" s="287">
        <f>SUM(AU282:AU287)</f>
        <v>0</v>
      </c>
      <c r="AV288" s="287">
        <f>SUM(AV282:AV287)</f>
        <v>0</v>
      </c>
    </row>
    <row r="289" spans="16:48" x14ac:dyDescent="0.2">
      <c r="P289" s="392" t="s">
        <v>858</v>
      </c>
      <c r="Q289" s="321"/>
      <c r="R289" s="323" t="s">
        <v>855</v>
      </c>
      <c r="S289" s="12" t="s">
        <v>675</v>
      </c>
      <c r="T289" s="269" t="e">
        <f>'Pencapaian Sales Value'!G289</f>
        <v>#DIV/0!</v>
      </c>
      <c r="U289" s="284">
        <f>'Pencapaian Sales Value'!I289</f>
        <v>0</v>
      </c>
      <c r="V289" s="304">
        <f>'Pencapaian Product Focus'!H289</f>
        <v>0</v>
      </c>
      <c r="W289" s="304">
        <f>'Pencapaian Product Focus'!L289</f>
        <v>0</v>
      </c>
      <c r="X289" s="285">
        <f>'Pencapaian Product Focus'!N289</f>
        <v>0</v>
      </c>
      <c r="Y289" s="304">
        <f>'Pencapaian Effective Call'!G289</f>
        <v>0</v>
      </c>
      <c r="Z289" s="285">
        <f>'Pencapaian Effective Call'!I289</f>
        <v>0</v>
      </c>
      <c r="AA289" s="304">
        <f>'Pencapaian New Open Outlet'!G289</f>
        <v>0</v>
      </c>
      <c r="AB289" s="285">
        <f>'Pencapaian New Open Outlet'!I289</f>
        <v>0</v>
      </c>
      <c r="AC289" s="269" t="e">
        <f>'Pencapaian Active Outlet'!G289</f>
        <v>#DIV/0!</v>
      </c>
      <c r="AD289" s="284">
        <f>'Pencapaian Active Outlet'!I289</f>
        <v>0</v>
      </c>
      <c r="AE289" s="304">
        <f>'Pencapaian Item per Outlet'!G289</f>
        <v>0</v>
      </c>
      <c r="AF289" s="285">
        <f>'Pencapaian Item per Outlet'!I289</f>
        <v>0</v>
      </c>
      <c r="AG289" s="304">
        <f>'Pencapaian Product Display'!G289</f>
        <v>0</v>
      </c>
      <c r="AH289" s="285">
        <f>'Pencapaian Product Display'!I289</f>
        <v>0</v>
      </c>
      <c r="AI289" s="304">
        <f>'Pencapaian Sales Contract'!G289</f>
        <v>0</v>
      </c>
      <c r="AJ289" s="285">
        <f>'Pencapaian Sales Contract'!I289</f>
        <v>0</v>
      </c>
      <c r="AK289" s="304">
        <f>'Pencapaian Co-Branding'!G289</f>
        <v>0</v>
      </c>
      <c r="AL289" s="285">
        <f>'Pencapaian Co-Branding'!I289</f>
        <v>0</v>
      </c>
      <c r="AM289" s="304">
        <f>'Pencapaian Join Event Activity'!G289</f>
        <v>0</v>
      </c>
      <c r="AN289" s="285">
        <f>'Pencapaian Join Event Activity'!I289</f>
        <v>0</v>
      </c>
      <c r="AO289" s="284">
        <f t="shared" si="129"/>
        <v>0</v>
      </c>
      <c r="AP289" s="322">
        <v>0</v>
      </c>
      <c r="AQ289" s="284">
        <f t="shared" si="123"/>
        <v>0</v>
      </c>
      <c r="AR289" s="322">
        <v>0</v>
      </c>
      <c r="AS289" s="284">
        <f t="shared" si="124"/>
        <v>0</v>
      </c>
      <c r="AT289" s="284">
        <f t="shared" si="130"/>
        <v>0</v>
      </c>
      <c r="AU289" s="284">
        <f t="shared" ref="AU289:AU291" si="131">AT289</f>
        <v>0</v>
      </c>
      <c r="AV289" s="284">
        <v>0</v>
      </c>
    </row>
    <row r="290" spans="16:48" x14ac:dyDescent="0.2">
      <c r="P290" s="392"/>
      <c r="Q290" s="321"/>
      <c r="R290" s="323" t="s">
        <v>856</v>
      </c>
      <c r="S290" s="12" t="s">
        <v>675</v>
      </c>
      <c r="T290" s="269" t="e">
        <f>'Pencapaian Sales Value'!G290</f>
        <v>#DIV/0!</v>
      </c>
      <c r="U290" s="284">
        <f>'Pencapaian Sales Value'!I290</f>
        <v>0</v>
      </c>
      <c r="V290" s="304">
        <f>'Pencapaian Product Focus'!H290</f>
        <v>0</v>
      </c>
      <c r="W290" s="304">
        <f>'Pencapaian Product Focus'!L290</f>
        <v>0</v>
      </c>
      <c r="X290" s="285">
        <f>'Pencapaian Product Focus'!N290</f>
        <v>0</v>
      </c>
      <c r="Y290" s="304">
        <f>'Pencapaian Effective Call'!G290</f>
        <v>0</v>
      </c>
      <c r="Z290" s="285">
        <f>'Pencapaian Effective Call'!I290</f>
        <v>0</v>
      </c>
      <c r="AA290" s="304">
        <f>'Pencapaian New Open Outlet'!G290</f>
        <v>0</v>
      </c>
      <c r="AB290" s="285">
        <f>'Pencapaian New Open Outlet'!I290</f>
        <v>0</v>
      </c>
      <c r="AC290" s="269" t="e">
        <f>'Pencapaian Active Outlet'!G290</f>
        <v>#DIV/0!</v>
      </c>
      <c r="AD290" s="284">
        <f>'Pencapaian Active Outlet'!I290</f>
        <v>0</v>
      </c>
      <c r="AE290" s="304">
        <f>'Pencapaian Item per Outlet'!G290</f>
        <v>0</v>
      </c>
      <c r="AF290" s="285">
        <f>'Pencapaian Item per Outlet'!I290</f>
        <v>0</v>
      </c>
      <c r="AG290" s="304">
        <f>'Pencapaian Product Display'!G290</f>
        <v>0</v>
      </c>
      <c r="AH290" s="285">
        <f>'Pencapaian Product Display'!I290</f>
        <v>0</v>
      </c>
      <c r="AI290" s="304">
        <f>'Pencapaian Sales Contract'!G290</f>
        <v>0</v>
      </c>
      <c r="AJ290" s="285">
        <f>'Pencapaian Sales Contract'!I290</f>
        <v>0</v>
      </c>
      <c r="AK290" s="304">
        <f>'Pencapaian Co-Branding'!G290</f>
        <v>0</v>
      </c>
      <c r="AL290" s="285">
        <f>'Pencapaian Co-Branding'!I290</f>
        <v>0</v>
      </c>
      <c r="AM290" s="304">
        <f>'Pencapaian Join Event Activity'!G290</f>
        <v>0</v>
      </c>
      <c r="AN290" s="285">
        <f>'Pencapaian Join Event Activity'!I290</f>
        <v>0</v>
      </c>
      <c r="AO290" s="284">
        <f t="shared" si="129"/>
        <v>0</v>
      </c>
      <c r="AP290" s="322">
        <v>0</v>
      </c>
      <c r="AQ290" s="284">
        <f t="shared" si="123"/>
        <v>0</v>
      </c>
      <c r="AR290" s="322">
        <v>0</v>
      </c>
      <c r="AS290" s="284">
        <f t="shared" si="124"/>
        <v>0</v>
      </c>
      <c r="AT290" s="284">
        <f t="shared" si="130"/>
        <v>0</v>
      </c>
      <c r="AU290" s="284">
        <f t="shared" si="131"/>
        <v>0</v>
      </c>
      <c r="AV290" s="284">
        <v>0</v>
      </c>
    </row>
    <row r="291" spans="16:48" x14ac:dyDescent="0.2">
      <c r="P291" s="392"/>
      <c r="Q291" s="324"/>
      <c r="R291" s="324" t="s">
        <v>899</v>
      </c>
      <c r="S291" s="64" t="s">
        <v>673</v>
      </c>
      <c r="T291" s="258" t="e">
        <f>'Pencapaian Sales Value'!G291</f>
        <v>#DIV/0!</v>
      </c>
      <c r="U291" s="286">
        <f>'Pencapaian Sales Value'!I291</f>
        <v>0</v>
      </c>
      <c r="V291" s="268">
        <f>'Pencapaian Product Focus'!H291</f>
        <v>0</v>
      </c>
      <c r="W291" s="268">
        <f>'Pencapaian Product Focus'!L291</f>
        <v>0</v>
      </c>
      <c r="X291" s="189">
        <f>'Pencapaian Product Focus'!N291</f>
        <v>0</v>
      </c>
      <c r="Y291" s="268">
        <f>'Pencapaian Effective Call'!G291</f>
        <v>0</v>
      </c>
      <c r="Z291" s="189">
        <f>'Pencapaian Effective Call'!I291</f>
        <v>0</v>
      </c>
      <c r="AA291" s="268">
        <f>'Pencapaian New Open Outlet'!G291</f>
        <v>0</v>
      </c>
      <c r="AB291" s="189">
        <f>'Pencapaian New Open Outlet'!I291</f>
        <v>0</v>
      </c>
      <c r="AC291" s="258" t="e">
        <f>'Pencapaian Active Outlet'!G291</f>
        <v>#DIV/0!</v>
      </c>
      <c r="AD291" s="286">
        <f>'Pencapaian Active Outlet'!I291</f>
        <v>0</v>
      </c>
      <c r="AE291" s="268">
        <f>'Pencapaian Item per Outlet'!G291</f>
        <v>0</v>
      </c>
      <c r="AF291" s="189">
        <f>'Pencapaian Item per Outlet'!I291</f>
        <v>0</v>
      </c>
      <c r="AG291" s="268">
        <f>'Pencapaian Product Display'!G291</f>
        <v>0</v>
      </c>
      <c r="AH291" s="189">
        <f>'Pencapaian Product Display'!I291</f>
        <v>0</v>
      </c>
      <c r="AI291" s="268">
        <f>'Pencapaian Sales Contract'!G291</f>
        <v>0</v>
      </c>
      <c r="AJ291" s="189">
        <f>'Pencapaian Sales Contract'!I291</f>
        <v>0</v>
      </c>
      <c r="AK291" s="268">
        <f>'Pencapaian Co-Branding'!G291</f>
        <v>0</v>
      </c>
      <c r="AL291" s="189">
        <f>'Pencapaian Co-Branding'!I291</f>
        <v>0</v>
      </c>
      <c r="AM291" s="268">
        <f>'Pencapaian Join Event Activity'!G291</f>
        <v>0</v>
      </c>
      <c r="AN291" s="189">
        <f>'Pencapaian Join Event Activity'!I291</f>
        <v>0</v>
      </c>
      <c r="AO291" s="286">
        <f t="shared" si="129"/>
        <v>0</v>
      </c>
      <c r="AP291" s="289">
        <v>0</v>
      </c>
      <c r="AQ291" s="286">
        <f t="shared" si="123"/>
        <v>0</v>
      </c>
      <c r="AR291" s="289">
        <v>0</v>
      </c>
      <c r="AS291" s="286">
        <f t="shared" si="124"/>
        <v>0</v>
      </c>
      <c r="AT291" s="286">
        <f t="shared" si="130"/>
        <v>0</v>
      </c>
      <c r="AU291" s="286">
        <f t="shared" si="131"/>
        <v>0</v>
      </c>
      <c r="AV291" s="286">
        <v>0</v>
      </c>
    </row>
    <row r="292" spans="16:48" x14ac:dyDescent="0.2">
      <c r="P292" s="393"/>
      <c r="Q292" s="325"/>
      <c r="R292" s="325" t="s">
        <v>860</v>
      </c>
      <c r="S292" s="42"/>
      <c r="T292" s="264" t="e">
        <f>'Pencapaian Sales Value'!G292</f>
        <v>#DIV/0!</v>
      </c>
      <c r="U292" s="287">
        <f>'Pencapaian Sales Value'!I292</f>
        <v>0</v>
      </c>
      <c r="V292" s="274">
        <f>'Pencapaian Product Focus'!H292</f>
        <v>0</v>
      </c>
      <c r="W292" s="274">
        <f>'Pencapaian Product Focus'!L292</f>
        <v>0</v>
      </c>
      <c r="X292" s="190">
        <f>'Pencapaian Product Focus'!N292</f>
        <v>0</v>
      </c>
      <c r="Y292" s="274">
        <f>'Pencapaian Effective Call'!G292</f>
        <v>0</v>
      </c>
      <c r="Z292" s="190">
        <f>'Pencapaian Effective Call'!I292</f>
        <v>0</v>
      </c>
      <c r="AA292" s="274">
        <f>'Pencapaian New Open Outlet'!G292</f>
        <v>0</v>
      </c>
      <c r="AB292" s="190">
        <f>'Pencapaian New Open Outlet'!I292</f>
        <v>0</v>
      </c>
      <c r="AC292" s="264" t="e">
        <f>'Pencapaian Active Outlet'!G292</f>
        <v>#DIV/0!</v>
      </c>
      <c r="AD292" s="287">
        <f>'Pencapaian Active Outlet'!I292</f>
        <v>0</v>
      </c>
      <c r="AE292" s="274">
        <f>'Pencapaian Item per Outlet'!G292</f>
        <v>0</v>
      </c>
      <c r="AF292" s="190">
        <f>'Pencapaian Item per Outlet'!I292</f>
        <v>0</v>
      </c>
      <c r="AG292" s="274">
        <f>'Pencapaian Product Display'!G292</f>
        <v>0</v>
      </c>
      <c r="AH292" s="190">
        <f>'Pencapaian Product Display'!I292</f>
        <v>0</v>
      </c>
      <c r="AI292" s="274">
        <f>'Pencapaian Sales Contract'!G292</f>
        <v>0</v>
      </c>
      <c r="AJ292" s="190">
        <f>'Pencapaian Sales Contract'!I292</f>
        <v>0</v>
      </c>
      <c r="AK292" s="274">
        <f>'Pencapaian Co-Branding'!G292</f>
        <v>0</v>
      </c>
      <c r="AL292" s="190">
        <f>'Pencapaian Co-Branding'!I292</f>
        <v>0</v>
      </c>
      <c r="AM292" s="274">
        <f>'Pencapaian Join Event Activity'!G292</f>
        <v>0</v>
      </c>
      <c r="AN292" s="190">
        <f>'Pencapaian Join Event Activity'!I292</f>
        <v>0</v>
      </c>
      <c r="AO292" s="287">
        <f t="shared" si="129"/>
        <v>0</v>
      </c>
      <c r="AP292" s="290">
        <v>0</v>
      </c>
      <c r="AQ292" s="287">
        <f>SUM(AQ289:AQ291)</f>
        <v>0</v>
      </c>
      <c r="AR292" s="290">
        <v>0</v>
      </c>
      <c r="AS292" s="287">
        <f>SUM(AS289:AS291)</f>
        <v>0</v>
      </c>
      <c r="AT292" s="287">
        <f t="shared" si="130"/>
        <v>0</v>
      </c>
      <c r="AU292" s="287">
        <f>SUM(AU289:AU291)</f>
        <v>0</v>
      </c>
      <c r="AV292" s="287">
        <f>SUM(AV289:AV291)</f>
        <v>0</v>
      </c>
    </row>
    <row r="293" spans="16:48" x14ac:dyDescent="0.2">
      <c r="P293" s="395" t="s">
        <v>649</v>
      </c>
      <c r="Q293" s="321"/>
      <c r="R293" s="323" t="s">
        <v>650</v>
      </c>
      <c r="S293" s="12" t="s">
        <v>675</v>
      </c>
      <c r="T293" s="269">
        <f>'Pencapaian Sales Value'!G293</f>
        <v>1.0429040000000001</v>
      </c>
      <c r="U293" s="284">
        <f>'Pencapaian Sales Value'!I293</f>
        <v>90000</v>
      </c>
      <c r="V293" s="304">
        <f>'Pencapaian Product Focus'!H293</f>
        <v>0</v>
      </c>
      <c r="W293" s="304">
        <f>'Pencapaian Product Focus'!L293</f>
        <v>0</v>
      </c>
      <c r="X293" s="285">
        <f>'Pencapaian Product Focus'!N293</f>
        <v>0</v>
      </c>
      <c r="Y293" s="304">
        <f>'Pencapaian Effective Call'!G293</f>
        <v>0</v>
      </c>
      <c r="Z293" s="285">
        <f>'Pencapaian Effective Call'!I293</f>
        <v>0</v>
      </c>
      <c r="AA293" s="304">
        <f>'Pencapaian New Open Outlet'!G293</f>
        <v>0</v>
      </c>
      <c r="AB293" s="285">
        <f>'Pencapaian New Open Outlet'!I293</f>
        <v>0</v>
      </c>
      <c r="AC293" s="269">
        <f>'Pencapaian Active Outlet'!G293</f>
        <v>0</v>
      </c>
      <c r="AD293" s="284">
        <f>'Pencapaian Active Outlet'!I293</f>
        <v>0</v>
      </c>
      <c r="AE293" s="304">
        <f>'Pencapaian Item per Outlet'!G293</f>
        <v>0</v>
      </c>
      <c r="AF293" s="285">
        <f>'Pencapaian Item per Outlet'!I293</f>
        <v>0</v>
      </c>
      <c r="AG293" s="304">
        <f>'Pencapaian Product Display'!G293</f>
        <v>0</v>
      </c>
      <c r="AH293" s="285">
        <f>'Pencapaian Product Display'!I293</f>
        <v>0</v>
      </c>
      <c r="AI293" s="304">
        <f>'Pencapaian Sales Contract'!G293</f>
        <v>0</v>
      </c>
      <c r="AJ293" s="285">
        <f>'Pencapaian Sales Contract'!I293</f>
        <v>0</v>
      </c>
      <c r="AK293" s="304">
        <f>'Pencapaian Co-Branding'!G293</f>
        <v>0</v>
      </c>
      <c r="AL293" s="285">
        <f>'Pencapaian Co-Branding'!I293</f>
        <v>0</v>
      </c>
      <c r="AM293" s="304">
        <f>'Pencapaian Join Event Activity'!G293</f>
        <v>0</v>
      </c>
      <c r="AN293" s="285">
        <f>'Pencapaian Join Event Activity'!I293</f>
        <v>0</v>
      </c>
      <c r="AO293" s="284">
        <f t="shared" si="129"/>
        <v>90000</v>
      </c>
      <c r="AP293" s="322">
        <v>0</v>
      </c>
      <c r="AQ293" s="284">
        <f t="shared" si="123"/>
        <v>0</v>
      </c>
      <c r="AR293" s="322">
        <v>0</v>
      </c>
      <c r="AS293" s="284">
        <f t="shared" si="124"/>
        <v>0</v>
      </c>
      <c r="AT293" s="284">
        <f t="shared" si="130"/>
        <v>90000</v>
      </c>
      <c r="AU293" s="284">
        <f t="shared" ref="AU293:AU298" si="132">AT293</f>
        <v>90000</v>
      </c>
      <c r="AV293" s="284">
        <v>0</v>
      </c>
    </row>
    <row r="294" spans="16:48" x14ac:dyDescent="0.2">
      <c r="P294" s="392"/>
      <c r="Q294" s="321"/>
      <c r="R294" s="323" t="s">
        <v>861</v>
      </c>
      <c r="S294" s="12" t="s">
        <v>675</v>
      </c>
      <c r="T294" s="269">
        <f>'Pencapaian Sales Value'!G294</f>
        <v>-2.2249999999999999E-2</v>
      </c>
      <c r="U294" s="284">
        <f>'Pencapaian Sales Value'!I294</f>
        <v>0</v>
      </c>
      <c r="V294" s="304">
        <f>'Pencapaian Product Focus'!H294</f>
        <v>0</v>
      </c>
      <c r="W294" s="304">
        <f>'Pencapaian Product Focus'!L294</f>
        <v>0</v>
      </c>
      <c r="X294" s="285">
        <f>'Pencapaian Product Focus'!N294</f>
        <v>0</v>
      </c>
      <c r="Y294" s="304">
        <f>'Pencapaian Effective Call'!G294</f>
        <v>0</v>
      </c>
      <c r="Z294" s="285">
        <f>'Pencapaian Effective Call'!I294</f>
        <v>0</v>
      </c>
      <c r="AA294" s="304">
        <f>'Pencapaian New Open Outlet'!G294</f>
        <v>0</v>
      </c>
      <c r="AB294" s="285">
        <f>'Pencapaian New Open Outlet'!I294</f>
        <v>0</v>
      </c>
      <c r="AC294" s="269">
        <f>'Pencapaian Active Outlet'!G294</f>
        <v>0.04</v>
      </c>
      <c r="AD294" s="284">
        <f>'Pencapaian Active Outlet'!I294</f>
        <v>0</v>
      </c>
      <c r="AE294" s="304">
        <f>'Pencapaian Item per Outlet'!G294</f>
        <v>0</v>
      </c>
      <c r="AF294" s="285">
        <f>'Pencapaian Item per Outlet'!I294</f>
        <v>0</v>
      </c>
      <c r="AG294" s="304">
        <f>'Pencapaian Product Display'!G294</f>
        <v>0</v>
      </c>
      <c r="AH294" s="285">
        <f>'Pencapaian Product Display'!I294</f>
        <v>0</v>
      </c>
      <c r="AI294" s="304">
        <f>'Pencapaian Sales Contract'!G294</f>
        <v>0</v>
      </c>
      <c r="AJ294" s="285">
        <f>'Pencapaian Sales Contract'!I294</f>
        <v>0</v>
      </c>
      <c r="AK294" s="304">
        <f>'Pencapaian Co-Branding'!G294</f>
        <v>0</v>
      </c>
      <c r="AL294" s="285">
        <f>'Pencapaian Co-Branding'!I294</f>
        <v>0</v>
      </c>
      <c r="AM294" s="304">
        <f>'Pencapaian Join Event Activity'!G294</f>
        <v>0</v>
      </c>
      <c r="AN294" s="285">
        <f>'Pencapaian Join Event Activity'!I294</f>
        <v>0</v>
      </c>
      <c r="AO294" s="284">
        <f t="shared" si="129"/>
        <v>0</v>
      </c>
      <c r="AP294" s="322">
        <v>0</v>
      </c>
      <c r="AQ294" s="284">
        <f t="shared" si="123"/>
        <v>0</v>
      </c>
      <c r="AR294" s="322">
        <v>0</v>
      </c>
      <c r="AS294" s="284">
        <f t="shared" si="124"/>
        <v>0</v>
      </c>
      <c r="AT294" s="284">
        <f t="shared" si="130"/>
        <v>0</v>
      </c>
      <c r="AU294" s="284">
        <f t="shared" si="132"/>
        <v>0</v>
      </c>
      <c r="AV294" s="284">
        <v>0</v>
      </c>
    </row>
    <row r="295" spans="16:48" x14ac:dyDescent="0.2">
      <c r="P295" s="392"/>
      <c r="Q295" s="321"/>
      <c r="R295" s="323" t="s">
        <v>651</v>
      </c>
      <c r="S295" s="12" t="s">
        <v>675</v>
      </c>
      <c r="T295" s="269">
        <f>'Pencapaian Sales Value'!G295</f>
        <v>6.8416666666666667E-2</v>
      </c>
      <c r="U295" s="284">
        <f>'Pencapaian Sales Value'!I295</f>
        <v>0</v>
      </c>
      <c r="V295" s="304">
        <f>'Pencapaian Product Focus'!H295</f>
        <v>0</v>
      </c>
      <c r="W295" s="304">
        <f>'Pencapaian Product Focus'!L295</f>
        <v>0</v>
      </c>
      <c r="X295" s="285">
        <f>'Pencapaian Product Focus'!N295</f>
        <v>0</v>
      </c>
      <c r="Y295" s="304">
        <f>'Pencapaian Effective Call'!G295</f>
        <v>0</v>
      </c>
      <c r="Z295" s="285">
        <f>'Pencapaian Effective Call'!I295</f>
        <v>0</v>
      </c>
      <c r="AA295" s="304">
        <f>'Pencapaian New Open Outlet'!G295</f>
        <v>0</v>
      </c>
      <c r="AB295" s="285">
        <f>'Pencapaian New Open Outlet'!I295</f>
        <v>0</v>
      </c>
      <c r="AC295" s="269">
        <f>'Pencapaian Active Outlet'!G295</f>
        <v>0.12</v>
      </c>
      <c r="AD295" s="284">
        <f>'Pencapaian Active Outlet'!I295</f>
        <v>0</v>
      </c>
      <c r="AE295" s="304">
        <f>'Pencapaian Item per Outlet'!G295</f>
        <v>0</v>
      </c>
      <c r="AF295" s="285">
        <f>'Pencapaian Item per Outlet'!I295</f>
        <v>0</v>
      </c>
      <c r="AG295" s="304">
        <f>'Pencapaian Product Display'!G295</f>
        <v>0</v>
      </c>
      <c r="AH295" s="285">
        <f>'Pencapaian Product Display'!I295</f>
        <v>0</v>
      </c>
      <c r="AI295" s="304">
        <f>'Pencapaian Sales Contract'!G295</f>
        <v>0</v>
      </c>
      <c r="AJ295" s="285">
        <f>'Pencapaian Sales Contract'!I295</f>
        <v>0</v>
      </c>
      <c r="AK295" s="304">
        <f>'Pencapaian Co-Branding'!G295</f>
        <v>0</v>
      </c>
      <c r="AL295" s="285">
        <f>'Pencapaian Co-Branding'!I295</f>
        <v>0</v>
      </c>
      <c r="AM295" s="304">
        <f>'Pencapaian Join Event Activity'!G295</f>
        <v>0</v>
      </c>
      <c r="AN295" s="285">
        <f>'Pencapaian Join Event Activity'!I295</f>
        <v>0</v>
      </c>
      <c r="AO295" s="284">
        <f t="shared" si="129"/>
        <v>0</v>
      </c>
      <c r="AP295" s="322">
        <v>0</v>
      </c>
      <c r="AQ295" s="284">
        <f t="shared" si="123"/>
        <v>0</v>
      </c>
      <c r="AR295" s="322">
        <v>0</v>
      </c>
      <c r="AS295" s="284">
        <f t="shared" si="124"/>
        <v>0</v>
      </c>
      <c r="AT295" s="284">
        <f t="shared" si="130"/>
        <v>0</v>
      </c>
      <c r="AU295" s="284">
        <f t="shared" si="132"/>
        <v>0</v>
      </c>
      <c r="AV295" s="284">
        <v>0</v>
      </c>
    </row>
    <row r="296" spans="16:48" x14ac:dyDescent="0.2">
      <c r="P296" s="392"/>
      <c r="Q296" s="321"/>
      <c r="R296" s="323" t="s">
        <v>652</v>
      </c>
      <c r="S296" s="12" t="s">
        <v>675</v>
      </c>
      <c r="T296" s="269">
        <f>'Pencapaian Sales Value'!G296</f>
        <v>2.5416666666666667E-2</v>
      </c>
      <c r="U296" s="284">
        <f>'Pencapaian Sales Value'!I296</f>
        <v>0</v>
      </c>
      <c r="V296" s="304">
        <f>'Pencapaian Product Focus'!H296</f>
        <v>0</v>
      </c>
      <c r="W296" s="304">
        <f>'Pencapaian Product Focus'!L296</f>
        <v>0</v>
      </c>
      <c r="X296" s="285">
        <f>'Pencapaian Product Focus'!N296</f>
        <v>0</v>
      </c>
      <c r="Y296" s="304">
        <f>'Pencapaian Effective Call'!G296</f>
        <v>0</v>
      </c>
      <c r="Z296" s="285">
        <f>'Pencapaian Effective Call'!I296</f>
        <v>0</v>
      </c>
      <c r="AA296" s="304">
        <f>'Pencapaian New Open Outlet'!G296</f>
        <v>0</v>
      </c>
      <c r="AB296" s="285">
        <f>'Pencapaian New Open Outlet'!I296</f>
        <v>0</v>
      </c>
      <c r="AC296" s="269">
        <f>'Pencapaian Active Outlet'!G296</f>
        <v>0</v>
      </c>
      <c r="AD296" s="284">
        <f>'Pencapaian Active Outlet'!I296</f>
        <v>0</v>
      </c>
      <c r="AE296" s="304">
        <f>'Pencapaian Item per Outlet'!G296</f>
        <v>0</v>
      </c>
      <c r="AF296" s="285">
        <f>'Pencapaian Item per Outlet'!I296</f>
        <v>0</v>
      </c>
      <c r="AG296" s="304">
        <f>'Pencapaian Product Display'!G296</f>
        <v>0</v>
      </c>
      <c r="AH296" s="285">
        <f>'Pencapaian Product Display'!I296</f>
        <v>0</v>
      </c>
      <c r="AI296" s="304">
        <f>'Pencapaian Sales Contract'!G296</f>
        <v>0</v>
      </c>
      <c r="AJ296" s="285">
        <f>'Pencapaian Sales Contract'!I296</f>
        <v>0</v>
      </c>
      <c r="AK296" s="304">
        <f>'Pencapaian Co-Branding'!G296</f>
        <v>0</v>
      </c>
      <c r="AL296" s="285">
        <f>'Pencapaian Co-Branding'!I296</f>
        <v>0</v>
      </c>
      <c r="AM296" s="304">
        <f>'Pencapaian Join Event Activity'!G296</f>
        <v>0</v>
      </c>
      <c r="AN296" s="285">
        <f>'Pencapaian Join Event Activity'!I296</f>
        <v>0</v>
      </c>
      <c r="AO296" s="284">
        <f t="shared" si="129"/>
        <v>0</v>
      </c>
      <c r="AP296" s="322">
        <v>0</v>
      </c>
      <c r="AQ296" s="284">
        <f t="shared" si="123"/>
        <v>0</v>
      </c>
      <c r="AR296" s="322">
        <v>0</v>
      </c>
      <c r="AS296" s="284">
        <f t="shared" si="124"/>
        <v>0</v>
      </c>
      <c r="AT296" s="284">
        <f t="shared" si="130"/>
        <v>0</v>
      </c>
      <c r="AU296" s="284">
        <f t="shared" si="132"/>
        <v>0</v>
      </c>
      <c r="AV296" s="284">
        <v>0</v>
      </c>
    </row>
    <row r="297" spans="16:48" x14ac:dyDescent="0.2">
      <c r="P297" s="392"/>
      <c r="Q297" s="321"/>
      <c r="R297" s="323" t="s">
        <v>653</v>
      </c>
      <c r="S297" s="12" t="s">
        <v>675</v>
      </c>
      <c r="T297" s="269">
        <f>'Pencapaian Sales Value'!G297</f>
        <v>-0.11253333333333333</v>
      </c>
      <c r="U297" s="284">
        <f>'Pencapaian Sales Value'!I297</f>
        <v>0</v>
      </c>
      <c r="V297" s="304">
        <f>'Pencapaian Product Focus'!H297</f>
        <v>0</v>
      </c>
      <c r="W297" s="304">
        <f>'Pencapaian Product Focus'!L297</f>
        <v>0</v>
      </c>
      <c r="X297" s="285">
        <f>'Pencapaian Product Focus'!N297</f>
        <v>0</v>
      </c>
      <c r="Y297" s="304">
        <f>'Pencapaian Effective Call'!G297</f>
        <v>0</v>
      </c>
      <c r="Z297" s="285">
        <f>'Pencapaian Effective Call'!I297</f>
        <v>0</v>
      </c>
      <c r="AA297" s="304">
        <f>'Pencapaian New Open Outlet'!G297</f>
        <v>0</v>
      </c>
      <c r="AB297" s="285">
        <f>'Pencapaian New Open Outlet'!I297</f>
        <v>0</v>
      </c>
      <c r="AC297" s="269">
        <f>'Pencapaian Active Outlet'!G297</f>
        <v>0.04</v>
      </c>
      <c r="AD297" s="284">
        <f>'Pencapaian Active Outlet'!I297</f>
        <v>0</v>
      </c>
      <c r="AE297" s="304">
        <f>'Pencapaian Item per Outlet'!G297</f>
        <v>0</v>
      </c>
      <c r="AF297" s="285">
        <f>'Pencapaian Item per Outlet'!I297</f>
        <v>0</v>
      </c>
      <c r="AG297" s="304">
        <f>'Pencapaian Product Display'!G297</f>
        <v>0</v>
      </c>
      <c r="AH297" s="285">
        <f>'Pencapaian Product Display'!I297</f>
        <v>0</v>
      </c>
      <c r="AI297" s="304">
        <f>'Pencapaian Sales Contract'!G297</f>
        <v>0</v>
      </c>
      <c r="AJ297" s="285">
        <f>'Pencapaian Sales Contract'!I297</f>
        <v>0</v>
      </c>
      <c r="AK297" s="304">
        <f>'Pencapaian Co-Branding'!G297</f>
        <v>0</v>
      </c>
      <c r="AL297" s="285">
        <f>'Pencapaian Co-Branding'!I297</f>
        <v>0</v>
      </c>
      <c r="AM297" s="304">
        <f>'Pencapaian Join Event Activity'!G297</f>
        <v>0</v>
      </c>
      <c r="AN297" s="285">
        <f>'Pencapaian Join Event Activity'!I297</f>
        <v>0</v>
      </c>
      <c r="AO297" s="284">
        <f t="shared" si="129"/>
        <v>0</v>
      </c>
      <c r="AP297" s="322">
        <v>0</v>
      </c>
      <c r="AQ297" s="284">
        <f t="shared" si="123"/>
        <v>0</v>
      </c>
      <c r="AR297" s="322">
        <v>0</v>
      </c>
      <c r="AS297" s="284">
        <f t="shared" si="124"/>
        <v>0</v>
      </c>
      <c r="AT297" s="284">
        <f t="shared" si="130"/>
        <v>0</v>
      </c>
      <c r="AU297" s="284">
        <f t="shared" si="132"/>
        <v>0</v>
      </c>
      <c r="AV297" s="284">
        <v>0</v>
      </c>
    </row>
    <row r="298" spans="16:48" x14ac:dyDescent="0.2">
      <c r="P298" s="392"/>
      <c r="Q298" s="324"/>
      <c r="R298" s="324" t="s">
        <v>754</v>
      </c>
      <c r="S298" s="64" t="s">
        <v>673</v>
      </c>
      <c r="T298" s="258">
        <f>'Pencapaian Sales Value'!G298</f>
        <v>0.1402112857142857</v>
      </c>
      <c r="U298" s="286">
        <f>'Pencapaian Sales Value'!I298</f>
        <v>0</v>
      </c>
      <c r="V298" s="268">
        <f>'Pencapaian Product Focus'!H298</f>
        <v>0</v>
      </c>
      <c r="W298" s="268">
        <f>'Pencapaian Product Focus'!L298</f>
        <v>0</v>
      </c>
      <c r="X298" s="189">
        <f>'Pencapaian Product Focus'!N298</f>
        <v>0</v>
      </c>
      <c r="Y298" s="268">
        <f>'Pencapaian Effective Call'!G298</f>
        <v>0</v>
      </c>
      <c r="Z298" s="189">
        <f>'Pencapaian Effective Call'!I298</f>
        <v>0</v>
      </c>
      <c r="AA298" s="268">
        <f>'Pencapaian New Open Outlet'!G298</f>
        <v>0</v>
      </c>
      <c r="AB298" s="189">
        <f>'Pencapaian New Open Outlet'!I298</f>
        <v>0</v>
      </c>
      <c r="AC298" s="258">
        <f>'Pencapaian Active Outlet'!G298</f>
        <v>4.1666666666666664E-2</v>
      </c>
      <c r="AD298" s="286">
        <f>'Pencapaian Active Outlet'!I298</f>
        <v>0</v>
      </c>
      <c r="AE298" s="268">
        <f>'Pencapaian Item per Outlet'!G298</f>
        <v>0</v>
      </c>
      <c r="AF298" s="189">
        <f>'Pencapaian Item per Outlet'!I298</f>
        <v>0</v>
      </c>
      <c r="AG298" s="268">
        <f>'Pencapaian Product Display'!G298</f>
        <v>0</v>
      </c>
      <c r="AH298" s="189">
        <f>'Pencapaian Product Display'!I298</f>
        <v>0</v>
      </c>
      <c r="AI298" s="268">
        <f>'Pencapaian Sales Contract'!G298</f>
        <v>0</v>
      </c>
      <c r="AJ298" s="189">
        <f>'Pencapaian Sales Contract'!I298</f>
        <v>0</v>
      </c>
      <c r="AK298" s="268">
        <f>'Pencapaian Co-Branding'!G298</f>
        <v>0</v>
      </c>
      <c r="AL298" s="189">
        <f>'Pencapaian Co-Branding'!I298</f>
        <v>0</v>
      </c>
      <c r="AM298" s="268">
        <f>'Pencapaian Join Event Activity'!G298</f>
        <v>0</v>
      </c>
      <c r="AN298" s="189">
        <f>'Pencapaian Join Event Activity'!I298</f>
        <v>0</v>
      </c>
      <c r="AO298" s="286">
        <f t="shared" si="129"/>
        <v>0</v>
      </c>
      <c r="AP298" s="289">
        <v>0</v>
      </c>
      <c r="AQ298" s="286">
        <f t="shared" si="123"/>
        <v>0</v>
      </c>
      <c r="AR298" s="289">
        <v>0</v>
      </c>
      <c r="AS298" s="286">
        <f t="shared" si="124"/>
        <v>0</v>
      </c>
      <c r="AT298" s="286">
        <f t="shared" si="130"/>
        <v>0</v>
      </c>
      <c r="AU298" s="286">
        <f t="shared" si="132"/>
        <v>0</v>
      </c>
      <c r="AV298" s="286">
        <v>0</v>
      </c>
    </row>
    <row r="299" spans="16:48" x14ac:dyDescent="0.2">
      <c r="P299" s="393"/>
      <c r="Q299" s="325"/>
      <c r="R299" s="325" t="s">
        <v>654</v>
      </c>
      <c r="S299" s="42"/>
      <c r="T299" s="264">
        <f>'Pencapaian Sales Value'!G299</f>
        <v>0.1402112857142857</v>
      </c>
      <c r="U299" s="287">
        <f>'Pencapaian Sales Value'!I299</f>
        <v>90000</v>
      </c>
      <c r="V299" s="274">
        <f>'Pencapaian Product Focus'!H299</f>
        <v>0</v>
      </c>
      <c r="W299" s="274">
        <f>'Pencapaian Product Focus'!L299</f>
        <v>0</v>
      </c>
      <c r="X299" s="190">
        <f>'Pencapaian Product Focus'!N299</f>
        <v>0</v>
      </c>
      <c r="Y299" s="274">
        <f>'Pencapaian Effective Call'!G299</f>
        <v>0</v>
      </c>
      <c r="Z299" s="190">
        <f>'Pencapaian Effective Call'!I299</f>
        <v>0</v>
      </c>
      <c r="AA299" s="274">
        <f>'Pencapaian New Open Outlet'!G299</f>
        <v>0</v>
      </c>
      <c r="AB299" s="190">
        <f>'Pencapaian New Open Outlet'!I299</f>
        <v>0</v>
      </c>
      <c r="AC299" s="264">
        <f>'Pencapaian Active Outlet'!G299</f>
        <v>4.1666666666666664E-2</v>
      </c>
      <c r="AD299" s="287">
        <f>'Pencapaian Active Outlet'!I299</f>
        <v>0</v>
      </c>
      <c r="AE299" s="274">
        <f>'Pencapaian Item per Outlet'!G299</f>
        <v>0</v>
      </c>
      <c r="AF299" s="190">
        <f>'Pencapaian Item per Outlet'!I299</f>
        <v>0</v>
      </c>
      <c r="AG299" s="274">
        <f>'Pencapaian Product Display'!G299</f>
        <v>0</v>
      </c>
      <c r="AH299" s="190">
        <f>'Pencapaian Product Display'!I299</f>
        <v>0</v>
      </c>
      <c r="AI299" s="274">
        <f>'Pencapaian Sales Contract'!G299</f>
        <v>0</v>
      </c>
      <c r="AJ299" s="190">
        <f>'Pencapaian Sales Contract'!I299</f>
        <v>0</v>
      </c>
      <c r="AK299" s="274">
        <f>'Pencapaian Co-Branding'!G299</f>
        <v>0</v>
      </c>
      <c r="AL299" s="190">
        <f>'Pencapaian Co-Branding'!I299</f>
        <v>0</v>
      </c>
      <c r="AM299" s="274">
        <f>'Pencapaian Join Event Activity'!G299</f>
        <v>0</v>
      </c>
      <c r="AN299" s="190">
        <f>'Pencapaian Join Event Activity'!I299</f>
        <v>0</v>
      </c>
      <c r="AO299" s="287">
        <f t="shared" si="129"/>
        <v>90000</v>
      </c>
      <c r="AP299" s="290">
        <v>0</v>
      </c>
      <c r="AQ299" s="287">
        <f>SUM(AQ293:AQ298)</f>
        <v>0</v>
      </c>
      <c r="AR299" s="290">
        <v>0</v>
      </c>
      <c r="AS299" s="287">
        <f>SUM(AS293:AS298)</f>
        <v>0</v>
      </c>
      <c r="AT299" s="287">
        <f t="shared" si="130"/>
        <v>90000</v>
      </c>
      <c r="AU299" s="287">
        <f>SUM(AU293:AU298)</f>
        <v>90000</v>
      </c>
      <c r="AV299" s="287">
        <f>SUM(AV293:AV298)</f>
        <v>0</v>
      </c>
    </row>
    <row r="300" spans="16:48" x14ac:dyDescent="0.2">
      <c r="P300" s="392" t="s">
        <v>655</v>
      </c>
      <c r="Q300" s="321"/>
      <c r="R300" s="323" t="s">
        <v>792</v>
      </c>
      <c r="S300" s="12" t="s">
        <v>675</v>
      </c>
      <c r="T300" s="269">
        <f>'Pencapaian Sales Value'!G300</f>
        <v>0.222113</v>
      </c>
      <c r="U300" s="284">
        <f>'Pencapaian Sales Value'!I300</f>
        <v>0</v>
      </c>
      <c r="V300" s="304">
        <f>'Pencapaian Product Focus'!H300</f>
        <v>0</v>
      </c>
      <c r="W300" s="304">
        <f>'Pencapaian Product Focus'!L300</f>
        <v>0</v>
      </c>
      <c r="X300" s="285">
        <f>'Pencapaian Product Focus'!N300</f>
        <v>0</v>
      </c>
      <c r="Y300" s="304">
        <f>'Pencapaian Effective Call'!G300</f>
        <v>0</v>
      </c>
      <c r="Z300" s="285">
        <f>'Pencapaian Effective Call'!I300</f>
        <v>0</v>
      </c>
      <c r="AA300" s="304">
        <f>'Pencapaian New Open Outlet'!G300</f>
        <v>0</v>
      </c>
      <c r="AB300" s="285">
        <f>'Pencapaian New Open Outlet'!I300</f>
        <v>0</v>
      </c>
      <c r="AC300" s="269">
        <f>'Pencapaian Active Outlet'!G300</f>
        <v>0.12</v>
      </c>
      <c r="AD300" s="284">
        <f>'Pencapaian Active Outlet'!I300</f>
        <v>0</v>
      </c>
      <c r="AE300" s="304">
        <f>'Pencapaian Item per Outlet'!G300</f>
        <v>0</v>
      </c>
      <c r="AF300" s="285">
        <f>'Pencapaian Item per Outlet'!I300</f>
        <v>0</v>
      </c>
      <c r="AG300" s="304">
        <f>'Pencapaian Product Display'!G300</f>
        <v>0</v>
      </c>
      <c r="AH300" s="285">
        <f>'Pencapaian Product Display'!I300</f>
        <v>0</v>
      </c>
      <c r="AI300" s="304">
        <f>'Pencapaian Sales Contract'!G300</f>
        <v>0</v>
      </c>
      <c r="AJ300" s="285">
        <f>'Pencapaian Sales Contract'!I300</f>
        <v>0</v>
      </c>
      <c r="AK300" s="304">
        <f>'Pencapaian Co-Branding'!G300</f>
        <v>0</v>
      </c>
      <c r="AL300" s="285">
        <f>'Pencapaian Co-Branding'!I300</f>
        <v>0</v>
      </c>
      <c r="AM300" s="304">
        <f>'Pencapaian Join Event Activity'!G300</f>
        <v>0</v>
      </c>
      <c r="AN300" s="285">
        <f>'Pencapaian Join Event Activity'!I300</f>
        <v>0</v>
      </c>
      <c r="AO300" s="284">
        <f t="shared" si="129"/>
        <v>0</v>
      </c>
      <c r="AP300" s="322">
        <v>0</v>
      </c>
      <c r="AQ300" s="284">
        <f t="shared" si="123"/>
        <v>0</v>
      </c>
      <c r="AR300" s="322">
        <v>0</v>
      </c>
      <c r="AS300" s="284">
        <f t="shared" si="124"/>
        <v>0</v>
      </c>
      <c r="AT300" s="284">
        <f t="shared" si="130"/>
        <v>0</v>
      </c>
      <c r="AU300" s="284">
        <f t="shared" ref="AU300:AU306" si="133">AT300</f>
        <v>0</v>
      </c>
      <c r="AV300" s="284">
        <v>0</v>
      </c>
    </row>
    <row r="301" spans="16:48" x14ac:dyDescent="0.2">
      <c r="P301" s="392"/>
      <c r="Q301" s="321"/>
      <c r="R301" s="323" t="s">
        <v>657</v>
      </c>
      <c r="S301" s="12" t="s">
        <v>675</v>
      </c>
      <c r="T301" s="269">
        <f>'Pencapaian Sales Value'!G301</f>
        <v>2.0799999999999999E-2</v>
      </c>
      <c r="U301" s="284">
        <f>'Pencapaian Sales Value'!I301</f>
        <v>0</v>
      </c>
      <c r="V301" s="304">
        <f>'Pencapaian Product Focus'!H301</f>
        <v>0</v>
      </c>
      <c r="W301" s="304">
        <f>'Pencapaian Product Focus'!L301</f>
        <v>0</v>
      </c>
      <c r="X301" s="285">
        <f>'Pencapaian Product Focus'!N301</f>
        <v>0</v>
      </c>
      <c r="Y301" s="304">
        <f>'Pencapaian Effective Call'!G301</f>
        <v>0</v>
      </c>
      <c r="Z301" s="285">
        <f>'Pencapaian Effective Call'!I301</f>
        <v>0</v>
      </c>
      <c r="AA301" s="304">
        <f>'Pencapaian New Open Outlet'!G301</f>
        <v>0</v>
      </c>
      <c r="AB301" s="285">
        <f>'Pencapaian New Open Outlet'!I301</f>
        <v>0</v>
      </c>
      <c r="AC301" s="269">
        <f>'Pencapaian Active Outlet'!G301</f>
        <v>0</v>
      </c>
      <c r="AD301" s="284">
        <f>'Pencapaian Active Outlet'!I301</f>
        <v>0</v>
      </c>
      <c r="AE301" s="304">
        <f>'Pencapaian Item per Outlet'!G301</f>
        <v>0</v>
      </c>
      <c r="AF301" s="285">
        <f>'Pencapaian Item per Outlet'!I301</f>
        <v>0</v>
      </c>
      <c r="AG301" s="304">
        <f>'Pencapaian Product Display'!G301</f>
        <v>0</v>
      </c>
      <c r="AH301" s="285">
        <f>'Pencapaian Product Display'!I301</f>
        <v>0</v>
      </c>
      <c r="AI301" s="304">
        <f>'Pencapaian Sales Contract'!G301</f>
        <v>0</v>
      </c>
      <c r="AJ301" s="285">
        <f>'Pencapaian Sales Contract'!I301</f>
        <v>0</v>
      </c>
      <c r="AK301" s="304">
        <f>'Pencapaian Co-Branding'!G301</f>
        <v>0</v>
      </c>
      <c r="AL301" s="285">
        <f>'Pencapaian Co-Branding'!I301</f>
        <v>0</v>
      </c>
      <c r="AM301" s="304">
        <f>'Pencapaian Join Event Activity'!G301</f>
        <v>0</v>
      </c>
      <c r="AN301" s="285">
        <f>'Pencapaian Join Event Activity'!I301</f>
        <v>0</v>
      </c>
      <c r="AO301" s="284">
        <f t="shared" si="129"/>
        <v>0</v>
      </c>
      <c r="AP301" s="322">
        <v>0</v>
      </c>
      <c r="AQ301" s="284">
        <f t="shared" si="123"/>
        <v>0</v>
      </c>
      <c r="AR301" s="322">
        <v>0</v>
      </c>
      <c r="AS301" s="284">
        <f t="shared" si="124"/>
        <v>0</v>
      </c>
      <c r="AT301" s="284">
        <f t="shared" si="130"/>
        <v>0</v>
      </c>
      <c r="AU301" s="284">
        <f t="shared" si="133"/>
        <v>0</v>
      </c>
      <c r="AV301" s="284">
        <v>0</v>
      </c>
    </row>
    <row r="302" spans="16:48" x14ac:dyDescent="0.2">
      <c r="P302" s="392"/>
      <c r="Q302" s="321"/>
      <c r="R302" s="323" t="s">
        <v>793</v>
      </c>
      <c r="S302" s="12" t="s">
        <v>675</v>
      </c>
      <c r="T302" s="269">
        <f>'Pencapaian Sales Value'!G302</f>
        <v>8.8833333333333334E-3</v>
      </c>
      <c r="U302" s="284">
        <f>'Pencapaian Sales Value'!I302</f>
        <v>0</v>
      </c>
      <c r="V302" s="304">
        <f>'Pencapaian Product Focus'!H302</f>
        <v>0</v>
      </c>
      <c r="W302" s="304">
        <f>'Pencapaian Product Focus'!L302</f>
        <v>0</v>
      </c>
      <c r="X302" s="285">
        <f>'Pencapaian Product Focus'!N302</f>
        <v>0</v>
      </c>
      <c r="Y302" s="304">
        <f>'Pencapaian Effective Call'!G302</f>
        <v>0</v>
      </c>
      <c r="Z302" s="285">
        <f>'Pencapaian Effective Call'!I302</f>
        <v>0</v>
      </c>
      <c r="AA302" s="304">
        <f>'Pencapaian New Open Outlet'!G302</f>
        <v>0</v>
      </c>
      <c r="AB302" s="285">
        <f>'Pencapaian New Open Outlet'!I302</f>
        <v>0</v>
      </c>
      <c r="AC302" s="269">
        <f>'Pencapaian Active Outlet'!G302</f>
        <v>0</v>
      </c>
      <c r="AD302" s="284">
        <f>'Pencapaian Active Outlet'!I302</f>
        <v>0</v>
      </c>
      <c r="AE302" s="304">
        <f>'Pencapaian Item per Outlet'!G302</f>
        <v>0</v>
      </c>
      <c r="AF302" s="285">
        <f>'Pencapaian Item per Outlet'!I302</f>
        <v>0</v>
      </c>
      <c r="AG302" s="304">
        <f>'Pencapaian Product Display'!G302</f>
        <v>0</v>
      </c>
      <c r="AH302" s="285">
        <f>'Pencapaian Product Display'!I302</f>
        <v>0</v>
      </c>
      <c r="AI302" s="304">
        <f>'Pencapaian Sales Contract'!G302</f>
        <v>0</v>
      </c>
      <c r="AJ302" s="285">
        <f>'Pencapaian Sales Contract'!I302</f>
        <v>0</v>
      </c>
      <c r="AK302" s="304">
        <f>'Pencapaian Co-Branding'!G302</f>
        <v>0</v>
      </c>
      <c r="AL302" s="285">
        <f>'Pencapaian Co-Branding'!I302</f>
        <v>0</v>
      </c>
      <c r="AM302" s="304">
        <f>'Pencapaian Join Event Activity'!G302</f>
        <v>0</v>
      </c>
      <c r="AN302" s="285">
        <f>'Pencapaian Join Event Activity'!I302</f>
        <v>0</v>
      </c>
      <c r="AO302" s="284">
        <f t="shared" si="129"/>
        <v>0</v>
      </c>
      <c r="AP302" s="322">
        <v>0</v>
      </c>
      <c r="AQ302" s="284">
        <f t="shared" si="123"/>
        <v>0</v>
      </c>
      <c r="AR302" s="322">
        <v>0</v>
      </c>
      <c r="AS302" s="284">
        <f t="shared" si="124"/>
        <v>0</v>
      </c>
      <c r="AT302" s="284">
        <f t="shared" si="130"/>
        <v>0</v>
      </c>
      <c r="AU302" s="284">
        <f t="shared" si="133"/>
        <v>0</v>
      </c>
      <c r="AV302" s="284">
        <v>0</v>
      </c>
    </row>
    <row r="303" spans="16:48" x14ac:dyDescent="0.2">
      <c r="P303" s="392"/>
      <c r="Q303" s="321"/>
      <c r="R303" s="323" t="s">
        <v>862</v>
      </c>
      <c r="S303" s="12" t="s">
        <v>675</v>
      </c>
      <c r="T303" s="269">
        <f>'Pencapaian Sales Value'!G303</f>
        <v>-3.1800000000000002E-2</v>
      </c>
      <c r="U303" s="284">
        <f>'Pencapaian Sales Value'!I303</f>
        <v>0</v>
      </c>
      <c r="V303" s="304">
        <f>'Pencapaian Product Focus'!H303</f>
        <v>0</v>
      </c>
      <c r="W303" s="304">
        <f>'Pencapaian Product Focus'!L303</f>
        <v>0</v>
      </c>
      <c r="X303" s="285">
        <f>'Pencapaian Product Focus'!N303</f>
        <v>0</v>
      </c>
      <c r="Y303" s="304">
        <f>'Pencapaian Effective Call'!G303</f>
        <v>0</v>
      </c>
      <c r="Z303" s="285">
        <f>'Pencapaian Effective Call'!I303</f>
        <v>0</v>
      </c>
      <c r="AA303" s="304">
        <f>'Pencapaian New Open Outlet'!G303</f>
        <v>0</v>
      </c>
      <c r="AB303" s="285">
        <f>'Pencapaian New Open Outlet'!I303</f>
        <v>0</v>
      </c>
      <c r="AC303" s="269">
        <f>'Pencapaian Active Outlet'!G303</f>
        <v>0.04</v>
      </c>
      <c r="AD303" s="284">
        <f>'Pencapaian Active Outlet'!I303</f>
        <v>0</v>
      </c>
      <c r="AE303" s="304">
        <f>'Pencapaian Item per Outlet'!G303</f>
        <v>0</v>
      </c>
      <c r="AF303" s="285">
        <f>'Pencapaian Item per Outlet'!I303</f>
        <v>0</v>
      </c>
      <c r="AG303" s="304">
        <f>'Pencapaian Product Display'!G303</f>
        <v>0</v>
      </c>
      <c r="AH303" s="285">
        <f>'Pencapaian Product Display'!I303</f>
        <v>0</v>
      </c>
      <c r="AI303" s="304">
        <f>'Pencapaian Sales Contract'!G303</f>
        <v>0</v>
      </c>
      <c r="AJ303" s="285">
        <f>'Pencapaian Sales Contract'!I303</f>
        <v>0</v>
      </c>
      <c r="AK303" s="304">
        <f>'Pencapaian Co-Branding'!G303</f>
        <v>0</v>
      </c>
      <c r="AL303" s="285">
        <f>'Pencapaian Co-Branding'!I303</f>
        <v>0</v>
      </c>
      <c r="AM303" s="304">
        <f>'Pencapaian Join Event Activity'!G303</f>
        <v>0</v>
      </c>
      <c r="AN303" s="285">
        <f>'Pencapaian Join Event Activity'!I303</f>
        <v>0</v>
      </c>
      <c r="AO303" s="284">
        <f t="shared" si="129"/>
        <v>0</v>
      </c>
      <c r="AP303" s="322">
        <v>0</v>
      </c>
      <c r="AQ303" s="284">
        <f t="shared" si="123"/>
        <v>0</v>
      </c>
      <c r="AR303" s="322">
        <v>0</v>
      </c>
      <c r="AS303" s="284">
        <f t="shared" si="124"/>
        <v>0</v>
      </c>
      <c r="AT303" s="284">
        <f t="shared" si="130"/>
        <v>0</v>
      </c>
      <c r="AU303" s="284">
        <f t="shared" si="133"/>
        <v>0</v>
      </c>
      <c r="AV303" s="284">
        <v>0</v>
      </c>
    </row>
    <row r="304" spans="16:48" x14ac:dyDescent="0.2">
      <c r="P304" s="392"/>
      <c r="Q304" s="321"/>
      <c r="R304" s="323" t="s">
        <v>809</v>
      </c>
      <c r="S304" s="12"/>
      <c r="T304" s="269" t="e">
        <f>'Pencapaian Sales Value'!G304</f>
        <v>#DIV/0!</v>
      </c>
      <c r="U304" s="284">
        <f>'Pencapaian Sales Value'!I304</f>
        <v>0</v>
      </c>
      <c r="V304" s="304">
        <f>'Pencapaian Product Focus'!H304</f>
        <v>0</v>
      </c>
      <c r="W304" s="304">
        <f>'Pencapaian Product Focus'!L304</f>
        <v>0</v>
      </c>
      <c r="X304" s="285">
        <f>'Pencapaian Product Focus'!N304</f>
        <v>0</v>
      </c>
      <c r="Y304" s="304">
        <f>'Pencapaian Effective Call'!G304</f>
        <v>0</v>
      </c>
      <c r="Z304" s="285">
        <f>'Pencapaian Effective Call'!I304</f>
        <v>0</v>
      </c>
      <c r="AA304" s="304">
        <f>'Pencapaian New Open Outlet'!G304</f>
        <v>0</v>
      </c>
      <c r="AB304" s="285">
        <f>'Pencapaian New Open Outlet'!I304</f>
        <v>0</v>
      </c>
      <c r="AC304" s="269" t="e">
        <f>'Pencapaian Active Outlet'!G304</f>
        <v>#DIV/0!</v>
      </c>
      <c r="AD304" s="284">
        <f>'Pencapaian Active Outlet'!I304</f>
        <v>0</v>
      </c>
      <c r="AE304" s="304">
        <f>'Pencapaian Item per Outlet'!G304</f>
        <v>0</v>
      </c>
      <c r="AF304" s="285">
        <f>'Pencapaian Item per Outlet'!I304</f>
        <v>0</v>
      </c>
      <c r="AG304" s="304">
        <f>'Pencapaian Product Display'!G304</f>
        <v>0</v>
      </c>
      <c r="AH304" s="285">
        <f>'Pencapaian Product Display'!I304</f>
        <v>0</v>
      </c>
      <c r="AI304" s="304">
        <f>'Pencapaian Sales Contract'!G304</f>
        <v>0</v>
      </c>
      <c r="AJ304" s="285">
        <f>'Pencapaian Sales Contract'!I304</f>
        <v>0</v>
      </c>
      <c r="AK304" s="304">
        <f>'Pencapaian Co-Branding'!G304</f>
        <v>0</v>
      </c>
      <c r="AL304" s="285">
        <f>'Pencapaian Co-Branding'!I304</f>
        <v>0</v>
      </c>
      <c r="AM304" s="304">
        <f>'Pencapaian Join Event Activity'!G304</f>
        <v>0</v>
      </c>
      <c r="AN304" s="285">
        <f>'Pencapaian Join Event Activity'!I304</f>
        <v>0</v>
      </c>
      <c r="AO304" s="284">
        <f t="shared" si="129"/>
        <v>0</v>
      </c>
      <c r="AP304" s="322">
        <v>0</v>
      </c>
      <c r="AQ304" s="284">
        <f t="shared" si="123"/>
        <v>0</v>
      </c>
      <c r="AR304" s="322">
        <v>0</v>
      </c>
      <c r="AS304" s="284">
        <f t="shared" si="124"/>
        <v>0</v>
      </c>
      <c r="AT304" s="284">
        <f t="shared" si="130"/>
        <v>0</v>
      </c>
      <c r="AU304" s="284">
        <f t="shared" si="133"/>
        <v>0</v>
      </c>
      <c r="AV304" s="284">
        <v>0</v>
      </c>
    </row>
    <row r="305" spans="15:48" x14ac:dyDescent="0.2">
      <c r="P305" s="392"/>
      <c r="Q305" s="321"/>
      <c r="R305" s="323" t="s">
        <v>794</v>
      </c>
      <c r="S305" s="12" t="s">
        <v>675</v>
      </c>
      <c r="T305" s="269">
        <f>'Pencapaian Sales Value'!G305</f>
        <v>0.13198333333333334</v>
      </c>
      <c r="U305" s="284">
        <f>'Pencapaian Sales Value'!I305</f>
        <v>0</v>
      </c>
      <c r="V305" s="304">
        <f>'Pencapaian Product Focus'!H305</f>
        <v>0</v>
      </c>
      <c r="W305" s="304">
        <f>'Pencapaian Product Focus'!L305</f>
        <v>0</v>
      </c>
      <c r="X305" s="285">
        <f>'Pencapaian Product Focus'!N305</f>
        <v>0</v>
      </c>
      <c r="Y305" s="304">
        <f>'Pencapaian Effective Call'!G305</f>
        <v>0</v>
      </c>
      <c r="Z305" s="285">
        <f>'Pencapaian Effective Call'!I305</f>
        <v>0</v>
      </c>
      <c r="AA305" s="304">
        <f>'Pencapaian New Open Outlet'!G305</f>
        <v>0</v>
      </c>
      <c r="AB305" s="285">
        <f>'Pencapaian New Open Outlet'!I305</f>
        <v>0</v>
      </c>
      <c r="AC305" s="269">
        <f>'Pencapaian Active Outlet'!G305</f>
        <v>0</v>
      </c>
      <c r="AD305" s="284">
        <f>'Pencapaian Active Outlet'!I305</f>
        <v>0</v>
      </c>
      <c r="AE305" s="304">
        <f>'Pencapaian Item per Outlet'!G305</f>
        <v>0</v>
      </c>
      <c r="AF305" s="285">
        <f>'Pencapaian Item per Outlet'!I305</f>
        <v>0</v>
      </c>
      <c r="AG305" s="304">
        <f>'Pencapaian Product Display'!G305</f>
        <v>0</v>
      </c>
      <c r="AH305" s="285">
        <f>'Pencapaian Product Display'!I305</f>
        <v>0</v>
      </c>
      <c r="AI305" s="304">
        <f>'Pencapaian Sales Contract'!G305</f>
        <v>0</v>
      </c>
      <c r="AJ305" s="285">
        <f>'Pencapaian Sales Contract'!I305</f>
        <v>0</v>
      </c>
      <c r="AK305" s="304">
        <f>'Pencapaian Co-Branding'!G305</f>
        <v>0</v>
      </c>
      <c r="AL305" s="285">
        <f>'Pencapaian Co-Branding'!I305</f>
        <v>0</v>
      </c>
      <c r="AM305" s="304">
        <f>'Pencapaian Join Event Activity'!G305</f>
        <v>0</v>
      </c>
      <c r="AN305" s="285">
        <f>'Pencapaian Join Event Activity'!I305</f>
        <v>0</v>
      </c>
      <c r="AO305" s="284">
        <f t="shared" si="129"/>
        <v>0</v>
      </c>
      <c r="AP305" s="322">
        <v>0</v>
      </c>
      <c r="AQ305" s="284">
        <f t="shared" si="123"/>
        <v>0</v>
      </c>
      <c r="AR305" s="322">
        <v>0</v>
      </c>
      <c r="AS305" s="284">
        <f t="shared" si="124"/>
        <v>0</v>
      </c>
      <c r="AT305" s="284">
        <f t="shared" si="130"/>
        <v>0</v>
      </c>
      <c r="AU305" s="284">
        <f t="shared" si="133"/>
        <v>0</v>
      </c>
      <c r="AV305" s="284">
        <v>0</v>
      </c>
    </row>
    <row r="306" spans="15:48" x14ac:dyDescent="0.2">
      <c r="P306" s="392"/>
      <c r="Q306" s="324"/>
      <c r="R306" s="324" t="s">
        <v>752</v>
      </c>
      <c r="S306" s="64" t="s">
        <v>673</v>
      </c>
      <c r="T306" s="258">
        <f>'Pencapaian Sales Value'!G306</f>
        <v>6.0630428571428571E-2</v>
      </c>
      <c r="U306" s="286">
        <f>'Pencapaian Sales Value'!I306</f>
        <v>0</v>
      </c>
      <c r="V306" s="268">
        <f>'Pencapaian Product Focus'!H306</f>
        <v>0</v>
      </c>
      <c r="W306" s="268">
        <f>'Pencapaian Product Focus'!L306</f>
        <v>0</v>
      </c>
      <c r="X306" s="189">
        <f>'Pencapaian Product Focus'!N306</f>
        <v>0</v>
      </c>
      <c r="Y306" s="268">
        <f>'Pencapaian Effective Call'!G306</f>
        <v>0</v>
      </c>
      <c r="Z306" s="189">
        <f>'Pencapaian Effective Call'!I306</f>
        <v>0</v>
      </c>
      <c r="AA306" s="268">
        <f>'Pencapaian New Open Outlet'!G306</f>
        <v>0</v>
      </c>
      <c r="AB306" s="189">
        <f>'Pencapaian New Open Outlet'!I306</f>
        <v>0</v>
      </c>
      <c r="AC306" s="258">
        <f>'Pencapaian Active Outlet'!G306</f>
        <v>3.2000000000000001E-2</v>
      </c>
      <c r="AD306" s="286">
        <f>'Pencapaian Active Outlet'!I306</f>
        <v>0</v>
      </c>
      <c r="AE306" s="268">
        <f>'Pencapaian Item per Outlet'!G306</f>
        <v>0</v>
      </c>
      <c r="AF306" s="189">
        <f>'Pencapaian Item per Outlet'!I306</f>
        <v>0</v>
      </c>
      <c r="AG306" s="268">
        <f>'Pencapaian Product Display'!G306</f>
        <v>0</v>
      </c>
      <c r="AH306" s="189">
        <f>'Pencapaian Product Display'!I306</f>
        <v>0</v>
      </c>
      <c r="AI306" s="268">
        <f>'Pencapaian Sales Contract'!G306</f>
        <v>0</v>
      </c>
      <c r="AJ306" s="189">
        <f>'Pencapaian Sales Contract'!I306</f>
        <v>0</v>
      </c>
      <c r="AK306" s="268">
        <f>'Pencapaian Co-Branding'!G306</f>
        <v>0</v>
      </c>
      <c r="AL306" s="189">
        <f>'Pencapaian Co-Branding'!I306</f>
        <v>0</v>
      </c>
      <c r="AM306" s="268">
        <f>'Pencapaian Join Event Activity'!G306</f>
        <v>0</v>
      </c>
      <c r="AN306" s="189">
        <f>'Pencapaian Join Event Activity'!I306</f>
        <v>0</v>
      </c>
      <c r="AO306" s="286">
        <f t="shared" si="129"/>
        <v>0</v>
      </c>
      <c r="AP306" s="289">
        <v>0</v>
      </c>
      <c r="AQ306" s="286">
        <f t="shared" si="123"/>
        <v>0</v>
      </c>
      <c r="AR306" s="289">
        <v>0</v>
      </c>
      <c r="AS306" s="286">
        <f t="shared" si="124"/>
        <v>0</v>
      </c>
      <c r="AT306" s="286">
        <f t="shared" si="130"/>
        <v>0</v>
      </c>
      <c r="AU306" s="286">
        <f t="shared" si="133"/>
        <v>0</v>
      </c>
      <c r="AV306" s="286">
        <v>0</v>
      </c>
    </row>
    <row r="307" spans="15:48" x14ac:dyDescent="0.2">
      <c r="P307" s="393"/>
      <c r="Q307" s="325"/>
      <c r="R307" s="325" t="s">
        <v>656</v>
      </c>
      <c r="S307" s="42"/>
      <c r="T307" s="264">
        <f>'Pencapaian Sales Value'!G307</f>
        <v>6.0630428571428571E-2</v>
      </c>
      <c r="U307" s="287">
        <f>'Pencapaian Sales Value'!I307</f>
        <v>0</v>
      </c>
      <c r="V307" s="274">
        <f>'Pencapaian Product Focus'!H307</f>
        <v>0</v>
      </c>
      <c r="W307" s="274">
        <f>'Pencapaian Product Focus'!L307</f>
        <v>0</v>
      </c>
      <c r="X307" s="190">
        <f>'Pencapaian Product Focus'!N307</f>
        <v>0</v>
      </c>
      <c r="Y307" s="274">
        <f>'Pencapaian Effective Call'!G307</f>
        <v>0</v>
      </c>
      <c r="Z307" s="190">
        <f>'Pencapaian Effective Call'!I307</f>
        <v>0</v>
      </c>
      <c r="AA307" s="274">
        <f>'Pencapaian New Open Outlet'!G307</f>
        <v>0</v>
      </c>
      <c r="AB307" s="190">
        <f>'Pencapaian New Open Outlet'!I307</f>
        <v>0</v>
      </c>
      <c r="AC307" s="264">
        <f>'Pencapaian Active Outlet'!G307</f>
        <v>3.2000000000000001E-2</v>
      </c>
      <c r="AD307" s="287">
        <f>'Pencapaian Active Outlet'!I307</f>
        <v>0</v>
      </c>
      <c r="AE307" s="274">
        <f>'Pencapaian Item per Outlet'!G307</f>
        <v>0</v>
      </c>
      <c r="AF307" s="190">
        <f>'Pencapaian Item per Outlet'!I307</f>
        <v>0</v>
      </c>
      <c r="AG307" s="274">
        <f>'Pencapaian Product Display'!G307</f>
        <v>0</v>
      </c>
      <c r="AH307" s="190">
        <f>'Pencapaian Product Display'!I307</f>
        <v>0</v>
      </c>
      <c r="AI307" s="274">
        <f>'Pencapaian Sales Contract'!G307</f>
        <v>0</v>
      </c>
      <c r="AJ307" s="190">
        <f>'Pencapaian Sales Contract'!I307</f>
        <v>0</v>
      </c>
      <c r="AK307" s="274">
        <f>'Pencapaian Co-Branding'!G307</f>
        <v>0</v>
      </c>
      <c r="AL307" s="190">
        <f>'Pencapaian Co-Branding'!I307</f>
        <v>0</v>
      </c>
      <c r="AM307" s="274">
        <f>'Pencapaian Join Event Activity'!G307</f>
        <v>0</v>
      </c>
      <c r="AN307" s="190">
        <f>'Pencapaian Join Event Activity'!I307</f>
        <v>0</v>
      </c>
      <c r="AO307" s="287">
        <f t="shared" si="129"/>
        <v>0</v>
      </c>
      <c r="AP307" s="290">
        <v>0</v>
      </c>
      <c r="AQ307" s="287">
        <f>SUM(AQ300:AQ306)</f>
        <v>0</v>
      </c>
      <c r="AR307" s="290">
        <v>0</v>
      </c>
      <c r="AS307" s="287">
        <f>SUM(AS300:AS306)</f>
        <v>0</v>
      </c>
      <c r="AT307" s="287">
        <f t="shared" si="130"/>
        <v>0</v>
      </c>
      <c r="AU307" s="287">
        <f>SUM(AU300:AU306)</f>
        <v>0</v>
      </c>
      <c r="AV307" s="287">
        <f>SUM(AV300:AV306)</f>
        <v>0</v>
      </c>
    </row>
    <row r="308" spans="15:48" x14ac:dyDescent="0.2">
      <c r="P308" s="392" t="s">
        <v>658</v>
      </c>
      <c r="Q308" s="321"/>
      <c r="R308" s="323" t="s">
        <v>660</v>
      </c>
      <c r="S308" s="12" t="s">
        <v>675</v>
      </c>
      <c r="T308" s="269">
        <f>'Pencapaian Sales Value'!G308</f>
        <v>1.685E-2</v>
      </c>
      <c r="U308" s="284">
        <f>'Pencapaian Sales Value'!I308</f>
        <v>0</v>
      </c>
      <c r="V308" s="304">
        <f>'Pencapaian Product Focus'!H308</f>
        <v>0</v>
      </c>
      <c r="W308" s="304">
        <f>'Pencapaian Product Focus'!L308</f>
        <v>0</v>
      </c>
      <c r="X308" s="285">
        <f>'Pencapaian Product Focus'!N308</f>
        <v>0</v>
      </c>
      <c r="Y308" s="304">
        <f>'Pencapaian Effective Call'!G308</f>
        <v>0</v>
      </c>
      <c r="Z308" s="285">
        <f>'Pencapaian Effective Call'!I308</f>
        <v>0</v>
      </c>
      <c r="AA308" s="304">
        <f>'Pencapaian New Open Outlet'!G308</f>
        <v>0</v>
      </c>
      <c r="AB308" s="285">
        <f>'Pencapaian New Open Outlet'!I308</f>
        <v>0</v>
      </c>
      <c r="AC308" s="269">
        <f>'Pencapaian Active Outlet'!G308</f>
        <v>0.16</v>
      </c>
      <c r="AD308" s="284">
        <f>'Pencapaian Active Outlet'!I308</f>
        <v>0</v>
      </c>
      <c r="AE308" s="304">
        <f>'Pencapaian Item per Outlet'!G308</f>
        <v>0</v>
      </c>
      <c r="AF308" s="285">
        <f>'Pencapaian Item per Outlet'!I308</f>
        <v>0</v>
      </c>
      <c r="AG308" s="304">
        <f>'Pencapaian Product Display'!G308</f>
        <v>0</v>
      </c>
      <c r="AH308" s="285">
        <f>'Pencapaian Product Display'!I308</f>
        <v>0</v>
      </c>
      <c r="AI308" s="304">
        <f>'Pencapaian Sales Contract'!G308</f>
        <v>0</v>
      </c>
      <c r="AJ308" s="285">
        <f>'Pencapaian Sales Contract'!I308</f>
        <v>0</v>
      </c>
      <c r="AK308" s="304">
        <f>'Pencapaian Co-Branding'!G308</f>
        <v>0</v>
      </c>
      <c r="AL308" s="285">
        <f>'Pencapaian Co-Branding'!I308</f>
        <v>0</v>
      </c>
      <c r="AM308" s="304">
        <f>'Pencapaian Join Event Activity'!G308</f>
        <v>0</v>
      </c>
      <c r="AN308" s="285">
        <f>'Pencapaian Join Event Activity'!I308</f>
        <v>0</v>
      </c>
      <c r="AO308" s="284">
        <f t="shared" si="129"/>
        <v>0</v>
      </c>
      <c r="AP308" s="322">
        <v>0</v>
      </c>
      <c r="AQ308" s="284">
        <f t="shared" si="123"/>
        <v>0</v>
      </c>
      <c r="AR308" s="322">
        <v>0</v>
      </c>
      <c r="AS308" s="284">
        <f t="shared" si="124"/>
        <v>0</v>
      </c>
      <c r="AT308" s="284">
        <f t="shared" si="130"/>
        <v>0</v>
      </c>
      <c r="AU308" s="284">
        <f t="shared" ref="AU308:AU312" si="134">AT308</f>
        <v>0</v>
      </c>
      <c r="AV308" s="284">
        <v>0</v>
      </c>
    </row>
    <row r="309" spans="15:48" x14ac:dyDescent="0.2">
      <c r="P309" s="392"/>
      <c r="Q309" s="321"/>
      <c r="R309" s="323" t="s">
        <v>795</v>
      </c>
      <c r="S309" s="12" t="s">
        <v>675</v>
      </c>
      <c r="T309" s="269">
        <f>'Pencapaian Sales Value'!G309</f>
        <v>-9.6766666666666667E-2</v>
      </c>
      <c r="U309" s="284">
        <f>'Pencapaian Sales Value'!I309</f>
        <v>0</v>
      </c>
      <c r="V309" s="304">
        <f>'Pencapaian Product Focus'!H309</f>
        <v>0</v>
      </c>
      <c r="W309" s="304">
        <f>'Pencapaian Product Focus'!L309</f>
        <v>0</v>
      </c>
      <c r="X309" s="285">
        <f>'Pencapaian Product Focus'!N309</f>
        <v>0</v>
      </c>
      <c r="Y309" s="304">
        <f>'Pencapaian Effective Call'!G309</f>
        <v>0</v>
      </c>
      <c r="Z309" s="285">
        <f>'Pencapaian Effective Call'!I309</f>
        <v>0</v>
      </c>
      <c r="AA309" s="304">
        <f>'Pencapaian New Open Outlet'!G309</f>
        <v>0</v>
      </c>
      <c r="AB309" s="285">
        <f>'Pencapaian New Open Outlet'!I309</f>
        <v>0</v>
      </c>
      <c r="AC309" s="269">
        <f>'Pencapaian Active Outlet'!G309</f>
        <v>0.16</v>
      </c>
      <c r="AD309" s="284">
        <f>'Pencapaian Active Outlet'!I309</f>
        <v>0</v>
      </c>
      <c r="AE309" s="304">
        <f>'Pencapaian Item per Outlet'!G309</f>
        <v>0</v>
      </c>
      <c r="AF309" s="285">
        <f>'Pencapaian Item per Outlet'!I309</f>
        <v>0</v>
      </c>
      <c r="AG309" s="304">
        <f>'Pencapaian Product Display'!G309</f>
        <v>0</v>
      </c>
      <c r="AH309" s="285">
        <f>'Pencapaian Product Display'!I309</f>
        <v>0</v>
      </c>
      <c r="AI309" s="304">
        <f>'Pencapaian Sales Contract'!G309</f>
        <v>0</v>
      </c>
      <c r="AJ309" s="285">
        <f>'Pencapaian Sales Contract'!I309</f>
        <v>0</v>
      </c>
      <c r="AK309" s="304">
        <f>'Pencapaian Co-Branding'!G309</f>
        <v>0</v>
      </c>
      <c r="AL309" s="285">
        <f>'Pencapaian Co-Branding'!I309</f>
        <v>0</v>
      </c>
      <c r="AM309" s="304">
        <f>'Pencapaian Join Event Activity'!G309</f>
        <v>0</v>
      </c>
      <c r="AN309" s="285">
        <f>'Pencapaian Join Event Activity'!I309</f>
        <v>0</v>
      </c>
      <c r="AO309" s="284">
        <f t="shared" si="129"/>
        <v>0</v>
      </c>
      <c r="AP309" s="322">
        <v>0</v>
      </c>
      <c r="AQ309" s="284">
        <f t="shared" si="123"/>
        <v>0</v>
      </c>
      <c r="AR309" s="322">
        <v>0</v>
      </c>
      <c r="AS309" s="284">
        <f t="shared" si="124"/>
        <v>0</v>
      </c>
      <c r="AT309" s="284">
        <f t="shared" si="130"/>
        <v>0</v>
      </c>
      <c r="AU309" s="284">
        <f t="shared" si="134"/>
        <v>0</v>
      </c>
      <c r="AV309" s="284">
        <v>0</v>
      </c>
    </row>
    <row r="310" spans="15:48" x14ac:dyDescent="0.2">
      <c r="P310" s="392"/>
      <c r="Q310" s="321"/>
      <c r="R310" s="323" t="s">
        <v>661</v>
      </c>
      <c r="S310" s="12" t="s">
        <v>675</v>
      </c>
      <c r="T310" s="269">
        <f>'Pencapaian Sales Value'!G310</f>
        <v>3.8800000000000001E-2</v>
      </c>
      <c r="U310" s="284">
        <f>'Pencapaian Sales Value'!I310</f>
        <v>0</v>
      </c>
      <c r="V310" s="304">
        <f>'Pencapaian Product Focus'!H310</f>
        <v>0</v>
      </c>
      <c r="W310" s="304">
        <f>'Pencapaian Product Focus'!L310</f>
        <v>0</v>
      </c>
      <c r="X310" s="285">
        <f>'Pencapaian Product Focus'!N310</f>
        <v>0</v>
      </c>
      <c r="Y310" s="304">
        <f>'Pencapaian Effective Call'!G310</f>
        <v>0</v>
      </c>
      <c r="Z310" s="285">
        <f>'Pencapaian Effective Call'!I310</f>
        <v>0</v>
      </c>
      <c r="AA310" s="304">
        <f>'Pencapaian New Open Outlet'!G310</f>
        <v>0</v>
      </c>
      <c r="AB310" s="285">
        <f>'Pencapaian New Open Outlet'!I310</f>
        <v>0</v>
      </c>
      <c r="AC310" s="269">
        <f>'Pencapaian Active Outlet'!G310</f>
        <v>0.04</v>
      </c>
      <c r="AD310" s="284">
        <f>'Pencapaian Active Outlet'!I310</f>
        <v>0</v>
      </c>
      <c r="AE310" s="304">
        <f>'Pencapaian Item per Outlet'!G310</f>
        <v>0</v>
      </c>
      <c r="AF310" s="285">
        <f>'Pencapaian Item per Outlet'!I310</f>
        <v>0</v>
      </c>
      <c r="AG310" s="304">
        <f>'Pencapaian Product Display'!G310</f>
        <v>0</v>
      </c>
      <c r="AH310" s="285">
        <f>'Pencapaian Product Display'!I310</f>
        <v>0</v>
      </c>
      <c r="AI310" s="304">
        <f>'Pencapaian Sales Contract'!G310</f>
        <v>0</v>
      </c>
      <c r="AJ310" s="285">
        <f>'Pencapaian Sales Contract'!I310</f>
        <v>0</v>
      </c>
      <c r="AK310" s="304">
        <f>'Pencapaian Co-Branding'!G310</f>
        <v>0</v>
      </c>
      <c r="AL310" s="285">
        <f>'Pencapaian Co-Branding'!I310</f>
        <v>0</v>
      </c>
      <c r="AM310" s="304">
        <f>'Pencapaian Join Event Activity'!G310</f>
        <v>0</v>
      </c>
      <c r="AN310" s="285">
        <f>'Pencapaian Join Event Activity'!I310</f>
        <v>0</v>
      </c>
      <c r="AO310" s="284">
        <f t="shared" si="129"/>
        <v>0</v>
      </c>
      <c r="AP310" s="322">
        <v>0</v>
      </c>
      <c r="AQ310" s="284">
        <f t="shared" si="123"/>
        <v>0</v>
      </c>
      <c r="AR310" s="322">
        <v>0</v>
      </c>
      <c r="AS310" s="284">
        <f t="shared" si="124"/>
        <v>0</v>
      </c>
      <c r="AT310" s="284">
        <f t="shared" si="130"/>
        <v>0</v>
      </c>
      <c r="AU310" s="284">
        <f t="shared" si="134"/>
        <v>0</v>
      </c>
      <c r="AV310" s="284">
        <v>0</v>
      </c>
    </row>
    <row r="311" spans="15:48" x14ac:dyDescent="0.2">
      <c r="P311" s="392"/>
      <c r="Q311" s="321"/>
      <c r="R311" s="323" t="s">
        <v>662</v>
      </c>
      <c r="S311" s="12" t="s">
        <v>675</v>
      </c>
      <c r="T311" s="269">
        <f>'Pencapaian Sales Value'!G311</f>
        <v>0</v>
      </c>
      <c r="U311" s="284">
        <f>'Pencapaian Sales Value'!I311</f>
        <v>0</v>
      </c>
      <c r="V311" s="304">
        <f>'Pencapaian Product Focus'!H311</f>
        <v>0</v>
      </c>
      <c r="W311" s="304">
        <f>'Pencapaian Product Focus'!L311</f>
        <v>0</v>
      </c>
      <c r="X311" s="285">
        <f>'Pencapaian Product Focus'!N311</f>
        <v>0</v>
      </c>
      <c r="Y311" s="304">
        <f>'Pencapaian Effective Call'!G311</f>
        <v>0</v>
      </c>
      <c r="Z311" s="285">
        <f>'Pencapaian Effective Call'!I311</f>
        <v>0</v>
      </c>
      <c r="AA311" s="304">
        <f>'Pencapaian New Open Outlet'!G311</f>
        <v>0</v>
      </c>
      <c r="AB311" s="285">
        <f>'Pencapaian New Open Outlet'!I311</f>
        <v>0</v>
      </c>
      <c r="AC311" s="269">
        <f>'Pencapaian Active Outlet'!G311</f>
        <v>0</v>
      </c>
      <c r="AD311" s="284">
        <f>'Pencapaian Active Outlet'!I311</f>
        <v>0</v>
      </c>
      <c r="AE311" s="304">
        <f>'Pencapaian Item per Outlet'!G311</f>
        <v>0</v>
      </c>
      <c r="AF311" s="285">
        <f>'Pencapaian Item per Outlet'!I311</f>
        <v>0</v>
      </c>
      <c r="AG311" s="304">
        <f>'Pencapaian Product Display'!G311</f>
        <v>0</v>
      </c>
      <c r="AH311" s="285">
        <f>'Pencapaian Product Display'!I311</f>
        <v>0</v>
      </c>
      <c r="AI311" s="304">
        <f>'Pencapaian Sales Contract'!G311</f>
        <v>0</v>
      </c>
      <c r="AJ311" s="285">
        <f>'Pencapaian Sales Contract'!I311</f>
        <v>0</v>
      </c>
      <c r="AK311" s="304">
        <f>'Pencapaian Co-Branding'!G311</f>
        <v>0</v>
      </c>
      <c r="AL311" s="285">
        <f>'Pencapaian Co-Branding'!I311</f>
        <v>0</v>
      </c>
      <c r="AM311" s="304">
        <f>'Pencapaian Join Event Activity'!G311</f>
        <v>0</v>
      </c>
      <c r="AN311" s="285">
        <f>'Pencapaian Join Event Activity'!I311</f>
        <v>0</v>
      </c>
      <c r="AO311" s="284">
        <f t="shared" si="129"/>
        <v>0</v>
      </c>
      <c r="AP311" s="322">
        <v>0</v>
      </c>
      <c r="AQ311" s="284">
        <f t="shared" si="123"/>
        <v>0</v>
      </c>
      <c r="AR311" s="322">
        <v>0</v>
      </c>
      <c r="AS311" s="284">
        <f t="shared" si="124"/>
        <v>0</v>
      </c>
      <c r="AT311" s="284">
        <f t="shared" si="130"/>
        <v>0</v>
      </c>
      <c r="AU311" s="284">
        <f t="shared" si="134"/>
        <v>0</v>
      </c>
      <c r="AV311" s="284">
        <v>0</v>
      </c>
    </row>
    <row r="312" spans="15:48" x14ac:dyDescent="0.2">
      <c r="P312" s="392"/>
      <c r="Q312" s="324"/>
      <c r="R312" s="324" t="s">
        <v>759</v>
      </c>
      <c r="S312" s="64" t="s">
        <v>673</v>
      </c>
      <c r="T312" s="258">
        <f>'Pencapaian Sales Value'!G312</f>
        <v>-1.4740909090909091E-2</v>
      </c>
      <c r="U312" s="286">
        <f>'Pencapaian Sales Value'!I312</f>
        <v>0</v>
      </c>
      <c r="V312" s="268">
        <f>'Pencapaian Product Focus'!H312</f>
        <v>0</v>
      </c>
      <c r="W312" s="268">
        <f>'Pencapaian Product Focus'!L312</f>
        <v>0</v>
      </c>
      <c r="X312" s="189">
        <f>'Pencapaian Product Focus'!N312</f>
        <v>0</v>
      </c>
      <c r="Y312" s="268">
        <f>'Pencapaian Effective Call'!G312</f>
        <v>0</v>
      </c>
      <c r="Z312" s="189">
        <f>'Pencapaian Effective Call'!I312</f>
        <v>0</v>
      </c>
      <c r="AA312" s="268">
        <f>'Pencapaian New Open Outlet'!G312</f>
        <v>0</v>
      </c>
      <c r="AB312" s="189">
        <f>'Pencapaian New Open Outlet'!I312</f>
        <v>0</v>
      </c>
      <c r="AC312" s="258">
        <f>'Pencapaian Active Outlet'!G312</f>
        <v>0.09</v>
      </c>
      <c r="AD312" s="286">
        <f>'Pencapaian Active Outlet'!I312</f>
        <v>0</v>
      </c>
      <c r="AE312" s="268">
        <f>'Pencapaian Item per Outlet'!G312</f>
        <v>0</v>
      </c>
      <c r="AF312" s="189">
        <f>'Pencapaian Item per Outlet'!I312</f>
        <v>0</v>
      </c>
      <c r="AG312" s="268">
        <f>'Pencapaian Product Display'!G312</f>
        <v>0</v>
      </c>
      <c r="AH312" s="189">
        <f>'Pencapaian Product Display'!I312</f>
        <v>0</v>
      </c>
      <c r="AI312" s="268">
        <f>'Pencapaian Sales Contract'!G312</f>
        <v>0</v>
      </c>
      <c r="AJ312" s="189">
        <f>'Pencapaian Sales Contract'!I312</f>
        <v>0</v>
      </c>
      <c r="AK312" s="268">
        <f>'Pencapaian Co-Branding'!G312</f>
        <v>0</v>
      </c>
      <c r="AL312" s="189">
        <f>'Pencapaian Co-Branding'!I312</f>
        <v>0</v>
      </c>
      <c r="AM312" s="268">
        <f>'Pencapaian Join Event Activity'!G312</f>
        <v>0</v>
      </c>
      <c r="AN312" s="189">
        <f>'Pencapaian Join Event Activity'!I312</f>
        <v>0</v>
      </c>
      <c r="AO312" s="286">
        <f t="shared" si="129"/>
        <v>0</v>
      </c>
      <c r="AP312" s="289">
        <v>0</v>
      </c>
      <c r="AQ312" s="286">
        <f t="shared" si="123"/>
        <v>0</v>
      </c>
      <c r="AR312" s="289">
        <v>0</v>
      </c>
      <c r="AS312" s="286">
        <f t="shared" si="124"/>
        <v>0</v>
      </c>
      <c r="AT312" s="286">
        <f t="shared" si="130"/>
        <v>0</v>
      </c>
      <c r="AU312" s="286">
        <f t="shared" si="134"/>
        <v>0</v>
      </c>
      <c r="AV312" s="286">
        <v>0</v>
      </c>
    </row>
    <row r="313" spans="15:48" x14ac:dyDescent="0.2">
      <c r="P313" s="393"/>
      <c r="Q313" s="325"/>
      <c r="R313" s="325" t="s">
        <v>659</v>
      </c>
      <c r="S313" s="42"/>
      <c r="T313" s="264">
        <f>'Pencapaian Sales Value'!G313</f>
        <v>-1.4740909090909091E-2</v>
      </c>
      <c r="U313" s="287">
        <f>'Pencapaian Sales Value'!I313</f>
        <v>0</v>
      </c>
      <c r="V313" s="274">
        <f>'Pencapaian Product Focus'!H313</f>
        <v>0</v>
      </c>
      <c r="W313" s="274">
        <f>'Pencapaian Product Focus'!L313</f>
        <v>0</v>
      </c>
      <c r="X313" s="190">
        <f>'Pencapaian Product Focus'!N313</f>
        <v>0</v>
      </c>
      <c r="Y313" s="274">
        <f>'Pencapaian Effective Call'!G313</f>
        <v>0</v>
      </c>
      <c r="Z313" s="190">
        <f>'Pencapaian Effective Call'!I313</f>
        <v>0</v>
      </c>
      <c r="AA313" s="274">
        <f>'Pencapaian New Open Outlet'!G313</f>
        <v>0</v>
      </c>
      <c r="AB313" s="190">
        <f>'Pencapaian New Open Outlet'!I313</f>
        <v>0</v>
      </c>
      <c r="AC313" s="264">
        <f>'Pencapaian Active Outlet'!G313</f>
        <v>0.09</v>
      </c>
      <c r="AD313" s="287">
        <f>'Pencapaian Active Outlet'!I313</f>
        <v>0</v>
      </c>
      <c r="AE313" s="274">
        <f>'Pencapaian Item per Outlet'!G313</f>
        <v>0</v>
      </c>
      <c r="AF313" s="190">
        <f>'Pencapaian Item per Outlet'!I313</f>
        <v>0</v>
      </c>
      <c r="AG313" s="274">
        <f>'Pencapaian Product Display'!G313</f>
        <v>0</v>
      </c>
      <c r="AH313" s="190">
        <f>'Pencapaian Product Display'!I313</f>
        <v>0</v>
      </c>
      <c r="AI313" s="274">
        <f>'Pencapaian Sales Contract'!G313</f>
        <v>0</v>
      </c>
      <c r="AJ313" s="190">
        <f>'Pencapaian Sales Contract'!I313</f>
        <v>0</v>
      </c>
      <c r="AK313" s="274">
        <f>'Pencapaian Co-Branding'!G313</f>
        <v>0</v>
      </c>
      <c r="AL313" s="190">
        <f>'Pencapaian Co-Branding'!I313</f>
        <v>0</v>
      </c>
      <c r="AM313" s="274">
        <f>'Pencapaian Join Event Activity'!G313</f>
        <v>0</v>
      </c>
      <c r="AN313" s="190">
        <f>'Pencapaian Join Event Activity'!I313</f>
        <v>0</v>
      </c>
      <c r="AO313" s="287">
        <f t="shared" si="129"/>
        <v>0</v>
      </c>
      <c r="AP313" s="290">
        <v>0</v>
      </c>
      <c r="AQ313" s="287">
        <f>SUM(AQ308:AQ312)</f>
        <v>0</v>
      </c>
      <c r="AR313" s="290">
        <v>0</v>
      </c>
      <c r="AS313" s="287">
        <f>SUM(AS308:AS312)</f>
        <v>0</v>
      </c>
      <c r="AT313" s="287">
        <f t="shared" si="130"/>
        <v>0</v>
      </c>
      <c r="AU313" s="287">
        <f>SUM(AU308:AU312)</f>
        <v>0</v>
      </c>
      <c r="AV313" s="287">
        <f>SUM(AV308:AV312)</f>
        <v>0</v>
      </c>
    </row>
    <row r="314" spans="15:48" x14ac:dyDescent="0.2">
      <c r="P314" s="326"/>
      <c r="Q314" s="326"/>
      <c r="R314" s="326" t="s">
        <v>863</v>
      </c>
      <c r="S314" s="209"/>
      <c r="T314" s="305">
        <f>'Pencapaian Sales Value'!G314</f>
        <v>5.3081240740740741E-2</v>
      </c>
      <c r="U314" s="288">
        <f>'Pencapaian Sales Value'!I314</f>
        <v>90000</v>
      </c>
      <c r="V314" s="274">
        <f>'Pencapaian Product Focus'!H314</f>
        <v>0</v>
      </c>
      <c r="W314" s="274">
        <f>'Pencapaian Product Focus'!L314</f>
        <v>0</v>
      </c>
      <c r="X314" s="190">
        <f>'Pencapaian Product Focus'!N314</f>
        <v>0</v>
      </c>
      <c r="Y314" s="274">
        <f>'Pencapaian Effective Call'!G314</f>
        <v>0</v>
      </c>
      <c r="Z314" s="190">
        <f>'Pencapaian Effective Call'!I314</f>
        <v>0</v>
      </c>
      <c r="AA314" s="274">
        <f>'Pencapaian New Open Outlet'!G314</f>
        <v>0</v>
      </c>
      <c r="AB314" s="190">
        <f>'Pencapaian New Open Outlet'!I314</f>
        <v>0</v>
      </c>
      <c r="AC314" s="305">
        <f>'Pencapaian Active Outlet'!G314</f>
        <v>5.6273447269695707E-2</v>
      </c>
      <c r="AD314" s="288">
        <f>'Pencapaian Active Outlet'!I314</f>
        <v>0</v>
      </c>
      <c r="AE314" s="274">
        <f>'Pencapaian Item per Outlet'!G314</f>
        <v>0</v>
      </c>
      <c r="AF314" s="190">
        <f>'Pencapaian Item per Outlet'!I314</f>
        <v>0</v>
      </c>
      <c r="AG314" s="274">
        <f>'Pencapaian Product Display'!G314</f>
        <v>0</v>
      </c>
      <c r="AH314" s="190">
        <f>'Pencapaian Product Display'!I314</f>
        <v>0</v>
      </c>
      <c r="AI314" s="274">
        <f>'Pencapaian Sales Contract'!G314</f>
        <v>0</v>
      </c>
      <c r="AJ314" s="190">
        <f>'Pencapaian Sales Contract'!I314</f>
        <v>0</v>
      </c>
      <c r="AK314" s="274">
        <f>'Pencapaian Co-Branding'!G314</f>
        <v>0</v>
      </c>
      <c r="AL314" s="190">
        <f>'Pencapaian Co-Branding'!I314</f>
        <v>0</v>
      </c>
      <c r="AM314" s="274">
        <f>'Pencapaian Join Event Activity'!G314</f>
        <v>0</v>
      </c>
      <c r="AN314" s="190">
        <f>'Pencapaian Join Event Activity'!I314</f>
        <v>0</v>
      </c>
      <c r="AO314" s="288">
        <f t="shared" si="129"/>
        <v>90000</v>
      </c>
      <c r="AP314" s="291">
        <v>0</v>
      </c>
      <c r="AQ314" s="288">
        <f>SUM(AQ313,AQ307,AQ299,AQ292,AQ288)</f>
        <v>0</v>
      </c>
      <c r="AR314" s="291">
        <v>0</v>
      </c>
      <c r="AS314" s="288">
        <f>SUM(AS313,AS307,AS299,AS292,AS288)</f>
        <v>0</v>
      </c>
      <c r="AT314" s="288">
        <f t="shared" si="130"/>
        <v>90000</v>
      </c>
      <c r="AU314" s="288">
        <f>SUM(AU313,AU307,AU299,AU292,AU288)</f>
        <v>90000</v>
      </c>
      <c r="AV314" s="288">
        <f>SUM(AV313,AV307,AV299,AV292,AV288)</f>
        <v>0</v>
      </c>
    </row>
    <row r="315" spans="15:48" x14ac:dyDescent="0.2">
      <c r="P315" s="326"/>
      <c r="Q315" s="326"/>
      <c r="R315" s="326" t="s">
        <v>55</v>
      </c>
      <c r="S315" s="209"/>
      <c r="T315" s="305">
        <f>'Pencapaian Sales Value'!G315</f>
        <v>0.67362980081876866</v>
      </c>
      <c r="U315" s="288">
        <f>'Pencapaian Sales Value'!I315</f>
        <v>2666000</v>
      </c>
      <c r="V315" s="274">
        <f>'Pencapaian Product Focus'!H315</f>
        <v>0</v>
      </c>
      <c r="W315" s="274">
        <f>'Pencapaian Product Focus'!L315</f>
        <v>0</v>
      </c>
      <c r="X315" s="190">
        <f>'Pencapaian Product Focus'!N315</f>
        <v>0</v>
      </c>
      <c r="Y315" s="274">
        <f>'Pencapaian Effective Call'!G315</f>
        <v>0</v>
      </c>
      <c r="Z315" s="190">
        <f>'Pencapaian Effective Call'!I315</f>
        <v>0</v>
      </c>
      <c r="AA315" s="274">
        <f>'Pencapaian New Open Outlet'!G315</f>
        <v>0</v>
      </c>
      <c r="AB315" s="190">
        <f>'Pencapaian New Open Outlet'!I315</f>
        <v>0</v>
      </c>
      <c r="AC315" s="305">
        <f>'Pencapaian Active Outlet'!G315</f>
        <v>0.40988658777120313</v>
      </c>
      <c r="AD315" s="288">
        <f>'Pencapaian Active Outlet'!I315</f>
        <v>2826000</v>
      </c>
      <c r="AE315" s="274">
        <f>'Pencapaian Item per Outlet'!G315</f>
        <v>0</v>
      </c>
      <c r="AF315" s="190">
        <f>'Pencapaian Item per Outlet'!I315</f>
        <v>0</v>
      </c>
      <c r="AG315" s="274">
        <f>'Pencapaian Product Display'!G315</f>
        <v>0</v>
      </c>
      <c r="AH315" s="190">
        <f>'Pencapaian Product Display'!I315</f>
        <v>0</v>
      </c>
      <c r="AI315" s="274">
        <f>'Pencapaian Sales Contract'!G315</f>
        <v>0</v>
      </c>
      <c r="AJ315" s="190">
        <f>'Pencapaian Sales Contract'!I315</f>
        <v>0</v>
      </c>
      <c r="AK315" s="274">
        <f>'Pencapaian Co-Branding'!G315</f>
        <v>0</v>
      </c>
      <c r="AL315" s="190">
        <f>'Pencapaian Co-Branding'!I315</f>
        <v>0</v>
      </c>
      <c r="AM315" s="274">
        <f>'Pencapaian Join Event Activity'!G315</f>
        <v>0</v>
      </c>
      <c r="AN315" s="190">
        <f>'Pencapaian Join Event Activity'!I315</f>
        <v>0</v>
      </c>
      <c r="AO315" s="288">
        <f t="shared" si="129"/>
        <v>5492000</v>
      </c>
      <c r="AP315" s="291">
        <v>0</v>
      </c>
      <c r="AQ315" s="288">
        <f>SUM(AQ314,AQ281,AQ259,AQ226,AQ190)</f>
        <v>0</v>
      </c>
      <c r="AR315" s="291">
        <v>0</v>
      </c>
      <c r="AS315" s="288">
        <f>SUM(AS314,AS281,AS259,AS226,AS190)</f>
        <v>0</v>
      </c>
      <c r="AT315" s="288">
        <f t="shared" si="130"/>
        <v>5492000</v>
      </c>
      <c r="AU315" s="288">
        <f>SUM(AU314,AU281,AU259,AU226,AU190)</f>
        <v>5492000</v>
      </c>
      <c r="AV315" s="288">
        <f>SUM(AV314,AV281,AV259,AV226,AV190)</f>
        <v>0</v>
      </c>
    </row>
    <row r="316" spans="15:48" x14ac:dyDescent="0.2">
      <c r="U316" s="2"/>
      <c r="X316" s="2"/>
      <c r="Z316" s="2"/>
      <c r="AB316" s="2"/>
      <c r="AD316" s="2"/>
      <c r="AF316" s="2"/>
      <c r="AH316" s="2"/>
      <c r="AJ316" s="2"/>
      <c r="AL316" s="2"/>
      <c r="AN316" s="2"/>
      <c r="AO316" s="2"/>
      <c r="AP316" s="1" t="s">
        <v>797</v>
      </c>
      <c r="AQ316" s="2"/>
      <c r="AR316" s="1"/>
      <c r="AS316" s="2"/>
      <c r="AT316" s="2"/>
      <c r="AU316" s="2"/>
      <c r="AV316" s="2"/>
    </row>
    <row r="317" spans="15:48" x14ac:dyDescent="0.2">
      <c r="U317" s="2"/>
      <c r="X317" s="2"/>
      <c r="Z317" s="2"/>
      <c r="AB317" s="2"/>
      <c r="AD317" s="2"/>
      <c r="AF317" s="2"/>
      <c r="AH317" s="2"/>
      <c r="AJ317" s="2"/>
      <c r="AL317" s="2"/>
      <c r="AN317" s="2"/>
      <c r="AO317" s="2"/>
      <c r="AP317" s="1"/>
      <c r="AQ317" s="2"/>
      <c r="AR317" s="1"/>
      <c r="AS317" s="2"/>
      <c r="AT317" s="2"/>
      <c r="AU317" s="2"/>
      <c r="AV317" s="2"/>
    </row>
    <row r="318" spans="15:48" x14ac:dyDescent="0.2">
      <c r="O318" s="3"/>
      <c r="U318" s="2"/>
      <c r="X318" s="2"/>
      <c r="Z318" s="2"/>
      <c r="AB318" s="2"/>
      <c r="AD318" s="2"/>
      <c r="AF318" s="2"/>
      <c r="AH318" s="2"/>
      <c r="AJ318" s="2"/>
      <c r="AL318" s="2"/>
      <c r="AN318" s="2"/>
      <c r="AO318" s="2"/>
      <c r="AP318" s="1"/>
      <c r="AQ318" s="2"/>
      <c r="AR318" s="1"/>
      <c r="AS318" s="2"/>
      <c r="AT318" s="2"/>
      <c r="AU318" s="2"/>
      <c r="AV318" s="2"/>
    </row>
    <row r="319" spans="15:48" x14ac:dyDescent="0.2">
      <c r="O319" s="3"/>
      <c r="U319" s="2"/>
      <c r="X319" s="2"/>
      <c r="Z319" s="2"/>
      <c r="AB319" s="2"/>
      <c r="AD319" s="2"/>
      <c r="AF319" s="2"/>
      <c r="AH319" s="2"/>
      <c r="AJ319" s="2"/>
      <c r="AL319" s="2"/>
      <c r="AN319" s="2"/>
      <c r="AO319" s="2"/>
      <c r="AP319" s="1"/>
      <c r="AQ319" s="2"/>
      <c r="AR319" s="1"/>
      <c r="AS319" s="2"/>
      <c r="AT319" s="2"/>
      <c r="AU319" s="2"/>
      <c r="AV319" s="2"/>
    </row>
    <row r="320" spans="15:48" x14ac:dyDescent="0.2">
      <c r="O320" s="3"/>
      <c r="U320" s="2"/>
      <c r="X320" s="2"/>
      <c r="Z320" s="2"/>
      <c r="AB320" s="2"/>
      <c r="AD320" s="2"/>
      <c r="AF320" s="2"/>
      <c r="AH320" s="2"/>
      <c r="AJ320" s="2"/>
      <c r="AL320" s="2"/>
      <c r="AN320" s="2"/>
      <c r="AO320" s="2"/>
      <c r="AP320" s="1"/>
      <c r="AQ320" s="2"/>
      <c r="AR320" s="1"/>
      <c r="AS320" s="2"/>
      <c r="AT320" s="2"/>
      <c r="AU320" s="2"/>
      <c r="AV320" s="2"/>
    </row>
    <row r="321" spans="15:48" x14ac:dyDescent="0.2">
      <c r="O321" s="3"/>
      <c r="P321" s="4"/>
      <c r="Q321" s="5"/>
      <c r="R321" s="5"/>
      <c r="U321" s="2"/>
      <c r="X321" s="2"/>
      <c r="Z321" s="2"/>
      <c r="AB321" s="2"/>
      <c r="AD321" s="2"/>
      <c r="AF321" s="2"/>
      <c r="AH321" s="2"/>
      <c r="AJ321" s="2"/>
      <c r="AL321" s="2"/>
      <c r="AN321" s="2"/>
      <c r="AO321" s="2"/>
      <c r="AP321" s="1"/>
      <c r="AQ321" s="2"/>
      <c r="AR321" s="1"/>
      <c r="AS321" s="2"/>
      <c r="AT321" s="2"/>
      <c r="AU321" s="2"/>
      <c r="AV321" s="2"/>
    </row>
    <row r="322" spans="15:48" x14ac:dyDescent="0.2">
      <c r="O322" s="3"/>
      <c r="P322" s="8"/>
      <c r="Q322" s="8"/>
      <c r="R322" s="8"/>
      <c r="U322" s="2"/>
      <c r="X322" s="2"/>
      <c r="Z322" s="2"/>
      <c r="AB322" s="2"/>
      <c r="AD322" s="2"/>
      <c r="AF322" s="2"/>
      <c r="AH322" s="2"/>
      <c r="AJ322" s="2"/>
      <c r="AL322" s="2"/>
      <c r="AN322" s="2"/>
      <c r="AO322" s="2"/>
      <c r="AP322" s="1"/>
      <c r="AQ322" s="2"/>
      <c r="AR322" s="1"/>
      <c r="AS322" s="2"/>
      <c r="AT322" s="2"/>
      <c r="AU322" s="2"/>
      <c r="AV322" s="2"/>
    </row>
    <row r="323" spans="15:48" ht="14.5" customHeight="1" x14ac:dyDescent="0.2">
      <c r="O323" s="3"/>
      <c r="P323" s="388" t="s">
        <v>0</v>
      </c>
      <c r="Q323" s="388" t="s">
        <v>270</v>
      </c>
      <c r="R323" s="388" t="s">
        <v>2</v>
      </c>
      <c r="S323" s="394" t="s">
        <v>3</v>
      </c>
      <c r="T323" s="388" t="s">
        <v>4</v>
      </c>
      <c r="U323" s="388"/>
      <c r="V323" s="388" t="s">
        <v>139</v>
      </c>
      <c r="W323" s="388"/>
      <c r="X323" s="388"/>
      <c r="Y323" s="388" t="s">
        <v>134</v>
      </c>
      <c r="Z323" s="388"/>
      <c r="AA323" s="388" t="s">
        <v>135</v>
      </c>
      <c r="AB323" s="388"/>
      <c r="AC323" s="388" t="s">
        <v>5</v>
      </c>
      <c r="AD323" s="388"/>
      <c r="AE323" s="388" t="s">
        <v>137</v>
      </c>
      <c r="AF323" s="388"/>
      <c r="AG323" s="388" t="s">
        <v>424</v>
      </c>
      <c r="AH323" s="388"/>
      <c r="AI323" s="388" t="s">
        <v>431</v>
      </c>
      <c r="AJ323" s="388"/>
      <c r="AK323" s="388" t="s">
        <v>438</v>
      </c>
      <c r="AL323" s="388"/>
      <c r="AM323" s="388" t="s">
        <v>445</v>
      </c>
      <c r="AN323" s="388"/>
      <c r="AO323" s="389" t="s">
        <v>141</v>
      </c>
      <c r="AP323" s="391" t="s">
        <v>6</v>
      </c>
      <c r="AQ323" s="391"/>
      <c r="AR323" s="391"/>
      <c r="AS323" s="391"/>
      <c r="AT323" s="385" t="s">
        <v>7</v>
      </c>
      <c r="AU323" s="385" t="s">
        <v>2</v>
      </c>
      <c r="AV323" s="385" t="s">
        <v>144</v>
      </c>
    </row>
    <row r="324" spans="15:48" ht="32" x14ac:dyDescent="0.2">
      <c r="O324" s="3"/>
      <c r="P324" s="388"/>
      <c r="Q324" s="388"/>
      <c r="R324" s="388"/>
      <c r="S324" s="394"/>
      <c r="T324" s="253" t="s">
        <v>9</v>
      </c>
      <c r="U324" s="54" t="s">
        <v>10</v>
      </c>
      <c r="V324" s="253" t="s">
        <v>514</v>
      </c>
      <c r="W324" s="296" t="s">
        <v>515</v>
      </c>
      <c r="X324" s="54" t="s">
        <v>10</v>
      </c>
      <c r="Y324" s="253" t="s">
        <v>9</v>
      </c>
      <c r="Z324" s="54" t="s">
        <v>10</v>
      </c>
      <c r="AA324" s="253" t="s">
        <v>9</v>
      </c>
      <c r="AB324" s="54" t="s">
        <v>10</v>
      </c>
      <c r="AC324" s="253" t="s">
        <v>9</v>
      </c>
      <c r="AD324" s="54" t="s">
        <v>10</v>
      </c>
      <c r="AE324" s="253" t="s">
        <v>9</v>
      </c>
      <c r="AF324" s="54" t="s">
        <v>10</v>
      </c>
      <c r="AG324" s="253" t="s">
        <v>9</v>
      </c>
      <c r="AH324" s="54" t="s">
        <v>10</v>
      </c>
      <c r="AI324" s="253" t="s">
        <v>9</v>
      </c>
      <c r="AJ324" s="54" t="s">
        <v>10</v>
      </c>
      <c r="AK324" s="253" t="s">
        <v>9</v>
      </c>
      <c r="AL324" s="54" t="s">
        <v>10</v>
      </c>
      <c r="AM324" s="253" t="s">
        <v>9</v>
      </c>
      <c r="AN324" s="54" t="s">
        <v>10</v>
      </c>
      <c r="AO324" s="390"/>
      <c r="AP324" s="135" t="s">
        <v>798</v>
      </c>
      <c r="AQ324" s="134" t="s">
        <v>143</v>
      </c>
      <c r="AR324" s="135" t="s">
        <v>11</v>
      </c>
      <c r="AS324" s="134" t="s">
        <v>143</v>
      </c>
      <c r="AT324" s="385"/>
      <c r="AU324" s="385"/>
      <c r="AV324" s="385"/>
    </row>
    <row r="325" spans="15:48" ht="16" x14ac:dyDescent="0.2">
      <c r="P325" s="386" t="s">
        <v>865</v>
      </c>
      <c r="Q325" s="117"/>
      <c r="R325" s="117" t="s">
        <v>868</v>
      </c>
      <c r="S325" s="117"/>
      <c r="T325" s="304">
        <f>'Pencapaian Sales Value'!G325</f>
        <v>0</v>
      </c>
      <c r="U325" s="285">
        <f>'Pencapaian Sales Value'!I325</f>
        <v>0</v>
      </c>
      <c r="V325" s="304">
        <f>'Pencapaian Product Focus'!H324</f>
        <v>0</v>
      </c>
      <c r="W325" s="304">
        <f>'Pencapaian Product Focus'!L324</f>
        <v>0</v>
      </c>
      <c r="X325" s="285">
        <f>'Pencapaian Product Focus'!N324</f>
        <v>0</v>
      </c>
      <c r="Y325" s="335">
        <f>'Pencapaian Effective Call'!G324</f>
        <v>0</v>
      </c>
      <c r="Z325" s="285">
        <f>'Pencapaian Effective Call'!I324</f>
        <v>0</v>
      </c>
      <c r="AA325" s="378">
        <f>'Pencapaian New Open Outlet'!G324</f>
        <v>0</v>
      </c>
      <c r="AB325" s="285">
        <f>'Pencapaian New Open Outlet'!I324</f>
        <v>0</v>
      </c>
      <c r="AC325" s="304">
        <f>'Pencapaian Active Outlet'!G324</f>
        <v>0</v>
      </c>
      <c r="AD325" s="285">
        <f>'Pencapaian Active Outlet'!I324</f>
        <v>0</v>
      </c>
      <c r="AE325" s="335">
        <f>'Pencapaian Item per Outlet'!G324</f>
        <v>0</v>
      </c>
      <c r="AF325" s="285">
        <f>'Pencapaian Item per Outlet'!I324</f>
        <v>0</v>
      </c>
      <c r="AG325" s="335">
        <f>'Pencapaian Product Display'!G324</f>
        <v>0</v>
      </c>
      <c r="AH325" s="285">
        <f>'Pencapaian Product Display'!I324</f>
        <v>0</v>
      </c>
      <c r="AI325" s="335">
        <f>'Pencapaian Sales Contract'!G324</f>
        <v>0</v>
      </c>
      <c r="AJ325" s="285">
        <f>'Pencapaian Sales Contract'!I324</f>
        <v>0</v>
      </c>
      <c r="AK325" s="335">
        <f>'Pencapaian Co-Branding'!G324</f>
        <v>0</v>
      </c>
      <c r="AL325" s="285">
        <f>'Pencapaian Co-Branding'!I324</f>
        <v>0</v>
      </c>
      <c r="AM325" s="335">
        <f>'Pencapaian Join Event Activity'!G324</f>
        <v>0</v>
      </c>
      <c r="AN325" s="285">
        <f>'Pencapaian Join Event Activity'!I324</f>
        <v>0</v>
      </c>
      <c r="AO325" s="284">
        <f t="shared" ref="AO325:AO338" si="135">SUM(AN325,AL325,AJ325,AH325,AF325,AD325,AB325,Z325,X325,U325)</f>
        <v>0</v>
      </c>
      <c r="AP325" s="322">
        <v>0</v>
      </c>
      <c r="AQ325" s="284">
        <f t="shared" ref="AQ325:AQ336" si="136">IF(AP325&gt;=0.5%,-(AO325*10%),0)</f>
        <v>0</v>
      </c>
      <c r="AR325" s="322">
        <v>0</v>
      </c>
      <c r="AS325" s="284">
        <f t="shared" ref="AS325:AS336" si="137">IF(AR325&gt;0,-(AO325+AQ325),0)</f>
        <v>0</v>
      </c>
      <c r="AT325" s="284">
        <f t="shared" ref="AT325:AT338" si="138">SUM(AS325,AQ325,AO325)</f>
        <v>0</v>
      </c>
      <c r="AU325" s="284">
        <f t="shared" ref="AU325:AU336" si="139">AT325</f>
        <v>0</v>
      </c>
      <c r="AV325" s="284">
        <v>0</v>
      </c>
    </row>
    <row r="326" spans="15:48" ht="16" x14ac:dyDescent="0.2">
      <c r="P326" s="386"/>
      <c r="Q326" s="117"/>
      <c r="R326" s="117" t="s">
        <v>869</v>
      </c>
      <c r="S326" s="117"/>
      <c r="T326" s="304">
        <f>'Pencapaian Sales Value'!G326</f>
        <v>0</v>
      </c>
      <c r="U326" s="285">
        <f>'Pencapaian Sales Value'!I326</f>
        <v>0</v>
      </c>
      <c r="V326" s="304">
        <f>'Pencapaian Product Focus'!H325</f>
        <v>0</v>
      </c>
      <c r="W326" s="304">
        <f>'Pencapaian Product Focus'!L325</f>
        <v>0</v>
      </c>
      <c r="X326" s="285">
        <f>'Pencapaian Product Focus'!N325</f>
        <v>0</v>
      </c>
      <c r="Y326" s="304">
        <f>'Pencapaian Effective Call'!G325</f>
        <v>0</v>
      </c>
      <c r="Z326" s="285">
        <f>'Pencapaian Effective Call'!I325</f>
        <v>0</v>
      </c>
      <c r="AA326" s="304">
        <f>'Pencapaian New Open Outlet'!G325</f>
        <v>0</v>
      </c>
      <c r="AB326" s="285">
        <f>'Pencapaian New Open Outlet'!I325</f>
        <v>0</v>
      </c>
      <c r="AC326" s="304">
        <f>'Pencapaian Active Outlet'!G325</f>
        <v>0</v>
      </c>
      <c r="AD326" s="285">
        <f>'Pencapaian Active Outlet'!I325</f>
        <v>0</v>
      </c>
      <c r="AE326" s="304">
        <f>'Pencapaian Item per Outlet'!G325</f>
        <v>0</v>
      </c>
      <c r="AF326" s="285">
        <f>'Pencapaian Item per Outlet'!I325</f>
        <v>0</v>
      </c>
      <c r="AG326" s="304">
        <f>'Pencapaian Product Display'!G325</f>
        <v>0</v>
      </c>
      <c r="AH326" s="285">
        <f>'Pencapaian Product Display'!I325</f>
        <v>0</v>
      </c>
      <c r="AI326" s="304">
        <f>'Pencapaian Sales Contract'!G325</f>
        <v>0</v>
      </c>
      <c r="AJ326" s="285">
        <f>'Pencapaian Sales Contract'!I325</f>
        <v>0</v>
      </c>
      <c r="AK326" s="304">
        <f>'Pencapaian Co-Branding'!G325</f>
        <v>0</v>
      </c>
      <c r="AL326" s="285">
        <f>'Pencapaian Co-Branding'!I325</f>
        <v>0</v>
      </c>
      <c r="AM326" s="304">
        <f>'Pencapaian Join Event Activity'!G325</f>
        <v>0</v>
      </c>
      <c r="AN326" s="285">
        <f>'Pencapaian Join Event Activity'!I325</f>
        <v>0</v>
      </c>
      <c r="AO326" s="284">
        <f t="shared" si="135"/>
        <v>0</v>
      </c>
      <c r="AP326" s="322">
        <v>0</v>
      </c>
      <c r="AQ326" s="284">
        <f t="shared" si="136"/>
        <v>0</v>
      </c>
      <c r="AR326" s="322">
        <v>0</v>
      </c>
      <c r="AS326" s="284">
        <f t="shared" si="137"/>
        <v>0</v>
      </c>
      <c r="AT326" s="284">
        <f t="shared" si="138"/>
        <v>0</v>
      </c>
      <c r="AU326" s="284">
        <f t="shared" si="139"/>
        <v>0</v>
      </c>
      <c r="AV326" s="284">
        <v>0</v>
      </c>
    </row>
    <row r="327" spans="15:48" ht="16" x14ac:dyDescent="0.2">
      <c r="P327" s="386"/>
      <c r="Q327" s="52"/>
      <c r="R327" s="69" t="s">
        <v>870</v>
      </c>
      <c r="S327" s="12" t="s">
        <v>571</v>
      </c>
      <c r="T327" s="269">
        <f>'Pencapaian Sales Value'!G327</f>
        <v>1.0635301962962971</v>
      </c>
      <c r="U327" s="284">
        <f>'Pencapaian Sales Value'!I327</f>
        <v>264000</v>
      </c>
      <c r="V327" s="304">
        <f>'Pencapaian Product Focus'!H326</f>
        <v>0</v>
      </c>
      <c r="W327" s="304">
        <f>'Pencapaian Product Focus'!L326</f>
        <v>0</v>
      </c>
      <c r="X327" s="285">
        <f>'Pencapaian Product Focus'!N326</f>
        <v>0</v>
      </c>
      <c r="Y327" s="304">
        <f>'Pencapaian Effective Call'!G326</f>
        <v>0</v>
      </c>
      <c r="Z327" s="285">
        <f>'Pencapaian Effective Call'!I326</f>
        <v>0</v>
      </c>
      <c r="AA327" s="304">
        <f>'Pencapaian New Open Outlet'!G326</f>
        <v>0</v>
      </c>
      <c r="AB327" s="285">
        <f>'Pencapaian New Open Outlet'!I326</f>
        <v>0</v>
      </c>
      <c r="AC327" s="269">
        <f>'Pencapaian Active Outlet'!G326</f>
        <v>0.93</v>
      </c>
      <c r="AD327" s="284">
        <f>'Pencapaian Active Outlet'!I326</f>
        <v>297000</v>
      </c>
      <c r="AE327" s="304">
        <f>'Pencapaian Item per Outlet'!G326</f>
        <v>0</v>
      </c>
      <c r="AF327" s="285">
        <f>'Pencapaian Item per Outlet'!I326</f>
        <v>0</v>
      </c>
      <c r="AG327" s="304">
        <f>'Pencapaian Product Display'!G326</f>
        <v>0</v>
      </c>
      <c r="AH327" s="285">
        <f>'Pencapaian Product Display'!I326</f>
        <v>0</v>
      </c>
      <c r="AI327" s="304">
        <f>'Pencapaian Sales Contract'!G326</f>
        <v>0</v>
      </c>
      <c r="AJ327" s="285">
        <f>'Pencapaian Sales Contract'!I326</f>
        <v>0</v>
      </c>
      <c r="AK327" s="304">
        <f>'Pencapaian Co-Branding'!G326</f>
        <v>0</v>
      </c>
      <c r="AL327" s="285">
        <f>'Pencapaian Co-Branding'!I326</f>
        <v>0</v>
      </c>
      <c r="AM327" s="304">
        <f>'Pencapaian Join Event Activity'!G326</f>
        <v>0</v>
      </c>
      <c r="AN327" s="285">
        <f>'Pencapaian Join Event Activity'!I326</f>
        <v>0</v>
      </c>
      <c r="AO327" s="284">
        <f t="shared" si="135"/>
        <v>561000</v>
      </c>
      <c r="AP327" s="322">
        <v>0</v>
      </c>
      <c r="AQ327" s="284">
        <f t="shared" si="136"/>
        <v>0</v>
      </c>
      <c r="AR327" s="322">
        <v>0</v>
      </c>
      <c r="AS327" s="284">
        <f t="shared" si="137"/>
        <v>0</v>
      </c>
      <c r="AT327" s="284">
        <f t="shared" si="138"/>
        <v>561000</v>
      </c>
      <c r="AU327" s="284">
        <f t="shared" si="139"/>
        <v>561000</v>
      </c>
      <c r="AV327" s="284">
        <v>0</v>
      </c>
    </row>
    <row r="328" spans="15:48" ht="16" x14ac:dyDescent="0.2">
      <c r="P328" s="386"/>
      <c r="Q328" s="117"/>
      <c r="R328" s="117" t="s">
        <v>871</v>
      </c>
      <c r="S328" s="117"/>
      <c r="T328" s="304">
        <f>'Pencapaian Sales Value'!G328</f>
        <v>0</v>
      </c>
      <c r="U328" s="285">
        <f>'Pencapaian Sales Value'!I328</f>
        <v>0</v>
      </c>
      <c r="V328" s="304">
        <f>'Pencapaian Product Focus'!H327</f>
        <v>0</v>
      </c>
      <c r="W328" s="304">
        <f>'Pencapaian Product Focus'!L327</f>
        <v>0</v>
      </c>
      <c r="X328" s="285">
        <f>'Pencapaian Product Focus'!N327</f>
        <v>0</v>
      </c>
      <c r="Y328" s="304">
        <f>'Pencapaian Effective Call'!G327</f>
        <v>0</v>
      </c>
      <c r="Z328" s="285">
        <f>'Pencapaian Effective Call'!I327</f>
        <v>0</v>
      </c>
      <c r="AA328" s="304">
        <f>'Pencapaian New Open Outlet'!G327</f>
        <v>0</v>
      </c>
      <c r="AB328" s="285">
        <f>'Pencapaian New Open Outlet'!I327</f>
        <v>0</v>
      </c>
      <c r="AC328" s="304">
        <f>'Pencapaian Active Outlet'!G327</f>
        <v>0</v>
      </c>
      <c r="AD328" s="285">
        <f>'Pencapaian Active Outlet'!I327</f>
        <v>0</v>
      </c>
      <c r="AE328" s="304">
        <f>'Pencapaian Item per Outlet'!G327</f>
        <v>0</v>
      </c>
      <c r="AF328" s="285">
        <f>'Pencapaian Item per Outlet'!I327</f>
        <v>0</v>
      </c>
      <c r="AG328" s="304">
        <f>'Pencapaian Product Display'!G327</f>
        <v>0</v>
      </c>
      <c r="AH328" s="285">
        <f>'Pencapaian Product Display'!I327</f>
        <v>0</v>
      </c>
      <c r="AI328" s="304">
        <f>'Pencapaian Sales Contract'!G327</f>
        <v>0</v>
      </c>
      <c r="AJ328" s="285">
        <f>'Pencapaian Sales Contract'!I327</f>
        <v>0</v>
      </c>
      <c r="AK328" s="304">
        <f>'Pencapaian Co-Branding'!G327</f>
        <v>0</v>
      </c>
      <c r="AL328" s="285">
        <f>'Pencapaian Co-Branding'!I327</f>
        <v>0</v>
      </c>
      <c r="AM328" s="304">
        <f>'Pencapaian Join Event Activity'!G327</f>
        <v>0</v>
      </c>
      <c r="AN328" s="285">
        <f>'Pencapaian Join Event Activity'!I327</f>
        <v>0</v>
      </c>
      <c r="AO328" s="284">
        <f t="shared" si="135"/>
        <v>0</v>
      </c>
      <c r="AP328" s="322">
        <v>0</v>
      </c>
      <c r="AQ328" s="284">
        <f t="shared" si="136"/>
        <v>0</v>
      </c>
      <c r="AR328" s="322">
        <v>0</v>
      </c>
      <c r="AS328" s="284">
        <f t="shared" si="137"/>
        <v>0</v>
      </c>
      <c r="AT328" s="284">
        <f t="shared" si="138"/>
        <v>0</v>
      </c>
      <c r="AU328" s="284">
        <f t="shared" si="139"/>
        <v>0</v>
      </c>
      <c r="AV328" s="284">
        <v>0</v>
      </c>
    </row>
    <row r="329" spans="15:48" ht="16" x14ac:dyDescent="0.2">
      <c r="P329" s="386"/>
      <c r="Q329" s="117"/>
      <c r="R329" s="117" t="s">
        <v>872</v>
      </c>
      <c r="S329" s="117"/>
      <c r="T329" s="304">
        <f>'Pencapaian Sales Value'!G329</f>
        <v>0</v>
      </c>
      <c r="U329" s="285">
        <f>'Pencapaian Sales Value'!I329</f>
        <v>0</v>
      </c>
      <c r="V329" s="304">
        <f>'Pencapaian Product Focus'!H328</f>
        <v>0</v>
      </c>
      <c r="W329" s="304">
        <f>'Pencapaian Product Focus'!L328</f>
        <v>0</v>
      </c>
      <c r="X329" s="285">
        <f>'Pencapaian Product Focus'!N328</f>
        <v>0</v>
      </c>
      <c r="Y329" s="304">
        <f>'Pencapaian Effective Call'!G328</f>
        <v>0</v>
      </c>
      <c r="Z329" s="285">
        <f>'Pencapaian Effective Call'!I328</f>
        <v>0</v>
      </c>
      <c r="AA329" s="304">
        <f>'Pencapaian New Open Outlet'!G328</f>
        <v>0</v>
      </c>
      <c r="AB329" s="285">
        <f>'Pencapaian New Open Outlet'!I328</f>
        <v>0</v>
      </c>
      <c r="AC329" s="304">
        <f>'Pencapaian Active Outlet'!G328</f>
        <v>0</v>
      </c>
      <c r="AD329" s="285">
        <f>'Pencapaian Active Outlet'!I328</f>
        <v>0</v>
      </c>
      <c r="AE329" s="304">
        <f>'Pencapaian Item per Outlet'!G328</f>
        <v>0</v>
      </c>
      <c r="AF329" s="285">
        <f>'Pencapaian Item per Outlet'!I328</f>
        <v>0</v>
      </c>
      <c r="AG329" s="304">
        <f>'Pencapaian Product Display'!G328</f>
        <v>0</v>
      </c>
      <c r="AH329" s="285">
        <f>'Pencapaian Product Display'!I328</f>
        <v>0</v>
      </c>
      <c r="AI329" s="304">
        <f>'Pencapaian Sales Contract'!G328</f>
        <v>0</v>
      </c>
      <c r="AJ329" s="285">
        <f>'Pencapaian Sales Contract'!I328</f>
        <v>0</v>
      </c>
      <c r="AK329" s="304">
        <f>'Pencapaian Co-Branding'!G328</f>
        <v>0</v>
      </c>
      <c r="AL329" s="285">
        <f>'Pencapaian Co-Branding'!I328</f>
        <v>0</v>
      </c>
      <c r="AM329" s="304">
        <f>'Pencapaian Join Event Activity'!G328</f>
        <v>0</v>
      </c>
      <c r="AN329" s="285">
        <f>'Pencapaian Join Event Activity'!I328</f>
        <v>0</v>
      </c>
      <c r="AO329" s="284">
        <f t="shared" si="135"/>
        <v>0</v>
      </c>
      <c r="AP329" s="322">
        <v>0</v>
      </c>
      <c r="AQ329" s="284">
        <f t="shared" si="136"/>
        <v>0</v>
      </c>
      <c r="AR329" s="322">
        <v>0</v>
      </c>
      <c r="AS329" s="284">
        <f t="shared" si="137"/>
        <v>0</v>
      </c>
      <c r="AT329" s="284">
        <f t="shared" si="138"/>
        <v>0</v>
      </c>
      <c r="AU329" s="284">
        <f t="shared" si="139"/>
        <v>0</v>
      </c>
      <c r="AV329" s="284">
        <v>0</v>
      </c>
    </row>
    <row r="330" spans="15:48" ht="16" x14ac:dyDescent="0.2">
      <c r="P330" s="386"/>
      <c r="Q330" s="117"/>
      <c r="R330" s="117" t="s">
        <v>873</v>
      </c>
      <c r="S330" s="117"/>
      <c r="T330" s="304">
        <f>'Pencapaian Sales Value'!G330</f>
        <v>0</v>
      </c>
      <c r="U330" s="285">
        <f>'Pencapaian Sales Value'!I330</f>
        <v>0</v>
      </c>
      <c r="V330" s="304">
        <f>'Pencapaian Product Focus'!H329</f>
        <v>0</v>
      </c>
      <c r="W330" s="304">
        <f>'Pencapaian Product Focus'!L329</f>
        <v>0</v>
      </c>
      <c r="X330" s="285">
        <f>'Pencapaian Product Focus'!N329</f>
        <v>0</v>
      </c>
      <c r="Y330" s="304">
        <f>'Pencapaian Effective Call'!G329</f>
        <v>0</v>
      </c>
      <c r="Z330" s="285">
        <f>'Pencapaian Effective Call'!I329</f>
        <v>0</v>
      </c>
      <c r="AA330" s="304">
        <f>'Pencapaian New Open Outlet'!G329</f>
        <v>0</v>
      </c>
      <c r="AB330" s="285">
        <f>'Pencapaian New Open Outlet'!I329</f>
        <v>0</v>
      </c>
      <c r="AC330" s="304">
        <f>'Pencapaian Active Outlet'!G329</f>
        <v>0</v>
      </c>
      <c r="AD330" s="285">
        <f>'Pencapaian Active Outlet'!I329</f>
        <v>0</v>
      </c>
      <c r="AE330" s="304">
        <f>'Pencapaian Item per Outlet'!G329</f>
        <v>0</v>
      </c>
      <c r="AF330" s="285">
        <f>'Pencapaian Item per Outlet'!I329</f>
        <v>0</v>
      </c>
      <c r="AG330" s="304">
        <f>'Pencapaian Product Display'!G329</f>
        <v>0</v>
      </c>
      <c r="AH330" s="285">
        <f>'Pencapaian Product Display'!I329</f>
        <v>0</v>
      </c>
      <c r="AI330" s="304">
        <f>'Pencapaian Sales Contract'!G329</f>
        <v>0</v>
      </c>
      <c r="AJ330" s="285">
        <f>'Pencapaian Sales Contract'!I329</f>
        <v>0</v>
      </c>
      <c r="AK330" s="304">
        <f>'Pencapaian Co-Branding'!G329</f>
        <v>0</v>
      </c>
      <c r="AL330" s="285">
        <f>'Pencapaian Co-Branding'!I329</f>
        <v>0</v>
      </c>
      <c r="AM330" s="304">
        <f>'Pencapaian Join Event Activity'!G329</f>
        <v>0</v>
      </c>
      <c r="AN330" s="285">
        <f>'Pencapaian Join Event Activity'!I329</f>
        <v>0</v>
      </c>
      <c r="AO330" s="284">
        <f t="shared" si="135"/>
        <v>0</v>
      </c>
      <c r="AP330" s="322">
        <v>0</v>
      </c>
      <c r="AQ330" s="284">
        <f t="shared" si="136"/>
        <v>0</v>
      </c>
      <c r="AR330" s="322">
        <v>0</v>
      </c>
      <c r="AS330" s="284">
        <f t="shared" si="137"/>
        <v>0</v>
      </c>
      <c r="AT330" s="284">
        <f t="shared" si="138"/>
        <v>0</v>
      </c>
      <c r="AU330" s="284">
        <f t="shared" si="139"/>
        <v>0</v>
      </c>
      <c r="AV330" s="284">
        <v>0</v>
      </c>
    </row>
    <row r="331" spans="15:48" ht="16" x14ac:dyDescent="0.2">
      <c r="P331" s="386"/>
      <c r="Q331" s="117"/>
      <c r="R331" s="117" t="s">
        <v>874</v>
      </c>
      <c r="S331" s="117"/>
      <c r="T331" s="304">
        <f>'Pencapaian Sales Value'!G331</f>
        <v>0</v>
      </c>
      <c r="U331" s="285">
        <f>'Pencapaian Sales Value'!I331</f>
        <v>0</v>
      </c>
      <c r="V331" s="304">
        <f>'Pencapaian Product Focus'!H330</f>
        <v>0</v>
      </c>
      <c r="W331" s="304">
        <f>'Pencapaian Product Focus'!L330</f>
        <v>0</v>
      </c>
      <c r="X331" s="285">
        <f>'Pencapaian Product Focus'!N330</f>
        <v>0</v>
      </c>
      <c r="Y331" s="304">
        <f>'Pencapaian Effective Call'!G330</f>
        <v>0</v>
      </c>
      <c r="Z331" s="285">
        <f>'Pencapaian Effective Call'!I330</f>
        <v>0</v>
      </c>
      <c r="AA331" s="304">
        <f>'Pencapaian New Open Outlet'!G330</f>
        <v>0</v>
      </c>
      <c r="AB331" s="285">
        <f>'Pencapaian New Open Outlet'!I330</f>
        <v>0</v>
      </c>
      <c r="AC331" s="304">
        <f>'Pencapaian Active Outlet'!G330</f>
        <v>0</v>
      </c>
      <c r="AD331" s="285">
        <f>'Pencapaian Active Outlet'!I330</f>
        <v>0</v>
      </c>
      <c r="AE331" s="304">
        <f>'Pencapaian Item per Outlet'!G330</f>
        <v>0</v>
      </c>
      <c r="AF331" s="285">
        <f>'Pencapaian Item per Outlet'!I330</f>
        <v>0</v>
      </c>
      <c r="AG331" s="304">
        <f>'Pencapaian Product Display'!G330</f>
        <v>0</v>
      </c>
      <c r="AH331" s="285">
        <f>'Pencapaian Product Display'!I330</f>
        <v>0</v>
      </c>
      <c r="AI331" s="304">
        <f>'Pencapaian Sales Contract'!G330</f>
        <v>0</v>
      </c>
      <c r="AJ331" s="285">
        <f>'Pencapaian Sales Contract'!I330</f>
        <v>0</v>
      </c>
      <c r="AK331" s="304">
        <f>'Pencapaian Co-Branding'!G330</f>
        <v>0</v>
      </c>
      <c r="AL331" s="285">
        <f>'Pencapaian Co-Branding'!I330</f>
        <v>0</v>
      </c>
      <c r="AM331" s="304">
        <f>'Pencapaian Join Event Activity'!G330</f>
        <v>0</v>
      </c>
      <c r="AN331" s="285">
        <f>'Pencapaian Join Event Activity'!I330</f>
        <v>0</v>
      </c>
      <c r="AO331" s="284">
        <f t="shared" si="135"/>
        <v>0</v>
      </c>
      <c r="AP331" s="322">
        <v>0</v>
      </c>
      <c r="AQ331" s="284">
        <f t="shared" si="136"/>
        <v>0</v>
      </c>
      <c r="AR331" s="322">
        <v>0</v>
      </c>
      <c r="AS331" s="284">
        <f t="shared" si="137"/>
        <v>0</v>
      </c>
      <c r="AT331" s="284">
        <f t="shared" si="138"/>
        <v>0</v>
      </c>
      <c r="AU331" s="284">
        <f t="shared" si="139"/>
        <v>0</v>
      </c>
      <c r="AV331" s="284">
        <v>0</v>
      </c>
    </row>
    <row r="332" spans="15:48" ht="16" x14ac:dyDescent="0.2">
      <c r="P332" s="386"/>
      <c r="Q332" s="117"/>
      <c r="R332" s="117" t="s">
        <v>875</v>
      </c>
      <c r="S332" s="117"/>
      <c r="T332" s="304">
        <f>'Pencapaian Sales Value'!G332</f>
        <v>0</v>
      </c>
      <c r="U332" s="285">
        <f>'Pencapaian Sales Value'!I332</f>
        <v>0</v>
      </c>
      <c r="V332" s="304">
        <f>'Pencapaian Product Focus'!H331</f>
        <v>0</v>
      </c>
      <c r="W332" s="304">
        <f>'Pencapaian Product Focus'!L331</f>
        <v>0</v>
      </c>
      <c r="X332" s="285">
        <f>'Pencapaian Product Focus'!N331</f>
        <v>0</v>
      </c>
      <c r="Y332" s="304">
        <f>'Pencapaian Effective Call'!G331</f>
        <v>0</v>
      </c>
      <c r="Z332" s="285">
        <f>'Pencapaian Effective Call'!I331</f>
        <v>0</v>
      </c>
      <c r="AA332" s="304">
        <f>'Pencapaian New Open Outlet'!G331</f>
        <v>0</v>
      </c>
      <c r="AB332" s="285">
        <f>'Pencapaian New Open Outlet'!I331</f>
        <v>0</v>
      </c>
      <c r="AC332" s="304">
        <f>'Pencapaian Active Outlet'!G331</f>
        <v>0</v>
      </c>
      <c r="AD332" s="285">
        <f>'Pencapaian Active Outlet'!I331</f>
        <v>0</v>
      </c>
      <c r="AE332" s="304">
        <f>'Pencapaian Item per Outlet'!G331</f>
        <v>0</v>
      </c>
      <c r="AF332" s="285">
        <f>'Pencapaian Item per Outlet'!I331</f>
        <v>0</v>
      </c>
      <c r="AG332" s="304">
        <f>'Pencapaian Product Display'!G331</f>
        <v>0</v>
      </c>
      <c r="AH332" s="285">
        <f>'Pencapaian Product Display'!I331</f>
        <v>0</v>
      </c>
      <c r="AI332" s="304">
        <f>'Pencapaian Sales Contract'!G331</f>
        <v>0</v>
      </c>
      <c r="AJ332" s="285">
        <f>'Pencapaian Sales Contract'!I331</f>
        <v>0</v>
      </c>
      <c r="AK332" s="304">
        <f>'Pencapaian Co-Branding'!G331</f>
        <v>0</v>
      </c>
      <c r="AL332" s="285">
        <f>'Pencapaian Co-Branding'!I331</f>
        <v>0</v>
      </c>
      <c r="AM332" s="304">
        <f>'Pencapaian Join Event Activity'!G331</f>
        <v>0</v>
      </c>
      <c r="AN332" s="285">
        <f>'Pencapaian Join Event Activity'!I331</f>
        <v>0</v>
      </c>
      <c r="AO332" s="284">
        <f t="shared" si="135"/>
        <v>0</v>
      </c>
      <c r="AP332" s="322">
        <v>0</v>
      </c>
      <c r="AQ332" s="284">
        <f t="shared" si="136"/>
        <v>0</v>
      </c>
      <c r="AR332" s="322">
        <v>0</v>
      </c>
      <c r="AS332" s="284">
        <f t="shared" si="137"/>
        <v>0</v>
      </c>
      <c r="AT332" s="284">
        <f t="shared" si="138"/>
        <v>0</v>
      </c>
      <c r="AU332" s="284">
        <f t="shared" si="139"/>
        <v>0</v>
      </c>
      <c r="AV332" s="284">
        <v>0</v>
      </c>
    </row>
    <row r="333" spans="15:48" ht="16" x14ac:dyDescent="0.2">
      <c r="P333" s="386"/>
      <c r="Q333" s="117"/>
      <c r="R333" s="117" t="s">
        <v>876</v>
      </c>
      <c r="S333" s="117"/>
      <c r="T333" s="304">
        <f>'Pencapaian Sales Value'!G333</f>
        <v>0</v>
      </c>
      <c r="U333" s="285">
        <f>'Pencapaian Sales Value'!I333</f>
        <v>0</v>
      </c>
      <c r="V333" s="304">
        <f>'Pencapaian Product Focus'!H332</f>
        <v>0</v>
      </c>
      <c r="W333" s="304">
        <f>'Pencapaian Product Focus'!L332</f>
        <v>0</v>
      </c>
      <c r="X333" s="285">
        <f>'Pencapaian Product Focus'!N332</f>
        <v>0</v>
      </c>
      <c r="Y333" s="304">
        <f>'Pencapaian Effective Call'!G332</f>
        <v>0</v>
      </c>
      <c r="Z333" s="285">
        <f>'Pencapaian Effective Call'!I332</f>
        <v>0</v>
      </c>
      <c r="AA333" s="304">
        <f>'Pencapaian New Open Outlet'!G332</f>
        <v>0</v>
      </c>
      <c r="AB333" s="285">
        <f>'Pencapaian New Open Outlet'!I332</f>
        <v>0</v>
      </c>
      <c r="AC333" s="304">
        <f>'Pencapaian Active Outlet'!G332</f>
        <v>0</v>
      </c>
      <c r="AD333" s="285">
        <f>'Pencapaian Active Outlet'!I332</f>
        <v>0</v>
      </c>
      <c r="AE333" s="304">
        <f>'Pencapaian Item per Outlet'!G332</f>
        <v>0</v>
      </c>
      <c r="AF333" s="285">
        <f>'Pencapaian Item per Outlet'!I332</f>
        <v>0</v>
      </c>
      <c r="AG333" s="304">
        <f>'Pencapaian Product Display'!G332</f>
        <v>0</v>
      </c>
      <c r="AH333" s="285">
        <f>'Pencapaian Product Display'!I332</f>
        <v>0</v>
      </c>
      <c r="AI333" s="304">
        <f>'Pencapaian Sales Contract'!G332</f>
        <v>0</v>
      </c>
      <c r="AJ333" s="285">
        <f>'Pencapaian Sales Contract'!I332</f>
        <v>0</v>
      </c>
      <c r="AK333" s="304">
        <f>'Pencapaian Co-Branding'!G332</f>
        <v>0</v>
      </c>
      <c r="AL333" s="285">
        <f>'Pencapaian Co-Branding'!I332</f>
        <v>0</v>
      </c>
      <c r="AM333" s="304">
        <f>'Pencapaian Join Event Activity'!G332</f>
        <v>0</v>
      </c>
      <c r="AN333" s="285">
        <f>'Pencapaian Join Event Activity'!I332</f>
        <v>0</v>
      </c>
      <c r="AO333" s="284">
        <f t="shared" si="135"/>
        <v>0</v>
      </c>
      <c r="AP333" s="322">
        <v>0</v>
      </c>
      <c r="AQ333" s="284">
        <f t="shared" si="136"/>
        <v>0</v>
      </c>
      <c r="AR333" s="322">
        <v>0</v>
      </c>
      <c r="AS333" s="284">
        <f t="shared" si="137"/>
        <v>0</v>
      </c>
      <c r="AT333" s="284">
        <f t="shared" si="138"/>
        <v>0</v>
      </c>
      <c r="AU333" s="284">
        <f t="shared" si="139"/>
        <v>0</v>
      </c>
      <c r="AV333" s="284">
        <v>0</v>
      </c>
    </row>
    <row r="334" spans="15:48" ht="16" x14ac:dyDescent="0.2">
      <c r="P334" s="386"/>
      <c r="Q334" s="117"/>
      <c r="R334" s="117" t="s">
        <v>877</v>
      </c>
      <c r="S334" s="117"/>
      <c r="T334" s="304">
        <f>'Pencapaian Sales Value'!G334</f>
        <v>0</v>
      </c>
      <c r="U334" s="285">
        <f>'Pencapaian Sales Value'!I334</f>
        <v>0</v>
      </c>
      <c r="V334" s="304">
        <f>'Pencapaian Product Focus'!H333</f>
        <v>0</v>
      </c>
      <c r="W334" s="304">
        <f>'Pencapaian Product Focus'!L333</f>
        <v>0</v>
      </c>
      <c r="X334" s="285">
        <f>'Pencapaian Product Focus'!N333</f>
        <v>0</v>
      </c>
      <c r="Y334" s="304">
        <f>'Pencapaian Effective Call'!G333</f>
        <v>0</v>
      </c>
      <c r="Z334" s="285">
        <f>'Pencapaian Effective Call'!I333</f>
        <v>0</v>
      </c>
      <c r="AA334" s="304">
        <f>'Pencapaian New Open Outlet'!G333</f>
        <v>0</v>
      </c>
      <c r="AB334" s="285">
        <f>'Pencapaian New Open Outlet'!I333</f>
        <v>0</v>
      </c>
      <c r="AC334" s="304">
        <f>'Pencapaian Active Outlet'!G333</f>
        <v>0</v>
      </c>
      <c r="AD334" s="285">
        <f>'Pencapaian Active Outlet'!I333</f>
        <v>0</v>
      </c>
      <c r="AE334" s="304">
        <f>'Pencapaian Item per Outlet'!G333</f>
        <v>0</v>
      </c>
      <c r="AF334" s="285">
        <f>'Pencapaian Item per Outlet'!I333</f>
        <v>0</v>
      </c>
      <c r="AG334" s="304">
        <f>'Pencapaian Product Display'!G333</f>
        <v>0</v>
      </c>
      <c r="AH334" s="285">
        <f>'Pencapaian Product Display'!I333</f>
        <v>0</v>
      </c>
      <c r="AI334" s="304">
        <f>'Pencapaian Sales Contract'!G333</f>
        <v>0</v>
      </c>
      <c r="AJ334" s="285">
        <f>'Pencapaian Sales Contract'!I333</f>
        <v>0</v>
      </c>
      <c r="AK334" s="304">
        <f>'Pencapaian Co-Branding'!G333</f>
        <v>0</v>
      </c>
      <c r="AL334" s="285">
        <f>'Pencapaian Co-Branding'!I333</f>
        <v>0</v>
      </c>
      <c r="AM334" s="304">
        <f>'Pencapaian Join Event Activity'!G333</f>
        <v>0</v>
      </c>
      <c r="AN334" s="285">
        <f>'Pencapaian Join Event Activity'!I333</f>
        <v>0</v>
      </c>
      <c r="AO334" s="284">
        <f t="shared" si="135"/>
        <v>0</v>
      </c>
      <c r="AP334" s="322">
        <v>0</v>
      </c>
      <c r="AQ334" s="284">
        <f t="shared" si="136"/>
        <v>0</v>
      </c>
      <c r="AR334" s="322">
        <v>0</v>
      </c>
      <c r="AS334" s="284">
        <f t="shared" si="137"/>
        <v>0</v>
      </c>
      <c r="AT334" s="284">
        <f t="shared" si="138"/>
        <v>0</v>
      </c>
      <c r="AU334" s="284">
        <f t="shared" si="139"/>
        <v>0</v>
      </c>
      <c r="AV334" s="284">
        <v>0</v>
      </c>
    </row>
    <row r="335" spans="15:48" ht="16" x14ac:dyDescent="0.2">
      <c r="P335" s="386"/>
      <c r="Q335" s="78"/>
      <c r="R335" s="78" t="s">
        <v>892</v>
      </c>
      <c r="S335" s="64" t="s">
        <v>673</v>
      </c>
      <c r="T335" s="258">
        <f>'Pencapaian Sales Value'!G335</f>
        <v>1.0635301962962971</v>
      </c>
      <c r="U335" s="286">
        <f>'Pencapaian Sales Value'!I335</f>
        <v>180000</v>
      </c>
      <c r="V335" s="268">
        <f>'Pencapaian Product Focus'!H334</f>
        <v>0</v>
      </c>
      <c r="W335" s="268">
        <f>'Pencapaian Product Focus'!L334</f>
        <v>0</v>
      </c>
      <c r="X335" s="189">
        <f>'Pencapaian Product Focus'!N334</f>
        <v>0</v>
      </c>
      <c r="Y335" s="268">
        <f>'Pencapaian Effective Call'!G334</f>
        <v>0</v>
      </c>
      <c r="Z335" s="189">
        <f>'Pencapaian Effective Call'!I334</f>
        <v>0</v>
      </c>
      <c r="AA335" s="268">
        <f>'Pencapaian New Open Outlet'!G334</f>
        <v>0</v>
      </c>
      <c r="AB335" s="189">
        <f>'Pencapaian New Open Outlet'!I334</f>
        <v>0</v>
      </c>
      <c r="AC335" s="258">
        <f>'Pencapaian Active Outlet'!G334</f>
        <v>0.93</v>
      </c>
      <c r="AD335" s="286">
        <f>'Pencapaian Active Outlet'!I334</f>
        <v>210000</v>
      </c>
      <c r="AE335" s="268">
        <f>'Pencapaian Item per Outlet'!G334</f>
        <v>0</v>
      </c>
      <c r="AF335" s="189">
        <f>'Pencapaian Item per Outlet'!I334</f>
        <v>0</v>
      </c>
      <c r="AG335" s="268">
        <f>'Pencapaian Product Display'!G334</f>
        <v>0</v>
      </c>
      <c r="AH335" s="189">
        <f>'Pencapaian Product Display'!I334</f>
        <v>0</v>
      </c>
      <c r="AI335" s="268">
        <f>'Pencapaian Sales Contract'!G334</f>
        <v>0</v>
      </c>
      <c r="AJ335" s="189">
        <f>'Pencapaian Sales Contract'!I334</f>
        <v>0</v>
      </c>
      <c r="AK335" s="268">
        <f>'Pencapaian Co-Branding'!G334</f>
        <v>0</v>
      </c>
      <c r="AL335" s="189">
        <f>'Pencapaian Co-Branding'!I334</f>
        <v>0</v>
      </c>
      <c r="AM335" s="268">
        <f>'Pencapaian Join Event Activity'!G334</f>
        <v>0</v>
      </c>
      <c r="AN335" s="189">
        <f>'Pencapaian Join Event Activity'!I334</f>
        <v>0</v>
      </c>
      <c r="AO335" s="286">
        <f t="shared" si="135"/>
        <v>390000</v>
      </c>
      <c r="AP335" s="289">
        <v>0</v>
      </c>
      <c r="AQ335" s="286">
        <f t="shared" si="136"/>
        <v>0</v>
      </c>
      <c r="AR335" s="289">
        <v>0</v>
      </c>
      <c r="AS335" s="286">
        <f t="shared" si="137"/>
        <v>0</v>
      </c>
      <c r="AT335" s="286">
        <f t="shared" si="138"/>
        <v>390000</v>
      </c>
      <c r="AU335" s="286">
        <f t="shared" si="139"/>
        <v>390000</v>
      </c>
      <c r="AV335" s="286">
        <v>0</v>
      </c>
    </row>
    <row r="336" spans="15:48" ht="16" x14ac:dyDescent="0.2">
      <c r="P336" s="386"/>
      <c r="Q336" s="78"/>
      <c r="R336" s="78" t="s">
        <v>74</v>
      </c>
      <c r="S336" s="64" t="s">
        <v>20</v>
      </c>
      <c r="T336" s="258">
        <f>'Pencapaian Sales Value'!G336</f>
        <v>1.0635301962962971</v>
      </c>
      <c r="U336" s="286">
        <f>'Pencapaian Sales Value'!I336</f>
        <v>480000</v>
      </c>
      <c r="V336" s="268">
        <f>'Pencapaian Product Focus'!H335</f>
        <v>0</v>
      </c>
      <c r="W336" s="268">
        <f>'Pencapaian Product Focus'!L335</f>
        <v>0</v>
      </c>
      <c r="X336" s="189">
        <f>'Pencapaian Product Focus'!N335</f>
        <v>0</v>
      </c>
      <c r="Y336" s="268">
        <f>'Pencapaian Effective Call'!G335</f>
        <v>0</v>
      </c>
      <c r="Z336" s="189">
        <f>'Pencapaian Effective Call'!I335</f>
        <v>0</v>
      </c>
      <c r="AA336" s="268">
        <f>'Pencapaian New Open Outlet'!G335</f>
        <v>0</v>
      </c>
      <c r="AB336" s="189">
        <f>'Pencapaian New Open Outlet'!I335</f>
        <v>0</v>
      </c>
      <c r="AC336" s="258">
        <f>'Pencapaian Active Outlet'!G335</f>
        <v>0.93</v>
      </c>
      <c r="AD336" s="286">
        <f>'Pencapaian Active Outlet'!I335</f>
        <v>504000</v>
      </c>
      <c r="AE336" s="268">
        <f>'Pencapaian Item per Outlet'!G335</f>
        <v>0</v>
      </c>
      <c r="AF336" s="189">
        <f>'Pencapaian Item per Outlet'!I335</f>
        <v>0</v>
      </c>
      <c r="AG336" s="268">
        <f>'Pencapaian Product Display'!G335</f>
        <v>0</v>
      </c>
      <c r="AH336" s="189">
        <f>'Pencapaian Product Display'!I335</f>
        <v>0</v>
      </c>
      <c r="AI336" s="268">
        <f>'Pencapaian Sales Contract'!G335</f>
        <v>0</v>
      </c>
      <c r="AJ336" s="189">
        <f>'Pencapaian Sales Contract'!I335</f>
        <v>0</v>
      </c>
      <c r="AK336" s="268">
        <f>'Pencapaian Co-Branding'!G335</f>
        <v>0</v>
      </c>
      <c r="AL336" s="189">
        <f>'Pencapaian Co-Branding'!I335</f>
        <v>0</v>
      </c>
      <c r="AM336" s="268">
        <f>'Pencapaian Join Event Activity'!G335</f>
        <v>0</v>
      </c>
      <c r="AN336" s="189">
        <f>'Pencapaian Join Event Activity'!I335</f>
        <v>0</v>
      </c>
      <c r="AO336" s="286">
        <f t="shared" si="135"/>
        <v>984000</v>
      </c>
      <c r="AP336" s="289">
        <v>0</v>
      </c>
      <c r="AQ336" s="286">
        <f t="shared" si="136"/>
        <v>0</v>
      </c>
      <c r="AR336" s="289">
        <v>0</v>
      </c>
      <c r="AS336" s="286">
        <f t="shared" si="137"/>
        <v>0</v>
      </c>
      <c r="AT336" s="286">
        <f t="shared" si="138"/>
        <v>984000</v>
      </c>
      <c r="AU336" s="286">
        <f t="shared" si="139"/>
        <v>984000</v>
      </c>
      <c r="AV336" s="286">
        <v>0</v>
      </c>
    </row>
    <row r="337" spans="16:48" ht="16" x14ac:dyDescent="0.2">
      <c r="P337" s="387"/>
      <c r="Q337" s="71"/>
      <c r="R337" s="71" t="s">
        <v>866</v>
      </c>
      <c r="S337" s="42"/>
      <c r="T337" s="264">
        <f>'Pencapaian Sales Value'!G337</f>
        <v>1.0635301962962971</v>
      </c>
      <c r="U337" s="287">
        <f>'Pencapaian Sales Value'!I337</f>
        <v>924000</v>
      </c>
      <c r="V337" s="274">
        <f>'Pencapaian Product Focus'!H336</f>
        <v>0</v>
      </c>
      <c r="W337" s="274">
        <f>'Pencapaian Product Focus'!L336</f>
        <v>0</v>
      </c>
      <c r="X337" s="190">
        <f>'Pencapaian Product Focus'!N336</f>
        <v>0</v>
      </c>
      <c r="Y337" s="274">
        <f>'Pencapaian Effective Call'!G336</f>
        <v>0</v>
      </c>
      <c r="Z337" s="190">
        <f>'Pencapaian Effective Call'!I336</f>
        <v>0</v>
      </c>
      <c r="AA337" s="274">
        <f>'Pencapaian New Open Outlet'!G336</f>
        <v>0</v>
      </c>
      <c r="AB337" s="190">
        <f>'Pencapaian New Open Outlet'!I336</f>
        <v>0</v>
      </c>
      <c r="AC337" s="264">
        <f>'Pencapaian Active Outlet'!G336</f>
        <v>0.93</v>
      </c>
      <c r="AD337" s="287">
        <f>'Pencapaian Active Outlet'!I336</f>
        <v>1011000</v>
      </c>
      <c r="AE337" s="274">
        <f>'Pencapaian Item per Outlet'!G336</f>
        <v>0</v>
      </c>
      <c r="AF337" s="190">
        <f>'Pencapaian Item per Outlet'!I336</f>
        <v>0</v>
      </c>
      <c r="AG337" s="274">
        <f>'Pencapaian Product Display'!G336</f>
        <v>0</v>
      </c>
      <c r="AH337" s="190">
        <f>'Pencapaian Product Display'!I336</f>
        <v>0</v>
      </c>
      <c r="AI337" s="274">
        <f>'Pencapaian Sales Contract'!G336</f>
        <v>0</v>
      </c>
      <c r="AJ337" s="190">
        <f>'Pencapaian Sales Contract'!I336</f>
        <v>0</v>
      </c>
      <c r="AK337" s="274">
        <f>'Pencapaian Co-Branding'!G336</f>
        <v>0</v>
      </c>
      <c r="AL337" s="190">
        <f>'Pencapaian Co-Branding'!I336</f>
        <v>0</v>
      </c>
      <c r="AM337" s="274">
        <f>'Pencapaian Join Event Activity'!G336</f>
        <v>0</v>
      </c>
      <c r="AN337" s="190">
        <f>'Pencapaian Join Event Activity'!I336</f>
        <v>0</v>
      </c>
      <c r="AO337" s="287">
        <f t="shared" si="135"/>
        <v>1935000</v>
      </c>
      <c r="AP337" s="290">
        <v>0</v>
      </c>
      <c r="AQ337" s="287">
        <f>SUM(AQ325:AQ336)</f>
        <v>0</v>
      </c>
      <c r="AR337" s="290">
        <v>0</v>
      </c>
      <c r="AS337" s="287">
        <f>SUM(AS325:AS336)</f>
        <v>0</v>
      </c>
      <c r="AT337" s="287">
        <f t="shared" si="138"/>
        <v>1935000</v>
      </c>
      <c r="AU337" s="287">
        <f>SUM(AU325:AU336)</f>
        <v>1935000</v>
      </c>
      <c r="AV337" s="287">
        <f>SUM(AV325:AV336)</f>
        <v>0</v>
      </c>
    </row>
    <row r="338" spans="16:48" ht="16" x14ac:dyDescent="0.2">
      <c r="P338" s="206"/>
      <c r="Q338" s="206"/>
      <c r="R338" s="206" t="s">
        <v>867</v>
      </c>
      <c r="S338" s="209"/>
      <c r="T338" s="305">
        <f>'Pencapaian Sales Value'!G338</f>
        <v>1.0635301962962971</v>
      </c>
      <c r="U338" s="288">
        <f>'Pencapaian Sales Value'!I338</f>
        <v>924000</v>
      </c>
      <c r="V338" s="274">
        <f>'Pencapaian Product Focus'!H337</f>
        <v>0</v>
      </c>
      <c r="W338" s="274">
        <f>'Pencapaian Product Focus'!L337</f>
        <v>0</v>
      </c>
      <c r="X338" s="190">
        <f>'Pencapaian Product Focus'!N337</f>
        <v>0</v>
      </c>
      <c r="Y338" s="274">
        <f>'Pencapaian Effective Call'!G337</f>
        <v>0</v>
      </c>
      <c r="Z338" s="190">
        <f>'Pencapaian Effective Call'!I337</f>
        <v>0</v>
      </c>
      <c r="AA338" s="274">
        <f>'Pencapaian New Open Outlet'!G337</f>
        <v>0</v>
      </c>
      <c r="AB338" s="190">
        <f>'Pencapaian New Open Outlet'!I337</f>
        <v>0</v>
      </c>
      <c r="AC338" s="305">
        <f>'Pencapaian Active Outlet'!G337</f>
        <v>0.93</v>
      </c>
      <c r="AD338" s="288">
        <f>'Pencapaian Active Outlet'!I337</f>
        <v>1011000</v>
      </c>
      <c r="AE338" s="274">
        <f>'Pencapaian Item per Outlet'!G337</f>
        <v>0</v>
      </c>
      <c r="AF338" s="190">
        <f>'Pencapaian Item per Outlet'!I337</f>
        <v>0</v>
      </c>
      <c r="AG338" s="274">
        <f>'Pencapaian Product Display'!G337</f>
        <v>0</v>
      </c>
      <c r="AH338" s="190">
        <f>'Pencapaian Product Display'!I337</f>
        <v>0</v>
      </c>
      <c r="AI338" s="274">
        <f>'Pencapaian Sales Contract'!G337</f>
        <v>0</v>
      </c>
      <c r="AJ338" s="190">
        <f>'Pencapaian Sales Contract'!I337</f>
        <v>0</v>
      </c>
      <c r="AK338" s="274">
        <f>'Pencapaian Co-Branding'!G337</f>
        <v>0</v>
      </c>
      <c r="AL338" s="190">
        <f>'Pencapaian Co-Branding'!I337</f>
        <v>0</v>
      </c>
      <c r="AM338" s="274">
        <f>'Pencapaian Join Event Activity'!G337</f>
        <v>0</v>
      </c>
      <c r="AN338" s="190">
        <f>'Pencapaian Join Event Activity'!I337</f>
        <v>0</v>
      </c>
      <c r="AO338" s="288">
        <f t="shared" si="135"/>
        <v>1935000</v>
      </c>
      <c r="AP338" s="291">
        <v>0</v>
      </c>
      <c r="AQ338" s="288">
        <f>SUM(AQ337)</f>
        <v>0</v>
      </c>
      <c r="AR338" s="291">
        <v>0</v>
      </c>
      <c r="AS338" s="288">
        <f>SUM(AS337)</f>
        <v>0</v>
      </c>
      <c r="AT338" s="288">
        <f t="shared" si="138"/>
        <v>1935000</v>
      </c>
      <c r="AU338" s="288">
        <f t="shared" ref="AU338:AV338" si="140">SUM(AU337)</f>
        <v>1935000</v>
      </c>
      <c r="AV338" s="288">
        <f t="shared" si="140"/>
        <v>0</v>
      </c>
    </row>
    <row r="339" spans="16:48" x14ac:dyDescent="0.2">
      <c r="AP339" s="1" t="s">
        <v>797</v>
      </c>
    </row>
    <row r="342" spans="16:48" x14ac:dyDescent="0.2">
      <c r="AR342" s="282" t="s">
        <v>519</v>
      </c>
      <c r="AT342" s="327">
        <f>SUM(AT338,AT315,AT147,AT95,AT77,AT40)</f>
        <v>35928450</v>
      </c>
    </row>
    <row r="343" spans="16:48" x14ac:dyDescent="0.2">
      <c r="AR343" s="282" t="s">
        <v>518</v>
      </c>
      <c r="AT343" s="327">
        <f>'Pencapaian Sales Value'!I350</f>
        <v>220000</v>
      </c>
    </row>
    <row r="344" spans="16:48" x14ac:dyDescent="0.2">
      <c r="AR344" s="282" t="s">
        <v>517</v>
      </c>
      <c r="AT344" s="327">
        <f>'Rekap Insentif ASM'!N19</f>
        <v>1165000</v>
      </c>
    </row>
    <row r="346" spans="16:48" x14ac:dyDescent="0.2">
      <c r="AS346" s="327" t="s">
        <v>76</v>
      </c>
      <c r="AT346" s="327">
        <f>SUM(AT342:AT344)</f>
        <v>37313450</v>
      </c>
    </row>
  </sheetData>
  <mergeCells count="220">
    <mergeCell ref="N3:N4"/>
    <mergeCell ref="P3:P4"/>
    <mergeCell ref="Q3:Q4"/>
    <mergeCell ref="R3:R4"/>
    <mergeCell ref="P2:AV2"/>
    <mergeCell ref="B3:B4"/>
    <mergeCell ref="C3:C4"/>
    <mergeCell ref="D3:E3"/>
    <mergeCell ref="F3:F4"/>
    <mergeCell ref="G3:G4"/>
    <mergeCell ref="H3:H4"/>
    <mergeCell ref="I3:I4"/>
    <mergeCell ref="J3:J4"/>
    <mergeCell ref="K3:K4"/>
    <mergeCell ref="AP3:AS3"/>
    <mergeCell ref="AT3:AT4"/>
    <mergeCell ref="AU3:AU4"/>
    <mergeCell ref="AV3:AV4"/>
    <mergeCell ref="P5:P28"/>
    <mergeCell ref="B11:B12"/>
    <mergeCell ref="C11:C12"/>
    <mergeCell ref="D11:E11"/>
    <mergeCell ref="F11:F12"/>
    <mergeCell ref="G11:G12"/>
    <mergeCell ref="AE3:AF3"/>
    <mergeCell ref="AG3:AH3"/>
    <mergeCell ref="AI3:AJ3"/>
    <mergeCell ref="AK3:AL3"/>
    <mergeCell ref="AM3:AN3"/>
    <mergeCell ref="AO3:AO4"/>
    <mergeCell ref="S3:S4"/>
    <mergeCell ref="T3:U3"/>
    <mergeCell ref="V3:X3"/>
    <mergeCell ref="Y3:Z3"/>
    <mergeCell ref="AA3:AB3"/>
    <mergeCell ref="AC3:AD3"/>
    <mergeCell ref="L3:L4"/>
    <mergeCell ref="M3:M4"/>
    <mergeCell ref="B26:B27"/>
    <mergeCell ref="C26:C27"/>
    <mergeCell ref="D26:E26"/>
    <mergeCell ref="F26:F27"/>
    <mergeCell ref="G26:G27"/>
    <mergeCell ref="H26:H27"/>
    <mergeCell ref="I26:I27"/>
    <mergeCell ref="N11:N12"/>
    <mergeCell ref="B19:B20"/>
    <mergeCell ref="C19:C20"/>
    <mergeCell ref="D19:E19"/>
    <mergeCell ref="F19:F20"/>
    <mergeCell ref="G19:G20"/>
    <mergeCell ref="H19:H20"/>
    <mergeCell ref="I19:I20"/>
    <mergeCell ref="J19:J20"/>
    <mergeCell ref="K19:K20"/>
    <mergeCell ref="H11:H12"/>
    <mergeCell ref="I11:I12"/>
    <mergeCell ref="J11:J12"/>
    <mergeCell ref="K11:K12"/>
    <mergeCell ref="L11:L12"/>
    <mergeCell ref="M11:M12"/>
    <mergeCell ref="J26:J27"/>
    <mergeCell ref="K26:K27"/>
    <mergeCell ref="L26:L27"/>
    <mergeCell ref="M26:M27"/>
    <mergeCell ref="N26:N27"/>
    <mergeCell ref="P29:P34"/>
    <mergeCell ref="L19:L20"/>
    <mergeCell ref="M19:M20"/>
    <mergeCell ref="N19:N20"/>
    <mergeCell ref="L36:L37"/>
    <mergeCell ref="M36:M37"/>
    <mergeCell ref="N36:N37"/>
    <mergeCell ref="P48:P49"/>
    <mergeCell ref="Q48:Q49"/>
    <mergeCell ref="R48:R49"/>
    <mergeCell ref="P35:P39"/>
    <mergeCell ref="B36:B37"/>
    <mergeCell ref="C36:C37"/>
    <mergeCell ref="D36:E36"/>
    <mergeCell ref="F36:F37"/>
    <mergeCell ref="G36:G37"/>
    <mergeCell ref="H36:H37"/>
    <mergeCell ref="I36:I37"/>
    <mergeCell ref="J36:J37"/>
    <mergeCell ref="K36:K37"/>
    <mergeCell ref="Q41:AV41"/>
    <mergeCell ref="AP48:AS48"/>
    <mergeCell ref="AT48:AT49"/>
    <mergeCell ref="AU48:AU49"/>
    <mergeCell ref="AV48:AV49"/>
    <mergeCell ref="P50:P64"/>
    <mergeCell ref="B57:B58"/>
    <mergeCell ref="C57:C58"/>
    <mergeCell ref="D57:E57"/>
    <mergeCell ref="F57:F58"/>
    <mergeCell ref="G57:G58"/>
    <mergeCell ref="AE48:AF48"/>
    <mergeCell ref="AG48:AH48"/>
    <mergeCell ref="AI48:AJ48"/>
    <mergeCell ref="AK48:AL48"/>
    <mergeCell ref="AM48:AN48"/>
    <mergeCell ref="AO48:AO49"/>
    <mergeCell ref="S48:S49"/>
    <mergeCell ref="T48:U48"/>
    <mergeCell ref="V48:X48"/>
    <mergeCell ref="Y48:Z48"/>
    <mergeCell ref="AA48:AB48"/>
    <mergeCell ref="AC48:AD48"/>
    <mergeCell ref="N57:N58"/>
    <mergeCell ref="P65:P71"/>
    <mergeCell ref="P72:P76"/>
    <mergeCell ref="P85:P86"/>
    <mergeCell ref="Q85:Q86"/>
    <mergeCell ref="R85:R86"/>
    <mergeCell ref="H57:H58"/>
    <mergeCell ref="I57:I58"/>
    <mergeCell ref="J57:J58"/>
    <mergeCell ref="K57:K58"/>
    <mergeCell ref="L57:L58"/>
    <mergeCell ref="M57:M58"/>
    <mergeCell ref="AV85:AV86"/>
    <mergeCell ref="P87:P90"/>
    <mergeCell ref="P91:P94"/>
    <mergeCell ref="AE85:AF85"/>
    <mergeCell ref="AG85:AH85"/>
    <mergeCell ref="AI85:AJ85"/>
    <mergeCell ref="AK85:AL85"/>
    <mergeCell ref="AM85:AN85"/>
    <mergeCell ref="AO85:AO86"/>
    <mergeCell ref="S85:S86"/>
    <mergeCell ref="T85:U85"/>
    <mergeCell ref="V85:X85"/>
    <mergeCell ref="Y85:Z85"/>
    <mergeCell ref="AA85:AB85"/>
    <mergeCell ref="AC85:AD85"/>
    <mergeCell ref="P103:P104"/>
    <mergeCell ref="Q103:Q104"/>
    <mergeCell ref="R103:R104"/>
    <mergeCell ref="S103:S104"/>
    <mergeCell ref="T103:U103"/>
    <mergeCell ref="V103:X103"/>
    <mergeCell ref="AP85:AS85"/>
    <mergeCell ref="AT85:AT86"/>
    <mergeCell ref="AU85:AU86"/>
    <mergeCell ref="P134:P146"/>
    <mergeCell ref="P155:P156"/>
    <mergeCell ref="Q155:Q156"/>
    <mergeCell ref="R155:R156"/>
    <mergeCell ref="S155:S156"/>
    <mergeCell ref="T155:U155"/>
    <mergeCell ref="AV103:AV104"/>
    <mergeCell ref="P105:P109"/>
    <mergeCell ref="P110:P115"/>
    <mergeCell ref="P116:P120"/>
    <mergeCell ref="P121:P128"/>
    <mergeCell ref="P129:P133"/>
    <mergeCell ref="AK103:AL103"/>
    <mergeCell ref="AM103:AN103"/>
    <mergeCell ref="AO103:AO104"/>
    <mergeCell ref="AP103:AS103"/>
    <mergeCell ref="AT103:AT104"/>
    <mergeCell ref="AU103:AU104"/>
    <mergeCell ref="Y103:Z103"/>
    <mergeCell ref="AA103:AB103"/>
    <mergeCell ref="AC103:AD103"/>
    <mergeCell ref="AE103:AF103"/>
    <mergeCell ref="AG103:AH103"/>
    <mergeCell ref="AI103:AJ103"/>
    <mergeCell ref="P200:P215"/>
    <mergeCell ref="P216:P220"/>
    <mergeCell ref="P221:P225"/>
    <mergeCell ref="P227:P242"/>
    <mergeCell ref="P243:P249"/>
    <mergeCell ref="P250:P258"/>
    <mergeCell ref="AU155:AU156"/>
    <mergeCell ref="AV155:AV156"/>
    <mergeCell ref="P157:P165"/>
    <mergeCell ref="P166:P181"/>
    <mergeCell ref="P182:P189"/>
    <mergeCell ref="P191:P199"/>
    <mergeCell ref="AI155:AJ155"/>
    <mergeCell ref="AK155:AL155"/>
    <mergeCell ref="AM155:AN155"/>
    <mergeCell ref="AO155:AO156"/>
    <mergeCell ref="AP155:AS155"/>
    <mergeCell ref="AT155:AT156"/>
    <mergeCell ref="V155:X155"/>
    <mergeCell ref="Y155:Z155"/>
    <mergeCell ref="AA155:AB155"/>
    <mergeCell ref="AC155:AD155"/>
    <mergeCell ref="AE155:AF155"/>
    <mergeCell ref="AG155:AH155"/>
    <mergeCell ref="P308:P313"/>
    <mergeCell ref="P323:P324"/>
    <mergeCell ref="Q323:Q324"/>
    <mergeCell ref="R323:R324"/>
    <mergeCell ref="S323:S324"/>
    <mergeCell ref="T323:U323"/>
    <mergeCell ref="P260:P274"/>
    <mergeCell ref="P275:P280"/>
    <mergeCell ref="P282:P288"/>
    <mergeCell ref="P289:P292"/>
    <mergeCell ref="P293:P299"/>
    <mergeCell ref="P300:P307"/>
    <mergeCell ref="AU323:AU324"/>
    <mergeCell ref="AV323:AV324"/>
    <mergeCell ref="P325:P337"/>
    <mergeCell ref="AI323:AJ323"/>
    <mergeCell ref="AK323:AL323"/>
    <mergeCell ref="AM323:AN323"/>
    <mergeCell ref="AO323:AO324"/>
    <mergeCell ref="AP323:AS323"/>
    <mergeCell ref="AT323:AT324"/>
    <mergeCell ref="V323:X323"/>
    <mergeCell ref="Y323:Z323"/>
    <mergeCell ref="AA323:AB323"/>
    <mergeCell ref="AC323:AD323"/>
    <mergeCell ref="AE323:AF323"/>
    <mergeCell ref="AG323:AH323"/>
  </mergeCells>
  <conditionalFormatting sqref="C5:M7 C13:M15 C21:M22">
    <cfRule type="cellIs" dxfId="721" priority="186" operator="greaterThan">
      <formula>0.7</formula>
    </cfRule>
  </conditionalFormatting>
  <conditionalFormatting sqref="C28:M32">
    <cfRule type="cellIs" dxfId="720" priority="137" operator="greaterThan">
      <formula>0.7</formula>
    </cfRule>
  </conditionalFormatting>
  <conditionalFormatting sqref="C38:M53">
    <cfRule type="cellIs" dxfId="719" priority="29" operator="greaterThan">
      <formula>0.7</formula>
    </cfRule>
  </conditionalFormatting>
  <conditionalFormatting sqref="C59:M59">
    <cfRule type="cellIs" dxfId="718" priority="28" operator="greaterThan">
      <formula>0.7</formula>
    </cfRule>
  </conditionalFormatting>
  <conditionalFormatting sqref="T5:T12 T14:T20 T29:T30 T51:T54 V51:W54 Y51:Y54 AE51:AE54 T56:T57 V56:W57 Y56:Y57 AE56:AE57 T59:T61 T63 T72:T74 T105:T106 T110:T113 T124 T130:T131">
    <cfRule type="cellIs" dxfId="717" priority="185" operator="lessThanOrEqual">
      <formula>0.7</formula>
    </cfRule>
  </conditionalFormatting>
  <conditionalFormatting sqref="T22:T23">
    <cfRule type="cellIs" dxfId="716" priority="182" operator="lessThanOrEqual">
      <formula>0.7</formula>
    </cfRule>
  </conditionalFormatting>
  <conditionalFormatting sqref="T25:T26">
    <cfRule type="cellIs" dxfId="715" priority="181" operator="lessThanOrEqual">
      <formula>0.7</formula>
    </cfRule>
  </conditionalFormatting>
  <conditionalFormatting sqref="T32">
    <cfRule type="cellIs" dxfId="714" priority="13" operator="lessThanOrEqual">
      <formula>0.7</formula>
    </cfRule>
  </conditionalFormatting>
  <conditionalFormatting sqref="T35:T37">
    <cfRule type="cellIs" dxfId="713" priority="179" operator="lessThanOrEqual">
      <formula>0.7</formula>
    </cfRule>
  </conditionalFormatting>
  <conditionalFormatting sqref="T65:T69">
    <cfRule type="cellIs" dxfId="712" priority="143" operator="lessThanOrEqual">
      <formula>0.7</formula>
    </cfRule>
  </conditionalFormatting>
  <conditionalFormatting sqref="T87:T88 T91:T92">
    <cfRule type="cellIs" dxfId="711" priority="180" operator="lessThanOrEqual">
      <formula>0.7</formula>
    </cfRule>
  </conditionalFormatting>
  <conditionalFormatting sqref="T116:T119">
    <cfRule type="cellIs" dxfId="710" priority="7" operator="lessThanOrEqual">
      <formula>0.7</formula>
    </cfRule>
  </conditionalFormatting>
  <conditionalFormatting sqref="T134:T144">
    <cfRule type="cellIs" dxfId="709" priority="94" operator="lessThanOrEqual">
      <formula>0.7</formula>
    </cfRule>
  </conditionalFormatting>
  <conditionalFormatting sqref="T157:T162">
    <cfRule type="cellIs" dxfId="708" priority="92" operator="lessThanOrEqual">
      <formula>0.7</formula>
    </cfRule>
  </conditionalFormatting>
  <conditionalFormatting sqref="T166:T172">
    <cfRule type="cellIs" dxfId="707" priority="136" operator="lessThanOrEqual">
      <formula>0.7</formula>
    </cfRule>
  </conditionalFormatting>
  <conditionalFormatting sqref="T174:T178">
    <cfRule type="cellIs" dxfId="706" priority="134" operator="lessThanOrEqual">
      <formula>0.7</formula>
    </cfRule>
  </conditionalFormatting>
  <conditionalFormatting sqref="T182:T188">
    <cfRule type="cellIs" dxfId="705" priority="132" operator="lessThanOrEqual">
      <formula>0.7</formula>
    </cfRule>
  </conditionalFormatting>
  <conditionalFormatting sqref="T191:T196 AC191:AC196">
    <cfRule type="cellIs" dxfId="704" priority="23" operator="lessThanOrEqual">
      <formula>0.7</formula>
    </cfRule>
  </conditionalFormatting>
  <conditionalFormatting sqref="T200:T204">
    <cfRule type="cellIs" dxfId="703" priority="130" operator="lessThanOrEqual">
      <formula>0.7</formula>
    </cfRule>
  </conditionalFormatting>
  <conditionalFormatting sqref="T206:T212 AC206:AC212">
    <cfRule type="cellIs" dxfId="702" priority="88" operator="lessThanOrEqual">
      <formula>0.7</formula>
    </cfRule>
  </conditionalFormatting>
  <conditionalFormatting sqref="T216:T218">
    <cfRule type="cellIs" dxfId="701" priority="85" operator="lessThanOrEqual">
      <formula>0.7</formula>
    </cfRule>
  </conditionalFormatting>
  <conditionalFormatting sqref="T221:T223">
    <cfRule type="cellIs" dxfId="700" priority="81" operator="lessThanOrEqual">
      <formula>0.7</formula>
    </cfRule>
  </conditionalFormatting>
  <conditionalFormatting sqref="T227:T233">
    <cfRule type="cellIs" dxfId="699" priority="77" operator="lessThanOrEqual">
      <formula>0.7</formula>
    </cfRule>
  </conditionalFormatting>
  <conditionalFormatting sqref="T235:T239">
    <cfRule type="cellIs" dxfId="698" priority="126" operator="lessThanOrEqual">
      <formula>0.7</formula>
    </cfRule>
  </conditionalFormatting>
  <conditionalFormatting sqref="T243:T247">
    <cfRule type="cellIs" dxfId="697" priority="124" operator="lessThanOrEqual">
      <formula>0.7</formula>
    </cfRule>
  </conditionalFormatting>
  <conditionalFormatting sqref="T250:T256">
    <cfRule type="cellIs" dxfId="696" priority="128" operator="lessThanOrEqual">
      <formula>0.7</formula>
    </cfRule>
  </conditionalFormatting>
  <conditionalFormatting sqref="T260:T264">
    <cfRule type="cellIs" dxfId="695" priority="73" operator="lessThanOrEqual">
      <formula>0.7</formula>
    </cfRule>
  </conditionalFormatting>
  <conditionalFormatting sqref="T266:T271">
    <cfRule type="cellIs" dxfId="694" priority="69" operator="lessThanOrEqual">
      <formula>0.7</formula>
    </cfRule>
  </conditionalFormatting>
  <conditionalFormatting sqref="T275:T278">
    <cfRule type="cellIs" dxfId="693" priority="20" operator="lessThanOrEqual">
      <formula>0.7</formula>
    </cfRule>
  </conditionalFormatting>
  <conditionalFormatting sqref="T282:T286">
    <cfRule type="cellIs" dxfId="692" priority="65" operator="lessThanOrEqual">
      <formula>0.7</formula>
    </cfRule>
  </conditionalFormatting>
  <conditionalFormatting sqref="T289:T290">
    <cfRule type="cellIs" dxfId="691" priority="27" operator="lessThanOrEqual">
      <formula>0.7</formula>
    </cfRule>
  </conditionalFormatting>
  <conditionalFormatting sqref="T293:T297">
    <cfRule type="cellIs" dxfId="690" priority="61" operator="lessThanOrEqual">
      <formula>0.7</formula>
    </cfRule>
  </conditionalFormatting>
  <conditionalFormatting sqref="T300:T305 AC300:AC305">
    <cfRule type="cellIs" dxfId="689" priority="57" operator="lessThanOrEqual">
      <formula>0.7</formula>
    </cfRule>
  </conditionalFormatting>
  <conditionalFormatting sqref="T308:T311 AC308:AC311">
    <cfRule type="cellIs" dxfId="688" priority="54" operator="lessThanOrEqual">
      <formula>0.7</formula>
    </cfRule>
  </conditionalFormatting>
  <conditionalFormatting sqref="T327">
    <cfRule type="cellIs" dxfId="687" priority="16" operator="lessThanOrEqual">
      <formula>0.7</formula>
    </cfRule>
  </conditionalFormatting>
  <conditionalFormatting sqref="V5:W10 V14:W20 V29:W30">
    <cfRule type="cellIs" dxfId="686" priority="178" operator="lessThanOrEqual">
      <formula>0.7</formula>
    </cfRule>
  </conditionalFormatting>
  <conditionalFormatting sqref="V25:W26">
    <cfRule type="cellIs" dxfId="685" priority="148" operator="lessThanOrEqual">
      <formula>0.7</formula>
    </cfRule>
  </conditionalFormatting>
  <conditionalFormatting sqref="V32:W32">
    <cfRule type="cellIs" dxfId="684" priority="12" operator="lessThanOrEqual">
      <formula>0.7</formula>
    </cfRule>
  </conditionalFormatting>
  <conditionalFormatting sqref="V59:W60 V63:W63">
    <cfRule type="cellIs" dxfId="683" priority="167" operator="lessThanOrEqual">
      <formula>0.7</formula>
    </cfRule>
  </conditionalFormatting>
  <conditionalFormatting sqref="V65:W68">
    <cfRule type="cellIs" dxfId="682" priority="142" operator="lessThanOrEqual">
      <formula>0.7</formula>
    </cfRule>
  </conditionalFormatting>
  <conditionalFormatting sqref="V105:W106 V110:W113">
    <cfRule type="cellIs" dxfId="681" priority="163" operator="lessThanOrEqual">
      <formula>0.7</formula>
    </cfRule>
  </conditionalFormatting>
  <conditionalFormatting sqref="V116:W119">
    <cfRule type="cellIs" dxfId="680" priority="6" operator="lessThanOrEqual">
      <formula>0.7</formula>
    </cfRule>
  </conditionalFormatting>
  <conditionalFormatting sqref="Y5:Y10 Y14:Y20 Y29:Y30">
    <cfRule type="cellIs" dxfId="679" priority="177" operator="lessThanOrEqual">
      <formula>0.7</formula>
    </cfRule>
  </conditionalFormatting>
  <conditionalFormatting sqref="Y25:Y26">
    <cfRule type="cellIs" dxfId="678" priority="176" operator="lessThanOrEqual">
      <formula>0.7</formula>
    </cfRule>
  </conditionalFormatting>
  <conditionalFormatting sqref="Y32">
    <cfRule type="cellIs" dxfId="677" priority="11" operator="lessThanOrEqual">
      <formula>0.7</formula>
    </cfRule>
  </conditionalFormatting>
  <conditionalFormatting sqref="Y35:Y37">
    <cfRule type="cellIs" dxfId="676" priority="175" operator="lessThanOrEqual">
      <formula>0.7</formula>
    </cfRule>
  </conditionalFormatting>
  <conditionalFormatting sqref="Y59:Y60 Y72:Y74">
    <cfRule type="cellIs" dxfId="675" priority="166" operator="lessThanOrEqual">
      <formula>0.7</formula>
    </cfRule>
  </conditionalFormatting>
  <conditionalFormatting sqref="Y63">
    <cfRule type="cellIs" dxfId="674" priority="152" operator="lessThanOrEqual">
      <formula>0.7</formula>
    </cfRule>
  </conditionalFormatting>
  <conditionalFormatting sqref="Y65:Y68">
    <cfRule type="cellIs" dxfId="673" priority="141" operator="lessThanOrEqual">
      <formula>0.7</formula>
    </cfRule>
  </conditionalFormatting>
  <conditionalFormatting sqref="Y87:Y88 Y91:Y92">
    <cfRule type="cellIs" dxfId="672" priority="159" operator="lessThanOrEqual">
      <formula>0.7</formula>
    </cfRule>
  </conditionalFormatting>
  <conditionalFormatting sqref="Y105:Y106 Y110:Y113 Y130:Y131">
    <cfRule type="cellIs" dxfId="671" priority="162" operator="lessThanOrEqual">
      <formula>0.7</formula>
    </cfRule>
  </conditionalFormatting>
  <conditionalFormatting sqref="Y116:Y119">
    <cfRule type="cellIs" dxfId="670" priority="5" operator="lessThanOrEqual">
      <formula>0.7</formula>
    </cfRule>
  </conditionalFormatting>
  <conditionalFormatting sqref="AA11:AA12">
    <cfRule type="cellIs" dxfId="669" priority="151" operator="lessThanOrEqual">
      <formula>0.7</formula>
    </cfRule>
  </conditionalFormatting>
  <conditionalFormatting sqref="AA22:AA23">
    <cfRule type="cellIs" dxfId="668" priority="173" operator="lessThanOrEqual">
      <formula>0.7</formula>
    </cfRule>
  </conditionalFormatting>
  <conditionalFormatting sqref="AA25:AA26">
    <cfRule type="cellIs" dxfId="667" priority="172" operator="lessThanOrEqual">
      <formula>0.7</formula>
    </cfRule>
  </conditionalFormatting>
  <conditionalFormatting sqref="AA29:AA30">
    <cfRule type="cellIs" dxfId="666" priority="174" operator="lessThanOrEqual">
      <formula>0.7</formula>
    </cfRule>
  </conditionalFormatting>
  <conditionalFormatting sqref="AA32">
    <cfRule type="cellIs" dxfId="665" priority="10" operator="lessThanOrEqual">
      <formula>0.7</formula>
    </cfRule>
  </conditionalFormatting>
  <conditionalFormatting sqref="AA35:AA37">
    <cfRule type="cellIs" dxfId="664" priority="171" operator="lessThanOrEqual">
      <formula>0.7</formula>
    </cfRule>
  </conditionalFormatting>
  <conditionalFormatting sqref="AA61">
    <cfRule type="cellIs" dxfId="663" priority="147" operator="lessThanOrEqual">
      <formula>0.7</formula>
    </cfRule>
  </conditionalFormatting>
  <conditionalFormatting sqref="AA65:AA69">
    <cfRule type="cellIs" dxfId="662" priority="140" operator="lessThanOrEqual">
      <formula>0.7</formula>
    </cfRule>
  </conditionalFormatting>
  <conditionalFormatting sqref="AA72:AA74">
    <cfRule type="cellIs" dxfId="661" priority="165" operator="lessThanOrEqual">
      <formula>0.7</formula>
    </cfRule>
  </conditionalFormatting>
  <conditionalFormatting sqref="AA87:AA88 AA91:AA92">
    <cfRule type="cellIs" dxfId="660" priority="158" operator="lessThanOrEqual">
      <formula>0.7</formula>
    </cfRule>
  </conditionalFormatting>
  <conditionalFormatting sqref="AA105:AA106 AA110:AA113 AA130:AA131">
    <cfRule type="cellIs" dxfId="659" priority="161" operator="lessThanOrEqual">
      <formula>0.7</formula>
    </cfRule>
  </conditionalFormatting>
  <conditionalFormatting sqref="AA116:AA119">
    <cfRule type="cellIs" dxfId="658" priority="4" operator="lessThanOrEqual">
      <formula>0.7</formula>
    </cfRule>
  </conditionalFormatting>
  <conditionalFormatting sqref="AC11:AC12">
    <cfRule type="cellIs" dxfId="657" priority="150" operator="lessThanOrEqual">
      <formula>0.7</formula>
    </cfRule>
  </conditionalFormatting>
  <conditionalFormatting sqref="AC22:AC23">
    <cfRule type="cellIs" dxfId="656" priority="154" operator="lessThanOrEqual">
      <formula>0.7</formula>
    </cfRule>
  </conditionalFormatting>
  <conditionalFormatting sqref="AC35:AC37">
    <cfRule type="cellIs" dxfId="655" priority="155" operator="lessThanOrEqual">
      <formula>0.7</formula>
    </cfRule>
  </conditionalFormatting>
  <conditionalFormatting sqref="AC61">
    <cfRule type="cellIs" dxfId="654" priority="145" operator="lessThanOrEqual">
      <formula>0.7</formula>
    </cfRule>
  </conditionalFormatting>
  <conditionalFormatting sqref="AC68:AC69">
    <cfRule type="cellIs" dxfId="653" priority="138" operator="lessThanOrEqual">
      <formula>0.7</formula>
    </cfRule>
  </conditionalFormatting>
  <conditionalFormatting sqref="AC72:AC74">
    <cfRule type="cellIs" dxfId="652" priority="156" operator="lessThanOrEqual">
      <formula>0.7</formula>
    </cfRule>
  </conditionalFormatting>
  <conditionalFormatting sqref="AC87:AC88 AC91:AC92">
    <cfRule type="cellIs" dxfId="651" priority="157" operator="lessThanOrEqual">
      <formula>0.7</formula>
    </cfRule>
  </conditionalFormatting>
  <conditionalFormatting sqref="AC124">
    <cfRule type="cellIs" dxfId="650" priority="9" operator="lessThanOrEqual">
      <formula>0.7</formula>
    </cfRule>
  </conditionalFormatting>
  <conditionalFormatting sqref="AC130:AC131">
    <cfRule type="cellIs" dxfId="649" priority="160" operator="lessThanOrEqual">
      <formula>0.7</formula>
    </cfRule>
  </conditionalFormatting>
  <conditionalFormatting sqref="AC134:AC144">
    <cfRule type="cellIs" dxfId="648" priority="93" operator="lessThanOrEqual">
      <formula>0.7</formula>
    </cfRule>
  </conditionalFormatting>
  <conditionalFormatting sqref="AC157:AC162">
    <cfRule type="cellIs" dxfId="647" priority="91" operator="lessThanOrEqual">
      <formula>0.7</formula>
    </cfRule>
  </conditionalFormatting>
  <conditionalFormatting sqref="AC166:AC172">
    <cfRule type="cellIs" dxfId="646" priority="135" operator="lessThanOrEqual">
      <formula>0.7</formula>
    </cfRule>
  </conditionalFormatting>
  <conditionalFormatting sqref="AC174:AC178">
    <cfRule type="cellIs" dxfId="645" priority="133" operator="lessThanOrEqual">
      <formula>0.7</formula>
    </cfRule>
  </conditionalFormatting>
  <conditionalFormatting sqref="AC182:AC188">
    <cfRule type="cellIs" dxfId="644" priority="131" operator="lessThanOrEqual">
      <formula>0.7</formula>
    </cfRule>
  </conditionalFormatting>
  <conditionalFormatting sqref="AC200:AC204">
    <cfRule type="cellIs" dxfId="643" priority="129" operator="lessThanOrEqual">
      <formula>0.7</formula>
    </cfRule>
  </conditionalFormatting>
  <conditionalFormatting sqref="AC216:AC218">
    <cfRule type="cellIs" dxfId="642" priority="84" operator="lessThanOrEqual">
      <formula>0.7</formula>
    </cfRule>
  </conditionalFormatting>
  <conditionalFormatting sqref="AC221:AC223">
    <cfRule type="cellIs" dxfId="641" priority="80" operator="lessThanOrEqual">
      <formula>0.7</formula>
    </cfRule>
  </conditionalFormatting>
  <conditionalFormatting sqref="AC227:AC233">
    <cfRule type="cellIs" dxfId="640" priority="76" operator="lessThanOrEqual">
      <formula>0.7</formula>
    </cfRule>
  </conditionalFormatting>
  <conditionalFormatting sqref="AC235:AC239">
    <cfRule type="cellIs" dxfId="639" priority="125" operator="lessThanOrEqual">
      <formula>0.7</formula>
    </cfRule>
  </conditionalFormatting>
  <conditionalFormatting sqref="AC243:AC247">
    <cfRule type="cellIs" dxfId="638" priority="123" operator="lessThanOrEqual">
      <formula>0.7</formula>
    </cfRule>
  </conditionalFormatting>
  <conditionalFormatting sqref="AC250:AC256">
    <cfRule type="cellIs" dxfId="637" priority="127" operator="lessThanOrEqual">
      <formula>0.7</formula>
    </cfRule>
  </conditionalFormatting>
  <conditionalFormatting sqref="AC260:AC264">
    <cfRule type="cellIs" dxfId="636" priority="72" operator="lessThanOrEqual">
      <formula>0.7</formula>
    </cfRule>
  </conditionalFormatting>
  <conditionalFormatting sqref="AC266:AC271">
    <cfRule type="cellIs" dxfId="635" priority="68" operator="lessThanOrEqual">
      <formula>0.7</formula>
    </cfRule>
  </conditionalFormatting>
  <conditionalFormatting sqref="AC275:AC278">
    <cfRule type="cellIs" dxfId="634" priority="19" operator="lessThanOrEqual">
      <formula>0.7</formula>
    </cfRule>
  </conditionalFormatting>
  <conditionalFormatting sqref="AC282:AC286">
    <cfRule type="cellIs" dxfId="633" priority="64" operator="lessThanOrEqual">
      <formula>0.7</formula>
    </cfRule>
  </conditionalFormatting>
  <conditionalFormatting sqref="AC289:AC290">
    <cfRule type="cellIs" dxfId="632" priority="26" operator="lessThanOrEqual">
      <formula>0.7</formula>
    </cfRule>
  </conditionalFormatting>
  <conditionalFormatting sqref="AC293:AC297">
    <cfRule type="cellIs" dxfId="631" priority="60" operator="lessThanOrEqual">
      <formula>0.7</formula>
    </cfRule>
  </conditionalFormatting>
  <conditionalFormatting sqref="AC327">
    <cfRule type="cellIs" dxfId="630" priority="8" operator="lessThanOrEqual">
      <formula>0.7</formula>
    </cfRule>
  </conditionalFormatting>
  <conditionalFormatting sqref="AE5:AE10 AE14:AE20">
    <cfRule type="cellIs" dxfId="629" priority="170" operator="lessThanOrEqual">
      <formula>0.7</formula>
    </cfRule>
  </conditionalFormatting>
  <conditionalFormatting sqref="AE25:AE26">
    <cfRule type="cellIs" dxfId="628" priority="169" operator="lessThanOrEqual">
      <formula>0.7</formula>
    </cfRule>
  </conditionalFormatting>
  <conditionalFormatting sqref="AE59:AE60">
    <cfRule type="cellIs" dxfId="627" priority="164" operator="lessThanOrEqual">
      <formula>0.7</formula>
    </cfRule>
  </conditionalFormatting>
  <conditionalFormatting sqref="AE63">
    <cfRule type="cellIs" dxfId="626" priority="149" operator="lessThanOrEqual">
      <formula>0.7</formula>
    </cfRule>
  </conditionalFormatting>
  <conditionalFormatting sqref="AE68">
    <cfRule type="cellIs" dxfId="625" priority="139" operator="lessThanOrEqual">
      <formula>0.7</formula>
    </cfRule>
  </conditionalFormatting>
  <conditionalFormatting sqref="AI22:AI23">
    <cfRule type="cellIs" dxfId="624" priority="168" operator="lessThanOrEqual">
      <formula>0.7</formula>
    </cfRule>
  </conditionalFormatting>
  <conditionalFormatting sqref="AI61">
    <cfRule type="cellIs" dxfId="623" priority="146" operator="lessThanOrEqual">
      <formula>0.7</formula>
    </cfRule>
  </conditionalFormatting>
  <conditionalFormatting sqref="AK22:AK23">
    <cfRule type="cellIs" dxfId="622" priority="122" operator="lessThanOrEqual">
      <formula>0.7</formula>
    </cfRule>
  </conditionalFormatting>
  <conditionalFormatting sqref="AK61">
    <cfRule type="cellIs" dxfId="621" priority="144" operator="lessThanOrEqual">
      <formula>0.7</formula>
    </cfRule>
  </conditionalFormatting>
  <conditionalFormatting sqref="AP5:AP12 AR121:AR126">
    <cfRule type="cellIs" dxfId="620" priority="184" operator="greaterThanOrEqual">
      <formula>0.5%</formula>
    </cfRule>
  </conditionalFormatting>
  <conditionalFormatting sqref="AP14:AP20">
    <cfRule type="cellIs" dxfId="619" priority="51" operator="greaterThanOrEqual">
      <formula>0.5%</formula>
    </cfRule>
  </conditionalFormatting>
  <conditionalFormatting sqref="AP22:AP23">
    <cfRule type="cellIs" dxfId="618" priority="50" operator="greaterThanOrEqual">
      <formula>0.5%</formula>
    </cfRule>
  </conditionalFormatting>
  <conditionalFormatting sqref="AP25:AP26">
    <cfRule type="cellIs" dxfId="617" priority="49" operator="greaterThanOrEqual">
      <formula>0.5%</formula>
    </cfRule>
  </conditionalFormatting>
  <conditionalFormatting sqref="AP29:AP32">
    <cfRule type="cellIs" dxfId="616" priority="107" operator="greaterThanOrEqual">
      <formula>0.5%</formula>
    </cfRule>
  </conditionalFormatting>
  <conditionalFormatting sqref="AP35:AP37">
    <cfRule type="cellIs" dxfId="615" priority="48" operator="greaterThanOrEqual">
      <formula>0.5%</formula>
    </cfRule>
  </conditionalFormatting>
  <conditionalFormatting sqref="AP50:AP54">
    <cfRule type="cellIs" dxfId="614" priority="106" operator="greaterThanOrEqual">
      <formula>0.5%</formula>
    </cfRule>
  </conditionalFormatting>
  <conditionalFormatting sqref="AP56:AP61">
    <cfRule type="cellIs" dxfId="613" priority="105" operator="greaterThanOrEqual">
      <formula>0.5%</formula>
    </cfRule>
  </conditionalFormatting>
  <conditionalFormatting sqref="AP63">
    <cfRule type="cellIs" dxfId="612" priority="47" operator="greaterThanOrEqual">
      <formula>0.5%</formula>
    </cfRule>
  </conditionalFormatting>
  <conditionalFormatting sqref="AP65:AP69">
    <cfRule type="cellIs" dxfId="611" priority="46" operator="greaterThanOrEqual">
      <formula>0.5%</formula>
    </cfRule>
  </conditionalFormatting>
  <conditionalFormatting sqref="AP72:AP74">
    <cfRule type="cellIs" dxfId="610" priority="45" operator="greaterThanOrEqual">
      <formula>0.5%</formula>
    </cfRule>
  </conditionalFormatting>
  <conditionalFormatting sqref="AP87:AP88">
    <cfRule type="cellIs" dxfId="609" priority="44" operator="greaterThanOrEqual">
      <formula>0.5%</formula>
    </cfRule>
  </conditionalFormatting>
  <conditionalFormatting sqref="AP91:AP92">
    <cfRule type="cellIs" dxfId="608" priority="43" operator="greaterThanOrEqual">
      <formula>0.5%</formula>
    </cfRule>
  </conditionalFormatting>
  <conditionalFormatting sqref="AP105:AP107">
    <cfRule type="cellIs" dxfId="607" priority="104" operator="greaterThanOrEqual">
      <formula>0.5%</formula>
    </cfRule>
  </conditionalFormatting>
  <conditionalFormatting sqref="AP110:AP113">
    <cfRule type="cellIs" dxfId="606" priority="42" operator="greaterThanOrEqual">
      <formula>0.5%</formula>
    </cfRule>
  </conditionalFormatting>
  <conditionalFormatting sqref="AP116:AP126">
    <cfRule type="cellIs" dxfId="605" priority="2" operator="greaterThanOrEqual">
      <formula>0.5%</formula>
    </cfRule>
  </conditionalFormatting>
  <conditionalFormatting sqref="AP129:AP131">
    <cfRule type="cellIs" dxfId="604" priority="103" operator="greaterThanOrEqual">
      <formula>0.5%</formula>
    </cfRule>
  </conditionalFormatting>
  <conditionalFormatting sqref="AP134:AP144">
    <cfRule type="cellIs" dxfId="603" priority="41" operator="greaterThanOrEqual">
      <formula>0.5%</formula>
    </cfRule>
  </conditionalFormatting>
  <conditionalFormatting sqref="AP157:AP162">
    <cfRule type="cellIs" dxfId="602" priority="90" operator="greaterThanOrEqual">
      <formula>0.5%</formula>
    </cfRule>
  </conditionalFormatting>
  <conditionalFormatting sqref="AP166:AP172">
    <cfRule type="cellIs" dxfId="601" priority="121" operator="greaterThanOrEqual">
      <formula>0.5%</formula>
    </cfRule>
  </conditionalFormatting>
  <conditionalFormatting sqref="AP174:AP178">
    <cfRule type="cellIs" dxfId="600" priority="119" operator="greaterThanOrEqual">
      <formula>0.5%</formula>
    </cfRule>
  </conditionalFormatting>
  <conditionalFormatting sqref="AP182:AP188">
    <cfRule type="cellIs" dxfId="599" priority="117" operator="greaterThanOrEqual">
      <formula>0.5%</formula>
    </cfRule>
  </conditionalFormatting>
  <conditionalFormatting sqref="AP191:AP196">
    <cfRule type="cellIs" dxfId="598" priority="22" operator="greaterThanOrEqual">
      <formula>0.5%</formula>
    </cfRule>
  </conditionalFormatting>
  <conditionalFormatting sqref="AP200:AP204">
    <cfRule type="cellIs" dxfId="597" priority="115" operator="greaterThanOrEqual">
      <formula>0.5%</formula>
    </cfRule>
  </conditionalFormatting>
  <conditionalFormatting sqref="AP206:AP212">
    <cfRule type="cellIs" dxfId="596" priority="87" operator="greaterThanOrEqual">
      <formula>0.5%</formula>
    </cfRule>
  </conditionalFormatting>
  <conditionalFormatting sqref="AP216:AP218">
    <cfRule type="cellIs" dxfId="595" priority="83" operator="greaterThanOrEqual">
      <formula>0.5%</formula>
    </cfRule>
  </conditionalFormatting>
  <conditionalFormatting sqref="AP221:AP223">
    <cfRule type="cellIs" dxfId="594" priority="79" operator="greaterThanOrEqual">
      <formula>0.5%</formula>
    </cfRule>
  </conditionalFormatting>
  <conditionalFormatting sqref="AP227:AP233">
    <cfRule type="cellIs" dxfId="593" priority="75" operator="greaterThanOrEqual">
      <formula>0.5%</formula>
    </cfRule>
  </conditionalFormatting>
  <conditionalFormatting sqref="AP235:AP239">
    <cfRule type="cellIs" dxfId="592" priority="111" operator="greaterThanOrEqual">
      <formula>0.5%</formula>
    </cfRule>
  </conditionalFormatting>
  <conditionalFormatting sqref="AP243:AP247">
    <cfRule type="cellIs" dxfId="591" priority="109" operator="greaterThanOrEqual">
      <formula>0.5%</formula>
    </cfRule>
  </conditionalFormatting>
  <conditionalFormatting sqref="AP250:AP256">
    <cfRule type="cellIs" dxfId="590" priority="113" operator="greaterThanOrEqual">
      <formula>0.5%</formula>
    </cfRule>
  </conditionalFormatting>
  <conditionalFormatting sqref="AP260:AP264">
    <cfRule type="cellIs" dxfId="589" priority="71" operator="greaterThanOrEqual">
      <formula>0.5%</formula>
    </cfRule>
  </conditionalFormatting>
  <conditionalFormatting sqref="AP266:AP271">
    <cfRule type="cellIs" dxfId="588" priority="67" operator="greaterThanOrEqual">
      <formula>0.5%</formula>
    </cfRule>
  </conditionalFormatting>
  <conditionalFormatting sqref="AP275:AP278">
    <cfRule type="cellIs" dxfId="587" priority="18" operator="greaterThanOrEqual">
      <formula>0.5%</formula>
    </cfRule>
  </conditionalFormatting>
  <conditionalFormatting sqref="AP282:AP286">
    <cfRule type="cellIs" dxfId="586" priority="63" operator="greaterThanOrEqual">
      <formula>0.5%</formula>
    </cfRule>
  </conditionalFormatting>
  <conditionalFormatting sqref="AP289:AP290">
    <cfRule type="cellIs" dxfId="585" priority="25" operator="greaterThanOrEqual">
      <formula>0.5%</formula>
    </cfRule>
  </conditionalFormatting>
  <conditionalFormatting sqref="AP293:AP297">
    <cfRule type="cellIs" dxfId="584" priority="59" operator="greaterThanOrEqual">
      <formula>0.5%</formula>
    </cfRule>
  </conditionalFormatting>
  <conditionalFormatting sqref="AP300:AP305">
    <cfRule type="cellIs" dxfId="583" priority="56" operator="greaterThanOrEqual">
      <formula>0.5%</formula>
    </cfRule>
  </conditionalFormatting>
  <conditionalFormatting sqref="AP308:AP311">
    <cfRule type="cellIs" dxfId="582" priority="53" operator="greaterThanOrEqual">
      <formula>0.5%</formula>
    </cfRule>
  </conditionalFormatting>
  <conditionalFormatting sqref="AP325:AP334">
    <cfRule type="cellIs" dxfId="581" priority="15" operator="greaterThanOrEqual">
      <formula>0.5%</formula>
    </cfRule>
  </conditionalFormatting>
  <conditionalFormatting sqref="AR5:AR12">
    <cfRule type="cellIs" dxfId="580" priority="102" operator="greaterThanOrEqual">
      <formula>0.5%</formula>
    </cfRule>
  </conditionalFormatting>
  <conditionalFormatting sqref="AR6:AR12 AR31 AR50 AR58 AR107 AR129">
    <cfRule type="cellIs" dxfId="579" priority="183" operator="greaterThan">
      <formula>0%</formula>
    </cfRule>
  </conditionalFormatting>
  <conditionalFormatting sqref="AR14:AR20">
    <cfRule type="cellIs" dxfId="578" priority="40" operator="greaterThanOrEqual">
      <formula>0.5%</formula>
    </cfRule>
  </conditionalFormatting>
  <conditionalFormatting sqref="AR22:AR23">
    <cfRule type="cellIs" dxfId="577" priority="39" operator="greaterThanOrEqual">
      <formula>0.5%</formula>
    </cfRule>
  </conditionalFormatting>
  <conditionalFormatting sqref="AR25:AR26">
    <cfRule type="cellIs" dxfId="576" priority="38" operator="greaterThanOrEqual">
      <formula>0.5%</formula>
    </cfRule>
  </conditionalFormatting>
  <conditionalFormatting sqref="AR29:AR30">
    <cfRule type="cellIs" dxfId="575" priority="101" operator="greaterThanOrEqual">
      <formula>0.5%</formula>
    </cfRule>
  </conditionalFormatting>
  <conditionalFormatting sqref="AR32">
    <cfRule type="cellIs" dxfId="574" priority="100" operator="greaterThanOrEqual">
      <formula>0.5%</formula>
    </cfRule>
  </conditionalFormatting>
  <conditionalFormatting sqref="AR35:AR37">
    <cfRule type="cellIs" dxfId="573" priority="37" operator="greaterThanOrEqual">
      <formula>0.5%</formula>
    </cfRule>
  </conditionalFormatting>
  <conditionalFormatting sqref="AR51:AR54">
    <cfRule type="cellIs" dxfId="572" priority="99" operator="greaterThanOrEqual">
      <formula>0.5%</formula>
    </cfRule>
  </conditionalFormatting>
  <conditionalFormatting sqref="AR56:AR57">
    <cfRule type="cellIs" dxfId="571" priority="98" operator="greaterThanOrEqual">
      <formula>0.5%</formula>
    </cfRule>
  </conditionalFormatting>
  <conditionalFormatting sqref="AR59:AR61">
    <cfRule type="cellIs" dxfId="570" priority="97" operator="greaterThanOrEqual">
      <formula>0.5%</formula>
    </cfRule>
  </conditionalFormatting>
  <conditionalFormatting sqref="AR63">
    <cfRule type="cellIs" dxfId="569" priority="36" operator="greaterThanOrEqual">
      <formula>0.5%</formula>
    </cfRule>
  </conditionalFormatting>
  <conditionalFormatting sqref="AR65:AR69">
    <cfRule type="cellIs" dxfId="568" priority="35" operator="greaterThanOrEqual">
      <formula>0.5%</formula>
    </cfRule>
  </conditionalFormatting>
  <conditionalFormatting sqref="AR72:AR74">
    <cfRule type="cellIs" dxfId="567" priority="34" operator="greaterThanOrEqual">
      <formula>0.5%</formula>
    </cfRule>
  </conditionalFormatting>
  <conditionalFormatting sqref="AR87:AR88">
    <cfRule type="cellIs" dxfId="566" priority="33" operator="greaterThanOrEqual">
      <formula>0.5%</formula>
    </cfRule>
  </conditionalFormatting>
  <conditionalFormatting sqref="AR90">
    <cfRule type="cellIs" dxfId="565" priority="153" operator="greaterThanOrEqual">
      <formula>0.005</formula>
    </cfRule>
  </conditionalFormatting>
  <conditionalFormatting sqref="AR91:AR92">
    <cfRule type="cellIs" dxfId="564" priority="32" operator="greaterThanOrEqual">
      <formula>0.5%</formula>
    </cfRule>
  </conditionalFormatting>
  <conditionalFormatting sqref="AR105:AR106">
    <cfRule type="cellIs" dxfId="563" priority="96" operator="greaterThanOrEqual">
      <formula>0.5%</formula>
    </cfRule>
  </conditionalFormatting>
  <conditionalFormatting sqref="AR110:AR113">
    <cfRule type="cellIs" dxfId="562" priority="31" operator="greaterThanOrEqual">
      <formula>0.5%</formula>
    </cfRule>
  </conditionalFormatting>
  <conditionalFormatting sqref="AR116:AR119">
    <cfRule type="cellIs" dxfId="561" priority="3" operator="greaterThanOrEqual">
      <formula>0.5%</formula>
    </cfRule>
  </conditionalFormatting>
  <conditionalFormatting sqref="AR120">
    <cfRule type="cellIs" dxfId="560" priority="1" operator="greaterThan">
      <formula>0%</formula>
    </cfRule>
  </conditionalFormatting>
  <conditionalFormatting sqref="AR130:AR131">
    <cfRule type="cellIs" dxfId="559" priority="95" operator="greaterThanOrEqual">
      <formula>0.5%</formula>
    </cfRule>
  </conditionalFormatting>
  <conditionalFormatting sqref="AR134:AR144">
    <cfRule type="cellIs" dxfId="558" priority="30" operator="greaterThanOrEqual">
      <formula>0.5%</formula>
    </cfRule>
  </conditionalFormatting>
  <conditionalFormatting sqref="AR157:AR162">
    <cfRule type="cellIs" dxfId="557" priority="89" operator="greaterThan">
      <formula>0%</formula>
    </cfRule>
  </conditionalFormatting>
  <conditionalFormatting sqref="AR166:AR172">
    <cfRule type="cellIs" dxfId="556" priority="120" operator="greaterThan">
      <formula>0%</formula>
    </cfRule>
  </conditionalFormatting>
  <conditionalFormatting sqref="AR174:AR178">
    <cfRule type="cellIs" dxfId="555" priority="118" operator="greaterThan">
      <formula>0%</formula>
    </cfRule>
  </conditionalFormatting>
  <conditionalFormatting sqref="AR182:AR188">
    <cfRule type="cellIs" dxfId="554" priority="116" operator="greaterThan">
      <formula>0%</formula>
    </cfRule>
  </conditionalFormatting>
  <conditionalFormatting sqref="AR191:AR196">
    <cfRule type="cellIs" dxfId="553" priority="21" operator="greaterThan">
      <formula>0%</formula>
    </cfRule>
  </conditionalFormatting>
  <conditionalFormatting sqref="AR200:AR204">
    <cfRule type="cellIs" dxfId="552" priority="114" operator="greaterThan">
      <formula>0%</formula>
    </cfRule>
  </conditionalFormatting>
  <conditionalFormatting sqref="AR206:AR212">
    <cfRule type="cellIs" dxfId="551" priority="86" operator="greaterThan">
      <formula>0%</formula>
    </cfRule>
  </conditionalFormatting>
  <conditionalFormatting sqref="AR216:AR218">
    <cfRule type="cellIs" dxfId="550" priority="82" operator="greaterThan">
      <formula>0%</formula>
    </cfRule>
  </conditionalFormatting>
  <conditionalFormatting sqref="AR221:AR223">
    <cfRule type="cellIs" dxfId="549" priority="78" operator="greaterThan">
      <formula>0%</formula>
    </cfRule>
  </conditionalFormatting>
  <conditionalFormatting sqref="AR227:AR233">
    <cfRule type="cellIs" dxfId="548" priority="74" operator="greaterThan">
      <formula>0%</formula>
    </cfRule>
  </conditionalFormatting>
  <conditionalFormatting sqref="AR235:AR239">
    <cfRule type="cellIs" dxfId="547" priority="110" operator="greaterThan">
      <formula>0%</formula>
    </cfRule>
  </conditionalFormatting>
  <conditionalFormatting sqref="AR243:AR247">
    <cfRule type="cellIs" dxfId="546" priority="108" operator="greaterThan">
      <formula>0%</formula>
    </cfRule>
  </conditionalFormatting>
  <conditionalFormatting sqref="AR250:AR256">
    <cfRule type="cellIs" dxfId="545" priority="112" operator="greaterThan">
      <formula>0%</formula>
    </cfRule>
  </conditionalFormatting>
  <conditionalFormatting sqref="AR260:AR264">
    <cfRule type="cellIs" dxfId="544" priority="70" operator="greaterThan">
      <formula>0%</formula>
    </cfRule>
  </conditionalFormatting>
  <conditionalFormatting sqref="AR266:AR271">
    <cfRule type="cellIs" dxfId="543" priority="66" operator="greaterThan">
      <formula>0%</formula>
    </cfRule>
  </conditionalFormatting>
  <conditionalFormatting sqref="AR275:AR278">
    <cfRule type="cellIs" dxfId="542" priority="17" operator="greaterThan">
      <formula>0%</formula>
    </cfRule>
  </conditionalFormatting>
  <conditionalFormatting sqref="AR282:AR286">
    <cfRule type="cellIs" dxfId="541" priority="62" operator="greaterThan">
      <formula>0%</formula>
    </cfRule>
  </conditionalFormatting>
  <conditionalFormatting sqref="AR289:AR290">
    <cfRule type="cellIs" dxfId="540" priority="24" operator="greaterThan">
      <formula>0%</formula>
    </cfRule>
  </conditionalFormatting>
  <conditionalFormatting sqref="AR293:AR297">
    <cfRule type="cellIs" dxfId="539" priority="58" operator="greaterThan">
      <formula>0%</formula>
    </cfRule>
  </conditionalFormatting>
  <conditionalFormatting sqref="AR300:AR305">
    <cfRule type="cellIs" dxfId="538" priority="55" operator="greaterThan">
      <formula>0%</formula>
    </cfRule>
  </conditionalFormatting>
  <conditionalFormatting sqref="AR308:AR311">
    <cfRule type="cellIs" dxfId="537" priority="52" operator="greaterThan">
      <formula>0%</formula>
    </cfRule>
  </conditionalFormatting>
  <conditionalFormatting sqref="AR325:AR334">
    <cfRule type="cellIs" dxfId="536" priority="14" operator="greaterThan">
      <formula>0%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6084-ED5A-41DC-935A-92B4F62B067A}">
  <dimension ref="B2:S35"/>
  <sheetViews>
    <sheetView showGridLines="0" zoomScale="70" zoomScaleNormal="70" workbookViewId="0">
      <selection activeCell="E21" sqref="E21"/>
    </sheetView>
  </sheetViews>
  <sheetFormatPr baseColWidth="10" defaultColWidth="8.83203125" defaultRowHeight="15" x14ac:dyDescent="0.2"/>
  <cols>
    <col min="1" max="1" width="5.6640625" customWidth="1"/>
    <col min="2" max="2" width="8.1640625" customWidth="1"/>
    <col min="3" max="3" width="22.83203125" customWidth="1"/>
    <col min="4" max="4" width="8.1640625" customWidth="1"/>
    <col min="5" max="5" width="12.5" customWidth="1"/>
    <col min="6" max="6" width="12.5" style="2" customWidth="1"/>
    <col min="7" max="7" width="12.6640625" style="1" customWidth="1"/>
    <col min="8" max="9" width="12.6640625" style="2" customWidth="1"/>
    <col min="10" max="10" width="12.5" customWidth="1"/>
    <col min="11" max="11" width="12.5" style="2" customWidth="1"/>
    <col min="12" max="12" width="12.5" customWidth="1"/>
    <col min="13" max="14" width="12.5" style="2" customWidth="1"/>
    <col min="15" max="19" width="12.5" customWidth="1"/>
  </cols>
  <sheetData>
    <row r="2" spans="2:14" ht="24" x14ac:dyDescent="0.3">
      <c r="B2" s="85" t="s">
        <v>81</v>
      </c>
    </row>
    <row r="4" spans="2:14" s="62" customFormat="1" ht="15" customHeight="1" x14ac:dyDescent="0.2">
      <c r="B4" s="388" t="s">
        <v>67</v>
      </c>
      <c r="C4" s="388" t="s">
        <v>83</v>
      </c>
      <c r="D4" s="409" t="s">
        <v>3</v>
      </c>
      <c r="E4" s="388" t="s">
        <v>4</v>
      </c>
      <c r="F4" s="388"/>
      <c r="G4" s="388" t="s">
        <v>5</v>
      </c>
      <c r="H4" s="388"/>
      <c r="I4" s="389" t="s">
        <v>130</v>
      </c>
      <c r="J4" s="403" t="s">
        <v>6</v>
      </c>
      <c r="K4" s="404"/>
      <c r="L4" s="404"/>
      <c r="M4" s="405"/>
      <c r="N4" s="389" t="s">
        <v>7</v>
      </c>
    </row>
    <row r="5" spans="2:14" s="62" customFormat="1" ht="32" x14ac:dyDescent="0.2">
      <c r="B5" s="388"/>
      <c r="C5" s="388"/>
      <c r="D5" s="410"/>
      <c r="E5" s="9" t="s">
        <v>9</v>
      </c>
      <c r="F5" s="10" t="s">
        <v>10</v>
      </c>
      <c r="G5" s="11" t="s">
        <v>9</v>
      </c>
      <c r="H5" s="54" t="s">
        <v>10</v>
      </c>
      <c r="I5" s="390"/>
      <c r="J5" s="135" t="s">
        <v>142</v>
      </c>
      <c r="K5" s="134" t="s">
        <v>143</v>
      </c>
      <c r="L5" s="135" t="s">
        <v>11</v>
      </c>
      <c r="M5" s="134" t="s">
        <v>143</v>
      </c>
      <c r="N5" s="390"/>
    </row>
    <row r="6" spans="2:14" ht="16" x14ac:dyDescent="0.2">
      <c r="B6" s="12" t="str">
        <f>'Pencapaian ASM'!B7</f>
        <v>JABAR-1</v>
      </c>
      <c r="C6" s="84" t="str">
        <f>'Pencapaian ASM'!C7</f>
        <v>BENNY HERDIANA</v>
      </c>
      <c r="D6" s="295" t="str">
        <f>'Pencapaian ASM'!G7</f>
        <v>ASM</v>
      </c>
      <c r="E6" s="109">
        <f>'Pencapaian ASM'!F7</f>
        <v>0.89525819216102509</v>
      </c>
      <c r="F6" s="15">
        <f>'Pencapaian ASM'!H7</f>
        <v>472500</v>
      </c>
      <c r="G6" s="139">
        <f>'Pencapaian ASM'!F26</f>
        <v>0.98463255665623584</v>
      </c>
      <c r="H6" s="138">
        <f>'Pencapaian ASM'!H26</f>
        <v>315000</v>
      </c>
      <c r="I6" s="140">
        <f>SUM(H6,F6)</f>
        <v>787500</v>
      </c>
      <c r="J6" s="137">
        <f>'Rekap Insentif Sales'!AP40</f>
        <v>9.1240406788677085E-3</v>
      </c>
      <c r="K6" s="15">
        <f>IF(J6&gt;=0.5%,-I6*20%,0)</f>
        <v>-157500</v>
      </c>
      <c r="L6" s="137">
        <f>'Rekap Insentif Sales'!AR40</f>
        <v>8.4008462831647641E-5</v>
      </c>
      <c r="M6" s="15">
        <f t="shared" ref="M6:M18" si="0">IF(L6&gt;0,-(I6+K6),0)</f>
        <v>-630000</v>
      </c>
      <c r="N6" s="140">
        <f>I6+K6+M6</f>
        <v>0</v>
      </c>
    </row>
    <row r="7" spans="2:14" ht="16" x14ac:dyDescent="0.2">
      <c r="B7" s="12" t="str">
        <f>'Pencapaian ASM'!B8</f>
        <v>JABAR-2</v>
      </c>
      <c r="C7" s="84" t="str">
        <f>'Pencapaian ASM'!C8</f>
        <v>ARIS JOHAR</v>
      </c>
      <c r="D7" s="295" t="str">
        <f>'Pencapaian ASM'!G8</f>
        <v>ASM</v>
      </c>
      <c r="E7" s="109">
        <f>'Pencapaian ASM'!F8</f>
        <v>0.82895214655144445</v>
      </c>
      <c r="F7" s="15">
        <f>'Pencapaian ASM'!H8</f>
        <v>472500</v>
      </c>
      <c r="G7" s="139">
        <f>'Pencapaian ASM'!F27</f>
        <v>0.89526292916123429</v>
      </c>
      <c r="H7" s="138">
        <f>'Pencapaian ASM'!H27</f>
        <v>202500</v>
      </c>
      <c r="I7" s="140">
        <f t="shared" ref="I7:I18" si="1">SUM(H7,F7)</f>
        <v>675000</v>
      </c>
      <c r="J7" s="137">
        <f>'Rekap Insentif Sales'!AP77</f>
        <v>5.3274450274115965E-3</v>
      </c>
      <c r="K7" s="15">
        <f t="shared" ref="K7:K18" si="2">IF(J7&gt;=0.5%,-I7*20%,0)</f>
        <v>-135000</v>
      </c>
      <c r="L7" s="137">
        <f>'Rekap Insentif Sales'!AR77</f>
        <v>2.2532300831001216E-3</v>
      </c>
      <c r="M7" s="15">
        <f t="shared" si="0"/>
        <v>-540000</v>
      </c>
      <c r="N7" s="140">
        <f t="shared" ref="N7:N18" si="3">I7+K7+M7</f>
        <v>0</v>
      </c>
    </row>
    <row r="8" spans="2:14" ht="16" x14ac:dyDescent="0.2">
      <c r="B8" s="12" t="str">
        <f>'Pencapaian ASM'!B9</f>
        <v>JABAR-3</v>
      </c>
      <c r="C8" s="84" t="str">
        <f>'Pencapaian ASM'!C9</f>
        <v>ANDREAS PREMADYA</v>
      </c>
      <c r="D8" s="295" t="str">
        <f>'Pencapaian ASM'!G9</f>
        <v>ASM</v>
      </c>
      <c r="E8" s="109">
        <f>'Pencapaian ASM'!F9</f>
        <v>0.71673364607047563</v>
      </c>
      <c r="F8" s="15">
        <f>'Pencapaian ASM'!H9</f>
        <v>262500</v>
      </c>
      <c r="G8" s="139">
        <f>'Pencapaian ASM'!F28</f>
        <v>0.88888888888888884</v>
      </c>
      <c r="H8" s="138">
        <f>'Pencapaian ASM'!H28</f>
        <v>202500</v>
      </c>
      <c r="I8" s="140">
        <f t="shared" si="1"/>
        <v>465000</v>
      </c>
      <c r="J8" s="137">
        <f>'Rekap Insentif Sales'!AP95</f>
        <v>2.1331853405180245E-3</v>
      </c>
      <c r="K8" s="15">
        <f t="shared" si="2"/>
        <v>0</v>
      </c>
      <c r="L8" s="137">
        <f>'Rekap Insentif Sales'!AR95</f>
        <v>0</v>
      </c>
      <c r="M8" s="15">
        <f t="shared" si="0"/>
        <v>0</v>
      </c>
      <c r="N8" s="140">
        <f t="shared" si="3"/>
        <v>465000</v>
      </c>
    </row>
    <row r="9" spans="2:14" ht="16" x14ac:dyDescent="0.2">
      <c r="B9" s="12" t="str">
        <f>'Pencapaian ASM'!B10</f>
        <v>JATENG</v>
      </c>
      <c r="C9" s="84" t="str">
        <f>'Pencapaian ASM'!C10</f>
        <v>UUT KURNIAWAN</v>
      </c>
      <c r="D9" s="295" t="str">
        <f>'Pencapaian ASM'!G10</f>
        <v>ASM</v>
      </c>
      <c r="E9" s="109">
        <f>'Pencapaian ASM'!F10</f>
        <v>0.70096801555164223</v>
      </c>
      <c r="F9" s="15">
        <f>'Pencapaian ASM'!H10</f>
        <v>262500</v>
      </c>
      <c r="G9" s="139">
        <f>'Pencapaian ASM'!F29</f>
        <v>0.71034482758620687</v>
      </c>
      <c r="H9" s="138">
        <f>'Pencapaian ASM'!H29</f>
        <v>112500</v>
      </c>
      <c r="I9" s="140">
        <f t="shared" si="1"/>
        <v>375000</v>
      </c>
      <c r="J9" s="137">
        <f>'Rekap Insentif Sales'!AP147</f>
        <v>2.5767703640737359E-3</v>
      </c>
      <c r="K9" s="15">
        <f t="shared" si="2"/>
        <v>0</v>
      </c>
      <c r="L9" s="137">
        <f>'Rekap Insentif Sales'!AR147</f>
        <v>1.4758134960330676E-3</v>
      </c>
      <c r="M9" s="15">
        <f t="shared" si="0"/>
        <v>-375000</v>
      </c>
      <c r="N9" s="140">
        <f t="shared" si="3"/>
        <v>0</v>
      </c>
    </row>
    <row r="10" spans="2:14" ht="16" x14ac:dyDescent="0.2">
      <c r="B10" s="12" t="str">
        <f>'Pencapaian ASM'!B11</f>
        <v>JATIM</v>
      </c>
      <c r="C10" s="84" t="str">
        <f>'Pencapaian ASM'!C11</f>
        <v>ADI HARMONO</v>
      </c>
      <c r="D10" s="295" t="str">
        <f>'Pencapaian ASM'!G11</f>
        <v>ASM</v>
      </c>
      <c r="E10" s="109">
        <f>'Pencapaian ASM'!F11</f>
        <v>0.67362980081876866</v>
      </c>
      <c r="F10" s="15">
        <f>'Pencapaian ASM'!H11</f>
        <v>0</v>
      </c>
      <c r="G10" s="139">
        <f>'Pencapaian ASM'!F30</f>
        <v>0.40988658777120313</v>
      </c>
      <c r="H10" s="138">
        <f>'Pencapaian ASM'!H30</f>
        <v>0</v>
      </c>
      <c r="I10" s="140">
        <f t="shared" si="1"/>
        <v>0</v>
      </c>
      <c r="J10" s="137">
        <f>'Rekap Insentif Sales'!AP315</f>
        <v>0</v>
      </c>
      <c r="K10" s="15">
        <f t="shared" si="2"/>
        <v>0</v>
      </c>
      <c r="L10" s="137">
        <f>'Rekap Insentif Sales'!AR315</f>
        <v>0</v>
      </c>
      <c r="M10" s="15">
        <f t="shared" si="0"/>
        <v>0</v>
      </c>
      <c r="N10" s="140">
        <f t="shared" si="3"/>
        <v>0</v>
      </c>
    </row>
    <row r="11" spans="2:14" ht="16" x14ac:dyDescent="0.2">
      <c r="B11" s="12" t="str">
        <f>'Pencapaian ASM'!B12</f>
        <v>IDN</v>
      </c>
      <c r="C11" s="84" t="str">
        <f>'Pencapaian ASM'!C12</f>
        <v>(VACANT)</v>
      </c>
      <c r="D11" s="295" t="str">
        <f>'Pencapaian ASM'!G12</f>
        <v>ASM</v>
      </c>
      <c r="E11" s="109">
        <f>'Pencapaian ASM'!F12</f>
        <v>0.25089458944444443</v>
      </c>
      <c r="F11" s="15">
        <f>'Pencapaian ASM'!H12</f>
        <v>0</v>
      </c>
      <c r="G11" s="139">
        <f>'Pencapaian ASM'!F31</f>
        <v>0.421875</v>
      </c>
      <c r="H11" s="138">
        <f>'Pencapaian ASM'!H31</f>
        <v>0</v>
      </c>
      <c r="I11" s="140">
        <f t="shared" si="1"/>
        <v>0</v>
      </c>
      <c r="J11" s="137">
        <f>'Rekap Insentif Sales'!AP331</f>
        <v>0</v>
      </c>
      <c r="K11" s="15">
        <f t="shared" si="2"/>
        <v>0</v>
      </c>
      <c r="L11" s="137">
        <f>'Rekap Insentif Sales'!AR331</f>
        <v>0</v>
      </c>
      <c r="M11" s="15">
        <f t="shared" si="0"/>
        <v>0</v>
      </c>
      <c r="N11" s="140">
        <f t="shared" si="3"/>
        <v>0</v>
      </c>
    </row>
    <row r="12" spans="2:14" ht="16" x14ac:dyDescent="0.2">
      <c r="B12" s="12" t="str">
        <f>'Pencapaian ASM'!B13</f>
        <v>BDS</v>
      </c>
      <c r="C12" s="84" t="str">
        <f>'Pencapaian ASM'!C13</f>
        <v>NUR ALIF</v>
      </c>
      <c r="D12" s="295" t="str">
        <f>'Pencapaian ASM'!G13</f>
        <v>ASM</v>
      </c>
      <c r="E12" s="109">
        <f>'Pencapaian ASM'!F13</f>
        <v>0.12641628975999997</v>
      </c>
      <c r="F12" s="15">
        <f>'Pencapaian ASM'!H13</f>
        <v>0</v>
      </c>
      <c r="G12" s="139">
        <f>'Pencapaian ASM'!F32</f>
        <v>0.09</v>
      </c>
      <c r="H12" s="138">
        <f>'Pencapaian ASM'!H32</f>
        <v>0</v>
      </c>
      <c r="I12" s="140">
        <f t="shared" si="1"/>
        <v>0</v>
      </c>
      <c r="J12" s="137">
        <f>'Rekap Insentif Sales'!AP332</f>
        <v>0</v>
      </c>
      <c r="K12" s="15">
        <f t="shared" ref="K12" si="4">IF(J12&gt;=0.5%,-I12*20%,0)</f>
        <v>0</v>
      </c>
      <c r="L12" s="137">
        <f>'Rekap Insentif Sales'!AR332</f>
        <v>0</v>
      </c>
      <c r="M12" s="15">
        <f t="shared" ref="M12" si="5">IF(L12&gt;0,-(I12+K12),0)</f>
        <v>0</v>
      </c>
      <c r="N12" s="140">
        <f t="shared" ref="N12" si="6">I12+K12+M12</f>
        <v>0</v>
      </c>
    </row>
    <row r="13" spans="2:14" ht="16" x14ac:dyDescent="0.2">
      <c r="B13" s="12" t="str">
        <f>'Pencapaian ASM'!B14</f>
        <v>SSS</v>
      </c>
      <c r="C13" s="84" t="str">
        <f>'Pencapaian ASM'!C14</f>
        <v>FAUZAN</v>
      </c>
      <c r="D13" s="295" t="str">
        <f>'Pencapaian ASM'!G14</f>
        <v>ASM</v>
      </c>
      <c r="E13" s="109">
        <f>'Pencapaian ASM'!F14</f>
        <v>0.88680128670253655</v>
      </c>
      <c r="F13" s="15">
        <f>'Pencapaian ASM'!H14</f>
        <v>160000</v>
      </c>
      <c r="G13" s="139">
        <f>'Pencapaian ASM'!F33</f>
        <v>0.77391304347826084</v>
      </c>
      <c r="H13" s="138">
        <f>'Pencapaian ASM'!H33</f>
        <v>0</v>
      </c>
      <c r="I13" s="140">
        <f t="shared" si="1"/>
        <v>160000</v>
      </c>
      <c r="J13" s="137">
        <f>'Rekap Insentif Sales'!AP190</f>
        <v>0</v>
      </c>
      <c r="K13" s="15">
        <f t="shared" si="2"/>
        <v>0</v>
      </c>
      <c r="L13" s="137">
        <f>'Rekap Insentif Sales'!AR190</f>
        <v>0</v>
      </c>
      <c r="M13" s="15">
        <f t="shared" si="0"/>
        <v>0</v>
      </c>
      <c r="N13" s="140">
        <f t="shared" si="3"/>
        <v>160000</v>
      </c>
    </row>
    <row r="14" spans="2:14" ht="16" x14ac:dyDescent="0.2">
      <c r="B14" s="12" t="str">
        <f>'Pencapaian ASM'!B15</f>
        <v>SSS</v>
      </c>
      <c r="C14" s="84" t="str">
        <f>'Pencapaian ASM'!C15</f>
        <v>ARIEK</v>
      </c>
      <c r="D14" s="295" t="str">
        <f>'Pencapaian ASM'!G15</f>
        <v>ASM</v>
      </c>
      <c r="E14" s="109">
        <f>'Pencapaian ASM'!F15</f>
        <v>0.45799976284584981</v>
      </c>
      <c r="F14" s="15">
        <f>'Pencapaian ASM'!H15</f>
        <v>0</v>
      </c>
      <c r="G14" s="139">
        <f>'Pencapaian ASM'!F34</f>
        <v>0.24057971014492754</v>
      </c>
      <c r="H14" s="138">
        <f>'Pencapaian ASM'!H34</f>
        <v>0</v>
      </c>
      <c r="I14" s="140">
        <f t="shared" si="1"/>
        <v>0</v>
      </c>
      <c r="J14" s="137">
        <f>'Rekap Insentif Sales'!AP226</f>
        <v>0</v>
      </c>
      <c r="K14" s="15">
        <f t="shared" si="2"/>
        <v>0</v>
      </c>
      <c r="L14" s="137">
        <f>'Rekap Insentif Sales'!AR226</f>
        <v>0</v>
      </c>
      <c r="M14" s="15">
        <f t="shared" si="0"/>
        <v>0</v>
      </c>
      <c r="N14" s="140">
        <f t="shared" si="3"/>
        <v>0</v>
      </c>
    </row>
    <row r="15" spans="2:14" ht="16" x14ac:dyDescent="0.2">
      <c r="B15" s="12" t="str">
        <f>'Pencapaian ASM'!B16</f>
        <v>SSS</v>
      </c>
      <c r="C15" s="84" t="str">
        <f>'Pencapaian ASM'!C16</f>
        <v>DEDDY</v>
      </c>
      <c r="D15" s="295" t="str">
        <f>'Pencapaian ASM'!G16</f>
        <v>ASM</v>
      </c>
      <c r="E15" s="109">
        <f>'Pencapaian ASM'!F16</f>
        <v>0.48716104395604398</v>
      </c>
      <c r="F15" s="15">
        <f>'Pencapaian ASM'!H16</f>
        <v>0</v>
      </c>
      <c r="G15" s="139">
        <f>'Pencapaian ASM'!F35</f>
        <v>0.29918699186991871</v>
      </c>
      <c r="H15" s="138">
        <f>'Pencapaian ASM'!H35</f>
        <v>0</v>
      </c>
      <c r="I15" s="140">
        <f t="shared" si="1"/>
        <v>0</v>
      </c>
      <c r="J15" s="137">
        <f>'Rekap Insentif Sales'!AP259</f>
        <v>0</v>
      </c>
      <c r="K15" s="15">
        <f t="shared" si="2"/>
        <v>0</v>
      </c>
      <c r="L15" s="137">
        <f>'Rekap Insentif Sales'!AR259</f>
        <v>0</v>
      </c>
      <c r="M15" s="15">
        <f t="shared" si="0"/>
        <v>0</v>
      </c>
      <c r="N15" s="140">
        <f t="shared" si="3"/>
        <v>0</v>
      </c>
    </row>
    <row r="16" spans="2:14" ht="16" x14ac:dyDescent="0.2">
      <c r="B16" s="12" t="str">
        <f>'Pencapaian ASM'!B17</f>
        <v>SSS</v>
      </c>
      <c r="C16" s="84" t="str">
        <f>'Pencapaian ASM'!C17</f>
        <v>HENDRIK</v>
      </c>
      <c r="D16" s="295" t="str">
        <f>'Pencapaian ASM'!G17</f>
        <v>ASM</v>
      </c>
      <c r="E16" s="109">
        <f>'Pencapaian ASM'!F17</f>
        <v>0.55761452631578945</v>
      </c>
      <c r="F16" s="15">
        <f>'Pencapaian ASM'!H17</f>
        <v>0</v>
      </c>
      <c r="G16" s="139">
        <f>'Pencapaian ASM'!F36</f>
        <v>0.20322580645161289</v>
      </c>
      <c r="H16" s="138">
        <f>'Pencapaian ASM'!H36</f>
        <v>0</v>
      </c>
      <c r="I16" s="140">
        <f t="shared" si="1"/>
        <v>0</v>
      </c>
      <c r="J16" s="137">
        <f>'Rekap Insentif Sales'!AP281</f>
        <v>0</v>
      </c>
      <c r="K16" s="15">
        <f t="shared" si="2"/>
        <v>0</v>
      </c>
      <c r="L16" s="137">
        <f>'Rekap Insentif Sales'!AR281</f>
        <v>0</v>
      </c>
      <c r="M16" s="15">
        <f t="shared" si="0"/>
        <v>0</v>
      </c>
      <c r="N16" s="140">
        <f t="shared" si="3"/>
        <v>0</v>
      </c>
    </row>
    <row r="17" spans="2:19" ht="16" x14ac:dyDescent="0.2">
      <c r="B17" s="12" t="str">
        <f>'Pencapaian ASM'!B18</f>
        <v>SSS</v>
      </c>
      <c r="C17" s="84" t="str">
        <f>'Pencapaian ASM'!C18</f>
        <v>MUTAQIN</v>
      </c>
      <c r="D17" s="295" t="str">
        <f>'Pencapaian ASM'!G18</f>
        <v>ASM</v>
      </c>
      <c r="E17" s="109">
        <f>'Pencapaian ASM'!F18</f>
        <v>5.3081240740740741E-2</v>
      </c>
      <c r="F17" s="15">
        <f>'Pencapaian ASM'!H18</f>
        <v>0</v>
      </c>
      <c r="G17" s="139">
        <f>'Pencapaian ASM'!F37</f>
        <v>5.6273447269695707E-2</v>
      </c>
      <c r="H17" s="138">
        <f>'Pencapaian ASM'!H37</f>
        <v>0</v>
      </c>
      <c r="I17" s="140">
        <f t="shared" si="1"/>
        <v>0</v>
      </c>
      <c r="J17" s="137">
        <f>'Rekap Insentif Sales'!AP314</f>
        <v>0</v>
      </c>
      <c r="K17" s="15">
        <f t="shared" si="2"/>
        <v>0</v>
      </c>
      <c r="L17" s="137">
        <f>'Rekap Insentif Sales'!AR314</f>
        <v>0</v>
      </c>
      <c r="M17" s="15">
        <f t="shared" si="0"/>
        <v>0</v>
      </c>
      <c r="N17" s="140">
        <f t="shared" si="3"/>
        <v>0</v>
      </c>
    </row>
    <row r="18" spans="2:19" ht="16" x14ac:dyDescent="0.2">
      <c r="B18" s="12" t="str">
        <f>'Pencapaian ASM'!B19</f>
        <v>TMP</v>
      </c>
      <c r="C18" s="84" t="str">
        <f>'Pencapaian ASM'!C19</f>
        <v>(VACANT)</v>
      </c>
      <c r="D18" s="295" t="str">
        <f>'Pencapaian ASM'!G19</f>
        <v>ASM</v>
      </c>
      <c r="E18" s="109">
        <f>'Pencapaian ASM'!F19</f>
        <v>1.0635301962962971</v>
      </c>
      <c r="F18" s="15">
        <f>'Pencapaian ASM'!H19</f>
        <v>240000</v>
      </c>
      <c r="G18" s="139">
        <f>'Pencapaian ASM'!F38</f>
        <v>0.93</v>
      </c>
      <c r="H18" s="138">
        <f>'Pencapaian ASM'!H38</f>
        <v>300000</v>
      </c>
      <c r="I18" s="140">
        <f t="shared" si="1"/>
        <v>540000</v>
      </c>
      <c r="J18" s="137">
        <f>'Rekap Insentif Sales'!AP338</f>
        <v>0</v>
      </c>
      <c r="K18" s="15">
        <f t="shared" si="2"/>
        <v>0</v>
      </c>
      <c r="L18" s="137">
        <f>'Rekap Insentif Sales'!AR338</f>
        <v>0</v>
      </c>
      <c r="M18" s="15">
        <f t="shared" si="0"/>
        <v>0</v>
      </c>
      <c r="N18" s="140">
        <f t="shared" si="3"/>
        <v>540000</v>
      </c>
    </row>
    <row r="19" spans="2:19" x14ac:dyDescent="0.2">
      <c r="B19" s="406" t="s">
        <v>91</v>
      </c>
      <c r="C19" s="407"/>
      <c r="D19" s="407"/>
      <c r="E19" s="407"/>
      <c r="F19" s="407"/>
      <c r="G19" s="407"/>
      <c r="H19" s="408"/>
      <c r="I19" s="141">
        <f>SUM(I6:I18)</f>
        <v>3002500</v>
      </c>
      <c r="J19" s="142"/>
      <c r="K19" s="143">
        <f>SUM(K6:K18)</f>
        <v>-292500</v>
      </c>
      <c r="L19" s="142"/>
      <c r="M19" s="143">
        <f>SUM(M6:M18)</f>
        <v>-1545000</v>
      </c>
      <c r="N19" s="141">
        <f>SUM(N6:N18)</f>
        <v>1165000</v>
      </c>
    </row>
    <row r="20" spans="2:19" x14ac:dyDescent="0.2">
      <c r="J20" s="1" t="s">
        <v>797</v>
      </c>
    </row>
    <row r="21" spans="2:19" x14ac:dyDescent="0.2">
      <c r="J21" s="1" t="s">
        <v>785</v>
      </c>
    </row>
    <row r="22" spans="2:19" x14ac:dyDescent="0.2">
      <c r="J22" s="1"/>
    </row>
    <row r="23" spans="2:19" x14ac:dyDescent="0.2">
      <c r="J23" s="1"/>
    </row>
    <row r="24" spans="2:19" x14ac:dyDescent="0.2">
      <c r="B24" s="411" t="s">
        <v>277</v>
      </c>
      <c r="C24" s="411"/>
      <c r="D24" s="411" t="s">
        <v>281</v>
      </c>
      <c r="E24" s="411"/>
      <c r="F24" s="411"/>
      <c r="G24" s="413" t="s">
        <v>284</v>
      </c>
      <c r="H24" s="414"/>
      <c r="I24" s="414"/>
      <c r="J24" s="414"/>
      <c r="K24" s="414"/>
      <c r="L24" s="415"/>
      <c r="N24" s="413" t="s">
        <v>281</v>
      </c>
      <c r="O24" s="414"/>
      <c r="P24" s="414"/>
      <c r="Q24" s="414"/>
      <c r="R24" s="414"/>
      <c r="S24" s="415"/>
    </row>
    <row r="25" spans="2:19" x14ac:dyDescent="0.2">
      <c r="B25" s="412" t="s">
        <v>282</v>
      </c>
      <c r="C25" s="412"/>
      <c r="D25" s="412" t="s">
        <v>282</v>
      </c>
      <c r="E25" s="412"/>
      <c r="F25" s="412"/>
      <c r="G25" s="412" t="s">
        <v>331</v>
      </c>
      <c r="H25" s="412"/>
      <c r="I25" s="412"/>
      <c r="J25" s="412" t="s">
        <v>332</v>
      </c>
      <c r="K25" s="412"/>
      <c r="L25" s="412"/>
      <c r="N25" s="412" t="s">
        <v>285</v>
      </c>
      <c r="O25" s="412"/>
      <c r="P25" s="412"/>
      <c r="Q25" s="412" t="s">
        <v>286</v>
      </c>
      <c r="R25" s="412"/>
      <c r="S25" s="412"/>
    </row>
    <row r="26" spans="2:19" x14ac:dyDescent="0.2"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N26" s="412"/>
      <c r="O26" s="412"/>
      <c r="P26" s="412"/>
      <c r="Q26" s="412"/>
      <c r="R26" s="412"/>
      <c r="S26" s="412"/>
    </row>
    <row r="27" spans="2:19" x14ac:dyDescent="0.2"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12"/>
      <c r="N27" s="412"/>
      <c r="O27" s="412"/>
      <c r="P27" s="412"/>
      <c r="Q27" s="412"/>
      <c r="R27" s="412"/>
      <c r="S27" s="412"/>
    </row>
    <row r="28" spans="2:19" x14ac:dyDescent="0.2"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N28" s="412"/>
      <c r="O28" s="412"/>
      <c r="P28" s="412"/>
      <c r="Q28" s="412"/>
      <c r="R28" s="412"/>
      <c r="S28" s="412"/>
    </row>
    <row r="29" spans="2:19" x14ac:dyDescent="0.2">
      <c r="B29" s="412"/>
      <c r="C29" s="412"/>
      <c r="D29" s="412"/>
      <c r="E29" s="412"/>
      <c r="F29" s="412"/>
      <c r="G29" s="412"/>
      <c r="H29" s="412"/>
      <c r="I29" s="412"/>
      <c r="J29" s="412"/>
      <c r="K29" s="412"/>
      <c r="L29" s="412"/>
      <c r="N29" s="412"/>
      <c r="O29" s="412"/>
      <c r="P29" s="412"/>
      <c r="Q29" s="412"/>
      <c r="R29" s="412"/>
      <c r="S29" s="412"/>
    </row>
    <row r="30" spans="2:19" x14ac:dyDescent="0.2">
      <c r="B30" s="84" t="s">
        <v>279</v>
      </c>
      <c r="C30" s="218" t="s">
        <v>278</v>
      </c>
      <c r="D30" s="84" t="s">
        <v>279</v>
      </c>
      <c r="E30" s="412" t="s">
        <v>333</v>
      </c>
      <c r="F30" s="412"/>
      <c r="G30" s="84" t="s">
        <v>279</v>
      </c>
      <c r="H30" s="412" t="s">
        <v>334</v>
      </c>
      <c r="I30" s="412"/>
      <c r="J30" s="84" t="s">
        <v>279</v>
      </c>
      <c r="K30" s="412" t="s">
        <v>335</v>
      </c>
      <c r="L30" s="412"/>
      <c r="N30" s="84" t="s">
        <v>279</v>
      </c>
      <c r="O30" s="412" t="s">
        <v>336</v>
      </c>
      <c r="P30" s="412"/>
      <c r="Q30" s="84" t="s">
        <v>279</v>
      </c>
      <c r="R30" s="412" t="s">
        <v>337</v>
      </c>
      <c r="S30" s="412"/>
    </row>
    <row r="31" spans="2:19" x14ac:dyDescent="0.2">
      <c r="B31" s="84" t="s">
        <v>280</v>
      </c>
      <c r="C31" s="218" t="s">
        <v>954</v>
      </c>
      <c r="D31" s="84" t="s">
        <v>280</v>
      </c>
      <c r="E31" s="412" t="s">
        <v>283</v>
      </c>
      <c r="F31" s="412"/>
      <c r="G31" s="84" t="s">
        <v>280</v>
      </c>
      <c r="H31" s="412" t="s">
        <v>283</v>
      </c>
      <c r="I31" s="412"/>
      <c r="J31" s="84" t="s">
        <v>280</v>
      </c>
      <c r="K31" s="412" t="s">
        <v>283</v>
      </c>
      <c r="L31" s="412"/>
      <c r="N31" s="84" t="s">
        <v>280</v>
      </c>
      <c r="O31" s="412" t="s">
        <v>283</v>
      </c>
      <c r="P31" s="412"/>
      <c r="Q31" s="84" t="s">
        <v>280</v>
      </c>
      <c r="R31" s="412" t="s">
        <v>283</v>
      </c>
      <c r="S31" s="412"/>
    </row>
    <row r="32" spans="2:19" x14ac:dyDescent="0.2">
      <c r="C32" s="61" t="s">
        <v>971</v>
      </c>
    </row>
    <row r="33" spans="2:3" x14ac:dyDescent="0.2">
      <c r="C33" s="61"/>
    </row>
    <row r="34" spans="2:3" x14ac:dyDescent="0.2">
      <c r="B34" t="s">
        <v>780</v>
      </c>
    </row>
    <row r="35" spans="2:3" x14ac:dyDescent="0.2">
      <c r="B35" t="s">
        <v>520</v>
      </c>
    </row>
  </sheetData>
  <mergeCells count="35">
    <mergeCell ref="K30:L30"/>
    <mergeCell ref="K31:L31"/>
    <mergeCell ref="G24:L24"/>
    <mergeCell ref="O30:P30"/>
    <mergeCell ref="R30:S30"/>
    <mergeCell ref="O31:P31"/>
    <mergeCell ref="R31:S31"/>
    <mergeCell ref="N24:S24"/>
    <mergeCell ref="N25:P25"/>
    <mergeCell ref="Q25:S25"/>
    <mergeCell ref="N26:P29"/>
    <mergeCell ref="Q26:S29"/>
    <mergeCell ref="J25:L25"/>
    <mergeCell ref="J26:L29"/>
    <mergeCell ref="E30:F30"/>
    <mergeCell ref="E31:F31"/>
    <mergeCell ref="G25:I25"/>
    <mergeCell ref="G26:I29"/>
    <mergeCell ref="H30:I30"/>
    <mergeCell ref="H31:I31"/>
    <mergeCell ref="D24:F24"/>
    <mergeCell ref="D25:F25"/>
    <mergeCell ref="D26:F29"/>
    <mergeCell ref="B24:C24"/>
    <mergeCell ref="B25:C25"/>
    <mergeCell ref="B26:C29"/>
    <mergeCell ref="J4:M4"/>
    <mergeCell ref="N4:N5"/>
    <mergeCell ref="I4:I5"/>
    <mergeCell ref="B19:H19"/>
    <mergeCell ref="B4:B5"/>
    <mergeCell ref="C4:C5"/>
    <mergeCell ref="D4:D5"/>
    <mergeCell ref="E4:F4"/>
    <mergeCell ref="G4:H4"/>
  </mergeCells>
  <conditionalFormatting sqref="J6:J18">
    <cfRule type="cellIs" dxfId="535" priority="2" operator="greaterThanOrEqual">
      <formula>0.005</formula>
    </cfRule>
  </conditionalFormatting>
  <conditionalFormatting sqref="L6:L18">
    <cfRule type="cellIs" dxfId="534" priority="1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B74D-087A-4A5D-A4F5-ADA667A72D40}">
  <dimension ref="B2:N43"/>
  <sheetViews>
    <sheetView showGridLines="0" zoomScale="70" zoomScaleNormal="70" workbookViewId="0">
      <selection activeCell="J25" sqref="J25"/>
    </sheetView>
  </sheetViews>
  <sheetFormatPr baseColWidth="10" defaultColWidth="8.83203125" defaultRowHeight="15" x14ac:dyDescent="0.2"/>
  <cols>
    <col min="1" max="1" width="4.5" customWidth="1"/>
    <col min="2" max="2" width="10" customWidth="1"/>
    <col min="3" max="3" width="24.1640625" customWidth="1"/>
    <col min="4" max="5" width="16.5" style="2" customWidth="1"/>
    <col min="6" max="6" width="12.5" customWidth="1"/>
    <col min="7" max="10" width="15.6640625" customWidth="1"/>
    <col min="11" max="11" width="13.5" customWidth="1"/>
    <col min="12" max="12" width="15.6640625" customWidth="1"/>
    <col min="13" max="13" width="12" customWidth="1"/>
    <col min="14" max="14" width="6.6640625" customWidth="1"/>
  </cols>
  <sheetData>
    <row r="2" spans="2:13" ht="24" x14ac:dyDescent="0.3">
      <c r="B2" s="85" t="s">
        <v>81</v>
      </c>
    </row>
    <row r="4" spans="2:13" x14ac:dyDescent="0.2">
      <c r="B4" s="6" t="s">
        <v>82</v>
      </c>
    </row>
    <row r="5" spans="2:13" ht="15" customHeight="1" x14ac:dyDescent="0.2">
      <c r="B5" s="388" t="s">
        <v>67</v>
      </c>
      <c r="C5" s="388" t="s">
        <v>83</v>
      </c>
      <c r="D5" s="385" t="s">
        <v>4</v>
      </c>
      <c r="E5" s="385"/>
      <c r="F5" s="416" t="s">
        <v>56</v>
      </c>
      <c r="G5" s="394" t="s">
        <v>3</v>
      </c>
      <c r="H5" s="394" t="s">
        <v>57</v>
      </c>
    </row>
    <row r="6" spans="2:13" ht="16" x14ac:dyDescent="0.2">
      <c r="B6" s="388"/>
      <c r="C6" s="388"/>
      <c r="D6" s="36" t="s">
        <v>77</v>
      </c>
      <c r="E6" s="36" t="s">
        <v>58</v>
      </c>
      <c r="F6" s="416"/>
      <c r="G6" s="394"/>
      <c r="H6" s="394"/>
      <c r="K6" s="45"/>
      <c r="L6" s="45"/>
    </row>
    <row r="7" spans="2:13" x14ac:dyDescent="0.2">
      <c r="B7" s="12" t="s">
        <v>122</v>
      </c>
      <c r="C7" s="84" t="s">
        <v>94</v>
      </c>
      <c r="D7" s="92">
        <f>'Pencapaian Sales Value'!E40</f>
        <v>6110137161.7799988</v>
      </c>
      <c r="E7" s="92">
        <f>'Pencapaian Sales Value'!F40</f>
        <v>6825000000.313879</v>
      </c>
      <c r="F7" s="109">
        <f>D7/E7</f>
        <v>0.89525819216102509</v>
      </c>
      <c r="G7" s="86" t="s">
        <v>84</v>
      </c>
      <c r="H7" s="87">
        <v>472500</v>
      </c>
      <c r="K7" s="45"/>
      <c r="L7" s="45" t="s">
        <v>84</v>
      </c>
      <c r="M7" s="46">
        <f>SUM(H20,H39)</f>
        <v>3002500</v>
      </c>
    </row>
    <row r="8" spans="2:13" x14ac:dyDescent="0.2">
      <c r="B8" s="12" t="s">
        <v>123</v>
      </c>
      <c r="C8" s="84" t="s">
        <v>96</v>
      </c>
      <c r="D8" s="92">
        <f>'Pencapaian Sales Value'!E77</f>
        <v>2888211727.3800001</v>
      </c>
      <c r="E8" s="92">
        <f>'Pencapaian Sales Value'!F77</f>
        <v>3484171842</v>
      </c>
      <c r="F8" s="109">
        <f t="shared" ref="F8:F20" si="0">D8/E8</f>
        <v>0.82895214655144445</v>
      </c>
      <c r="G8" s="86" t="s">
        <v>84</v>
      </c>
      <c r="H8" s="87">
        <v>472500</v>
      </c>
      <c r="K8" s="45"/>
      <c r="L8" s="45" t="s">
        <v>88</v>
      </c>
      <c r="M8" s="49">
        <f>'Pencapaian Sales Value'!I352</f>
        <v>38916750</v>
      </c>
    </row>
    <row r="9" spans="2:13" x14ac:dyDescent="0.2">
      <c r="B9" s="12" t="s">
        <v>226</v>
      </c>
      <c r="C9" s="84" t="s">
        <v>575</v>
      </c>
      <c r="D9" s="92">
        <f>'Pencapaian Sales Value'!E95</f>
        <v>391899206.66664499</v>
      </c>
      <c r="E9" s="92">
        <f>'Pencapaian Sales Value'!F95</f>
        <v>546785000</v>
      </c>
      <c r="F9" s="109">
        <f t="shared" si="0"/>
        <v>0.71673364607047563</v>
      </c>
      <c r="G9" s="86" t="s">
        <v>84</v>
      </c>
      <c r="H9" s="87">
        <v>262500</v>
      </c>
      <c r="L9" s="45"/>
      <c r="M9" s="46"/>
    </row>
    <row r="10" spans="2:13" x14ac:dyDescent="0.2">
      <c r="B10" s="12" t="s">
        <v>90</v>
      </c>
      <c r="C10" s="84" t="s">
        <v>576</v>
      </c>
      <c r="D10" s="92">
        <f>'Pencapaian Sales Value'!E147</f>
        <v>1395065097.7428002</v>
      </c>
      <c r="E10" s="92">
        <f>'Pencapaian Sales Value'!F147</f>
        <v>1990197935.9856</v>
      </c>
      <c r="F10" s="109">
        <f t="shared" si="0"/>
        <v>0.70096801555164223</v>
      </c>
      <c r="G10" s="86" t="s">
        <v>84</v>
      </c>
      <c r="H10" s="87">
        <v>262500</v>
      </c>
      <c r="K10" s="51" t="s">
        <v>89</v>
      </c>
      <c r="L10" s="51"/>
      <c r="M10" s="88">
        <f>SUM(M7:M8)</f>
        <v>41919250</v>
      </c>
    </row>
    <row r="11" spans="2:13" x14ac:dyDescent="0.2">
      <c r="B11" s="12" t="s">
        <v>85</v>
      </c>
      <c r="C11" s="84" t="s">
        <v>149</v>
      </c>
      <c r="D11" s="92">
        <f>'Pencapaian Sales Value'!E315</f>
        <v>855644573</v>
      </c>
      <c r="E11" s="92">
        <f>'Pencapaian Sales Value'!F315</f>
        <v>1270200000</v>
      </c>
      <c r="F11" s="109">
        <f t="shared" si="0"/>
        <v>0.67362980081876866</v>
      </c>
      <c r="G11" s="86" t="s">
        <v>84</v>
      </c>
      <c r="H11" s="87">
        <v>0</v>
      </c>
      <c r="M11" s="46"/>
    </row>
    <row r="12" spans="2:13" x14ac:dyDescent="0.2">
      <c r="B12" s="12" t="s">
        <v>970</v>
      </c>
      <c r="C12" s="84" t="s">
        <v>74</v>
      </c>
      <c r="D12" s="92">
        <f>'Pencapaian Sales Value'!E146</f>
        <v>36128820.879999995</v>
      </c>
      <c r="E12" s="92">
        <f>'Pencapaian Sales Value'!F146</f>
        <v>144000000</v>
      </c>
      <c r="F12" s="109">
        <f t="shared" ref="F12" si="1">D12/E12</f>
        <v>0.25089458944444443</v>
      </c>
      <c r="G12" s="86" t="s">
        <v>84</v>
      </c>
      <c r="H12" s="87">
        <v>0</v>
      </c>
      <c r="M12" s="46"/>
    </row>
    <row r="13" spans="2:13" x14ac:dyDescent="0.2">
      <c r="B13" s="12" t="s">
        <v>969</v>
      </c>
      <c r="C13" s="84" t="s">
        <v>903</v>
      </c>
      <c r="D13" s="92">
        <f>'Pencapaian Sales Value'!E124</f>
        <v>3792488.6927999994</v>
      </c>
      <c r="E13" s="92">
        <f>'Pencapaian Sales Value'!F124</f>
        <v>30000000</v>
      </c>
      <c r="F13" s="109">
        <f>D13/E13</f>
        <v>0.12641628975999997</v>
      </c>
      <c r="G13" s="86" t="s">
        <v>84</v>
      </c>
      <c r="H13" s="87">
        <v>0</v>
      </c>
      <c r="M13" s="46"/>
    </row>
    <row r="14" spans="2:13" x14ac:dyDescent="0.2">
      <c r="B14" s="12" t="s">
        <v>890</v>
      </c>
      <c r="C14" s="84" t="s">
        <v>763</v>
      </c>
      <c r="D14" s="92">
        <f>'Pencapaian Sales Value'!E190</f>
        <v>576864237</v>
      </c>
      <c r="E14" s="92">
        <f>'Pencapaian Sales Value'!F190</f>
        <v>650500000</v>
      </c>
      <c r="F14" s="109">
        <f t="shared" si="0"/>
        <v>0.88680128670253655</v>
      </c>
      <c r="G14" s="86" t="s">
        <v>84</v>
      </c>
      <c r="H14" s="87">
        <v>160000</v>
      </c>
      <c r="M14" s="46"/>
    </row>
    <row r="15" spans="2:13" x14ac:dyDescent="0.2">
      <c r="B15" s="12" t="s">
        <v>890</v>
      </c>
      <c r="C15" s="84" t="s">
        <v>765</v>
      </c>
      <c r="D15" s="92">
        <f>'Pencapaian Sales Value'!E226</f>
        <v>57936970</v>
      </c>
      <c r="E15" s="92">
        <f>'Pencapaian Sales Value'!F226</f>
        <v>126500000</v>
      </c>
      <c r="F15" s="109">
        <f t="shared" si="0"/>
        <v>0.45799976284584981</v>
      </c>
      <c r="G15" s="86" t="s">
        <v>84</v>
      </c>
      <c r="H15" s="87">
        <v>0</v>
      </c>
      <c r="M15" s="46"/>
    </row>
    <row r="16" spans="2:13" x14ac:dyDescent="0.2">
      <c r="B16" s="12" t="s">
        <v>890</v>
      </c>
      <c r="C16" s="84" t="s">
        <v>764</v>
      </c>
      <c r="D16" s="92">
        <f>'Pencapaian Sales Value'!E259</f>
        <v>186192951</v>
      </c>
      <c r="E16" s="92">
        <f>'Pencapaian Sales Value'!F259</f>
        <v>382200000</v>
      </c>
      <c r="F16" s="109">
        <f t="shared" si="0"/>
        <v>0.48716104395604398</v>
      </c>
      <c r="G16" s="86" t="s">
        <v>84</v>
      </c>
      <c r="H16" s="87">
        <v>0</v>
      </c>
      <c r="M16" s="46"/>
    </row>
    <row r="17" spans="2:13" x14ac:dyDescent="0.2">
      <c r="B17" s="12" t="s">
        <v>890</v>
      </c>
      <c r="C17" s="84" t="s">
        <v>766</v>
      </c>
      <c r="D17" s="92">
        <f>'Pencapaian Sales Value'!E281</f>
        <v>31784028</v>
      </c>
      <c r="E17" s="92">
        <f>'Pencapaian Sales Value'!F281</f>
        <v>57000000</v>
      </c>
      <c r="F17" s="109">
        <f t="shared" si="0"/>
        <v>0.55761452631578945</v>
      </c>
      <c r="G17" s="86" t="s">
        <v>84</v>
      </c>
      <c r="H17" s="87">
        <v>0</v>
      </c>
      <c r="M17" s="46"/>
    </row>
    <row r="18" spans="2:13" x14ac:dyDescent="0.2">
      <c r="B18" s="12" t="s">
        <v>890</v>
      </c>
      <c r="C18" s="84" t="s">
        <v>767</v>
      </c>
      <c r="D18" s="92">
        <f>'Pencapaian Sales Value'!E314</f>
        <v>2866387</v>
      </c>
      <c r="E18" s="92">
        <f>'Pencapaian Sales Value'!F314</f>
        <v>54000000</v>
      </c>
      <c r="F18" s="109">
        <f t="shared" si="0"/>
        <v>5.3081240740740741E-2</v>
      </c>
      <c r="G18" s="86" t="s">
        <v>84</v>
      </c>
      <c r="H18" s="87">
        <v>0</v>
      </c>
      <c r="M18" s="46"/>
    </row>
    <row r="19" spans="2:13" x14ac:dyDescent="0.2">
      <c r="B19" s="12" t="s">
        <v>904</v>
      </c>
      <c r="C19" s="84" t="s">
        <v>74</v>
      </c>
      <c r="D19" s="92">
        <f>'Pencapaian Sales Value'!E338</f>
        <v>143576576.50000012</v>
      </c>
      <c r="E19" s="92">
        <f>'Pencapaian Sales Value'!F338</f>
        <v>135000000</v>
      </c>
      <c r="F19" s="109">
        <f t="shared" ref="F19" si="2">D19/E19</f>
        <v>1.0635301962962971</v>
      </c>
      <c r="G19" s="86" t="s">
        <v>84</v>
      </c>
      <c r="H19" s="87">
        <v>240000</v>
      </c>
      <c r="M19" s="46"/>
    </row>
    <row r="20" spans="2:13" x14ac:dyDescent="0.2">
      <c r="B20" s="93" t="s">
        <v>86</v>
      </c>
      <c r="C20" s="93"/>
      <c r="D20" s="94">
        <f>SUM(D7:D19)</f>
        <v>12680100225.642244</v>
      </c>
      <c r="E20" s="94">
        <f>SUM(E7:E19)</f>
        <v>15695554778.299479</v>
      </c>
      <c r="F20" s="95">
        <f t="shared" si="0"/>
        <v>0.80787843467461418</v>
      </c>
      <c r="G20" s="96"/>
      <c r="H20" s="94">
        <f>SUM(H7:H19)</f>
        <v>1870000</v>
      </c>
    </row>
    <row r="22" spans="2:13" x14ac:dyDescent="0.2">
      <c r="K22" s="53"/>
      <c r="L22" s="53"/>
    </row>
    <row r="23" spans="2:13" x14ac:dyDescent="0.2">
      <c r="B23" s="6" t="s">
        <v>87</v>
      </c>
      <c r="K23" s="53"/>
      <c r="L23" s="53"/>
    </row>
    <row r="24" spans="2:13" ht="15" customHeight="1" x14ac:dyDescent="0.2">
      <c r="B24" s="388" t="s">
        <v>67</v>
      </c>
      <c r="C24" s="388" t="s">
        <v>83</v>
      </c>
      <c r="D24" s="385" t="s">
        <v>5</v>
      </c>
      <c r="E24" s="385"/>
      <c r="F24" s="416" t="s">
        <v>56</v>
      </c>
      <c r="G24" s="394" t="s">
        <v>3</v>
      </c>
      <c r="H24" s="394" t="s">
        <v>466</v>
      </c>
      <c r="K24" s="53"/>
      <c r="L24" s="53"/>
    </row>
    <row r="25" spans="2:13" ht="16" x14ac:dyDescent="0.2">
      <c r="B25" s="388"/>
      <c r="C25" s="388"/>
      <c r="D25" s="36" t="s">
        <v>77</v>
      </c>
      <c r="E25" s="36" t="s">
        <v>58</v>
      </c>
      <c r="F25" s="416"/>
      <c r="G25" s="394"/>
      <c r="H25" s="394"/>
      <c r="J25" s="55"/>
      <c r="K25" s="55"/>
    </row>
    <row r="26" spans="2:13" x14ac:dyDescent="0.2">
      <c r="B26" s="12" t="s">
        <v>122</v>
      </c>
      <c r="C26" s="84" t="s">
        <v>94</v>
      </c>
      <c r="D26" s="92">
        <f>'Pencapaian Active Outlet'!E40</f>
        <v>2470</v>
      </c>
      <c r="E26" s="92">
        <f>'Pencapaian Active Outlet'!F40</f>
        <v>2508.5499999999997</v>
      </c>
      <c r="F26" s="109">
        <f>D26/E26</f>
        <v>0.98463255665623584</v>
      </c>
      <c r="G26" s="86" t="s">
        <v>84</v>
      </c>
      <c r="H26" s="87">
        <v>315000</v>
      </c>
    </row>
    <row r="27" spans="2:13" x14ac:dyDescent="0.2">
      <c r="B27" s="12" t="s">
        <v>123</v>
      </c>
      <c r="C27" s="84" t="s">
        <v>96</v>
      </c>
      <c r="D27" s="92">
        <f>'Pencapaian Active Outlet'!E77</f>
        <v>1957</v>
      </c>
      <c r="E27" s="92">
        <f>'Pencapaian Active Outlet'!F77</f>
        <v>2185.9499999999998</v>
      </c>
      <c r="F27" s="109">
        <f t="shared" ref="F27:F39" si="3">D27/E27</f>
        <v>0.89526292916123429</v>
      </c>
      <c r="G27" s="86" t="s">
        <v>84</v>
      </c>
      <c r="H27" s="87">
        <v>202500</v>
      </c>
    </row>
    <row r="28" spans="2:13" x14ac:dyDescent="0.2">
      <c r="B28" s="12" t="s">
        <v>226</v>
      </c>
      <c r="C28" s="84" t="s">
        <v>575</v>
      </c>
      <c r="D28" s="92">
        <f>'Pencapaian Active Outlet'!E95</f>
        <v>512</v>
      </c>
      <c r="E28" s="92">
        <f>'Pencapaian Active Outlet'!F95</f>
        <v>576</v>
      </c>
      <c r="F28" s="109">
        <f t="shared" si="3"/>
        <v>0.88888888888888884</v>
      </c>
      <c r="G28" s="86" t="s">
        <v>84</v>
      </c>
      <c r="H28" s="87">
        <v>202500</v>
      </c>
      <c r="K28" s="45"/>
      <c r="L28" s="45"/>
      <c r="M28" s="46"/>
    </row>
    <row r="29" spans="2:13" x14ac:dyDescent="0.2">
      <c r="B29" s="12" t="s">
        <v>90</v>
      </c>
      <c r="C29" s="84" t="s">
        <v>576</v>
      </c>
      <c r="D29" s="92">
        <f>'Pencapaian Active Outlet'!E147</f>
        <v>1442</v>
      </c>
      <c r="E29" s="92">
        <f>'Pencapaian Active Outlet'!F147</f>
        <v>2030</v>
      </c>
      <c r="F29" s="109">
        <f t="shared" si="3"/>
        <v>0.71034482758620687</v>
      </c>
      <c r="G29" s="86" t="s">
        <v>84</v>
      </c>
      <c r="H29" s="87">
        <v>112500</v>
      </c>
      <c r="J29" s="53"/>
      <c r="K29" s="53"/>
      <c r="M29" s="53"/>
    </row>
    <row r="30" spans="2:13" x14ac:dyDescent="0.2">
      <c r="B30" s="12" t="s">
        <v>85</v>
      </c>
      <c r="C30" s="84" t="s">
        <v>149</v>
      </c>
      <c r="D30" s="92">
        <f>'Pencapaian Active Outlet'!E315</f>
        <v>1330</v>
      </c>
      <c r="E30" s="92">
        <f>'Pencapaian Active Outlet'!F315</f>
        <v>3244.8</v>
      </c>
      <c r="F30" s="109">
        <f t="shared" si="3"/>
        <v>0.40988658777120313</v>
      </c>
      <c r="G30" s="86" t="s">
        <v>84</v>
      </c>
      <c r="H30" s="87">
        <v>0</v>
      </c>
      <c r="J30" s="53"/>
      <c r="K30" s="53"/>
      <c r="M30" s="53"/>
    </row>
    <row r="31" spans="2:13" x14ac:dyDescent="0.2">
      <c r="B31" s="12" t="s">
        <v>970</v>
      </c>
      <c r="C31" s="84" t="s">
        <v>74</v>
      </c>
      <c r="D31" s="92">
        <f>'Pencapaian Active Outlet'!E146</f>
        <v>135</v>
      </c>
      <c r="E31" s="92">
        <f>'Pencapaian Active Outlet'!F146</f>
        <v>320</v>
      </c>
      <c r="F31" s="109">
        <f>D31/E31</f>
        <v>0.421875</v>
      </c>
      <c r="G31" s="86" t="s">
        <v>84</v>
      </c>
      <c r="H31" s="87">
        <v>0</v>
      </c>
      <c r="J31" s="53"/>
      <c r="K31" s="53"/>
      <c r="M31" s="53"/>
    </row>
    <row r="32" spans="2:13" x14ac:dyDescent="0.2">
      <c r="B32" s="12" t="s">
        <v>969</v>
      </c>
      <c r="C32" s="84" t="s">
        <v>903</v>
      </c>
      <c r="D32" s="92">
        <f>'Pencapaian Active Outlet'!E124</f>
        <v>9</v>
      </c>
      <c r="E32" s="92">
        <f>'Pencapaian Active Outlet'!F124</f>
        <v>100</v>
      </c>
      <c r="F32" s="109">
        <f>D32/E32</f>
        <v>0.09</v>
      </c>
      <c r="G32" s="86" t="s">
        <v>84</v>
      </c>
      <c r="H32" s="87">
        <v>0</v>
      </c>
      <c r="J32" s="53"/>
      <c r="K32" s="53"/>
      <c r="M32" s="53"/>
    </row>
    <row r="33" spans="2:14" x14ac:dyDescent="0.2">
      <c r="B33" s="12" t="s">
        <v>890</v>
      </c>
      <c r="C33" s="84" t="s">
        <v>763</v>
      </c>
      <c r="D33" s="92">
        <f>'Pencapaian Active Outlet'!E190</f>
        <v>890</v>
      </c>
      <c r="E33" s="92">
        <f>'Pencapaian Active Outlet'!F190</f>
        <v>1150</v>
      </c>
      <c r="F33" s="109">
        <f t="shared" si="3"/>
        <v>0.77391304347826084</v>
      </c>
      <c r="G33" s="86" t="s">
        <v>84</v>
      </c>
      <c r="H33" s="87">
        <v>0</v>
      </c>
    </row>
    <row r="34" spans="2:14" x14ac:dyDescent="0.2">
      <c r="B34" s="12" t="s">
        <v>890</v>
      </c>
      <c r="C34" s="84" t="s">
        <v>765</v>
      </c>
      <c r="D34" s="92">
        <f>'Pencapaian Active Outlet'!E226</f>
        <v>166</v>
      </c>
      <c r="E34" s="92">
        <f>'Pencapaian Active Outlet'!F226</f>
        <v>690</v>
      </c>
      <c r="F34" s="109">
        <f t="shared" si="3"/>
        <v>0.24057971014492754</v>
      </c>
      <c r="G34" s="86" t="s">
        <v>84</v>
      </c>
      <c r="H34" s="87">
        <v>0</v>
      </c>
    </row>
    <row r="35" spans="2:14" x14ac:dyDescent="0.2">
      <c r="B35" s="12" t="s">
        <v>890</v>
      </c>
      <c r="C35" s="84" t="s">
        <v>764</v>
      </c>
      <c r="D35" s="92">
        <f>'Pencapaian Active Outlet'!E259</f>
        <v>184</v>
      </c>
      <c r="E35" s="92">
        <f>'Pencapaian Active Outlet'!F259</f>
        <v>615</v>
      </c>
      <c r="F35" s="109">
        <f t="shared" si="3"/>
        <v>0.29918699186991871</v>
      </c>
      <c r="G35" s="86" t="s">
        <v>84</v>
      </c>
      <c r="H35" s="87">
        <v>0</v>
      </c>
      <c r="K35" s="45"/>
      <c r="L35" s="45"/>
      <c r="M35" s="46"/>
    </row>
    <row r="36" spans="2:14" x14ac:dyDescent="0.2">
      <c r="B36" s="12" t="s">
        <v>890</v>
      </c>
      <c r="C36" s="84" t="s">
        <v>766</v>
      </c>
      <c r="D36" s="92">
        <f>'Pencapaian Active Outlet'!E281</f>
        <v>63</v>
      </c>
      <c r="E36" s="92">
        <f>'Pencapaian Active Outlet'!F281</f>
        <v>310</v>
      </c>
      <c r="F36" s="109">
        <f t="shared" si="3"/>
        <v>0.20322580645161289</v>
      </c>
      <c r="G36" s="86" t="s">
        <v>84</v>
      </c>
      <c r="H36" s="87">
        <v>0</v>
      </c>
      <c r="J36" s="53"/>
      <c r="K36" s="53"/>
      <c r="M36" s="53"/>
    </row>
    <row r="37" spans="2:14" x14ac:dyDescent="0.2">
      <c r="B37" s="12" t="s">
        <v>890</v>
      </c>
      <c r="C37" s="84" t="s">
        <v>767</v>
      </c>
      <c r="D37" s="92">
        <f>'Pencapaian Active Outlet'!E314</f>
        <v>27</v>
      </c>
      <c r="E37" s="92">
        <f>'Pencapaian Active Outlet'!F314</f>
        <v>479.8</v>
      </c>
      <c r="F37" s="109">
        <f t="shared" ref="F37" si="4">D37/E37</f>
        <v>5.6273447269695707E-2</v>
      </c>
      <c r="G37" s="86" t="s">
        <v>84</v>
      </c>
      <c r="H37" s="87">
        <v>0</v>
      </c>
      <c r="J37" s="53"/>
      <c r="K37" s="53"/>
      <c r="M37" s="53"/>
    </row>
    <row r="38" spans="2:14" x14ac:dyDescent="0.2">
      <c r="B38" s="12" t="s">
        <v>904</v>
      </c>
      <c r="C38" s="84" t="s">
        <v>74</v>
      </c>
      <c r="D38" s="92">
        <f>'Pencapaian Active Outlet'!E337</f>
        <v>93</v>
      </c>
      <c r="E38" s="92">
        <f>'Pencapaian Active Outlet'!F337</f>
        <v>100</v>
      </c>
      <c r="F38" s="109">
        <f t="shared" si="3"/>
        <v>0.93</v>
      </c>
      <c r="G38" s="86" t="s">
        <v>84</v>
      </c>
      <c r="H38" s="87">
        <v>300000</v>
      </c>
      <c r="J38" s="53"/>
      <c r="K38" s="53"/>
      <c r="M38" s="53"/>
    </row>
    <row r="39" spans="2:14" x14ac:dyDescent="0.2">
      <c r="B39" s="93" t="s">
        <v>86</v>
      </c>
      <c r="C39" s="93"/>
      <c r="D39" s="94">
        <f>SUM(D26:D38)</f>
        <v>9278</v>
      </c>
      <c r="E39" s="94">
        <f>SUM(E26:E38)</f>
        <v>14310.099999999999</v>
      </c>
      <c r="F39" s="95">
        <f t="shared" si="3"/>
        <v>0.64835326098350121</v>
      </c>
      <c r="G39" s="96"/>
      <c r="H39" s="94">
        <f>SUM(H26:H38)</f>
        <v>1132500</v>
      </c>
      <c r="J39" s="53"/>
      <c r="K39" s="53"/>
      <c r="M39" s="53"/>
    </row>
    <row r="40" spans="2:14" x14ac:dyDescent="0.2">
      <c r="D40"/>
      <c r="E40"/>
      <c r="F40" s="2"/>
      <c r="G40" s="1"/>
      <c r="H40" s="2"/>
      <c r="I40" s="2"/>
      <c r="K40" s="2"/>
      <c r="M40" s="2"/>
      <c r="N40" s="2"/>
    </row>
    <row r="41" spans="2:14" x14ac:dyDescent="0.2">
      <c r="D41"/>
      <c r="E41"/>
      <c r="F41" s="2"/>
      <c r="G41" s="1"/>
      <c r="H41" s="2"/>
      <c r="I41" s="2"/>
      <c r="K41" s="2"/>
      <c r="M41" s="2"/>
      <c r="N41" s="2"/>
    </row>
    <row r="42" spans="2:14" x14ac:dyDescent="0.2">
      <c r="D42"/>
      <c r="E42"/>
      <c r="F42" s="2"/>
      <c r="G42" s="1"/>
      <c r="H42" s="2"/>
      <c r="I42" s="2"/>
      <c r="K42" s="2"/>
      <c r="M42" s="2"/>
      <c r="N42" s="2"/>
    </row>
    <row r="43" spans="2:14" x14ac:dyDescent="0.2">
      <c r="C43" s="58"/>
    </row>
  </sheetData>
  <mergeCells count="12">
    <mergeCell ref="F5:F6"/>
    <mergeCell ref="G5:G6"/>
    <mergeCell ref="H5:H6"/>
    <mergeCell ref="B24:B25"/>
    <mergeCell ref="C24:C25"/>
    <mergeCell ref="D24:E24"/>
    <mergeCell ref="F24:F25"/>
    <mergeCell ref="G24:G25"/>
    <mergeCell ref="H24:H25"/>
    <mergeCell ref="B5:B6"/>
    <mergeCell ref="C5:C6"/>
    <mergeCell ref="D5:E5"/>
  </mergeCells>
  <conditionalFormatting sqref="F7:F19">
    <cfRule type="cellIs" dxfId="533" priority="9" operator="lessThan">
      <formula>0.7</formula>
    </cfRule>
    <cfRule type="cellIs" dxfId="532" priority="19" operator="greaterThan">
      <formula>1</formula>
    </cfRule>
    <cfRule type="cellIs" dxfId="531" priority="20" operator="greaterThan">
      <formula>0.7</formula>
    </cfRule>
  </conditionalFormatting>
  <conditionalFormatting sqref="F12:F13">
    <cfRule type="cellIs" dxfId="530" priority="7" operator="greaterThan">
      <formula>1</formula>
    </cfRule>
    <cfRule type="cellIs" dxfId="529" priority="8" operator="greaterThan">
      <formula>0.7</formula>
    </cfRule>
  </conditionalFormatting>
  <conditionalFormatting sqref="F26:F32">
    <cfRule type="cellIs" dxfId="528" priority="3" operator="lessThan">
      <formula>0.7</formula>
    </cfRule>
    <cfRule type="cellIs" dxfId="527" priority="4" operator="greaterThan">
      <formula>1</formula>
    </cfRule>
    <cfRule type="cellIs" dxfId="526" priority="5" operator="greaterThan">
      <formula>0.7</formula>
    </cfRule>
  </conditionalFormatting>
  <conditionalFormatting sqref="F31">
    <cfRule type="cellIs" dxfId="525" priority="1" operator="greaterThan">
      <formula>1</formula>
    </cfRule>
    <cfRule type="cellIs" dxfId="524" priority="2" operator="greaterThan">
      <formula>0.7</formula>
    </cfRule>
  </conditionalFormatting>
  <conditionalFormatting sqref="F32">
    <cfRule type="cellIs" dxfId="523" priority="38" operator="greaterThan">
      <formula>0.7</formula>
    </cfRule>
  </conditionalFormatting>
  <conditionalFormatting sqref="F32:F38">
    <cfRule type="cellIs" dxfId="522" priority="16" operator="greaterThan">
      <formula>1</formula>
    </cfRule>
  </conditionalFormatting>
  <conditionalFormatting sqref="F33">
    <cfRule type="cellIs" dxfId="521" priority="41" operator="greaterThan">
      <formula>0.8</formula>
    </cfRule>
    <cfRule type="cellIs" dxfId="520" priority="42" operator="lessThan">
      <formula>0.8</formula>
    </cfRule>
  </conditionalFormatting>
  <conditionalFormatting sqref="F34:F38">
    <cfRule type="cellIs" dxfId="519" priority="17" operator="greaterThan">
      <formula>0.7</formula>
    </cfRule>
    <cfRule type="cellIs" dxfId="518" priority="18" operator="lessThan">
      <formula>0.7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B94F-37BF-4277-B3A1-D83487142326}">
  <dimension ref="B1:AV346"/>
  <sheetViews>
    <sheetView showGridLines="0" topLeftCell="M1" zoomScaleNormal="70" workbookViewId="0">
      <selection activeCell="T42" sqref="T42"/>
    </sheetView>
  </sheetViews>
  <sheetFormatPr baseColWidth="10" defaultColWidth="8.83203125" defaultRowHeight="15" x14ac:dyDescent="0.2"/>
  <cols>
    <col min="1" max="1" width="3.5" customWidth="1"/>
    <col min="2" max="2" width="37.83203125" customWidth="1"/>
    <col min="3" max="13" width="12.1640625" style="282" customWidth="1"/>
    <col min="14" max="14" width="12.1640625" style="283" customWidth="1"/>
    <col min="15" max="15" width="3.5" style="283" customWidth="1"/>
    <col min="16" max="16" width="21" customWidth="1"/>
    <col min="17" max="17" width="16.1640625" customWidth="1"/>
    <col min="18" max="18" width="28.6640625" bestFit="1" customWidth="1"/>
    <col min="19" max="19" width="10.83203125" customWidth="1"/>
    <col min="20" max="20" width="12.6640625" style="303" customWidth="1"/>
    <col min="21" max="21" width="12.6640625" style="327" customWidth="1"/>
    <col min="22" max="23" width="12.6640625" style="303" customWidth="1"/>
    <col min="24" max="24" width="12.6640625" style="327" customWidth="1"/>
    <col min="25" max="25" width="12.6640625" style="303" customWidth="1"/>
    <col min="26" max="26" width="12.6640625" style="327" customWidth="1"/>
    <col min="27" max="27" width="12.6640625" style="303" customWidth="1"/>
    <col min="28" max="28" width="12.6640625" style="327" customWidth="1"/>
    <col min="29" max="29" width="12.6640625" style="303" customWidth="1"/>
    <col min="30" max="30" width="12.6640625" style="327" customWidth="1"/>
    <col min="31" max="31" width="12.6640625" style="303" customWidth="1"/>
    <col min="32" max="32" width="12.6640625" style="327" customWidth="1"/>
    <col min="33" max="33" width="12.6640625" style="303" customWidth="1"/>
    <col min="34" max="34" width="12.6640625" style="327" customWidth="1"/>
    <col min="35" max="35" width="12.6640625" style="303" customWidth="1"/>
    <col min="36" max="36" width="12.6640625" style="327" customWidth="1"/>
    <col min="37" max="37" width="12.6640625" style="303" customWidth="1"/>
    <col min="38" max="38" width="12.6640625" style="327" customWidth="1"/>
    <col min="39" max="39" width="12.6640625" style="303" customWidth="1"/>
    <col min="40" max="41" width="12.6640625" style="327" customWidth="1"/>
    <col min="42" max="42" width="12.6640625" style="282" customWidth="1"/>
    <col min="43" max="43" width="12.6640625" style="327" customWidth="1"/>
    <col min="44" max="44" width="12.6640625" style="282" customWidth="1"/>
    <col min="45" max="48" width="12.6640625" style="327" customWidth="1"/>
  </cols>
  <sheetData>
    <row r="1" spans="2:48" x14ac:dyDescent="0.2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/>
      <c r="O1" s="3"/>
      <c r="P1" s="4"/>
      <c r="Q1" s="5"/>
      <c r="R1" s="5"/>
      <c r="T1" s="300"/>
      <c r="U1" s="2"/>
      <c r="V1" s="300"/>
      <c r="X1" s="2"/>
      <c r="Y1" s="300"/>
      <c r="Z1" s="2"/>
      <c r="AA1" s="300"/>
      <c r="AB1" s="2"/>
      <c r="AC1" s="300"/>
      <c r="AD1" s="2"/>
      <c r="AE1" s="300"/>
      <c r="AF1" s="2"/>
      <c r="AG1" s="300"/>
      <c r="AH1" s="2"/>
      <c r="AI1" s="300"/>
      <c r="AJ1" s="2"/>
      <c r="AK1" s="300"/>
      <c r="AL1" s="2"/>
      <c r="AM1" s="300"/>
      <c r="AN1" s="2"/>
      <c r="AO1" s="2"/>
      <c r="AP1" s="1"/>
      <c r="AQ1" s="133"/>
      <c r="AR1" s="1"/>
      <c r="AS1" s="2"/>
      <c r="AT1" s="2"/>
      <c r="AU1" s="2"/>
      <c r="AV1" s="2"/>
    </row>
    <row r="2" spans="2:48" ht="32" customHeight="1" x14ac:dyDescent="0.2">
      <c r="B2" s="6" t="s">
        <v>124</v>
      </c>
      <c r="C2" s="379"/>
      <c r="D2" s="1"/>
      <c r="E2" s="1"/>
      <c r="F2" s="1"/>
      <c r="G2" s="1"/>
      <c r="H2" s="1"/>
      <c r="I2" s="1"/>
      <c r="J2" s="1"/>
      <c r="K2" s="1"/>
      <c r="L2" s="1"/>
      <c r="M2" s="1"/>
      <c r="N2" s="7"/>
      <c r="O2" s="3"/>
      <c r="P2" s="402" t="s">
        <v>972</v>
      </c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  <c r="AP2" s="402"/>
      <c r="AQ2" s="402"/>
      <c r="AR2" s="402"/>
      <c r="AS2" s="402"/>
      <c r="AT2" s="402"/>
      <c r="AU2" s="402"/>
      <c r="AV2" s="402"/>
    </row>
    <row r="3" spans="2:48" s="62" customFormat="1" ht="14.5" customHeight="1" x14ac:dyDescent="0.2">
      <c r="B3" s="394" t="s">
        <v>0</v>
      </c>
      <c r="C3" s="401" t="s">
        <v>4</v>
      </c>
      <c r="D3" s="398" t="s">
        <v>139</v>
      </c>
      <c r="E3" s="398"/>
      <c r="F3" s="399" t="s">
        <v>134</v>
      </c>
      <c r="G3" s="399" t="s">
        <v>135</v>
      </c>
      <c r="H3" s="399" t="s">
        <v>5</v>
      </c>
      <c r="I3" s="399" t="s">
        <v>137</v>
      </c>
      <c r="J3" s="399" t="s">
        <v>424</v>
      </c>
      <c r="K3" s="399" t="s">
        <v>431</v>
      </c>
      <c r="L3" s="399" t="s">
        <v>438</v>
      </c>
      <c r="M3" s="399" t="s">
        <v>445</v>
      </c>
      <c r="N3" s="398" t="s">
        <v>1</v>
      </c>
      <c r="O3" s="317"/>
      <c r="P3" s="388" t="s">
        <v>0</v>
      </c>
      <c r="Q3" s="388" t="s">
        <v>270</v>
      </c>
      <c r="R3" s="388" t="s">
        <v>2</v>
      </c>
      <c r="S3" s="394" t="s">
        <v>3</v>
      </c>
      <c r="T3" s="388" t="s">
        <v>4</v>
      </c>
      <c r="U3" s="388"/>
      <c r="V3" s="388" t="s">
        <v>139</v>
      </c>
      <c r="W3" s="388"/>
      <c r="X3" s="388"/>
      <c r="Y3" s="388" t="s">
        <v>134</v>
      </c>
      <c r="Z3" s="388"/>
      <c r="AA3" s="388" t="s">
        <v>135</v>
      </c>
      <c r="AB3" s="388"/>
      <c r="AC3" s="388" t="s">
        <v>5</v>
      </c>
      <c r="AD3" s="388"/>
      <c r="AE3" s="388" t="s">
        <v>137</v>
      </c>
      <c r="AF3" s="388"/>
      <c r="AG3" s="388" t="s">
        <v>424</v>
      </c>
      <c r="AH3" s="388"/>
      <c r="AI3" s="388" t="s">
        <v>431</v>
      </c>
      <c r="AJ3" s="388"/>
      <c r="AK3" s="388" t="s">
        <v>438</v>
      </c>
      <c r="AL3" s="388"/>
      <c r="AM3" s="388" t="s">
        <v>445</v>
      </c>
      <c r="AN3" s="388"/>
      <c r="AO3" s="389" t="s">
        <v>141</v>
      </c>
      <c r="AP3" s="391" t="s">
        <v>6</v>
      </c>
      <c r="AQ3" s="391"/>
      <c r="AR3" s="391"/>
      <c r="AS3" s="391"/>
      <c r="AT3" s="385" t="s">
        <v>7</v>
      </c>
      <c r="AU3" s="385" t="s">
        <v>2</v>
      </c>
      <c r="AV3" s="385" t="s">
        <v>144</v>
      </c>
    </row>
    <row r="4" spans="2:48" s="62" customFormat="1" ht="32" x14ac:dyDescent="0.2">
      <c r="B4" s="394"/>
      <c r="C4" s="401"/>
      <c r="D4" s="292" t="s">
        <v>514</v>
      </c>
      <c r="E4" s="292" t="s">
        <v>515</v>
      </c>
      <c r="F4" s="400"/>
      <c r="G4" s="400"/>
      <c r="H4" s="400"/>
      <c r="I4" s="400"/>
      <c r="J4" s="400"/>
      <c r="K4" s="400"/>
      <c r="L4" s="400"/>
      <c r="M4" s="400"/>
      <c r="N4" s="398"/>
      <c r="O4" s="317"/>
      <c r="P4" s="388"/>
      <c r="Q4" s="388"/>
      <c r="R4" s="388"/>
      <c r="S4" s="394"/>
      <c r="T4" s="253" t="s">
        <v>9</v>
      </c>
      <c r="U4" s="54" t="s">
        <v>10</v>
      </c>
      <c r="V4" s="253" t="s">
        <v>514</v>
      </c>
      <c r="W4" s="296" t="s">
        <v>515</v>
      </c>
      <c r="X4" s="54" t="s">
        <v>10</v>
      </c>
      <c r="Y4" s="253" t="s">
        <v>9</v>
      </c>
      <c r="Z4" s="54" t="s">
        <v>10</v>
      </c>
      <c r="AA4" s="253" t="s">
        <v>9</v>
      </c>
      <c r="AB4" s="54" t="s">
        <v>10</v>
      </c>
      <c r="AC4" s="253" t="s">
        <v>9</v>
      </c>
      <c r="AD4" s="54" t="s">
        <v>10</v>
      </c>
      <c r="AE4" s="253" t="s">
        <v>9</v>
      </c>
      <c r="AF4" s="54" t="s">
        <v>10</v>
      </c>
      <c r="AG4" s="253" t="s">
        <v>9</v>
      </c>
      <c r="AH4" s="54" t="s">
        <v>10</v>
      </c>
      <c r="AI4" s="253" t="s">
        <v>9</v>
      </c>
      <c r="AJ4" s="54" t="s">
        <v>10</v>
      </c>
      <c r="AK4" s="253" t="s">
        <v>9</v>
      </c>
      <c r="AL4" s="54" t="s">
        <v>10</v>
      </c>
      <c r="AM4" s="253" t="s">
        <v>9</v>
      </c>
      <c r="AN4" s="54" t="s">
        <v>10</v>
      </c>
      <c r="AO4" s="390"/>
      <c r="AP4" s="135" t="s">
        <v>798</v>
      </c>
      <c r="AQ4" s="134" t="s">
        <v>143</v>
      </c>
      <c r="AR4" s="135" t="s">
        <v>11</v>
      </c>
      <c r="AS4" s="134" t="s">
        <v>143</v>
      </c>
      <c r="AT4" s="385"/>
      <c r="AU4" s="385"/>
      <c r="AV4" s="385"/>
    </row>
    <row r="5" spans="2:48" ht="16" x14ac:dyDescent="0.2">
      <c r="B5" s="12" t="s">
        <v>12</v>
      </c>
      <c r="C5" s="254">
        <f>'Pencapaian Sales Value'!G28</f>
        <v>0.88311920608572148</v>
      </c>
      <c r="D5" s="254">
        <f>'Pencapaian Product Focus'!H28</f>
        <v>0.92620649451231651</v>
      </c>
      <c r="E5" s="254">
        <f>'Pencapaian Product Focus'!L28</f>
        <v>0.98741672834937089</v>
      </c>
      <c r="F5" s="254">
        <f>'Pencapaian Effective Call'!G28</f>
        <v>0.93160482789450161</v>
      </c>
      <c r="G5" s="254">
        <f>'Pencapaian New Open Outlet'!G28</f>
        <v>0.27102803738317754</v>
      </c>
      <c r="H5" s="254">
        <f>'Pencapaian Active Outlet'!G28</f>
        <v>0.94270668469972096</v>
      </c>
      <c r="I5" s="254">
        <f>'Pencapaian Item per Outlet'!G28</f>
        <v>0.79537524742680166</v>
      </c>
      <c r="J5" s="254">
        <f>'Pencapaian Product Display'!G28</f>
        <v>0.89090909090909087</v>
      </c>
      <c r="K5" s="254">
        <f>'Pencapaian Sales Contract'!G28</f>
        <v>0</v>
      </c>
      <c r="L5" s="254">
        <f>'Pencapaian Co-Branding'!G28</f>
        <v>0</v>
      </c>
      <c r="M5" s="254">
        <f>'Pencapaian Join Event Activity'!G28</f>
        <v>1</v>
      </c>
      <c r="N5" s="14">
        <f>AO28</f>
        <v>12948500</v>
      </c>
      <c r="O5" s="3"/>
      <c r="P5" s="397" t="s">
        <v>13</v>
      </c>
      <c r="Q5" s="52" t="s">
        <v>342</v>
      </c>
      <c r="R5" s="52" t="s">
        <v>233</v>
      </c>
      <c r="S5" s="12" t="s">
        <v>14</v>
      </c>
      <c r="T5" s="269">
        <f>'Pencapaian Sales Value'!G5</f>
        <v>1.0094592912705271</v>
      </c>
      <c r="U5" s="15">
        <f>'Pencapaian Sales Value'!I5</f>
        <v>600000</v>
      </c>
      <c r="V5" s="269">
        <f>'Pencapaian Product Focus'!H5</f>
        <v>0.90859586093946132</v>
      </c>
      <c r="W5" s="269">
        <f>'Pencapaian Product Focus'!L5</f>
        <v>1</v>
      </c>
      <c r="X5" s="15">
        <f>'Pencapaian Product Focus'!N5</f>
        <v>210000</v>
      </c>
      <c r="Y5" s="269">
        <f>'Pencapaian Effective Call'!G5</f>
        <v>1.0814814814814815</v>
      </c>
      <c r="Z5" s="15">
        <f>'Pencapaian Effective Call'!I5</f>
        <v>180000</v>
      </c>
      <c r="AA5" s="255">
        <f>'Pencapaian New Open Outlet'!G5</f>
        <v>0.5</v>
      </c>
      <c r="AB5" s="170">
        <f>'Pencapaian New Open Outlet'!I5</f>
        <v>0</v>
      </c>
      <c r="AC5" s="255">
        <f>'Pencapaian Active Outlet'!G5</f>
        <v>1.0350877192982457</v>
      </c>
      <c r="AD5" s="170">
        <f>'Pencapaian Active Outlet'!I5</f>
        <v>0</v>
      </c>
      <c r="AE5" s="269">
        <f>'Pencapaian Item per Outlet'!G5</f>
        <v>0.90248734316530932</v>
      </c>
      <c r="AF5" s="15">
        <f>'Pencapaian Item per Outlet'!I5</f>
        <v>135000</v>
      </c>
      <c r="AG5" s="255">
        <f>'Pencapaian Product Display'!G5</f>
        <v>0</v>
      </c>
      <c r="AH5" s="170">
        <f>'Pencapaian Product Display'!I5</f>
        <v>0</v>
      </c>
      <c r="AI5" s="255">
        <f>'Pencapaian Sales Contract'!G5</f>
        <v>0</v>
      </c>
      <c r="AJ5" s="170">
        <f>'Pencapaian Sales Contract'!I5</f>
        <v>0</v>
      </c>
      <c r="AK5" s="255">
        <f>'Pencapaian Co-Branding'!G5</f>
        <v>0</v>
      </c>
      <c r="AL5" s="170">
        <f>'Pencapaian Co-Branding'!I5</f>
        <v>0</v>
      </c>
      <c r="AM5" s="255">
        <f>'Pencapaian Join Event Activity'!G5</f>
        <v>0</v>
      </c>
      <c r="AN5" s="170">
        <f>'Pencapaian Join Event Activity'!I5</f>
        <v>0</v>
      </c>
      <c r="AO5" s="15">
        <f>SUM(AN5,AL5,AJ5,AH5,AF5,AD5,AB5,Z5,X5,U5)</f>
        <v>1125000</v>
      </c>
      <c r="AP5" s="13">
        <v>5.9220836359393687E-2</v>
      </c>
      <c r="AQ5" s="15">
        <f t="shared" ref="AQ5" si="0">IF(AP5&gt;=0.5%,-(AO5*10%),0)</f>
        <v>-112500</v>
      </c>
      <c r="AR5" s="13">
        <v>0</v>
      </c>
      <c r="AS5" s="15">
        <f t="shared" ref="AS5" si="1">IF(AR5&gt;0,-(AO5+AQ5),0)</f>
        <v>0</v>
      </c>
      <c r="AT5" s="15">
        <f>SUM(AS5,AQ5,AO5)</f>
        <v>1012500</v>
      </c>
      <c r="AU5" s="15">
        <f>AT5*55%</f>
        <v>556875</v>
      </c>
      <c r="AV5" s="15">
        <f>AT5*45%</f>
        <v>455625</v>
      </c>
    </row>
    <row r="6" spans="2:48" ht="16" x14ac:dyDescent="0.2">
      <c r="B6" s="12" t="s">
        <v>16</v>
      </c>
      <c r="C6" s="254">
        <f>'Pencapaian Sales Value'!G34</f>
        <v>1.0046478887999999</v>
      </c>
      <c r="D6" s="254">
        <f>'Pencapaian Product Focus'!H34</f>
        <v>1.0950657894736842</v>
      </c>
      <c r="E6" s="254">
        <f>'Pencapaian Product Focus'!L34</f>
        <v>0.9642857142857143</v>
      </c>
      <c r="F6" s="254">
        <f>'Pencapaian Effective Call'!G34</f>
        <v>0.91255813953488374</v>
      </c>
      <c r="G6" s="254">
        <f>'Pencapaian New Open Outlet'!G34</f>
        <v>1.35</v>
      </c>
      <c r="H6" s="254">
        <f>'Pencapaian Active Outlet'!G34</f>
        <v>1.0622317596566524</v>
      </c>
      <c r="I6" s="266"/>
      <c r="J6" s="266"/>
      <c r="K6" s="266"/>
      <c r="L6" s="266"/>
      <c r="M6" s="266"/>
      <c r="N6" s="14">
        <f>AO34</f>
        <v>3933750</v>
      </c>
      <c r="O6" s="3"/>
      <c r="P6" s="397"/>
      <c r="Q6" s="52" t="s">
        <v>343</v>
      </c>
      <c r="R6" s="52" t="s">
        <v>234</v>
      </c>
      <c r="S6" s="12" t="s">
        <v>14</v>
      </c>
      <c r="T6" s="269">
        <f>'Pencapaian Sales Value'!G6</f>
        <v>1.0152432589718721</v>
      </c>
      <c r="U6" s="15">
        <f>'Pencapaian Sales Value'!I6</f>
        <v>600000</v>
      </c>
      <c r="V6" s="269">
        <f>'Pencapaian Product Focus'!H6</f>
        <v>0.94132549495756013</v>
      </c>
      <c r="W6" s="269">
        <f>'Pencapaian Product Focus'!L6</f>
        <v>0.95774647887323938</v>
      </c>
      <c r="X6" s="15">
        <f>'Pencapaian Product Focus'!N6</f>
        <v>180000</v>
      </c>
      <c r="Y6" s="269">
        <f>'Pencapaian Effective Call'!G6</f>
        <v>1.0247592847317744</v>
      </c>
      <c r="Z6" s="15">
        <f>'Pencapaian Effective Call'!I6</f>
        <v>180000</v>
      </c>
      <c r="AA6" s="255">
        <f>'Pencapaian New Open Outlet'!G6</f>
        <v>0</v>
      </c>
      <c r="AB6" s="170">
        <f>'Pencapaian New Open Outlet'!I6</f>
        <v>0</v>
      </c>
      <c r="AC6" s="255">
        <f>'Pencapaian Active Outlet'!G6</f>
        <v>1.0249307479224377</v>
      </c>
      <c r="AD6" s="170">
        <f>'Pencapaian Active Outlet'!I6</f>
        <v>0</v>
      </c>
      <c r="AE6" s="269">
        <f>'Pencapaian Item per Outlet'!G6</f>
        <v>0.95710533994747593</v>
      </c>
      <c r="AF6" s="15">
        <f>'Pencapaian Item per Outlet'!I6</f>
        <v>135000</v>
      </c>
      <c r="AG6" s="255">
        <f>'Pencapaian Product Display'!G6</f>
        <v>0</v>
      </c>
      <c r="AH6" s="170">
        <f>'Pencapaian Product Display'!I6</f>
        <v>0</v>
      </c>
      <c r="AI6" s="255">
        <f>'Pencapaian Sales Contract'!G6</f>
        <v>0</v>
      </c>
      <c r="AJ6" s="170">
        <f>'Pencapaian Sales Contract'!I6</f>
        <v>0</v>
      </c>
      <c r="AK6" s="255">
        <f>'Pencapaian Co-Branding'!G6</f>
        <v>0</v>
      </c>
      <c r="AL6" s="170">
        <f>'Pencapaian Co-Branding'!I6</f>
        <v>0</v>
      </c>
      <c r="AM6" s="255">
        <f>'Pencapaian Join Event Activity'!G6</f>
        <v>0</v>
      </c>
      <c r="AN6" s="170">
        <f>'Pencapaian Join Event Activity'!I6</f>
        <v>0</v>
      </c>
      <c r="AO6" s="15">
        <f t="shared" ref="AO6:AO40" si="2">SUM(AN6,AL6,AJ6,AH6,AF6,AD6,AB6,Z6,X6,U6)</f>
        <v>1095000</v>
      </c>
      <c r="AP6" s="13">
        <v>0</v>
      </c>
      <c r="AQ6" s="15">
        <f t="shared" ref="AQ6" si="3">IF(AP6&gt;=0.5%,-(AO6*10%),0)</f>
        <v>0</v>
      </c>
      <c r="AR6" s="13">
        <v>0</v>
      </c>
      <c r="AS6" s="15">
        <f t="shared" ref="AS6" si="4">IF(AR6&gt;0,-(AO6+AQ6),0)</f>
        <v>0</v>
      </c>
      <c r="AT6" s="15">
        <f t="shared" ref="AT6:AT40" si="5">SUM(AS6,AQ6,AO6)</f>
        <v>1095000</v>
      </c>
      <c r="AU6" s="15">
        <f t="shared" ref="AU6:AU8" si="6">AT6*55%</f>
        <v>602250</v>
      </c>
      <c r="AV6" s="15">
        <f t="shared" ref="AV6:AV8" si="7">AT6*45%</f>
        <v>492750</v>
      </c>
    </row>
    <row r="7" spans="2:48" ht="16" x14ac:dyDescent="0.2">
      <c r="B7" s="12" t="s">
        <v>260</v>
      </c>
      <c r="C7" s="254">
        <f>'Pencapaian Sales Value'!G39</f>
        <v>0.95821433341119688</v>
      </c>
      <c r="D7" s="266"/>
      <c r="E7" s="266"/>
      <c r="F7" s="254">
        <f>'Pencapaian Effective Call'!G39</f>
        <v>0.91868131868131864</v>
      </c>
      <c r="G7" s="254">
        <f>'Pencapaian New Open Outlet'!G39</f>
        <v>0.14285714285714285</v>
      </c>
      <c r="H7" s="254">
        <f>'Pencapaian Active Outlet'!G39</f>
        <v>1.1049180327868853</v>
      </c>
      <c r="I7" s="266"/>
      <c r="J7" s="266"/>
      <c r="K7" s="266"/>
      <c r="L7" s="266"/>
      <c r="M7" s="266"/>
      <c r="N7" s="16">
        <f>AO39</f>
        <v>2602500</v>
      </c>
      <c r="O7" s="3"/>
      <c r="P7" s="397"/>
      <c r="Q7" s="52" t="s">
        <v>344</v>
      </c>
      <c r="R7" s="52" t="s">
        <v>235</v>
      </c>
      <c r="S7" s="12" t="s">
        <v>14</v>
      </c>
      <c r="T7" s="269">
        <f>'Pencapaian Sales Value'!G7</f>
        <v>0.87141568181818185</v>
      </c>
      <c r="U7" s="15">
        <f>'Pencapaian Sales Value'!I7</f>
        <v>300000</v>
      </c>
      <c r="V7" s="269">
        <f>'Pencapaian Product Focus'!H7</f>
        <v>0.9799209541054037</v>
      </c>
      <c r="W7" s="269">
        <f>'Pencapaian Product Focus'!L7</f>
        <v>1</v>
      </c>
      <c r="X7" s="15">
        <f>'Pencapaian Product Focus'!N7</f>
        <v>210000</v>
      </c>
      <c r="Y7" s="269">
        <f>'Pencapaian Effective Call'!G7</f>
        <v>0.99268292682926829</v>
      </c>
      <c r="Z7" s="15">
        <f>'Pencapaian Effective Call'!I7</f>
        <v>135000</v>
      </c>
      <c r="AA7" s="255">
        <f>'Pencapaian New Open Outlet'!G7</f>
        <v>0.25</v>
      </c>
      <c r="AB7" s="170">
        <f>'Pencapaian New Open Outlet'!I7</f>
        <v>0</v>
      </c>
      <c r="AC7" s="255">
        <f>'Pencapaian Active Outlet'!G7</f>
        <v>1.0163339382940111</v>
      </c>
      <c r="AD7" s="170">
        <f>'Pencapaian Active Outlet'!I7</f>
        <v>0</v>
      </c>
      <c r="AE7" s="269">
        <f>'Pencapaian Item per Outlet'!G7</f>
        <v>0.95521541950113387</v>
      </c>
      <c r="AF7" s="15">
        <f>'Pencapaian Item per Outlet'!I7</f>
        <v>135000</v>
      </c>
      <c r="AG7" s="255">
        <f>'Pencapaian Product Display'!G7</f>
        <v>0</v>
      </c>
      <c r="AH7" s="170">
        <f>'Pencapaian Product Display'!I7</f>
        <v>0</v>
      </c>
      <c r="AI7" s="255">
        <f>'Pencapaian Sales Contract'!G7</f>
        <v>0</v>
      </c>
      <c r="AJ7" s="170">
        <f>'Pencapaian Sales Contract'!I7</f>
        <v>0</v>
      </c>
      <c r="AK7" s="255">
        <f>'Pencapaian Co-Branding'!G7</f>
        <v>0</v>
      </c>
      <c r="AL7" s="170">
        <f>'Pencapaian Co-Branding'!I7</f>
        <v>0</v>
      </c>
      <c r="AM7" s="255">
        <f>'Pencapaian Join Event Activity'!G7</f>
        <v>0</v>
      </c>
      <c r="AN7" s="170">
        <f>'Pencapaian Join Event Activity'!I7</f>
        <v>0</v>
      </c>
      <c r="AO7" s="15">
        <f t="shared" si="2"/>
        <v>780000</v>
      </c>
      <c r="AP7" s="13">
        <v>0</v>
      </c>
      <c r="AQ7" s="15">
        <f t="shared" ref="AQ7:AQ27" si="8">IF(AP7&gt;=0.5%,-(AO7*10%),0)</f>
        <v>0</v>
      </c>
      <c r="AR7" s="13">
        <v>0</v>
      </c>
      <c r="AS7" s="15">
        <f t="shared" ref="AS7:AS27" si="9">IF(AR7&gt;0,-(AO7+AQ7),0)</f>
        <v>0</v>
      </c>
      <c r="AT7" s="15">
        <f t="shared" si="5"/>
        <v>780000</v>
      </c>
      <c r="AU7" s="15">
        <f t="shared" si="6"/>
        <v>429000.00000000006</v>
      </c>
      <c r="AV7" s="15">
        <f t="shared" si="7"/>
        <v>351000</v>
      </c>
    </row>
    <row r="8" spans="2:48" ht="17" thickBot="1" x14ac:dyDescent="0.25">
      <c r="B8" s="17" t="s">
        <v>126</v>
      </c>
      <c r="C8" s="256">
        <f>'Pencapaian Sales Value'!G40</f>
        <v>0.89525819216102509</v>
      </c>
      <c r="D8" s="256">
        <f>'Pencapaian Product Focus'!H40</f>
        <v>0.93931294151482914</v>
      </c>
      <c r="E8" s="256">
        <f>'Pencapaian Product Focus'!L40</f>
        <v>0.98344573881054564</v>
      </c>
      <c r="F8" s="256">
        <f>'Pencapaian Effective Call'!G40</f>
        <v>0.92789788408463658</v>
      </c>
      <c r="G8" s="256">
        <f>'Pencapaian New Open Outlet'!G40</f>
        <v>0.37654320987654322</v>
      </c>
      <c r="H8" s="256">
        <f>'Pencapaian Active Outlet'!G40</f>
        <v>0.98463255665623584</v>
      </c>
      <c r="I8" s="256">
        <f>'Pencapaian Item per Outlet'!G40</f>
        <v>0.79537524742680166</v>
      </c>
      <c r="J8" s="256">
        <f>'Pencapaian Product Display'!G40</f>
        <v>0.89090909090909087</v>
      </c>
      <c r="K8" s="256">
        <f>'Pencapaian Sales Contract'!G40</f>
        <v>0</v>
      </c>
      <c r="L8" s="256">
        <f>'Pencapaian Co-Branding'!G40</f>
        <v>0</v>
      </c>
      <c r="M8" s="256">
        <f>'Pencapaian Join Event Activity'!G40</f>
        <v>1</v>
      </c>
      <c r="N8" s="18">
        <f>SUM(N5:N7)</f>
        <v>19484750</v>
      </c>
      <c r="O8" s="3"/>
      <c r="P8" s="397"/>
      <c r="Q8" s="52" t="s">
        <v>345</v>
      </c>
      <c r="R8" s="52" t="s">
        <v>236</v>
      </c>
      <c r="S8" s="12" t="s">
        <v>14</v>
      </c>
      <c r="T8" s="269">
        <f>'Pencapaian Sales Value'!G8</f>
        <v>0.84705992555831267</v>
      </c>
      <c r="U8" s="15">
        <f>'Pencapaian Sales Value'!I8</f>
        <v>300000</v>
      </c>
      <c r="V8" s="269">
        <f>'Pencapaian Product Focus'!H8</f>
        <v>0.97616311888262541</v>
      </c>
      <c r="W8" s="269">
        <f>'Pencapaian Product Focus'!L8</f>
        <v>0.96491228070175439</v>
      </c>
      <c r="X8" s="15">
        <f>'Pencapaian Product Focus'!N8</f>
        <v>180000</v>
      </c>
      <c r="Y8" s="269">
        <f>'Pencapaian Effective Call'!G8</f>
        <v>1.0870445344129556</v>
      </c>
      <c r="Z8" s="15">
        <f>'Pencapaian Effective Call'!I8</f>
        <v>180000</v>
      </c>
      <c r="AA8" s="255">
        <f>'Pencapaian New Open Outlet'!G8</f>
        <v>0</v>
      </c>
      <c r="AB8" s="170">
        <f>'Pencapaian New Open Outlet'!I8</f>
        <v>0</v>
      </c>
      <c r="AC8" s="255">
        <f>'Pencapaian Active Outlet'!G8</f>
        <v>1.0263157894736843</v>
      </c>
      <c r="AD8" s="170">
        <f>'Pencapaian Active Outlet'!I8</f>
        <v>0</v>
      </c>
      <c r="AE8" s="269">
        <f>'Pencapaian Item per Outlet'!G8</f>
        <v>0.95682095682095669</v>
      </c>
      <c r="AF8" s="15">
        <f>'Pencapaian Item per Outlet'!I8</f>
        <v>135000</v>
      </c>
      <c r="AG8" s="255">
        <f>'Pencapaian Product Display'!G8</f>
        <v>0</v>
      </c>
      <c r="AH8" s="170">
        <f>'Pencapaian Product Display'!I8</f>
        <v>0</v>
      </c>
      <c r="AI8" s="255">
        <f>'Pencapaian Sales Contract'!G8</f>
        <v>0</v>
      </c>
      <c r="AJ8" s="170">
        <f>'Pencapaian Sales Contract'!I8</f>
        <v>0</v>
      </c>
      <c r="AK8" s="255">
        <f>'Pencapaian Co-Branding'!G8</f>
        <v>0</v>
      </c>
      <c r="AL8" s="170">
        <f>'Pencapaian Co-Branding'!I8</f>
        <v>0</v>
      </c>
      <c r="AM8" s="255">
        <f>'Pencapaian Join Event Activity'!G8</f>
        <v>0</v>
      </c>
      <c r="AN8" s="170">
        <f>'Pencapaian Join Event Activity'!I8</f>
        <v>0</v>
      </c>
      <c r="AO8" s="15">
        <f t="shared" si="2"/>
        <v>795000</v>
      </c>
      <c r="AP8" s="13">
        <v>0</v>
      </c>
      <c r="AQ8" s="15">
        <f t="shared" si="8"/>
        <v>0</v>
      </c>
      <c r="AR8" s="13">
        <v>0</v>
      </c>
      <c r="AS8" s="15">
        <f t="shared" si="9"/>
        <v>0</v>
      </c>
      <c r="AT8" s="15">
        <f t="shared" si="5"/>
        <v>795000</v>
      </c>
      <c r="AU8" s="15">
        <f t="shared" si="6"/>
        <v>437250.00000000006</v>
      </c>
      <c r="AV8" s="15">
        <f t="shared" si="7"/>
        <v>357750</v>
      </c>
    </row>
    <row r="9" spans="2:48" ht="17" thickTop="1" x14ac:dyDescent="0.2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O9" s="3"/>
      <c r="P9" s="397"/>
      <c r="Q9" s="52" t="s">
        <v>346</v>
      </c>
      <c r="R9" s="52" t="s">
        <v>237</v>
      </c>
      <c r="S9" s="12" t="s">
        <v>18</v>
      </c>
      <c r="T9" s="269">
        <f>'Pencapaian Sales Value'!G9</f>
        <v>0.81305825688073396</v>
      </c>
      <c r="U9" s="15">
        <f>'Pencapaian Sales Value'!I9</f>
        <v>225000</v>
      </c>
      <c r="V9" s="269">
        <f>'Pencapaian Product Focus'!H9</f>
        <v>0.91225395897336836</v>
      </c>
      <c r="W9" s="269">
        <f>'Pencapaian Product Focus'!L9</f>
        <v>0.90816326530612246</v>
      </c>
      <c r="X9" s="15">
        <f>'Pencapaian Product Focus'!N9</f>
        <v>135000</v>
      </c>
      <c r="Y9" s="269">
        <f>'Pencapaian Effective Call'!G9</f>
        <v>0.94871794871794868</v>
      </c>
      <c r="Z9" s="15">
        <f>'Pencapaian Effective Call'!I9</f>
        <v>101250</v>
      </c>
      <c r="AA9" s="255">
        <f>'Pencapaian New Open Outlet'!G9</f>
        <v>0.2</v>
      </c>
      <c r="AB9" s="170">
        <f>'Pencapaian New Open Outlet'!I9</f>
        <v>0</v>
      </c>
      <c r="AC9" s="255">
        <f>'Pencapaian Active Outlet'!G9</f>
        <v>1.0285255122539174</v>
      </c>
      <c r="AD9" s="170">
        <f>'Pencapaian Active Outlet'!I9</f>
        <v>0</v>
      </c>
      <c r="AE9" s="269">
        <f>'Pencapaian Item per Outlet'!G9</f>
        <v>0.84796709381426993</v>
      </c>
      <c r="AF9" s="15">
        <f>'Pencapaian Item per Outlet'!I9</f>
        <v>67500</v>
      </c>
      <c r="AG9" s="255">
        <f>'Pencapaian Product Display'!G9</f>
        <v>0</v>
      </c>
      <c r="AH9" s="170">
        <f>'Pencapaian Product Display'!I9</f>
        <v>0</v>
      </c>
      <c r="AI9" s="255">
        <f>'Pencapaian Sales Contract'!G9</f>
        <v>0</v>
      </c>
      <c r="AJ9" s="170">
        <f>'Pencapaian Sales Contract'!I9</f>
        <v>0</v>
      </c>
      <c r="AK9" s="255">
        <f>'Pencapaian Co-Branding'!G9</f>
        <v>0</v>
      </c>
      <c r="AL9" s="170">
        <f>'Pencapaian Co-Branding'!I9</f>
        <v>0</v>
      </c>
      <c r="AM9" s="255">
        <f>'Pencapaian Join Event Activity'!G9</f>
        <v>0</v>
      </c>
      <c r="AN9" s="170">
        <f>'Pencapaian Join Event Activity'!I9</f>
        <v>0</v>
      </c>
      <c r="AO9" s="15">
        <f t="shared" si="2"/>
        <v>528750</v>
      </c>
      <c r="AP9" s="13">
        <v>0</v>
      </c>
      <c r="AQ9" s="15">
        <f t="shared" si="8"/>
        <v>0</v>
      </c>
      <c r="AR9" s="13">
        <v>0</v>
      </c>
      <c r="AS9" s="15">
        <f t="shared" si="9"/>
        <v>0</v>
      </c>
      <c r="AT9" s="15">
        <f t="shared" si="5"/>
        <v>528750</v>
      </c>
      <c r="AU9" s="15">
        <f t="shared" ref="AU9:AU12" si="10">AT9*70%</f>
        <v>370125</v>
      </c>
      <c r="AV9" s="15">
        <f t="shared" ref="AV9:AV12" si="11">AT9*30%</f>
        <v>158625</v>
      </c>
    </row>
    <row r="10" spans="2:48" ht="16" x14ac:dyDescent="0.2">
      <c r="B10" s="6" t="s">
        <v>125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7"/>
      <c r="O10" s="3"/>
      <c r="P10" s="397"/>
      <c r="Q10" s="52" t="s">
        <v>347</v>
      </c>
      <c r="R10" s="52" t="s">
        <v>101</v>
      </c>
      <c r="S10" s="12" t="s">
        <v>18</v>
      </c>
      <c r="T10" s="269">
        <f>'Pencapaian Sales Value'!G10</f>
        <v>0.82316347826086955</v>
      </c>
      <c r="U10" s="15">
        <f>'Pencapaian Sales Value'!I10</f>
        <v>225000</v>
      </c>
      <c r="V10" s="269">
        <f>'Pencapaian Product Focus'!H10</f>
        <v>0.96323910117013578</v>
      </c>
      <c r="W10" s="269">
        <f>'Pencapaian Product Focus'!L10</f>
        <v>0.95</v>
      </c>
      <c r="X10" s="15">
        <f>'Pencapaian Product Focus'!N10</f>
        <v>135000</v>
      </c>
      <c r="Y10" s="269">
        <f>'Pencapaian Effective Call'!G10</f>
        <v>0.87948717948717947</v>
      </c>
      <c r="Z10" s="15">
        <f>'Pencapaian Effective Call'!I10</f>
        <v>67500</v>
      </c>
      <c r="AA10" s="255">
        <f>'Pencapaian New Open Outlet'!G10</f>
        <v>0</v>
      </c>
      <c r="AB10" s="170">
        <f>'Pencapaian New Open Outlet'!I10</f>
        <v>0</v>
      </c>
      <c r="AC10" s="255">
        <f>'Pencapaian Active Outlet'!G10</f>
        <v>1.0688259109311742</v>
      </c>
      <c r="AD10" s="170">
        <f>'Pencapaian Active Outlet'!I10</f>
        <v>0</v>
      </c>
      <c r="AE10" s="269">
        <f>'Pencapaian Item per Outlet'!G10</f>
        <v>0.77174067243580646</v>
      </c>
      <c r="AF10" s="15">
        <f>'Pencapaian Item per Outlet'!I10</f>
        <v>33750</v>
      </c>
      <c r="AG10" s="255">
        <f>'Pencapaian Product Display'!G10</f>
        <v>0</v>
      </c>
      <c r="AH10" s="170">
        <f>'Pencapaian Product Display'!I10</f>
        <v>0</v>
      </c>
      <c r="AI10" s="255">
        <f>'Pencapaian Sales Contract'!G10</f>
        <v>0</v>
      </c>
      <c r="AJ10" s="170">
        <f>'Pencapaian Sales Contract'!I10</f>
        <v>0</v>
      </c>
      <c r="AK10" s="255">
        <f>'Pencapaian Co-Branding'!G10</f>
        <v>0</v>
      </c>
      <c r="AL10" s="170">
        <f>'Pencapaian Co-Branding'!I10</f>
        <v>0</v>
      </c>
      <c r="AM10" s="255">
        <f>'Pencapaian Join Event Activity'!G10</f>
        <v>0</v>
      </c>
      <c r="AN10" s="170">
        <f>'Pencapaian Join Event Activity'!I10</f>
        <v>0</v>
      </c>
      <c r="AO10" s="15">
        <f t="shared" si="2"/>
        <v>461250</v>
      </c>
      <c r="AP10" s="13">
        <v>0</v>
      </c>
      <c r="AQ10" s="15">
        <f t="shared" si="8"/>
        <v>0</v>
      </c>
      <c r="AR10" s="13">
        <v>0</v>
      </c>
      <c r="AS10" s="15">
        <f t="shared" si="9"/>
        <v>0</v>
      </c>
      <c r="AT10" s="15">
        <f t="shared" si="5"/>
        <v>461250</v>
      </c>
      <c r="AU10" s="14">
        <f t="shared" si="10"/>
        <v>322875</v>
      </c>
      <c r="AV10" s="14">
        <f t="shared" si="11"/>
        <v>138375</v>
      </c>
    </row>
    <row r="11" spans="2:48" ht="14.5" customHeight="1" x14ac:dyDescent="0.2">
      <c r="B11" s="394" t="s">
        <v>0</v>
      </c>
      <c r="C11" s="401" t="s">
        <v>4</v>
      </c>
      <c r="D11" s="398" t="s">
        <v>139</v>
      </c>
      <c r="E11" s="398"/>
      <c r="F11" s="399" t="s">
        <v>134</v>
      </c>
      <c r="G11" s="399" t="s">
        <v>135</v>
      </c>
      <c r="H11" s="399" t="s">
        <v>5</v>
      </c>
      <c r="I11" s="399" t="s">
        <v>137</v>
      </c>
      <c r="J11" s="399" t="s">
        <v>424</v>
      </c>
      <c r="K11" s="399" t="s">
        <v>431</v>
      </c>
      <c r="L11" s="399" t="s">
        <v>438</v>
      </c>
      <c r="M11" s="399" t="s">
        <v>445</v>
      </c>
      <c r="N11" s="398" t="s">
        <v>1</v>
      </c>
      <c r="O11" s="3"/>
      <c r="P11" s="397"/>
      <c r="Q11" s="52" t="s">
        <v>348</v>
      </c>
      <c r="R11" s="52" t="s">
        <v>157</v>
      </c>
      <c r="S11" s="12" t="s">
        <v>467</v>
      </c>
      <c r="T11" s="269">
        <f>'Pencapaian Sales Value'!G11</f>
        <v>1.0045630769230769</v>
      </c>
      <c r="U11" s="15">
        <f>'Pencapaian Sales Value'!I11</f>
        <v>525000</v>
      </c>
      <c r="V11" s="304">
        <f>'Pencapaian Product Focus'!H11</f>
        <v>0</v>
      </c>
      <c r="W11" s="304">
        <f>'Pencapaian Product Focus'!L11</f>
        <v>0</v>
      </c>
      <c r="X11" s="178">
        <f>'Pencapaian Product Focus'!N11</f>
        <v>0</v>
      </c>
      <c r="Y11" s="304">
        <f>'Pencapaian Effective Call'!G11</f>
        <v>0</v>
      </c>
      <c r="Z11" s="178">
        <f>'Pencapaian Effective Call'!I11</f>
        <v>0</v>
      </c>
      <c r="AA11" s="269">
        <f>'Pencapaian New Open Outlet'!G11</f>
        <v>1.1000000000000001</v>
      </c>
      <c r="AB11" s="14">
        <f>'Pencapaian New Open Outlet'!I11</f>
        <v>150000</v>
      </c>
      <c r="AC11" s="269">
        <f>'Pencapaian Active Outlet'!G11</f>
        <v>0.93333333333333335</v>
      </c>
      <c r="AD11" s="14">
        <f>'Pencapaian Active Outlet'!I11</f>
        <v>75000</v>
      </c>
      <c r="AE11" s="255">
        <f>'Pencapaian Item per Outlet'!G11</f>
        <v>0</v>
      </c>
      <c r="AF11" s="170">
        <f>'Pencapaian Item per Outlet'!I11</f>
        <v>0</v>
      </c>
      <c r="AG11" s="255">
        <f>'Pencapaian Product Display'!G11</f>
        <v>0</v>
      </c>
      <c r="AH11" s="170">
        <f>'Pencapaian Product Display'!I11</f>
        <v>0</v>
      </c>
      <c r="AI11" s="255">
        <f>'Pencapaian Sales Contract'!G11</f>
        <v>0</v>
      </c>
      <c r="AJ11" s="170">
        <f>'Pencapaian Sales Contract'!I11</f>
        <v>0</v>
      </c>
      <c r="AK11" s="255">
        <f>'Pencapaian Co-Branding'!G11</f>
        <v>0</v>
      </c>
      <c r="AL11" s="170">
        <f>'Pencapaian Co-Branding'!I11</f>
        <v>0</v>
      </c>
      <c r="AM11" s="255">
        <f>'Pencapaian Join Event Activity'!G11</f>
        <v>0</v>
      </c>
      <c r="AN11" s="170">
        <f>'Pencapaian Join Event Activity'!I11</f>
        <v>0</v>
      </c>
      <c r="AO11" s="15">
        <f t="shared" si="2"/>
        <v>750000</v>
      </c>
      <c r="AP11" s="13">
        <v>0</v>
      </c>
      <c r="AQ11" s="15">
        <f t="shared" si="8"/>
        <v>0</v>
      </c>
      <c r="AR11" s="13">
        <v>0</v>
      </c>
      <c r="AS11" s="15">
        <f t="shared" si="9"/>
        <v>0</v>
      </c>
      <c r="AT11" s="15">
        <f t="shared" si="5"/>
        <v>750000</v>
      </c>
      <c r="AU11" s="15">
        <f t="shared" si="10"/>
        <v>525000</v>
      </c>
      <c r="AV11" s="15">
        <f t="shared" si="11"/>
        <v>225000</v>
      </c>
    </row>
    <row r="12" spans="2:48" ht="16" x14ac:dyDescent="0.2">
      <c r="B12" s="394"/>
      <c r="C12" s="401"/>
      <c r="D12" s="292" t="s">
        <v>514</v>
      </c>
      <c r="E12" s="292" t="s">
        <v>515</v>
      </c>
      <c r="F12" s="400"/>
      <c r="G12" s="400"/>
      <c r="H12" s="400"/>
      <c r="I12" s="400"/>
      <c r="J12" s="400"/>
      <c r="K12" s="400"/>
      <c r="L12" s="400"/>
      <c r="M12" s="400"/>
      <c r="N12" s="398"/>
      <c r="O12" s="3"/>
      <c r="P12" s="397"/>
      <c r="Q12" s="52" t="s">
        <v>349</v>
      </c>
      <c r="R12" s="52" t="s">
        <v>158</v>
      </c>
      <c r="S12" s="12" t="s">
        <v>467</v>
      </c>
      <c r="T12" s="269">
        <f>'Pencapaian Sales Value'!G12</f>
        <v>0</v>
      </c>
      <c r="U12" s="15">
        <f>'Pencapaian Sales Value'!I12</f>
        <v>0</v>
      </c>
      <c r="V12" s="304">
        <f>'Pencapaian Product Focus'!H12</f>
        <v>0</v>
      </c>
      <c r="W12" s="304">
        <f>'Pencapaian Product Focus'!L12</f>
        <v>0</v>
      </c>
      <c r="X12" s="178">
        <f>'Pencapaian Product Focus'!N12</f>
        <v>0</v>
      </c>
      <c r="Y12" s="304">
        <f>'Pencapaian Effective Call'!G12</f>
        <v>0</v>
      </c>
      <c r="Z12" s="178">
        <f>'Pencapaian Effective Call'!I12</f>
        <v>0</v>
      </c>
      <c r="AA12" s="269">
        <f>'Pencapaian New Open Outlet'!G12</f>
        <v>0</v>
      </c>
      <c r="AB12" s="14">
        <f>'Pencapaian New Open Outlet'!I12</f>
        <v>0</v>
      </c>
      <c r="AC12" s="269">
        <f>'Pencapaian Active Outlet'!G12</f>
        <v>0</v>
      </c>
      <c r="AD12" s="14">
        <f>'Pencapaian Active Outlet'!I12</f>
        <v>0</v>
      </c>
      <c r="AE12" s="255">
        <f>'Pencapaian Item per Outlet'!G12</f>
        <v>0</v>
      </c>
      <c r="AF12" s="170">
        <f>'Pencapaian Item per Outlet'!I12</f>
        <v>0</v>
      </c>
      <c r="AG12" s="255">
        <f>'Pencapaian Product Display'!G12</f>
        <v>0</v>
      </c>
      <c r="AH12" s="170">
        <f>'Pencapaian Product Display'!I12</f>
        <v>0</v>
      </c>
      <c r="AI12" s="255">
        <f>'Pencapaian Sales Contract'!G12</f>
        <v>0</v>
      </c>
      <c r="AJ12" s="170">
        <f>'Pencapaian Sales Contract'!I12</f>
        <v>0</v>
      </c>
      <c r="AK12" s="255">
        <f>'Pencapaian Co-Branding'!G12</f>
        <v>0</v>
      </c>
      <c r="AL12" s="170">
        <f>'Pencapaian Co-Branding'!I12</f>
        <v>0</v>
      </c>
      <c r="AM12" s="255">
        <f>'Pencapaian Join Event Activity'!G12</f>
        <v>0</v>
      </c>
      <c r="AN12" s="170">
        <f>'Pencapaian Join Event Activity'!I12</f>
        <v>0</v>
      </c>
      <c r="AO12" s="15">
        <f t="shared" si="2"/>
        <v>0</v>
      </c>
      <c r="AP12" s="13">
        <v>0</v>
      </c>
      <c r="AQ12" s="15">
        <f t="shared" si="8"/>
        <v>0</v>
      </c>
      <c r="AR12" s="13">
        <v>0</v>
      </c>
      <c r="AS12" s="15">
        <f t="shared" si="9"/>
        <v>0</v>
      </c>
      <c r="AT12" s="15">
        <f t="shared" si="5"/>
        <v>0</v>
      </c>
      <c r="AU12" s="14">
        <f t="shared" si="10"/>
        <v>0</v>
      </c>
      <c r="AV12" s="14">
        <f t="shared" si="11"/>
        <v>0</v>
      </c>
    </row>
    <row r="13" spans="2:48" s="21" customFormat="1" ht="16" x14ac:dyDescent="0.2">
      <c r="B13" s="12" t="s">
        <v>15</v>
      </c>
      <c r="C13" s="254">
        <f>'Pencapaian Sales Value'!G64</f>
        <v>0.86073580391585169</v>
      </c>
      <c r="D13" s="254">
        <f>'Pencapaian Product Focus'!H64</f>
        <v>0.75020833333333337</v>
      </c>
      <c r="E13" s="254">
        <f>'Pencapaian Product Focus'!L64</f>
        <v>0.63037974683544307</v>
      </c>
      <c r="F13" s="254">
        <f>'Pencapaian Effective Call'!G64</f>
        <v>0.9922352941176471</v>
      </c>
      <c r="G13" s="254">
        <f>'Pencapaian New Open Outlet'!G64</f>
        <v>0.19415680473372782</v>
      </c>
      <c r="H13" s="254">
        <f>'Pencapaian Active Outlet'!G64</f>
        <v>1.0290043995437512</v>
      </c>
      <c r="I13" s="254">
        <f>'Pencapaian Item per Outlet'!G64</f>
        <v>0.54872827228894328</v>
      </c>
      <c r="J13" s="266"/>
      <c r="K13" s="254">
        <f>'Pencapaian Sales Contract'!G64</f>
        <v>0</v>
      </c>
      <c r="L13" s="254">
        <f>'Pencapaian Co-Branding'!G64</f>
        <v>0</v>
      </c>
      <c r="M13" s="266"/>
      <c r="N13" s="14">
        <f>AO64</f>
        <v>4901500</v>
      </c>
      <c r="O13" s="31"/>
      <c r="P13" s="397"/>
      <c r="Q13" s="70"/>
      <c r="R13" s="70" t="s">
        <v>289</v>
      </c>
      <c r="S13" s="64" t="s">
        <v>20</v>
      </c>
      <c r="T13" s="258">
        <f>'Pencapaian Sales Value'!G13</f>
        <v>0.91075132653061219</v>
      </c>
      <c r="U13" s="63">
        <f>'Pencapaian Sales Value'!I13</f>
        <v>336000</v>
      </c>
      <c r="V13" s="258">
        <f>'Pencapaian Product Focus'!H13</f>
        <v>0.9423439369421992</v>
      </c>
      <c r="W13" s="258">
        <f>'Pencapaian Product Focus'!L13</f>
        <v>0.96509863429438547</v>
      </c>
      <c r="X13" s="63">
        <f>'Pencapaian Product Focus'!N13</f>
        <v>168000</v>
      </c>
      <c r="Y13" s="257">
        <f>'Pencapaian Effective Call'!G13</f>
        <v>1.0118603863097255</v>
      </c>
      <c r="Z13" s="189">
        <f>'Pencapaian Effective Call'!I13</f>
        <v>0</v>
      </c>
      <c r="AA13" s="257">
        <f>'Pencapaian New Open Outlet'!G13</f>
        <v>0.33333333333333331</v>
      </c>
      <c r="AB13" s="189">
        <f>'Pencapaian New Open Outlet'!I13</f>
        <v>0</v>
      </c>
      <c r="AC13" s="258">
        <f>'Pencapaian Active Outlet'!G13</f>
        <v>0.95386272515109816</v>
      </c>
      <c r="AD13" s="63">
        <f>'Pencapaian Active Outlet'!I13</f>
        <v>168000</v>
      </c>
      <c r="AE13" s="258">
        <f>'Pencapaian Item per Outlet'!G13</f>
        <v>0.90679954180383182</v>
      </c>
      <c r="AF13" s="63">
        <f>'Pencapaian Item per Outlet'!I13</f>
        <v>168000</v>
      </c>
      <c r="AG13" s="306">
        <f>'Pencapaian Product Display'!G13</f>
        <v>0</v>
      </c>
      <c r="AH13" s="152">
        <f>'Pencapaian Product Display'!I13</f>
        <v>0</v>
      </c>
      <c r="AI13" s="306">
        <f>'Pencapaian Sales Contract'!G13</f>
        <v>0</v>
      </c>
      <c r="AJ13" s="152">
        <f>'Pencapaian Sales Contract'!I13</f>
        <v>0</v>
      </c>
      <c r="AK13" s="306">
        <f>'Pencapaian Co-Branding'!G13</f>
        <v>0</v>
      </c>
      <c r="AL13" s="152">
        <f>'Pencapaian Co-Branding'!I13</f>
        <v>0</v>
      </c>
      <c r="AM13" s="306">
        <f>'Pencapaian Join Event Activity'!G13</f>
        <v>0</v>
      </c>
      <c r="AN13" s="152">
        <f>'Pencapaian Join Event Activity'!I13</f>
        <v>0</v>
      </c>
      <c r="AO13" s="63">
        <f t="shared" si="2"/>
        <v>840000</v>
      </c>
      <c r="AP13" s="110">
        <v>1.5494818530621329E-2</v>
      </c>
      <c r="AQ13" s="63">
        <f t="shared" si="8"/>
        <v>-84000</v>
      </c>
      <c r="AR13" s="110">
        <v>0</v>
      </c>
      <c r="AS13" s="63">
        <f t="shared" si="9"/>
        <v>0</v>
      </c>
      <c r="AT13" s="63">
        <f t="shared" si="5"/>
        <v>756000</v>
      </c>
      <c r="AU13" s="63">
        <f>AT13</f>
        <v>756000</v>
      </c>
      <c r="AV13" s="63">
        <v>0</v>
      </c>
    </row>
    <row r="14" spans="2:48" ht="16" x14ac:dyDescent="0.2">
      <c r="B14" s="12" t="s">
        <v>17</v>
      </c>
      <c r="C14" s="254">
        <f>'Pencapaian Sales Value'!G71</f>
        <v>0.73837175952201439</v>
      </c>
      <c r="D14" s="254">
        <f>'Pencapaian Product Focus'!H71</f>
        <v>0.70340277777777782</v>
      </c>
      <c r="E14" s="254">
        <f>'Pencapaian Product Focus'!L71</f>
        <v>0.86799999999999999</v>
      </c>
      <c r="F14" s="254">
        <f>'Pencapaian Effective Call'!G71</f>
        <v>0.65741935483870972</v>
      </c>
      <c r="G14" s="254">
        <f>'Pencapaian New Open Outlet'!G71</f>
        <v>8.8407758231844838E-2</v>
      </c>
      <c r="H14" s="254">
        <f>'Pencapaian Active Outlet'!G71</f>
        <v>0.85245901639344257</v>
      </c>
      <c r="I14" s="254">
        <f>'Pencapaian Item per Outlet'!G71</f>
        <v>0.50909090909090904</v>
      </c>
      <c r="J14" s="266"/>
      <c r="K14" s="266"/>
      <c r="L14" s="266"/>
      <c r="M14" s="266"/>
      <c r="N14" s="16">
        <f>AO71</f>
        <v>1137750</v>
      </c>
      <c r="O14" s="3"/>
      <c r="P14" s="397"/>
      <c r="Q14" s="52" t="s">
        <v>350</v>
      </c>
      <c r="R14" s="38" t="s">
        <v>99</v>
      </c>
      <c r="S14" s="12" t="s">
        <v>14</v>
      </c>
      <c r="T14" s="269">
        <f>'Pencapaian Sales Value'!G14</f>
        <v>0.91236266403921584</v>
      </c>
      <c r="U14" s="15">
        <f>'Pencapaian Sales Value'!I14</f>
        <v>450000</v>
      </c>
      <c r="V14" s="269">
        <f>'Pencapaian Product Focus'!H14</f>
        <v>0.92679011718277671</v>
      </c>
      <c r="W14" s="269">
        <f>'Pencapaian Product Focus'!L14</f>
        <v>0.98979591836734693</v>
      </c>
      <c r="X14" s="15">
        <f>'Pencapaian Product Focus'!N14</f>
        <v>180000</v>
      </c>
      <c r="Y14" s="269">
        <f>'Pencapaian Effective Call'!G14</f>
        <v>0.99038461538461542</v>
      </c>
      <c r="Z14" s="15">
        <f>'Pencapaian Effective Call'!I14</f>
        <v>135000</v>
      </c>
      <c r="AA14" s="255">
        <f>'Pencapaian New Open Outlet'!G14</f>
        <v>1.2</v>
      </c>
      <c r="AB14" s="170">
        <f>'Pencapaian New Open Outlet'!I14</f>
        <v>0</v>
      </c>
      <c r="AC14" s="255">
        <f>'Pencapaian Active Outlet'!G14</f>
        <v>0.9887323943661972</v>
      </c>
      <c r="AD14" s="170">
        <f>'Pencapaian Active Outlet'!I14</f>
        <v>0</v>
      </c>
      <c r="AE14" s="269">
        <f>'Pencapaian Item per Outlet'!G14</f>
        <v>0.82783882783882778</v>
      </c>
      <c r="AF14" s="15">
        <f>'Pencapaian Item per Outlet'!I14</f>
        <v>90000</v>
      </c>
      <c r="AG14" s="255">
        <f>'Pencapaian Product Display'!G14</f>
        <v>0</v>
      </c>
      <c r="AH14" s="170">
        <f>'Pencapaian Product Display'!I14</f>
        <v>0</v>
      </c>
      <c r="AI14" s="255">
        <f>'Pencapaian Sales Contract'!G14</f>
        <v>0</v>
      </c>
      <c r="AJ14" s="170">
        <f>'Pencapaian Sales Contract'!I14</f>
        <v>0</v>
      </c>
      <c r="AK14" s="255">
        <f>'Pencapaian Co-Branding'!G14</f>
        <v>0</v>
      </c>
      <c r="AL14" s="170">
        <f>'Pencapaian Co-Branding'!I14</f>
        <v>0</v>
      </c>
      <c r="AM14" s="255">
        <f>'Pencapaian Join Event Activity'!G14</f>
        <v>0</v>
      </c>
      <c r="AN14" s="170">
        <f>'Pencapaian Join Event Activity'!I14</f>
        <v>0</v>
      </c>
      <c r="AO14" s="15">
        <f t="shared" si="2"/>
        <v>855000</v>
      </c>
      <c r="AP14" s="13">
        <v>0</v>
      </c>
      <c r="AQ14" s="15">
        <f t="shared" si="8"/>
        <v>0</v>
      </c>
      <c r="AR14" s="13">
        <v>0</v>
      </c>
      <c r="AS14" s="15">
        <f t="shared" si="9"/>
        <v>0</v>
      </c>
      <c r="AT14" s="15">
        <f t="shared" si="5"/>
        <v>855000</v>
      </c>
      <c r="AU14" s="15">
        <f>AT14*55%</f>
        <v>470250.00000000006</v>
      </c>
      <c r="AV14" s="15">
        <f>AT14*45%</f>
        <v>384750</v>
      </c>
    </row>
    <row r="15" spans="2:48" ht="16" x14ac:dyDescent="0.2">
      <c r="B15" s="12" t="s">
        <v>140</v>
      </c>
      <c r="C15" s="254">
        <f>'Pencapaian Sales Value'!G76</f>
        <v>0.55375184252973098</v>
      </c>
      <c r="D15" s="266"/>
      <c r="E15" s="266"/>
      <c r="F15" s="254">
        <f>'Pencapaian Effective Call'!G76</f>
        <v>0.51111111111111107</v>
      </c>
      <c r="G15" s="254">
        <f>'Pencapaian New Open Outlet'!G76</f>
        <v>0.54166666666666663</v>
      </c>
      <c r="H15" s="254">
        <f>'Pencapaian Active Outlet'!G76</f>
        <v>0.5276348766653477</v>
      </c>
      <c r="I15" s="266"/>
      <c r="J15" s="266"/>
      <c r="K15" s="266"/>
      <c r="L15" s="266"/>
      <c r="M15" s="266"/>
      <c r="N15" s="14">
        <f>AO76</f>
        <v>90000</v>
      </c>
      <c r="O15" s="3"/>
      <c r="P15" s="397"/>
      <c r="Q15" s="52" t="s">
        <v>351</v>
      </c>
      <c r="R15" s="52" t="s">
        <v>100</v>
      </c>
      <c r="S15" s="12" t="s">
        <v>14</v>
      </c>
      <c r="T15" s="269">
        <f>'Pencapaian Sales Value'!G15</f>
        <v>0.80077876688932081</v>
      </c>
      <c r="U15" s="15">
        <f>'Pencapaian Sales Value'!I15</f>
        <v>300000</v>
      </c>
      <c r="V15" s="269">
        <f>'Pencapaian Product Focus'!H15</f>
        <v>0.87667286515633358</v>
      </c>
      <c r="W15" s="269">
        <f>'Pencapaian Product Focus'!L15</f>
        <v>1.0082644628099173</v>
      </c>
      <c r="X15" s="15">
        <f>'Pencapaian Product Focus'!N15</f>
        <v>180000</v>
      </c>
      <c r="Y15" s="269">
        <f>'Pencapaian Effective Call'!G15</f>
        <v>0.83846153846153848</v>
      </c>
      <c r="Z15" s="15">
        <f>'Pencapaian Effective Call'!I15</f>
        <v>90000</v>
      </c>
      <c r="AA15" s="255">
        <f>'Pencapaian New Open Outlet'!G15</f>
        <v>0</v>
      </c>
      <c r="AB15" s="170">
        <f>'Pencapaian New Open Outlet'!I15</f>
        <v>0</v>
      </c>
      <c r="AC15" s="255">
        <f>'Pencapaian Active Outlet'!G15</f>
        <v>1.0108695652173914</v>
      </c>
      <c r="AD15" s="170">
        <f>'Pencapaian Active Outlet'!I15</f>
        <v>0</v>
      </c>
      <c r="AE15" s="269">
        <f>'Pencapaian Item per Outlet'!G15</f>
        <v>0.84946236559139787</v>
      </c>
      <c r="AF15" s="15">
        <f>'Pencapaian Item per Outlet'!I15</f>
        <v>90000</v>
      </c>
      <c r="AG15" s="255">
        <f>'Pencapaian Product Display'!G15</f>
        <v>0</v>
      </c>
      <c r="AH15" s="170">
        <f>'Pencapaian Product Display'!I15</f>
        <v>0</v>
      </c>
      <c r="AI15" s="255">
        <f>'Pencapaian Sales Contract'!G15</f>
        <v>0</v>
      </c>
      <c r="AJ15" s="170">
        <f>'Pencapaian Sales Contract'!I15</f>
        <v>0</v>
      </c>
      <c r="AK15" s="255">
        <f>'Pencapaian Co-Branding'!G15</f>
        <v>0</v>
      </c>
      <c r="AL15" s="170">
        <f>'Pencapaian Co-Branding'!I15</f>
        <v>0</v>
      </c>
      <c r="AM15" s="255">
        <f>'Pencapaian Join Event Activity'!G15</f>
        <v>0</v>
      </c>
      <c r="AN15" s="170">
        <f>'Pencapaian Join Event Activity'!I15</f>
        <v>0</v>
      </c>
      <c r="AO15" s="15">
        <f t="shared" si="2"/>
        <v>660000</v>
      </c>
      <c r="AP15" s="13">
        <v>0</v>
      </c>
      <c r="AQ15" s="15">
        <f t="shared" si="8"/>
        <v>0</v>
      </c>
      <c r="AR15" s="13">
        <v>0</v>
      </c>
      <c r="AS15" s="15">
        <f t="shared" si="9"/>
        <v>0</v>
      </c>
      <c r="AT15" s="15">
        <f t="shared" si="5"/>
        <v>660000</v>
      </c>
      <c r="AU15" s="15">
        <f>AT15*55%</f>
        <v>363000.00000000006</v>
      </c>
      <c r="AV15" s="15">
        <f>AT15*45%</f>
        <v>297000</v>
      </c>
    </row>
    <row r="16" spans="2:48" ht="17" thickBot="1" x14ac:dyDescent="0.25">
      <c r="B16" s="17" t="s">
        <v>127</v>
      </c>
      <c r="C16" s="256">
        <f>'Pencapaian Sales Value'!G77</f>
        <v>0.82895214655144445</v>
      </c>
      <c r="D16" s="256">
        <f>'Pencapaian Product Focus'!H77</f>
        <v>0.72680555555555559</v>
      </c>
      <c r="E16" s="256">
        <f>'Pencapaian Product Focus'!L77</f>
        <v>0.72248062015503878</v>
      </c>
      <c r="F16" s="256">
        <f>'Pencapaian Effective Call'!G77</f>
        <v>0.85014925373134331</v>
      </c>
      <c r="G16" s="256">
        <f>'Pencapaian New Open Outlet'!G77</f>
        <v>0.22117760034694525</v>
      </c>
      <c r="H16" s="256">
        <f>'Pencapaian Active Outlet'!G77</f>
        <v>0.89526292916123429</v>
      </c>
      <c r="I16" s="256">
        <f>'Pencapaian Item per Outlet'!G77</f>
        <v>0.53551581788959846</v>
      </c>
      <c r="J16" s="260"/>
      <c r="K16" s="256">
        <f>'Pencapaian Sales Contract'!G77</f>
        <v>0</v>
      </c>
      <c r="L16" s="256">
        <f>'Pencapaian Co-Branding'!G77</f>
        <v>0</v>
      </c>
      <c r="M16" s="260"/>
      <c r="N16" s="18">
        <f>SUM(N13:N15)</f>
        <v>6129250</v>
      </c>
      <c r="O16" s="3"/>
      <c r="P16" s="397"/>
      <c r="Q16" s="52" t="s">
        <v>352</v>
      </c>
      <c r="R16" s="52" t="s">
        <v>238</v>
      </c>
      <c r="S16" s="12" t="s">
        <v>14</v>
      </c>
      <c r="T16" s="269">
        <f>'Pencapaian Sales Value'!G16</f>
        <v>0.89594635681011814</v>
      </c>
      <c r="U16" s="15">
        <f>'Pencapaian Sales Value'!I16</f>
        <v>300000</v>
      </c>
      <c r="V16" s="269">
        <f>'Pencapaian Product Focus'!H16</f>
        <v>0.91387239905180628</v>
      </c>
      <c r="W16" s="269">
        <f>'Pencapaian Product Focus'!L16</f>
        <v>0.93600000000000005</v>
      </c>
      <c r="X16" s="15">
        <f>'Pencapaian Product Focus'!N16</f>
        <v>180000</v>
      </c>
      <c r="Y16" s="269">
        <f>'Pencapaian Effective Call'!G16</f>
        <v>0.86769230769230765</v>
      </c>
      <c r="Z16" s="15">
        <f>'Pencapaian Effective Call'!I16</f>
        <v>90000</v>
      </c>
      <c r="AA16" s="255">
        <f>'Pencapaian New Open Outlet'!G16</f>
        <v>0.4</v>
      </c>
      <c r="AB16" s="170">
        <f>'Pencapaian New Open Outlet'!I16</f>
        <v>0</v>
      </c>
      <c r="AC16" s="255">
        <f>'Pencapaian Active Outlet'!G16</f>
        <v>0.87917737789203088</v>
      </c>
      <c r="AD16" s="170">
        <f>'Pencapaian Active Outlet'!I16</f>
        <v>0</v>
      </c>
      <c r="AE16" s="269">
        <f>'Pencapaian Item per Outlet'!G16</f>
        <v>0.85982905982905977</v>
      </c>
      <c r="AF16" s="15">
        <f>'Pencapaian Item per Outlet'!I16</f>
        <v>90000</v>
      </c>
      <c r="AG16" s="255">
        <f>'Pencapaian Product Display'!G16</f>
        <v>0</v>
      </c>
      <c r="AH16" s="170">
        <f>'Pencapaian Product Display'!I16</f>
        <v>0</v>
      </c>
      <c r="AI16" s="255">
        <f>'Pencapaian Sales Contract'!G16</f>
        <v>0</v>
      </c>
      <c r="AJ16" s="170">
        <f>'Pencapaian Sales Contract'!I16</f>
        <v>0</v>
      </c>
      <c r="AK16" s="255">
        <f>'Pencapaian Co-Branding'!G16</f>
        <v>0</v>
      </c>
      <c r="AL16" s="170">
        <f>'Pencapaian Co-Branding'!I16</f>
        <v>0</v>
      </c>
      <c r="AM16" s="255">
        <f>'Pencapaian Join Event Activity'!G16</f>
        <v>0</v>
      </c>
      <c r="AN16" s="170">
        <f>'Pencapaian Join Event Activity'!I16</f>
        <v>0</v>
      </c>
      <c r="AO16" s="15">
        <f t="shared" si="2"/>
        <v>660000</v>
      </c>
      <c r="AP16" s="13">
        <v>0</v>
      </c>
      <c r="AQ16" s="15">
        <f t="shared" si="8"/>
        <v>0</v>
      </c>
      <c r="AR16" s="13">
        <v>0</v>
      </c>
      <c r="AS16" s="15">
        <f t="shared" si="9"/>
        <v>0</v>
      </c>
      <c r="AT16" s="15">
        <f t="shared" si="5"/>
        <v>660000</v>
      </c>
      <c r="AU16" s="15">
        <f t="shared" ref="AU16:AU18" si="12">AT16*55%</f>
        <v>363000.00000000006</v>
      </c>
      <c r="AV16" s="15">
        <f t="shared" ref="AV16:AV18" si="13">AT16*45%</f>
        <v>297000</v>
      </c>
    </row>
    <row r="17" spans="2:48" ht="17" thickTop="1" x14ac:dyDescent="0.2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  <c r="O17" s="3"/>
      <c r="P17" s="397"/>
      <c r="Q17" s="52" t="s">
        <v>353</v>
      </c>
      <c r="R17" s="52" t="s">
        <v>239</v>
      </c>
      <c r="S17" s="83" t="s">
        <v>14</v>
      </c>
      <c r="T17" s="301">
        <f>'Pencapaian Sales Value'!G17</f>
        <v>0.91370604925515675</v>
      </c>
      <c r="U17" s="259">
        <f>'Pencapaian Sales Value'!I17</f>
        <v>450000</v>
      </c>
      <c r="V17" s="301">
        <f>'Pencapaian Product Focus'!H17</f>
        <v>0.83518450025137447</v>
      </c>
      <c r="W17" s="301">
        <f>'Pencapaian Product Focus'!L17</f>
        <v>1.0297029702970297</v>
      </c>
      <c r="X17" s="259">
        <f>'Pencapaian Product Focus'!N17</f>
        <v>180000</v>
      </c>
      <c r="Y17" s="301">
        <f>'Pencapaian Effective Call'!G17</f>
        <v>0.80769230769230771</v>
      </c>
      <c r="Z17" s="259">
        <f>'Pencapaian Effective Call'!I17</f>
        <v>90000</v>
      </c>
      <c r="AA17" s="255">
        <f>'Pencapaian New Open Outlet'!G17</f>
        <v>0.2</v>
      </c>
      <c r="AB17" s="170">
        <f>'Pencapaian New Open Outlet'!I17</f>
        <v>0</v>
      </c>
      <c r="AC17" s="255">
        <f>'Pencapaian Active Outlet'!G17</f>
        <v>0.96000000000000008</v>
      </c>
      <c r="AD17" s="170">
        <f>'Pencapaian Active Outlet'!I17</f>
        <v>0</v>
      </c>
      <c r="AE17" s="301">
        <f>'Pencapaian Item per Outlet'!G17</f>
        <v>1.0134770889487872</v>
      </c>
      <c r="AF17" s="259">
        <f>'Pencapaian Item per Outlet'!I17</f>
        <v>180000</v>
      </c>
      <c r="AG17" s="255">
        <f>'Pencapaian Product Display'!G17</f>
        <v>0</v>
      </c>
      <c r="AH17" s="170">
        <f>'Pencapaian Product Display'!I17</f>
        <v>0</v>
      </c>
      <c r="AI17" s="255">
        <f>'Pencapaian Sales Contract'!G17</f>
        <v>0</v>
      </c>
      <c r="AJ17" s="170">
        <f>'Pencapaian Sales Contract'!I17</f>
        <v>0</v>
      </c>
      <c r="AK17" s="255">
        <f>'Pencapaian Co-Branding'!G17</f>
        <v>0</v>
      </c>
      <c r="AL17" s="170">
        <f>'Pencapaian Co-Branding'!I17</f>
        <v>0</v>
      </c>
      <c r="AM17" s="255">
        <f>'Pencapaian Join Event Activity'!G17</f>
        <v>0</v>
      </c>
      <c r="AN17" s="170">
        <f>'Pencapaian Join Event Activity'!I17</f>
        <v>0</v>
      </c>
      <c r="AO17" s="259">
        <f t="shared" si="2"/>
        <v>900000</v>
      </c>
      <c r="AP17" s="13">
        <v>0</v>
      </c>
      <c r="AQ17" s="15">
        <f t="shared" si="8"/>
        <v>0</v>
      </c>
      <c r="AR17" s="13">
        <v>0</v>
      </c>
      <c r="AS17" s="15">
        <f t="shared" si="9"/>
        <v>0</v>
      </c>
      <c r="AT17" s="259">
        <f t="shared" si="5"/>
        <v>900000</v>
      </c>
      <c r="AU17" s="15">
        <f t="shared" si="12"/>
        <v>495000.00000000006</v>
      </c>
      <c r="AV17" s="15">
        <f t="shared" si="13"/>
        <v>405000</v>
      </c>
    </row>
    <row r="18" spans="2:48" s="75" customFormat="1" ht="16" x14ac:dyDescent="0.2">
      <c r="B18" s="6" t="s">
        <v>227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/>
      <c r="O18" s="82"/>
      <c r="P18" s="397"/>
      <c r="Q18" s="52" t="s">
        <v>354</v>
      </c>
      <c r="R18" s="52" t="s">
        <v>294</v>
      </c>
      <c r="S18" s="12" t="s">
        <v>14</v>
      </c>
      <c r="T18" s="269">
        <f>'Pencapaian Sales Value'!G18</f>
        <v>0.84735592459605025</v>
      </c>
      <c r="U18" s="15">
        <f>'Pencapaian Sales Value'!I18</f>
        <v>300000</v>
      </c>
      <c r="V18" s="269">
        <f>'Pencapaian Product Focus'!H18</f>
        <v>0.88937202952775807</v>
      </c>
      <c r="W18" s="269">
        <f>'Pencapaian Product Focus'!L18</f>
        <v>1.0428571428571429</v>
      </c>
      <c r="X18" s="15">
        <f>'Pencapaian Product Focus'!N18</f>
        <v>180000</v>
      </c>
      <c r="Y18" s="269">
        <f>'Pencapaian Effective Call'!G18</f>
        <v>0.7846153846153846</v>
      </c>
      <c r="Z18" s="15">
        <f>'Pencapaian Effective Call'!I18</f>
        <v>45000</v>
      </c>
      <c r="AA18" s="255">
        <f>'Pencapaian New Open Outlet'!G18</f>
        <v>0.2</v>
      </c>
      <c r="AB18" s="170">
        <f>'Pencapaian New Open Outlet'!I18</f>
        <v>0</v>
      </c>
      <c r="AC18" s="255">
        <f>'Pencapaian Active Outlet'!G18</f>
        <v>0.87460815047021945</v>
      </c>
      <c r="AD18" s="170">
        <f>'Pencapaian Active Outlet'!I18</f>
        <v>0</v>
      </c>
      <c r="AE18" s="269">
        <f>'Pencapaian Item per Outlet'!G18</f>
        <v>0.84792626728110598</v>
      </c>
      <c r="AF18" s="15">
        <f>'Pencapaian Item per Outlet'!I18</f>
        <v>90000</v>
      </c>
      <c r="AG18" s="255">
        <f>'Pencapaian Product Display'!G18</f>
        <v>0</v>
      </c>
      <c r="AH18" s="170">
        <f>'Pencapaian Product Display'!I18</f>
        <v>0</v>
      </c>
      <c r="AI18" s="255">
        <f>'Pencapaian Sales Contract'!G18</f>
        <v>0</v>
      </c>
      <c r="AJ18" s="170">
        <f>'Pencapaian Sales Contract'!I18</f>
        <v>0</v>
      </c>
      <c r="AK18" s="255">
        <f>'Pencapaian Co-Branding'!G18</f>
        <v>0</v>
      </c>
      <c r="AL18" s="170">
        <f>'Pencapaian Co-Branding'!I18</f>
        <v>0</v>
      </c>
      <c r="AM18" s="255">
        <f>'Pencapaian Join Event Activity'!G18</f>
        <v>0</v>
      </c>
      <c r="AN18" s="170">
        <f>'Pencapaian Join Event Activity'!I18</f>
        <v>0</v>
      </c>
      <c r="AO18" s="15">
        <f t="shared" si="2"/>
        <v>615000</v>
      </c>
      <c r="AP18" s="13">
        <v>0</v>
      </c>
      <c r="AQ18" s="15">
        <f t="shared" si="8"/>
        <v>0</v>
      </c>
      <c r="AR18" s="13">
        <v>0</v>
      </c>
      <c r="AS18" s="15">
        <f t="shared" si="9"/>
        <v>0</v>
      </c>
      <c r="AT18" s="15">
        <f t="shared" si="5"/>
        <v>615000</v>
      </c>
      <c r="AU18" s="15">
        <f t="shared" si="12"/>
        <v>338250</v>
      </c>
      <c r="AV18" s="15">
        <f t="shared" si="13"/>
        <v>276750</v>
      </c>
    </row>
    <row r="19" spans="2:48" ht="14.5" customHeight="1" x14ac:dyDescent="0.2">
      <c r="B19" s="394" t="s">
        <v>0</v>
      </c>
      <c r="C19" s="401" t="s">
        <v>4</v>
      </c>
      <c r="D19" s="398" t="s">
        <v>139</v>
      </c>
      <c r="E19" s="398"/>
      <c r="F19" s="399" t="s">
        <v>134</v>
      </c>
      <c r="G19" s="399" t="s">
        <v>135</v>
      </c>
      <c r="H19" s="399" t="s">
        <v>5</v>
      </c>
      <c r="I19" s="399" t="s">
        <v>137</v>
      </c>
      <c r="J19" s="399" t="s">
        <v>424</v>
      </c>
      <c r="K19" s="399" t="s">
        <v>431</v>
      </c>
      <c r="L19" s="399" t="s">
        <v>438</v>
      </c>
      <c r="M19" s="399" t="s">
        <v>445</v>
      </c>
      <c r="N19" s="398" t="s">
        <v>1</v>
      </c>
      <c r="O19" s="3"/>
      <c r="P19" s="397"/>
      <c r="Q19" s="52" t="s">
        <v>355</v>
      </c>
      <c r="R19" s="52" t="s">
        <v>273</v>
      </c>
      <c r="S19" s="12" t="s">
        <v>18</v>
      </c>
      <c r="T19" s="269">
        <f>'Pencapaian Sales Value'!G19</f>
        <v>0.80125671247781849</v>
      </c>
      <c r="U19" s="15">
        <f>'Pencapaian Sales Value'!I19</f>
        <v>225000</v>
      </c>
      <c r="V19" s="269">
        <f>'Pencapaian Product Focus'!H19</f>
        <v>1.146969696969697</v>
      </c>
      <c r="W19" s="269">
        <f>'Pencapaian Product Focus'!L19</f>
        <v>1.0384615384615385</v>
      </c>
      <c r="X19" s="15">
        <f>'Pencapaian Product Focus'!N19</f>
        <v>202500</v>
      </c>
      <c r="Y19" s="269">
        <f>'Pencapaian Effective Call'!G19</f>
        <v>0.73199999999999998</v>
      </c>
      <c r="Z19" s="15">
        <f>'Pencapaian Effective Call'!I19</f>
        <v>33750</v>
      </c>
      <c r="AA19" s="255">
        <f>'Pencapaian New Open Outlet'!G19</f>
        <v>0</v>
      </c>
      <c r="AB19" s="170">
        <f>'Pencapaian New Open Outlet'!I19</f>
        <v>0</v>
      </c>
      <c r="AC19" s="255">
        <f>'Pencapaian Active Outlet'!G19</f>
        <v>0.92222222222222228</v>
      </c>
      <c r="AD19" s="170">
        <f>'Pencapaian Active Outlet'!I19</f>
        <v>0</v>
      </c>
      <c r="AE19" s="269">
        <f>'Pencapaian Item per Outlet'!G19</f>
        <v>0.72289156626506024</v>
      </c>
      <c r="AF19" s="15">
        <f>'Pencapaian Item per Outlet'!I19</f>
        <v>33750</v>
      </c>
      <c r="AG19" s="255">
        <f>'Pencapaian Product Display'!G19</f>
        <v>0</v>
      </c>
      <c r="AH19" s="170">
        <f>'Pencapaian Product Display'!I19</f>
        <v>0</v>
      </c>
      <c r="AI19" s="255">
        <f>'Pencapaian Sales Contract'!G19</f>
        <v>0</v>
      </c>
      <c r="AJ19" s="170">
        <f>'Pencapaian Sales Contract'!I19</f>
        <v>0</v>
      </c>
      <c r="AK19" s="255">
        <f>'Pencapaian Co-Branding'!G19</f>
        <v>0</v>
      </c>
      <c r="AL19" s="170">
        <f>'Pencapaian Co-Branding'!I19</f>
        <v>0</v>
      </c>
      <c r="AM19" s="255">
        <f>'Pencapaian Join Event Activity'!G19</f>
        <v>0</v>
      </c>
      <c r="AN19" s="170">
        <f>'Pencapaian Join Event Activity'!I19</f>
        <v>0</v>
      </c>
      <c r="AO19" s="15">
        <f t="shared" si="2"/>
        <v>495000</v>
      </c>
      <c r="AP19" s="13">
        <v>2.1334490227460571E-3</v>
      </c>
      <c r="AQ19" s="15">
        <f t="shared" si="8"/>
        <v>0</v>
      </c>
      <c r="AR19" s="13">
        <v>2.1334490227460571E-3</v>
      </c>
      <c r="AS19" s="15">
        <f t="shared" si="9"/>
        <v>-495000</v>
      </c>
      <c r="AT19" s="15">
        <f t="shared" si="5"/>
        <v>0</v>
      </c>
      <c r="AU19" s="14">
        <f t="shared" ref="AU19" si="14">AT19*70%</f>
        <v>0</v>
      </c>
      <c r="AV19" s="14">
        <f t="shared" ref="AV19" si="15">AT19*30%</f>
        <v>0</v>
      </c>
    </row>
    <row r="20" spans="2:48" ht="16" x14ac:dyDescent="0.2">
      <c r="B20" s="394"/>
      <c r="C20" s="401"/>
      <c r="D20" s="292" t="s">
        <v>514</v>
      </c>
      <c r="E20" s="292" t="s">
        <v>515</v>
      </c>
      <c r="F20" s="400"/>
      <c r="G20" s="400"/>
      <c r="H20" s="400"/>
      <c r="I20" s="400"/>
      <c r="J20" s="400"/>
      <c r="K20" s="400"/>
      <c r="L20" s="400"/>
      <c r="M20" s="400"/>
      <c r="N20" s="398"/>
      <c r="O20" s="3"/>
      <c r="P20" s="397"/>
      <c r="Q20" s="52"/>
      <c r="R20" s="52" t="s">
        <v>243</v>
      </c>
      <c r="S20" s="12" t="s">
        <v>14</v>
      </c>
      <c r="T20" s="269">
        <f>'Pencapaian Sales Value'!G20</f>
        <v>0.88779639817195166</v>
      </c>
      <c r="U20" s="15">
        <f>'Pencapaian Sales Value'!I20</f>
        <v>300000</v>
      </c>
      <c r="V20" s="269">
        <f>'Pencapaian Product Focus'!H20</f>
        <v>0.99045506990125409</v>
      </c>
      <c r="W20" s="269">
        <f>'Pencapaian Product Focus'!L20</f>
        <v>1.0873015873015872</v>
      </c>
      <c r="X20" s="15">
        <f>'Pencapaian Product Focus'!N20</f>
        <v>210000</v>
      </c>
      <c r="Y20" s="269">
        <f>'Pencapaian Effective Call'!G20</f>
        <v>0.97538461538461541</v>
      </c>
      <c r="Z20" s="15">
        <f>'Pencapaian Effective Call'!I20</f>
        <v>135000</v>
      </c>
      <c r="AA20" s="255">
        <f>'Pencapaian New Open Outlet'!G20</f>
        <v>0</v>
      </c>
      <c r="AB20" s="170">
        <f>'Pencapaian New Open Outlet'!I20</f>
        <v>0</v>
      </c>
      <c r="AC20" s="255">
        <f>'Pencapaian Active Outlet'!G20</f>
        <v>1.0632911392405064</v>
      </c>
      <c r="AD20" s="170">
        <f>'Pencapaian Active Outlet'!I20</f>
        <v>0</v>
      </c>
      <c r="AE20" s="269">
        <f>'Pencapaian Item per Outlet'!G20</f>
        <v>0.95892857142857146</v>
      </c>
      <c r="AF20" s="15">
        <f>'Pencapaian Item per Outlet'!I20</f>
        <v>135000</v>
      </c>
      <c r="AG20" s="255">
        <f>'Pencapaian Product Display'!G20</f>
        <v>0</v>
      </c>
      <c r="AH20" s="170">
        <f>'Pencapaian Product Display'!I20</f>
        <v>0</v>
      </c>
      <c r="AI20" s="255">
        <f>'Pencapaian Sales Contract'!G20</f>
        <v>0</v>
      </c>
      <c r="AJ20" s="170">
        <f>'Pencapaian Sales Contract'!I20</f>
        <v>0</v>
      </c>
      <c r="AK20" s="255">
        <f>'Pencapaian Co-Branding'!G20</f>
        <v>0</v>
      </c>
      <c r="AL20" s="170">
        <f>'Pencapaian Co-Branding'!I20</f>
        <v>0</v>
      </c>
      <c r="AM20" s="255">
        <f>'Pencapaian Join Event Activity'!G20</f>
        <v>0</v>
      </c>
      <c r="AN20" s="170">
        <f>'Pencapaian Join Event Activity'!I20</f>
        <v>0</v>
      </c>
      <c r="AO20" s="15">
        <f t="shared" si="2"/>
        <v>780000</v>
      </c>
      <c r="AP20" s="13">
        <v>0</v>
      </c>
      <c r="AQ20" s="15">
        <f t="shared" si="8"/>
        <v>0</v>
      </c>
      <c r="AR20" s="13">
        <v>0</v>
      </c>
      <c r="AS20" s="15">
        <f t="shared" si="9"/>
        <v>0</v>
      </c>
      <c r="AT20" s="15">
        <f t="shared" si="5"/>
        <v>780000</v>
      </c>
      <c r="AU20" s="15">
        <f t="shared" ref="AU20" si="16">AT20*55%</f>
        <v>429000.00000000006</v>
      </c>
      <c r="AV20" s="15">
        <f t="shared" ref="AV20" si="17">AT20*45%</f>
        <v>351000</v>
      </c>
    </row>
    <row r="21" spans="2:48" ht="16" x14ac:dyDescent="0.2">
      <c r="B21" s="12" t="s">
        <v>19</v>
      </c>
      <c r="C21" s="254">
        <f>'Pencapaian Sales Value'!G90</f>
        <v>0.65077411352056969</v>
      </c>
      <c r="D21" s="266"/>
      <c r="E21" s="266"/>
      <c r="F21" s="254">
        <f>'Pencapaian Effective Call'!G90</f>
        <v>0.76800000000000002</v>
      </c>
      <c r="G21" s="254">
        <f>'Pencapaian New Open Outlet'!G90</f>
        <v>2.25</v>
      </c>
      <c r="H21" s="254">
        <f>'Pencapaian Active Outlet'!G90</f>
        <v>1.043076923076923</v>
      </c>
      <c r="I21" s="266"/>
      <c r="J21" s="266"/>
      <c r="K21" s="266"/>
      <c r="L21" s="266"/>
      <c r="M21" s="266"/>
      <c r="N21" s="14">
        <f>AO90</f>
        <v>1648500</v>
      </c>
      <c r="O21" s="3"/>
      <c r="P21" s="397"/>
      <c r="Q21" s="78"/>
      <c r="R21" s="78" t="s">
        <v>293</v>
      </c>
      <c r="S21" s="64" t="s">
        <v>20</v>
      </c>
      <c r="T21" s="258">
        <f>'Pencapaian Sales Value'!G21</f>
        <v>0.87325467645739518</v>
      </c>
      <c r="U21" s="63">
        <f>'Pencapaian Sales Value'!I21</f>
        <v>216000</v>
      </c>
      <c r="V21" s="258">
        <f>'Pencapaian Product Focus'!H21</f>
        <v>0.91146189853067827</v>
      </c>
      <c r="W21" s="258">
        <f>'Pencapaian Product Focus'!L21</f>
        <v>1.014992503748126</v>
      </c>
      <c r="X21" s="63">
        <f>'Pencapaian Product Focus'!N21</f>
        <v>204000</v>
      </c>
      <c r="Y21" s="257">
        <f>'Pencapaian Effective Call'!G21</f>
        <v>0.87052341597796146</v>
      </c>
      <c r="Z21" s="189">
        <f>'Pencapaian Effective Call'!I21</f>
        <v>0</v>
      </c>
      <c r="AA21" s="268">
        <f>'Pencapaian New Open Outlet'!G21</f>
        <v>0.2857142857142857</v>
      </c>
      <c r="AB21" s="189">
        <f>'Pencapaian New Open Outlet'!I21</f>
        <v>0</v>
      </c>
      <c r="AC21" s="258">
        <f>'Pencapaian Active Outlet'!G21</f>
        <v>0.96034696406443631</v>
      </c>
      <c r="AD21" s="63">
        <f>'Pencapaian Active Outlet'!I21</f>
        <v>168000</v>
      </c>
      <c r="AE21" s="258">
        <f>'Pencapaian Item per Outlet'!G21</f>
        <v>0.87923989626140497</v>
      </c>
      <c r="AF21" s="63">
        <f>'Pencapaian Item per Outlet'!I21</f>
        <v>108000</v>
      </c>
      <c r="AG21" s="306">
        <f>'Pencapaian Product Display'!G21</f>
        <v>0</v>
      </c>
      <c r="AH21" s="152">
        <f>'Pencapaian Product Display'!I21</f>
        <v>0</v>
      </c>
      <c r="AI21" s="306">
        <f>'Pencapaian Sales Contract'!G21</f>
        <v>0</v>
      </c>
      <c r="AJ21" s="152">
        <f>'Pencapaian Sales Contract'!I21</f>
        <v>0</v>
      </c>
      <c r="AK21" s="306">
        <f>'Pencapaian Co-Branding'!G21</f>
        <v>0</v>
      </c>
      <c r="AL21" s="152">
        <f>'Pencapaian Co-Branding'!I21</f>
        <v>0</v>
      </c>
      <c r="AM21" s="306">
        <f>'Pencapaian Join Event Activity'!G21</f>
        <v>0</v>
      </c>
      <c r="AN21" s="152">
        <f>'Pencapaian Join Event Activity'!I21</f>
        <v>0</v>
      </c>
      <c r="AO21" s="63">
        <f t="shared" si="2"/>
        <v>696000</v>
      </c>
      <c r="AP21" s="110">
        <v>1.1348463044394058E-4</v>
      </c>
      <c r="AQ21" s="63">
        <f t="shared" si="8"/>
        <v>0</v>
      </c>
      <c r="AR21" s="110">
        <v>1.1348463044394058E-4</v>
      </c>
      <c r="AS21" s="63">
        <f t="shared" si="9"/>
        <v>-696000</v>
      </c>
      <c r="AT21" s="63">
        <f t="shared" si="5"/>
        <v>0</v>
      </c>
      <c r="AU21" s="63">
        <f t="shared" ref="AU21:AU27" si="18">AT21</f>
        <v>0</v>
      </c>
      <c r="AV21" s="63">
        <v>0</v>
      </c>
    </row>
    <row r="22" spans="2:48" ht="16" x14ac:dyDescent="0.2">
      <c r="B22" s="12" t="s">
        <v>768</v>
      </c>
      <c r="C22" s="254">
        <f>'Pencapaian Sales Value'!G94</f>
        <v>0.75324508466871232</v>
      </c>
      <c r="D22" s="266"/>
      <c r="E22" s="266"/>
      <c r="F22" s="254">
        <f>'Pencapaian Effective Call'!G94</f>
        <v>0.6101398601398601</v>
      </c>
      <c r="G22" s="254">
        <f>'Pencapaian New Open Outlet'!G94</f>
        <v>0.3</v>
      </c>
      <c r="H22" s="254">
        <f>'Pencapaian Active Outlet'!G94</f>
        <v>0.68924302788844627</v>
      </c>
      <c r="I22" s="266"/>
      <c r="J22" s="266"/>
      <c r="K22" s="266"/>
      <c r="L22" s="266"/>
      <c r="M22" s="266"/>
      <c r="N22" s="16">
        <f>AO94</f>
        <v>435000</v>
      </c>
      <c r="O22" s="3"/>
      <c r="P22" s="397"/>
      <c r="Q22" s="52" t="s">
        <v>356</v>
      </c>
      <c r="R22" s="52" t="s">
        <v>147</v>
      </c>
      <c r="S22" s="12" t="s">
        <v>468</v>
      </c>
      <c r="T22" s="269">
        <f>'Pencapaian Sales Value'!G22</f>
        <v>0.64073129846153853</v>
      </c>
      <c r="U22" s="15">
        <f>'Pencapaian Sales Value'!I22</f>
        <v>0</v>
      </c>
      <c r="V22" s="304">
        <f>'Pencapaian Product Focus'!H22</f>
        <v>0</v>
      </c>
      <c r="W22" s="304">
        <f>'Pencapaian Product Focus'!L22</f>
        <v>0</v>
      </c>
      <c r="X22" s="178">
        <f>'Pencapaian Product Focus'!N22</f>
        <v>0</v>
      </c>
      <c r="Y22" s="304">
        <f>'Pencapaian Effective Call'!G22</f>
        <v>0</v>
      </c>
      <c r="Z22" s="178">
        <f>'Pencapaian Effective Call'!I22</f>
        <v>0</v>
      </c>
      <c r="AA22" s="269">
        <f>'Pencapaian New Open Outlet'!G22</f>
        <v>0.2</v>
      </c>
      <c r="AB22" s="14">
        <f>'Pencapaian New Open Outlet'!I22</f>
        <v>0</v>
      </c>
      <c r="AC22" s="269">
        <f>'Pencapaian Active Outlet'!G22</f>
        <v>0.4</v>
      </c>
      <c r="AD22" s="14">
        <f>'Pencapaian Active Outlet'!I22</f>
        <v>0</v>
      </c>
      <c r="AE22" s="272">
        <f>'Pencapaian Item per Outlet'!G22</f>
        <v>0</v>
      </c>
      <c r="AF22" s="261">
        <f>'Pencapaian Item per Outlet'!I22</f>
        <v>0</v>
      </c>
      <c r="AG22" s="255">
        <f>'Pencapaian Product Display'!G22</f>
        <v>0</v>
      </c>
      <c r="AH22" s="170">
        <f>'Pencapaian Product Display'!I22</f>
        <v>0</v>
      </c>
      <c r="AI22" s="269">
        <f>'Pencapaian Sales Contract'!G22</f>
        <v>0</v>
      </c>
      <c r="AJ22" s="15">
        <f>'Pencapaian Sales Contract'!I22</f>
        <v>0</v>
      </c>
      <c r="AK22" s="269">
        <f>'Pencapaian Co-Branding'!G22</f>
        <v>0</v>
      </c>
      <c r="AL22" s="15">
        <f>'Pencapaian Co-Branding'!I22</f>
        <v>0</v>
      </c>
      <c r="AM22" s="255">
        <f>'Pencapaian Join Event Activity'!G22</f>
        <v>0</v>
      </c>
      <c r="AN22" s="170">
        <f>'Pencapaian Join Event Activity'!I22</f>
        <v>0</v>
      </c>
      <c r="AO22" s="15">
        <f t="shared" si="2"/>
        <v>0</v>
      </c>
      <c r="AP22" s="13">
        <v>4.9192364767302686E-3</v>
      </c>
      <c r="AQ22" s="15">
        <f t="shared" si="8"/>
        <v>0</v>
      </c>
      <c r="AR22" s="13">
        <v>0</v>
      </c>
      <c r="AS22" s="15">
        <f t="shared" si="9"/>
        <v>0</v>
      </c>
      <c r="AT22" s="15">
        <f t="shared" si="5"/>
        <v>0</v>
      </c>
      <c r="AU22" s="15">
        <f t="shared" si="18"/>
        <v>0</v>
      </c>
      <c r="AV22" s="15">
        <v>0</v>
      </c>
    </row>
    <row r="23" spans="2:48" ht="17" thickBot="1" x14ac:dyDescent="0.25">
      <c r="B23" s="17" t="s">
        <v>228</v>
      </c>
      <c r="C23" s="256">
        <f>'Pencapaian Sales Value'!G95</f>
        <v>0.71673364607047563</v>
      </c>
      <c r="D23" s="260"/>
      <c r="E23" s="260"/>
      <c r="F23" s="256">
        <f>'Pencapaian Effective Call'!G95</f>
        <v>0.69969742813918301</v>
      </c>
      <c r="G23" s="256">
        <f>'Pencapaian New Open Outlet'!G95</f>
        <v>1.2749999999999999</v>
      </c>
      <c r="H23" s="256">
        <f>'Pencapaian Active Outlet'!G95</f>
        <v>0.88888888888888884</v>
      </c>
      <c r="I23" s="260"/>
      <c r="J23" s="260"/>
      <c r="K23" s="260"/>
      <c r="L23" s="260"/>
      <c r="M23" s="260"/>
      <c r="N23" s="18">
        <f>SUM(N21:N22)</f>
        <v>2083500</v>
      </c>
      <c r="O23" s="3"/>
      <c r="P23" s="397"/>
      <c r="Q23" s="52" t="s">
        <v>357</v>
      </c>
      <c r="R23" s="52" t="s">
        <v>813</v>
      </c>
      <c r="S23" s="12" t="s">
        <v>468</v>
      </c>
      <c r="T23" s="269">
        <f>'Pencapaian Sales Value'!G23</f>
        <v>0.87744112415430275</v>
      </c>
      <c r="U23" s="15">
        <f>'Pencapaian Sales Value'!I23</f>
        <v>130000</v>
      </c>
      <c r="V23" s="304">
        <f>'Pencapaian Product Focus'!H23</f>
        <v>0</v>
      </c>
      <c r="W23" s="304">
        <f>'Pencapaian Product Focus'!L23</f>
        <v>0</v>
      </c>
      <c r="X23" s="178">
        <f>'Pencapaian Product Focus'!N23</f>
        <v>0</v>
      </c>
      <c r="Y23" s="304">
        <f>'Pencapaian Effective Call'!G23</f>
        <v>0</v>
      </c>
      <c r="Z23" s="178">
        <f>'Pencapaian Effective Call'!I23</f>
        <v>0</v>
      </c>
      <c r="AA23" s="269">
        <f>'Pencapaian New Open Outlet'!G23</f>
        <v>0.2</v>
      </c>
      <c r="AB23" s="14">
        <f>'Pencapaian New Open Outlet'!I23</f>
        <v>0</v>
      </c>
      <c r="AC23" s="269">
        <f>'Pencapaian Active Outlet'!G23</f>
        <v>0.90909090909090906</v>
      </c>
      <c r="AD23" s="14">
        <f>'Pencapaian Active Outlet'!I23</f>
        <v>98000</v>
      </c>
      <c r="AE23" s="272">
        <f>'Pencapaian Item per Outlet'!G23</f>
        <v>0</v>
      </c>
      <c r="AF23" s="261">
        <f>'Pencapaian Item per Outlet'!I23</f>
        <v>0</v>
      </c>
      <c r="AG23" s="255">
        <f>'Pencapaian Product Display'!G23</f>
        <v>0</v>
      </c>
      <c r="AH23" s="170">
        <f>'Pencapaian Product Display'!I23</f>
        <v>0</v>
      </c>
      <c r="AI23" s="269">
        <f>'Pencapaian Sales Contract'!G23</f>
        <v>0</v>
      </c>
      <c r="AJ23" s="15">
        <f>'Pencapaian Sales Contract'!I23</f>
        <v>0</v>
      </c>
      <c r="AK23" s="269">
        <f>'Pencapaian Co-Branding'!G23</f>
        <v>0</v>
      </c>
      <c r="AL23" s="15">
        <f>'Pencapaian Co-Branding'!I23</f>
        <v>0</v>
      </c>
      <c r="AM23" s="255">
        <f>'Pencapaian Join Event Activity'!G23</f>
        <v>0</v>
      </c>
      <c r="AN23" s="170">
        <f>'Pencapaian Join Event Activity'!I23</f>
        <v>0</v>
      </c>
      <c r="AO23" s="15">
        <f t="shared" si="2"/>
        <v>228000</v>
      </c>
      <c r="AP23" s="13">
        <v>2.9823281483504795E-2</v>
      </c>
      <c r="AQ23" s="15">
        <f t="shared" si="8"/>
        <v>-22800</v>
      </c>
      <c r="AR23" s="13">
        <v>0</v>
      </c>
      <c r="AS23" s="15">
        <f t="shared" si="9"/>
        <v>0</v>
      </c>
      <c r="AT23" s="15">
        <f t="shared" si="5"/>
        <v>205200</v>
      </c>
      <c r="AU23" s="15">
        <f t="shared" si="18"/>
        <v>205200</v>
      </c>
      <c r="AV23" s="15">
        <v>0</v>
      </c>
    </row>
    <row r="24" spans="2:48" ht="17" thickTop="1" x14ac:dyDescent="0.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3"/>
      <c r="P24" s="397"/>
      <c r="Q24" s="78"/>
      <c r="R24" s="78" t="s">
        <v>146</v>
      </c>
      <c r="S24" s="64" t="s">
        <v>20</v>
      </c>
      <c r="T24" s="258">
        <f>'Pencapaian Sales Value'!G24</f>
        <v>0.74853023259459472</v>
      </c>
      <c r="U24" s="63">
        <f>'Pencapaian Sales Value'!I24</f>
        <v>110000</v>
      </c>
      <c r="V24" s="268">
        <f>'Pencapaian Product Focus'!H24</f>
        <v>0</v>
      </c>
      <c r="W24" s="268">
        <f>'Pencapaian Product Focus'!L24</f>
        <v>0</v>
      </c>
      <c r="X24" s="189">
        <f>'Pencapaian Product Focus'!N24</f>
        <v>0</v>
      </c>
      <c r="Y24" s="268">
        <f>'Pencapaian Effective Call'!G24</f>
        <v>0</v>
      </c>
      <c r="Z24" s="189">
        <f>'Pencapaian Effective Call'!I24</f>
        <v>0</v>
      </c>
      <c r="AA24" s="258">
        <f>'Pencapaian New Open Outlet'!G24</f>
        <v>0.2</v>
      </c>
      <c r="AB24" s="63">
        <f>'Pencapaian New Open Outlet'!I24</f>
        <v>0</v>
      </c>
      <c r="AC24" s="258">
        <f>'Pencapaian Active Outlet'!G24</f>
        <v>0.69473684210526321</v>
      </c>
      <c r="AD24" s="63">
        <f>'Pencapaian Active Outlet'!I24</f>
        <v>0</v>
      </c>
      <c r="AE24" s="257">
        <f>'Pencapaian Item per Outlet'!G24</f>
        <v>0</v>
      </c>
      <c r="AF24" s="224">
        <f>'Pencapaian Item per Outlet'!I24</f>
        <v>0</v>
      </c>
      <c r="AG24" s="306">
        <f>'Pencapaian Product Display'!G24</f>
        <v>0</v>
      </c>
      <c r="AH24" s="152">
        <f>'Pencapaian Product Display'!I24</f>
        <v>0</v>
      </c>
      <c r="AI24" s="258">
        <f>'Pencapaian Sales Contract'!G24</f>
        <v>0</v>
      </c>
      <c r="AJ24" s="63">
        <f>'Pencapaian Sales Contract'!I24</f>
        <v>0</v>
      </c>
      <c r="AK24" s="258">
        <f>'Pencapaian Co-Branding'!G24</f>
        <v>0</v>
      </c>
      <c r="AL24" s="63">
        <f>'Pencapaian Co-Branding'!I24</f>
        <v>0</v>
      </c>
      <c r="AM24" s="258">
        <f>'Pencapaian Join Event Activity'!G24</f>
        <v>1</v>
      </c>
      <c r="AN24" s="63">
        <f>'Pencapaian Join Event Activity'!I24</f>
        <v>50000</v>
      </c>
      <c r="AO24" s="63">
        <f t="shared" si="2"/>
        <v>160000</v>
      </c>
      <c r="AP24" s="110">
        <v>1.8218764475788244E-2</v>
      </c>
      <c r="AQ24" s="63">
        <f t="shared" si="8"/>
        <v>-16000</v>
      </c>
      <c r="AR24" s="110">
        <v>0</v>
      </c>
      <c r="AS24" s="63">
        <f t="shared" si="9"/>
        <v>0</v>
      </c>
      <c r="AT24" s="63">
        <f t="shared" si="5"/>
        <v>144000</v>
      </c>
      <c r="AU24" s="63">
        <f t="shared" si="18"/>
        <v>144000</v>
      </c>
      <c r="AV24" s="63">
        <v>0</v>
      </c>
    </row>
    <row r="25" spans="2:48" ht="16" x14ac:dyDescent="0.2">
      <c r="B25" s="6" t="s">
        <v>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  <c r="O25" s="3"/>
      <c r="P25" s="397"/>
      <c r="Q25" s="52" t="s">
        <v>358</v>
      </c>
      <c r="R25" s="52" t="s">
        <v>258</v>
      </c>
      <c r="S25" s="38" t="s">
        <v>469</v>
      </c>
      <c r="T25" s="302">
        <f>'Pencapaian Sales Value'!G25</f>
        <v>0.61852158697361526</v>
      </c>
      <c r="U25" s="262">
        <f>'Pencapaian Sales Value'!I25</f>
        <v>0</v>
      </c>
      <c r="V25" s="302">
        <f>'Pencapaian Product Focus'!H25</f>
        <v>0.87777777777777777</v>
      </c>
      <c r="W25" s="302">
        <f>'Pencapaian Product Focus'!L25</f>
        <v>0.73333333333333328</v>
      </c>
      <c r="X25" s="262">
        <f>'Pencapaian Product Focus'!N25</f>
        <v>48500</v>
      </c>
      <c r="Y25" s="302">
        <f>'Pencapaian Effective Call'!G25</f>
        <v>0.78666666666666663</v>
      </c>
      <c r="Z25" s="262">
        <f>'Pencapaian Effective Call'!I25</f>
        <v>16000</v>
      </c>
      <c r="AA25" s="302">
        <f>'Pencapaian New Open Outlet'!G25</f>
        <v>0.2</v>
      </c>
      <c r="AB25" s="14">
        <f>'Pencapaian New Open Outlet'!I25</f>
        <v>0</v>
      </c>
      <c r="AC25" s="255" t="e">
        <f>'Pencapaian Active Outlet'!G25</f>
        <v>#DIV/0!</v>
      </c>
      <c r="AD25" s="170">
        <f>'Pencapaian Active Outlet'!I25</f>
        <v>0</v>
      </c>
      <c r="AE25" s="302">
        <f>'Pencapaian Item per Outlet'!G25</f>
        <v>0.59166666666666667</v>
      </c>
      <c r="AF25" s="262">
        <f>'Pencapaian Item per Outlet'!I25</f>
        <v>0</v>
      </c>
      <c r="AG25" s="255">
        <f>'Pencapaian Product Display'!G25</f>
        <v>0.8666666666666667</v>
      </c>
      <c r="AH25" s="170">
        <f>'Pencapaian Product Display'!I25</f>
        <v>0</v>
      </c>
      <c r="AI25" s="255">
        <f>'Pencapaian Sales Contract'!G25</f>
        <v>0</v>
      </c>
      <c r="AJ25" s="170">
        <f>'Pencapaian Sales Contract'!I25</f>
        <v>0</v>
      </c>
      <c r="AK25" s="255">
        <f>'Pencapaian Co-Branding'!G25</f>
        <v>0</v>
      </c>
      <c r="AL25" s="170">
        <f>'Pencapaian Co-Branding'!I25</f>
        <v>0</v>
      </c>
      <c r="AM25" s="255">
        <f>'Pencapaian Join Event Activity'!G25</f>
        <v>0</v>
      </c>
      <c r="AN25" s="170">
        <f>'Pencapaian Join Event Activity'!I25</f>
        <v>0</v>
      </c>
      <c r="AO25" s="262">
        <f t="shared" si="2"/>
        <v>64500</v>
      </c>
      <c r="AP25" s="13">
        <v>0.4102269130830592</v>
      </c>
      <c r="AQ25" s="15">
        <f t="shared" si="8"/>
        <v>-6450</v>
      </c>
      <c r="AR25" s="13">
        <v>0</v>
      </c>
      <c r="AS25" s="15">
        <f t="shared" si="9"/>
        <v>0</v>
      </c>
      <c r="AT25" s="262">
        <f t="shared" si="5"/>
        <v>58050</v>
      </c>
      <c r="AU25" s="15">
        <f t="shared" si="18"/>
        <v>58050</v>
      </c>
      <c r="AV25" s="15">
        <v>0</v>
      </c>
    </row>
    <row r="26" spans="2:48" ht="14.5" customHeight="1" x14ac:dyDescent="0.2">
      <c r="B26" s="394" t="s">
        <v>0</v>
      </c>
      <c r="C26" s="401" t="s">
        <v>4</v>
      </c>
      <c r="D26" s="398" t="s">
        <v>139</v>
      </c>
      <c r="E26" s="398"/>
      <c r="F26" s="399" t="s">
        <v>134</v>
      </c>
      <c r="G26" s="399" t="s">
        <v>135</v>
      </c>
      <c r="H26" s="399" t="s">
        <v>5</v>
      </c>
      <c r="I26" s="399" t="s">
        <v>137</v>
      </c>
      <c r="J26" s="399" t="s">
        <v>424</v>
      </c>
      <c r="K26" s="399" t="s">
        <v>431</v>
      </c>
      <c r="L26" s="399" t="s">
        <v>438</v>
      </c>
      <c r="M26" s="399" t="s">
        <v>445</v>
      </c>
      <c r="N26" s="398" t="s">
        <v>1</v>
      </c>
      <c r="O26" s="3"/>
      <c r="P26" s="397"/>
      <c r="Q26" s="52" t="s">
        <v>525</v>
      </c>
      <c r="R26" s="52" t="s">
        <v>578</v>
      </c>
      <c r="S26" s="38" t="s">
        <v>469</v>
      </c>
      <c r="T26" s="302">
        <f>'Pencapaian Sales Value'!G26</f>
        <v>0.80266516302210489</v>
      </c>
      <c r="U26" s="262">
        <f>'Pencapaian Sales Value'!I26</f>
        <v>162500</v>
      </c>
      <c r="V26" s="302">
        <f>'Pencapaian Product Focus'!H26</f>
        <v>0.4</v>
      </c>
      <c r="W26" s="302">
        <f>'Pencapaian Product Focus'!L26</f>
        <v>1</v>
      </c>
      <c r="X26" s="262">
        <f>'Pencapaian Product Focus'!N26</f>
        <v>65000</v>
      </c>
      <c r="Y26" s="302">
        <f>'Pencapaian Effective Call'!G26</f>
        <v>0.8545454545454545</v>
      </c>
      <c r="Z26" s="262">
        <f>'Pencapaian Effective Call'!I26</f>
        <v>32500</v>
      </c>
      <c r="AA26" s="302">
        <f>'Pencapaian New Open Outlet'!G26</f>
        <v>0</v>
      </c>
      <c r="AB26" s="14">
        <f>'Pencapaian New Open Outlet'!I26</f>
        <v>0</v>
      </c>
      <c r="AC26" s="255" t="e">
        <f>'Pencapaian Active Outlet'!G26</f>
        <v>#DIV/0!</v>
      </c>
      <c r="AD26" s="170">
        <f>'Pencapaian Active Outlet'!I26</f>
        <v>0</v>
      </c>
      <c r="AE26" s="302">
        <f>'Pencapaian Item per Outlet'!G26</f>
        <v>0.56321839080459768</v>
      </c>
      <c r="AF26" s="262">
        <f>'Pencapaian Item per Outlet'!I26</f>
        <v>0</v>
      </c>
      <c r="AG26" s="255">
        <f>'Pencapaian Product Display'!G26</f>
        <v>0.92</v>
      </c>
      <c r="AH26" s="170">
        <f>'Pencapaian Product Display'!I26</f>
        <v>0</v>
      </c>
      <c r="AI26" s="255">
        <f>'Pencapaian Sales Contract'!G26</f>
        <v>0</v>
      </c>
      <c r="AJ26" s="170">
        <f>'Pencapaian Sales Contract'!I26</f>
        <v>0</v>
      </c>
      <c r="AK26" s="255">
        <f>'Pencapaian Co-Branding'!G26</f>
        <v>0</v>
      </c>
      <c r="AL26" s="170">
        <f>'Pencapaian Co-Branding'!I26</f>
        <v>0</v>
      </c>
      <c r="AM26" s="255">
        <f>'Pencapaian Join Event Activity'!G26</f>
        <v>0</v>
      </c>
      <c r="AN26" s="170">
        <f>'Pencapaian Join Event Activity'!I26</f>
        <v>0</v>
      </c>
      <c r="AO26" s="262">
        <f t="shared" si="2"/>
        <v>260000</v>
      </c>
      <c r="AP26" s="13">
        <v>0.26249417587816132</v>
      </c>
      <c r="AQ26" s="15">
        <f t="shared" si="8"/>
        <v>-26000</v>
      </c>
      <c r="AR26" s="13">
        <v>9.1284340044287711E-3</v>
      </c>
      <c r="AS26" s="15">
        <f t="shared" si="9"/>
        <v>-234000</v>
      </c>
      <c r="AT26" s="262">
        <f t="shared" si="5"/>
        <v>0</v>
      </c>
      <c r="AU26" s="15">
        <f t="shared" si="18"/>
        <v>0</v>
      </c>
      <c r="AV26" s="15">
        <v>0</v>
      </c>
    </row>
    <row r="27" spans="2:48" ht="16" x14ac:dyDescent="0.2">
      <c r="B27" s="394"/>
      <c r="C27" s="401"/>
      <c r="D27" s="292" t="s">
        <v>514</v>
      </c>
      <c r="E27" s="292" t="s">
        <v>515</v>
      </c>
      <c r="F27" s="400"/>
      <c r="G27" s="400"/>
      <c r="H27" s="400"/>
      <c r="I27" s="400"/>
      <c r="J27" s="400"/>
      <c r="K27" s="400"/>
      <c r="L27" s="400"/>
      <c r="M27" s="400"/>
      <c r="N27" s="398"/>
      <c r="O27" s="3"/>
      <c r="P27" s="397"/>
      <c r="Q27" s="78"/>
      <c r="R27" s="78" t="s">
        <v>587</v>
      </c>
      <c r="S27" s="64" t="s">
        <v>20</v>
      </c>
      <c r="T27" s="258">
        <f>'Pencapaian Sales Value'!G27</f>
        <v>0.70172623374999976</v>
      </c>
      <c r="U27" s="63">
        <f>'Pencapaian Sales Value'!I27</f>
        <v>120000</v>
      </c>
      <c r="V27" s="258">
        <f>'Pencapaian Product Focus'!H27</f>
        <v>0.68666666666666654</v>
      </c>
      <c r="W27" s="258">
        <f>'Pencapaian Product Focus'!L27</f>
        <v>0.84</v>
      </c>
      <c r="X27" s="63">
        <f>'Pencapaian Product Focus'!N27</f>
        <v>0</v>
      </c>
      <c r="Y27" s="258">
        <f>'Pencapaian Effective Call'!G27</f>
        <v>0.81538461538461537</v>
      </c>
      <c r="Z27" s="63">
        <f>'Pencapaian Effective Call'!I27</f>
        <v>40000</v>
      </c>
      <c r="AA27" s="257">
        <f>'Pencapaian New Open Outlet'!G27</f>
        <v>0.1</v>
      </c>
      <c r="AB27" s="224">
        <f>'Pencapaian New Open Outlet'!I27</f>
        <v>0</v>
      </c>
      <c r="AC27" s="258" t="e">
        <f>'Pencapaian Active Outlet'!G27</f>
        <v>#DIV/0!</v>
      </c>
      <c r="AD27" s="63">
        <f>'Pencapaian Active Outlet'!I27</f>
        <v>0</v>
      </c>
      <c r="AE27" s="257">
        <f>'Pencapaian Item per Outlet'!G27</f>
        <v>0.57744252873563218</v>
      </c>
      <c r="AF27" s="224">
        <f>'Pencapaian Item per Outlet'!I27</f>
        <v>0</v>
      </c>
      <c r="AG27" s="258">
        <f>'Pencapaian Product Display'!G27</f>
        <v>0.89090909090909087</v>
      </c>
      <c r="AH27" s="63">
        <f>'Pencapaian Product Display'!I27</f>
        <v>40000</v>
      </c>
      <c r="AI27" s="268">
        <f>'Pencapaian Sales Contract'!G27</f>
        <v>0</v>
      </c>
      <c r="AJ27" s="189">
        <f>'Pencapaian Sales Contract'!I27</f>
        <v>0</v>
      </c>
      <c r="AK27" s="268">
        <f>'Pencapaian Co-Branding'!G27</f>
        <v>0</v>
      </c>
      <c r="AL27" s="189">
        <f>'Pencapaian Co-Branding'!I27</f>
        <v>0</v>
      </c>
      <c r="AM27" s="268">
        <f>'Pencapaian Join Event Activity'!G27</f>
        <v>0</v>
      </c>
      <c r="AN27" s="189">
        <f>'Pencapaian Join Event Activity'!I27</f>
        <v>0</v>
      </c>
      <c r="AO27" s="63">
        <f t="shared" si="2"/>
        <v>200000</v>
      </c>
      <c r="AP27" s="110">
        <v>0.32255814909545122</v>
      </c>
      <c r="AQ27" s="63">
        <f t="shared" si="8"/>
        <v>-20000</v>
      </c>
      <c r="AR27" s="110">
        <v>4.5580746178887433E-3</v>
      </c>
      <c r="AS27" s="63">
        <f t="shared" si="9"/>
        <v>-180000</v>
      </c>
      <c r="AT27" s="63">
        <f t="shared" si="5"/>
        <v>0</v>
      </c>
      <c r="AU27" s="63">
        <f t="shared" si="18"/>
        <v>0</v>
      </c>
      <c r="AV27" s="63">
        <v>0</v>
      </c>
    </row>
    <row r="28" spans="2:48" s="75" customFormat="1" ht="16" x14ac:dyDescent="0.2">
      <c r="B28" s="12" t="s">
        <v>22</v>
      </c>
      <c r="C28" s="254">
        <f>'Pencapaian Sales Value'!G109</f>
        <v>0.74106037044822692</v>
      </c>
      <c r="D28" s="254">
        <f>'Pencapaian Product Focus'!H109</f>
        <v>0.98861111111481448</v>
      </c>
      <c r="E28" s="254">
        <f>'Pencapaian Product Focus'!L109</f>
        <v>0.56399999999999995</v>
      </c>
      <c r="F28" s="254">
        <f>'Pencapaian Effective Call'!G109</f>
        <v>0.84285714285714286</v>
      </c>
      <c r="G28" s="254">
        <f>'Pencapaian New Open Outlet'!G109</f>
        <v>0.46153846153846156</v>
      </c>
      <c r="H28" s="254">
        <f>'Pencapaian Active Outlet'!G109</f>
        <v>0.82499999999999996</v>
      </c>
      <c r="I28" s="266"/>
      <c r="J28" s="266"/>
      <c r="K28" s="266"/>
      <c r="L28" s="266"/>
      <c r="M28" s="266"/>
      <c r="N28" s="14">
        <f>AO109</f>
        <v>829500</v>
      </c>
      <c r="O28" s="82"/>
      <c r="P28" s="397"/>
      <c r="Q28" s="73"/>
      <c r="R28" s="73" t="s">
        <v>24</v>
      </c>
      <c r="S28" s="41"/>
      <c r="T28" s="273">
        <f>'Pencapaian Sales Value'!G28</f>
        <v>0.88311920608572148</v>
      </c>
      <c r="U28" s="39">
        <f>'Pencapaian Sales Value'!I28</f>
        <v>6174500</v>
      </c>
      <c r="V28" s="273">
        <f>'Pencapaian Product Focus'!H28</f>
        <v>0.92620649451231651</v>
      </c>
      <c r="W28" s="273">
        <f>'Pencapaian Product Focus'!L28</f>
        <v>0.98741672834937089</v>
      </c>
      <c r="X28" s="39">
        <f>'Pencapaian Product Focus'!N28</f>
        <v>2848000</v>
      </c>
      <c r="Y28" s="273">
        <f>'Pencapaian Effective Call'!G28</f>
        <v>0.93160482789450161</v>
      </c>
      <c r="Z28" s="39">
        <f>'Pencapaian Effective Call'!I28</f>
        <v>1551000</v>
      </c>
      <c r="AA28" s="263">
        <f>'Pencapaian New Open Outlet'!G28</f>
        <v>0.27102803738317754</v>
      </c>
      <c r="AB28" s="227">
        <f>'Pencapaian New Open Outlet'!I28</f>
        <v>150000</v>
      </c>
      <c r="AC28" s="264">
        <f>'Pencapaian Active Outlet'!G28</f>
        <v>0.94270668469972096</v>
      </c>
      <c r="AD28" s="23">
        <f>'Pencapaian Active Outlet'!I28</f>
        <v>509000</v>
      </c>
      <c r="AE28" s="273">
        <f>'Pencapaian Item per Outlet'!G28</f>
        <v>0.79537524742680166</v>
      </c>
      <c r="AF28" s="39">
        <f>'Pencapaian Item per Outlet'!I28</f>
        <v>1626000</v>
      </c>
      <c r="AG28" s="263">
        <f>'Pencapaian Product Display'!G28</f>
        <v>0.89090909090909087</v>
      </c>
      <c r="AH28" s="148">
        <f>'Pencapaian Product Display'!I28</f>
        <v>40000</v>
      </c>
      <c r="AI28" s="263">
        <f>'Pencapaian Sales Contract'!G28</f>
        <v>0</v>
      </c>
      <c r="AJ28" s="148">
        <f>'Pencapaian Sales Contract'!I28</f>
        <v>0</v>
      </c>
      <c r="AK28" s="263">
        <f>'Pencapaian Co-Branding'!G28</f>
        <v>0</v>
      </c>
      <c r="AL28" s="148">
        <f>'Pencapaian Co-Branding'!I28</f>
        <v>0</v>
      </c>
      <c r="AM28" s="263">
        <f>'Pencapaian Join Event Activity'!G28</f>
        <v>1</v>
      </c>
      <c r="AN28" s="148">
        <f>'Pencapaian Join Event Activity'!I28</f>
        <v>50000</v>
      </c>
      <c r="AO28" s="39">
        <f t="shared" si="2"/>
        <v>12948500</v>
      </c>
      <c r="AP28" s="111">
        <v>1.0519745600328046E-2</v>
      </c>
      <c r="AQ28" s="39">
        <f>SUM(AQ5:AQ27)</f>
        <v>-287750</v>
      </c>
      <c r="AR28" s="111">
        <v>9.6859241247181766E-5</v>
      </c>
      <c r="AS28" s="39">
        <f>SUM(AS5:AS27)</f>
        <v>-1605000</v>
      </c>
      <c r="AT28" s="39">
        <f t="shared" si="5"/>
        <v>11055750</v>
      </c>
      <c r="AU28" s="39">
        <f>SUM(AU5:AU27)</f>
        <v>6865125</v>
      </c>
      <c r="AV28" s="39">
        <f>SUM(AV5:AV27)</f>
        <v>4190625</v>
      </c>
    </row>
    <row r="29" spans="2:48" s="75" customFormat="1" ht="16" x14ac:dyDescent="0.2">
      <c r="B29" s="12" t="s">
        <v>23</v>
      </c>
      <c r="C29" s="254">
        <f>'Pencapaian Sales Value'!G115</f>
        <v>0.75907663934426228</v>
      </c>
      <c r="D29" s="254">
        <f>'Pencapaian Product Focus'!H115</f>
        <v>0.74888888888888883</v>
      </c>
      <c r="E29" s="254">
        <f>'Pencapaian Product Focus'!L115</f>
        <v>0.68421052631578949</v>
      </c>
      <c r="F29" s="254">
        <f>'Pencapaian Effective Call'!G115</f>
        <v>0.88468468468468464</v>
      </c>
      <c r="G29" s="254">
        <f>'Pencapaian New Open Outlet'!G115</f>
        <v>0.40625</v>
      </c>
      <c r="H29" s="254">
        <f>'Pencapaian Active Outlet'!G115</f>
        <v>0.80508474576271183</v>
      </c>
      <c r="I29" s="266"/>
      <c r="J29" s="266"/>
      <c r="K29" s="266"/>
      <c r="L29" s="266"/>
      <c r="M29" s="266"/>
      <c r="N29" s="14">
        <f>AO115</f>
        <v>1033500</v>
      </c>
      <c r="O29" s="82"/>
      <c r="P29" s="397" t="s">
        <v>32</v>
      </c>
      <c r="Q29" s="52" t="s">
        <v>359</v>
      </c>
      <c r="R29" s="52" t="s">
        <v>103</v>
      </c>
      <c r="S29" s="12" t="s">
        <v>14</v>
      </c>
      <c r="T29" s="269">
        <f>'Pencapaian Sales Value'!G29</f>
        <v>1.0094697390891114</v>
      </c>
      <c r="U29" s="15">
        <f>'Pencapaian Sales Value'!I29</f>
        <v>600000</v>
      </c>
      <c r="V29" s="269">
        <f>'Pencapaian Product Focus'!H29</f>
        <v>1.1028</v>
      </c>
      <c r="W29" s="269">
        <f>'Pencapaian Product Focus'!L29</f>
        <v>0.9642857142857143</v>
      </c>
      <c r="X29" s="15">
        <f>'Pencapaian Product Focus'!N29</f>
        <v>240000</v>
      </c>
      <c r="Y29" s="269">
        <f>'Pencapaian Effective Call'!G29</f>
        <v>1.0874999999999999</v>
      </c>
      <c r="Z29" s="15">
        <f>'Pencapaian Effective Call'!I29</f>
        <v>180000</v>
      </c>
      <c r="AA29" s="269">
        <f>'Pencapaian New Open Outlet'!G29</f>
        <v>1.3333333333333333</v>
      </c>
      <c r="AB29" s="14">
        <f>'Pencapaian New Open Outlet'!I29</f>
        <v>225000</v>
      </c>
      <c r="AC29" s="255">
        <f>'Pencapaian Active Outlet'!G29</f>
        <v>1.0584415584415585</v>
      </c>
      <c r="AD29" s="170">
        <f>'Pencapaian Active Outlet'!I29</f>
        <v>0</v>
      </c>
      <c r="AE29" s="272">
        <f>'Pencapaian Item per Outlet'!G29</f>
        <v>0</v>
      </c>
      <c r="AF29" s="261">
        <f>'Pencapaian Item per Outlet'!I29</f>
        <v>0</v>
      </c>
      <c r="AG29" s="255">
        <f>'Pencapaian Product Display'!G29</f>
        <v>0</v>
      </c>
      <c r="AH29" s="170">
        <f>'Pencapaian Product Display'!I29</f>
        <v>0</v>
      </c>
      <c r="AI29" s="255">
        <f>'Pencapaian Sales Contract'!G29</f>
        <v>0</v>
      </c>
      <c r="AJ29" s="170">
        <f>'Pencapaian Sales Contract'!I29</f>
        <v>0</v>
      </c>
      <c r="AK29" s="255">
        <f>'Pencapaian Co-Branding'!G29</f>
        <v>0</v>
      </c>
      <c r="AL29" s="170">
        <f>'Pencapaian Co-Branding'!I29</f>
        <v>0</v>
      </c>
      <c r="AM29" s="255">
        <f>'Pencapaian Join Event Activity'!G29</f>
        <v>0</v>
      </c>
      <c r="AN29" s="170">
        <f>'Pencapaian Join Event Activity'!I29</f>
        <v>0</v>
      </c>
      <c r="AO29" s="15">
        <f t="shared" si="2"/>
        <v>1245000</v>
      </c>
      <c r="AP29" s="13">
        <v>0</v>
      </c>
      <c r="AQ29" s="15">
        <f t="shared" ref="AQ29:AQ33" si="19">IF(AP29&gt;=0.5%,-(AO29*10%),0)</f>
        <v>0</v>
      </c>
      <c r="AR29" s="13">
        <v>0</v>
      </c>
      <c r="AS29" s="15">
        <f t="shared" ref="AS29:AS33" si="20">IF(AR29&gt;0,-(AO29+AQ29),0)</f>
        <v>0</v>
      </c>
      <c r="AT29" s="15">
        <f t="shared" si="5"/>
        <v>1245000</v>
      </c>
      <c r="AU29" s="15">
        <f t="shared" ref="AU29" si="21">AT29*55%</f>
        <v>684750</v>
      </c>
      <c r="AV29" s="15">
        <f t="shared" ref="AV29" si="22">AT29*45%</f>
        <v>560250</v>
      </c>
    </row>
    <row r="30" spans="2:48" s="75" customFormat="1" ht="16" x14ac:dyDescent="0.2">
      <c r="B30" s="12" t="s">
        <v>965</v>
      </c>
      <c r="C30" s="254">
        <f>'Pencapaian Sales Value'!G128</f>
        <v>0.78995613690328459</v>
      </c>
      <c r="D30" s="254">
        <f>'Pencapaian Product Focus'!H128</f>
        <v>1.0919540229885061</v>
      </c>
      <c r="E30" s="254">
        <f>'Pencapaian Product Focus'!L128</f>
        <v>0.54333333333333333</v>
      </c>
      <c r="F30" s="254">
        <f>'Pencapaian Effective Call'!G133</f>
        <v>0.69444444444444442</v>
      </c>
      <c r="G30" s="254">
        <f>'Pencapaian New Open Outlet'!G128</f>
        <v>0.27500000000000002</v>
      </c>
      <c r="H30" s="254">
        <f>'Pencapaian Active Outlet'!G133</f>
        <v>0.80454545454545456</v>
      </c>
      <c r="I30" s="266"/>
      <c r="J30" s="266"/>
      <c r="K30" s="266"/>
      <c r="L30" s="266"/>
      <c r="M30" s="266"/>
      <c r="N30" s="14">
        <f>AO128</f>
        <v>1043250</v>
      </c>
      <c r="O30" s="82"/>
      <c r="P30" s="397"/>
      <c r="Q30" s="52" t="s">
        <v>360</v>
      </c>
      <c r="R30" s="52" t="s">
        <v>104</v>
      </c>
      <c r="S30" s="12" t="s">
        <v>18</v>
      </c>
      <c r="T30" s="269">
        <f>'Pencapaian Sales Value'!G30</f>
        <v>1.0317738936931706</v>
      </c>
      <c r="U30" s="15">
        <f>'Pencapaian Sales Value'!I30</f>
        <v>450000</v>
      </c>
      <c r="V30" s="269">
        <f>'Pencapaian Product Focus'!H30</f>
        <v>1.0909090909090908</v>
      </c>
      <c r="W30" s="269">
        <f>'Pencapaian Product Focus'!L30</f>
        <v>0.93333333333333335</v>
      </c>
      <c r="X30" s="15">
        <f>'Pencapaian Product Focus'!N30</f>
        <v>157500</v>
      </c>
      <c r="Y30" s="269">
        <f>'Pencapaian Effective Call'!G30</f>
        <v>0.91466666666666663</v>
      </c>
      <c r="Z30" s="15">
        <f>'Pencapaian Effective Call'!I30</f>
        <v>101250</v>
      </c>
      <c r="AA30" s="269">
        <f>'Pencapaian New Open Outlet'!G30</f>
        <v>2</v>
      </c>
      <c r="AB30" s="14">
        <f>'Pencapaian New Open Outlet'!I30</f>
        <v>168750</v>
      </c>
      <c r="AC30" s="255">
        <f>'Pencapaian Active Outlet'!G30</f>
        <v>1.0094339622641511</v>
      </c>
      <c r="AD30" s="170">
        <f>'Pencapaian Active Outlet'!I30</f>
        <v>0</v>
      </c>
      <c r="AE30" s="272">
        <f>'Pencapaian Item per Outlet'!G30</f>
        <v>0</v>
      </c>
      <c r="AF30" s="261">
        <f>'Pencapaian Item per Outlet'!I30</f>
        <v>0</v>
      </c>
      <c r="AG30" s="255">
        <f>'Pencapaian Product Display'!G30</f>
        <v>0</v>
      </c>
      <c r="AH30" s="170">
        <f>'Pencapaian Product Display'!I30</f>
        <v>0</v>
      </c>
      <c r="AI30" s="255">
        <f>'Pencapaian Sales Contract'!G30</f>
        <v>0</v>
      </c>
      <c r="AJ30" s="170">
        <f>'Pencapaian Sales Contract'!I30</f>
        <v>0</v>
      </c>
      <c r="AK30" s="255">
        <f>'Pencapaian Co-Branding'!G30</f>
        <v>0</v>
      </c>
      <c r="AL30" s="170">
        <f>'Pencapaian Co-Branding'!I30</f>
        <v>0</v>
      </c>
      <c r="AM30" s="255">
        <f>'Pencapaian Join Event Activity'!G30</f>
        <v>0</v>
      </c>
      <c r="AN30" s="170">
        <f>'Pencapaian Join Event Activity'!I30</f>
        <v>0</v>
      </c>
      <c r="AO30" s="15">
        <f t="shared" si="2"/>
        <v>877500</v>
      </c>
      <c r="AP30" s="13">
        <v>0</v>
      </c>
      <c r="AQ30" s="15">
        <f t="shared" si="19"/>
        <v>0</v>
      </c>
      <c r="AR30" s="13">
        <v>0</v>
      </c>
      <c r="AS30" s="15">
        <f t="shared" si="20"/>
        <v>0</v>
      </c>
      <c r="AT30" s="15">
        <f t="shared" si="5"/>
        <v>877500</v>
      </c>
      <c r="AU30" s="15">
        <f t="shared" ref="AU30" si="23">AT30*70%</f>
        <v>614250</v>
      </c>
      <c r="AV30" s="15">
        <f t="shared" ref="AV30" si="24">AT30*30%</f>
        <v>263250</v>
      </c>
    </row>
    <row r="31" spans="2:48" ht="16" x14ac:dyDescent="0.2">
      <c r="B31" s="12" t="s">
        <v>26</v>
      </c>
      <c r="C31" s="254">
        <f>'Pencapaian Sales Value'!G133</f>
        <v>0.32588611124999994</v>
      </c>
      <c r="D31" s="266"/>
      <c r="E31" s="266"/>
      <c r="F31" s="254">
        <f>'Pencapaian Effective Call'!G133</f>
        <v>0.69444444444444442</v>
      </c>
      <c r="G31" s="254">
        <f>'Pencapaian New Open Outlet'!G133</f>
        <v>0.69230769230769229</v>
      </c>
      <c r="H31" s="254">
        <f>'Pencapaian Active Outlet'!G133</f>
        <v>0.80454545454545456</v>
      </c>
      <c r="I31" s="266"/>
      <c r="J31" s="266"/>
      <c r="K31" s="266"/>
      <c r="L31" s="266"/>
      <c r="M31" s="266"/>
      <c r="N31" s="14">
        <f>AO133</f>
        <v>468000</v>
      </c>
      <c r="O31" s="3"/>
      <c r="P31" s="397"/>
      <c r="Q31" s="193"/>
      <c r="R31" s="193" t="s">
        <v>148</v>
      </c>
      <c r="S31" s="193"/>
      <c r="T31" s="272">
        <f>'Pencapaian Sales Value'!G31</f>
        <v>0</v>
      </c>
      <c r="U31" s="261">
        <f>'Pencapaian Sales Value'!I31</f>
        <v>0</v>
      </c>
      <c r="V31" s="272">
        <f>'Pencapaian Product Focus'!H31</f>
        <v>0</v>
      </c>
      <c r="W31" s="272">
        <f>'Pencapaian Product Focus'!L31</f>
        <v>0</v>
      </c>
      <c r="X31" s="261">
        <f>'Pencapaian Product Focus'!N31</f>
        <v>0</v>
      </c>
      <c r="Y31" s="272">
        <f>'Pencapaian Effective Call'!G31</f>
        <v>0</v>
      </c>
      <c r="Z31" s="261">
        <f>'Pencapaian Effective Call'!I31</f>
        <v>0</v>
      </c>
      <c r="AA31" s="272">
        <f>'Pencapaian New Open Outlet'!G31</f>
        <v>0</v>
      </c>
      <c r="AB31" s="170">
        <f>'Pencapaian New Open Outlet'!I31</f>
        <v>0</v>
      </c>
      <c r="AC31" s="255" t="e">
        <f>'Pencapaian Active Outlet'!G31</f>
        <v>#DIV/0!</v>
      </c>
      <c r="AD31" s="170">
        <f>'Pencapaian Active Outlet'!I31</f>
        <v>0</v>
      </c>
      <c r="AE31" s="272">
        <f>'Pencapaian Item per Outlet'!G31</f>
        <v>0</v>
      </c>
      <c r="AF31" s="261">
        <f>'Pencapaian Item per Outlet'!I31</f>
        <v>0</v>
      </c>
      <c r="AG31" s="255">
        <f>'Pencapaian Product Display'!G31</f>
        <v>0</v>
      </c>
      <c r="AH31" s="170">
        <f>'Pencapaian Product Display'!I31</f>
        <v>0</v>
      </c>
      <c r="AI31" s="255">
        <f>'Pencapaian Sales Contract'!G31</f>
        <v>0</v>
      </c>
      <c r="AJ31" s="170">
        <f>'Pencapaian Sales Contract'!I31</f>
        <v>0</v>
      </c>
      <c r="AK31" s="255">
        <f>'Pencapaian Co-Branding'!G31</f>
        <v>0</v>
      </c>
      <c r="AL31" s="170">
        <f>'Pencapaian Co-Branding'!I31</f>
        <v>0</v>
      </c>
      <c r="AM31" s="255">
        <f>'Pencapaian Join Event Activity'!G31</f>
        <v>0</v>
      </c>
      <c r="AN31" s="170">
        <f>'Pencapaian Join Event Activity'!I31</f>
        <v>0</v>
      </c>
      <c r="AO31" s="261">
        <f t="shared" si="2"/>
        <v>0</v>
      </c>
      <c r="AP31" s="328">
        <v>0</v>
      </c>
      <c r="AQ31" s="261">
        <f t="shared" si="19"/>
        <v>0</v>
      </c>
      <c r="AR31" s="328">
        <v>0</v>
      </c>
      <c r="AS31" s="261">
        <f t="shared" si="20"/>
        <v>0</v>
      </c>
      <c r="AT31" s="261">
        <f t="shared" si="5"/>
        <v>0</v>
      </c>
      <c r="AU31" s="261"/>
      <c r="AV31" s="261"/>
    </row>
    <row r="32" spans="2:48" ht="16" x14ac:dyDescent="0.2">
      <c r="B32" s="12" t="s">
        <v>27</v>
      </c>
      <c r="C32" s="254">
        <f>'Pencapaian Sales Value'!G146</f>
        <v>0.25089458944444443</v>
      </c>
      <c r="D32" s="266"/>
      <c r="E32" s="266"/>
      <c r="F32" s="266"/>
      <c r="G32" s="266"/>
      <c r="H32" s="254">
        <f>'Pencapaian Active Outlet'!G146</f>
        <v>0.421875</v>
      </c>
      <c r="I32" s="266"/>
      <c r="J32" s="266"/>
      <c r="K32" s="266"/>
      <c r="L32" s="266"/>
      <c r="M32" s="266"/>
      <c r="N32" s="14">
        <f>AO146</f>
        <v>198000</v>
      </c>
      <c r="O32" s="3"/>
      <c r="P32" s="397"/>
      <c r="Q32" s="52" t="s">
        <v>361</v>
      </c>
      <c r="R32" s="52" t="s">
        <v>295</v>
      </c>
      <c r="S32" s="12" t="s">
        <v>18</v>
      </c>
      <c r="T32" s="269">
        <f>'Pencapaian Sales Value'!G32</f>
        <v>0.85903128223381919</v>
      </c>
      <c r="U32" s="15">
        <f>'Pencapaian Sales Value'!I32</f>
        <v>225000</v>
      </c>
      <c r="V32" s="269">
        <f>'Pencapaian Product Focus'!H32</f>
        <v>0.92</v>
      </c>
      <c r="W32" s="269">
        <f>'Pencapaian Product Focus'!L32</f>
        <v>1.02</v>
      </c>
      <c r="X32" s="15">
        <f>'Pencapaian Product Focus'!N32</f>
        <v>157500</v>
      </c>
      <c r="Y32" s="269">
        <f>'Pencapaian Effective Call'!G32</f>
        <v>0.67666666666666664</v>
      </c>
      <c r="Z32" s="15">
        <f>'Pencapaian Effective Call'!I32</f>
        <v>0</v>
      </c>
      <c r="AA32" s="269">
        <f>'Pencapaian New Open Outlet'!G32</f>
        <v>1.2666666666666666</v>
      </c>
      <c r="AB32" s="14">
        <f>'Pencapaian New Open Outlet'!I32</f>
        <v>168750</v>
      </c>
      <c r="AC32" s="255">
        <f>'Pencapaian Active Outlet'!G32</f>
        <v>1.18</v>
      </c>
      <c r="AD32" s="170">
        <f>'Pencapaian Active Outlet'!I32</f>
        <v>0</v>
      </c>
      <c r="AE32" s="272">
        <f>'Pencapaian Item per Outlet'!G32</f>
        <v>0</v>
      </c>
      <c r="AF32" s="261">
        <f>'Pencapaian Item per Outlet'!I32</f>
        <v>0</v>
      </c>
      <c r="AG32" s="255">
        <f>'Pencapaian Product Display'!G32</f>
        <v>0</v>
      </c>
      <c r="AH32" s="170">
        <f>'Pencapaian Product Display'!I32</f>
        <v>0</v>
      </c>
      <c r="AI32" s="255">
        <f>'Pencapaian Sales Contract'!G32</f>
        <v>0</v>
      </c>
      <c r="AJ32" s="170">
        <f>'Pencapaian Sales Contract'!I32</f>
        <v>0</v>
      </c>
      <c r="AK32" s="255">
        <f>'Pencapaian Co-Branding'!G32</f>
        <v>0</v>
      </c>
      <c r="AL32" s="170">
        <f>'Pencapaian Co-Branding'!I32</f>
        <v>0</v>
      </c>
      <c r="AM32" s="255">
        <f>'Pencapaian Join Event Activity'!G32</f>
        <v>0</v>
      </c>
      <c r="AN32" s="170">
        <f>'Pencapaian Join Event Activity'!I32</f>
        <v>0</v>
      </c>
      <c r="AO32" s="15">
        <f t="shared" si="2"/>
        <v>551250</v>
      </c>
      <c r="AP32" s="13">
        <v>0</v>
      </c>
      <c r="AQ32" s="15">
        <f t="shared" si="19"/>
        <v>0</v>
      </c>
      <c r="AR32" s="13">
        <v>0</v>
      </c>
      <c r="AS32" s="15">
        <f t="shared" si="20"/>
        <v>0</v>
      </c>
      <c r="AT32" s="262">
        <f t="shared" si="5"/>
        <v>551250</v>
      </c>
      <c r="AU32" s="15">
        <f t="shared" ref="AU32" si="25">AT32*70%</f>
        <v>385875</v>
      </c>
      <c r="AV32" s="15">
        <f t="shared" ref="AV32" si="26">AT32*30%</f>
        <v>165375</v>
      </c>
    </row>
    <row r="33" spans="2:48" ht="17" thickBot="1" x14ac:dyDescent="0.25">
      <c r="B33" s="25" t="s">
        <v>28</v>
      </c>
      <c r="C33" s="256">
        <f>'Pencapaian Sales Value'!G147</f>
        <v>0.70096801555164223</v>
      </c>
      <c r="D33" s="256">
        <f>'Pencapaian Product Focus'!H147</f>
        <v>0.98188202247378276</v>
      </c>
      <c r="E33" s="256">
        <f>'Pencapaian Product Focus'!L147</f>
        <v>0.5976047904191617</v>
      </c>
      <c r="F33" s="256">
        <f>'Pencapaian Effective Call'!G147</f>
        <v>0.80128617363344057</v>
      </c>
      <c r="G33" s="256">
        <f>'Pencapaian New Open Outlet'!G147</f>
        <v>0.43548387096774194</v>
      </c>
      <c r="H33" s="256">
        <f>'Pencapaian Active Outlet'!G147</f>
        <v>0.71034482758620687</v>
      </c>
      <c r="I33" s="260"/>
      <c r="J33" s="260"/>
      <c r="K33" s="260"/>
      <c r="L33" s="260"/>
      <c r="M33" s="260"/>
      <c r="N33" s="26">
        <f>SUM(N28:N32)</f>
        <v>3572250</v>
      </c>
      <c r="O33" s="3"/>
      <c r="P33" s="397"/>
      <c r="Q33" s="78"/>
      <c r="R33" s="78" t="s">
        <v>72</v>
      </c>
      <c r="S33" s="64" t="s">
        <v>20</v>
      </c>
      <c r="T33" s="258">
        <f>'Pencapaian Sales Value'!G33</f>
        <v>1.0046478887999999</v>
      </c>
      <c r="U33" s="63">
        <f>'Pencapaian Sales Value'!I33</f>
        <v>480000</v>
      </c>
      <c r="V33" s="258">
        <f>'Pencapaian Product Focus'!H33</f>
        <v>1.0950657894736842</v>
      </c>
      <c r="W33" s="258">
        <f>'Pencapaian Product Focus'!L33</f>
        <v>0.9642857142857143</v>
      </c>
      <c r="X33" s="63">
        <f>'Pencapaian Product Focus'!N33</f>
        <v>204000</v>
      </c>
      <c r="Y33" s="257">
        <f>'Pencapaian Effective Call'!G33</f>
        <v>0.91255813953488374</v>
      </c>
      <c r="Z33" s="189">
        <f>'Pencapaian Effective Call'!I33</f>
        <v>0</v>
      </c>
      <c r="AA33" s="258">
        <f>'Pencapaian New Open Outlet'!G33</f>
        <v>1.35</v>
      </c>
      <c r="AB33" s="63">
        <f>'Pencapaian New Open Outlet'!I33</f>
        <v>336000</v>
      </c>
      <c r="AC33" s="258">
        <f>'Pencapaian Active Outlet'!G33</f>
        <v>1.0622317596566524</v>
      </c>
      <c r="AD33" s="63">
        <f>'Pencapaian Active Outlet'!I33</f>
        <v>240000</v>
      </c>
      <c r="AE33" s="257">
        <f>'Pencapaian Item per Outlet'!G33</f>
        <v>0</v>
      </c>
      <c r="AF33" s="224">
        <f>'Pencapaian Item per Outlet'!I33</f>
        <v>0</v>
      </c>
      <c r="AG33" s="306">
        <f>'Pencapaian Product Display'!G33</f>
        <v>0</v>
      </c>
      <c r="AH33" s="152">
        <f>'Pencapaian Product Display'!I33</f>
        <v>0</v>
      </c>
      <c r="AI33" s="306">
        <f>'Pencapaian Sales Contract'!G33</f>
        <v>0</v>
      </c>
      <c r="AJ33" s="152">
        <f>'Pencapaian Sales Contract'!I33</f>
        <v>0</v>
      </c>
      <c r="AK33" s="306">
        <f>'Pencapaian Co-Branding'!G33</f>
        <v>0</v>
      </c>
      <c r="AL33" s="152">
        <f>'Pencapaian Co-Branding'!I33</f>
        <v>0</v>
      </c>
      <c r="AM33" s="306">
        <f>'Pencapaian Join Event Activity'!G33</f>
        <v>0</v>
      </c>
      <c r="AN33" s="152">
        <f>'Pencapaian Join Event Activity'!I33</f>
        <v>0</v>
      </c>
      <c r="AO33" s="63">
        <f t="shared" si="2"/>
        <v>1260000</v>
      </c>
      <c r="AP33" s="110">
        <v>0</v>
      </c>
      <c r="AQ33" s="63">
        <f t="shared" si="19"/>
        <v>0</v>
      </c>
      <c r="AR33" s="110">
        <v>0</v>
      </c>
      <c r="AS33" s="63">
        <f t="shared" si="20"/>
        <v>0</v>
      </c>
      <c r="AT33" s="63">
        <f t="shared" si="5"/>
        <v>1260000</v>
      </c>
      <c r="AU33" s="63">
        <f>AT33</f>
        <v>1260000</v>
      </c>
      <c r="AV33" s="63">
        <v>0</v>
      </c>
    </row>
    <row r="34" spans="2:48" ht="17" thickTop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"/>
      <c r="O34" s="3"/>
      <c r="P34" s="397"/>
      <c r="Q34" s="77"/>
      <c r="R34" s="77" t="s">
        <v>34</v>
      </c>
      <c r="S34" s="42"/>
      <c r="T34" s="264">
        <f>'Pencapaian Sales Value'!G34</f>
        <v>1.0046478887999999</v>
      </c>
      <c r="U34" s="23">
        <f>'Pencapaian Sales Value'!I34</f>
        <v>1755000</v>
      </c>
      <c r="V34" s="264">
        <f>'Pencapaian Product Focus'!H34</f>
        <v>1.0950657894736842</v>
      </c>
      <c r="W34" s="264">
        <f>'Pencapaian Product Focus'!L34</f>
        <v>0.9642857142857143</v>
      </c>
      <c r="X34" s="23">
        <f>'Pencapaian Product Focus'!N34</f>
        <v>759000</v>
      </c>
      <c r="Y34" s="264">
        <f>'Pencapaian Effective Call'!G34</f>
        <v>0.91255813953488374</v>
      </c>
      <c r="Z34" s="23">
        <f>'Pencapaian Effective Call'!I34</f>
        <v>281250</v>
      </c>
      <c r="AA34" s="264">
        <f>'Pencapaian New Open Outlet'!G34</f>
        <v>1.35</v>
      </c>
      <c r="AB34" s="23">
        <f>'Pencapaian New Open Outlet'!I34</f>
        <v>898500</v>
      </c>
      <c r="AC34" s="264">
        <f>'Pencapaian Active Outlet'!G34</f>
        <v>1.0622317596566524</v>
      </c>
      <c r="AD34" s="23">
        <f>'Pencapaian Active Outlet'!I34</f>
        <v>240000</v>
      </c>
      <c r="AE34" s="263">
        <f>'Pencapaian Item per Outlet'!G34</f>
        <v>0</v>
      </c>
      <c r="AF34" s="227">
        <f>'Pencapaian Item per Outlet'!I34</f>
        <v>0</v>
      </c>
      <c r="AG34" s="307">
        <f>'Pencapaian Product Display'!G34</f>
        <v>0</v>
      </c>
      <c r="AH34" s="157">
        <f>'Pencapaian Product Display'!I34</f>
        <v>0</v>
      </c>
      <c r="AI34" s="307">
        <f>'Pencapaian Sales Contract'!G34</f>
        <v>0</v>
      </c>
      <c r="AJ34" s="157">
        <f>'Pencapaian Sales Contract'!I34</f>
        <v>0</v>
      </c>
      <c r="AK34" s="307">
        <f>'Pencapaian Co-Branding'!G34</f>
        <v>0</v>
      </c>
      <c r="AL34" s="157">
        <f>'Pencapaian Co-Branding'!I34</f>
        <v>0</v>
      </c>
      <c r="AM34" s="307">
        <f>'Pencapaian Join Event Activity'!G34</f>
        <v>0</v>
      </c>
      <c r="AN34" s="157">
        <f>'Pencapaian Join Event Activity'!I34</f>
        <v>0</v>
      </c>
      <c r="AO34" s="23">
        <f t="shared" si="2"/>
        <v>3933750</v>
      </c>
      <c r="AP34" s="112">
        <v>0</v>
      </c>
      <c r="AQ34" s="23">
        <f>SUM(AQ29:AQ33)</f>
        <v>0</v>
      </c>
      <c r="AR34" s="112">
        <v>0</v>
      </c>
      <c r="AS34" s="23">
        <f>SUM(AS29:AS33)</f>
        <v>0</v>
      </c>
      <c r="AT34" s="23">
        <f t="shared" si="5"/>
        <v>3933750</v>
      </c>
      <c r="AU34" s="23">
        <f t="shared" ref="AU34:AV34" si="27">SUM(AU29:AU33)</f>
        <v>2944875</v>
      </c>
      <c r="AV34" s="23">
        <f t="shared" si="27"/>
        <v>988875</v>
      </c>
    </row>
    <row r="35" spans="2:48" ht="16" x14ac:dyDescent="0.2">
      <c r="B35" s="6" t="s">
        <v>29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7"/>
      <c r="O35" s="3"/>
      <c r="P35" s="397" t="s">
        <v>256</v>
      </c>
      <c r="Q35" s="52" t="s">
        <v>362</v>
      </c>
      <c r="R35" s="74" t="s">
        <v>106</v>
      </c>
      <c r="S35" s="12" t="s">
        <v>14</v>
      </c>
      <c r="T35" s="269">
        <f>'Pencapaian Sales Value'!G35</f>
        <v>0.96998171778662345</v>
      </c>
      <c r="U35" s="15">
        <f>'Pencapaian Sales Value'!I35</f>
        <v>450000</v>
      </c>
      <c r="V35" s="304">
        <f>'Pencapaian Product Focus'!H35</f>
        <v>0</v>
      </c>
      <c r="W35" s="304">
        <f>'Pencapaian Product Focus'!L35</f>
        <v>0</v>
      </c>
      <c r="X35" s="178">
        <f>'Pencapaian Product Focus'!N35</f>
        <v>0</v>
      </c>
      <c r="Y35" s="269">
        <f>'Pencapaian Effective Call'!G35</f>
        <v>0.97666666666666668</v>
      </c>
      <c r="Z35" s="15">
        <f>'Pencapaian Effective Call'!I35</f>
        <v>180000</v>
      </c>
      <c r="AA35" s="269">
        <f>'Pencapaian New Open Outlet'!G35</f>
        <v>0</v>
      </c>
      <c r="AB35" s="15">
        <f>'Pencapaian New Open Outlet'!I35</f>
        <v>0</v>
      </c>
      <c r="AC35" s="269">
        <f>'Pencapaian Active Outlet'!G35</f>
        <v>1.0666666666666667</v>
      </c>
      <c r="AD35" s="15">
        <f>'Pencapaian Active Outlet'!I35</f>
        <v>120000</v>
      </c>
      <c r="AE35" s="272">
        <f>'Pencapaian Item per Outlet'!G35</f>
        <v>0</v>
      </c>
      <c r="AF35" s="261">
        <f>'Pencapaian Item per Outlet'!I35</f>
        <v>0</v>
      </c>
      <c r="AG35" s="255">
        <f>'Pencapaian Product Display'!G35</f>
        <v>0</v>
      </c>
      <c r="AH35" s="170">
        <f>'Pencapaian Product Display'!I35</f>
        <v>0</v>
      </c>
      <c r="AI35" s="255">
        <f>'Pencapaian Sales Contract'!G35</f>
        <v>0</v>
      </c>
      <c r="AJ35" s="170">
        <f>'Pencapaian Sales Contract'!I35</f>
        <v>0</v>
      </c>
      <c r="AK35" s="255">
        <f>'Pencapaian Co-Branding'!G35</f>
        <v>0</v>
      </c>
      <c r="AL35" s="170">
        <f>'Pencapaian Co-Branding'!I35</f>
        <v>0</v>
      </c>
      <c r="AM35" s="255">
        <f>'Pencapaian Join Event Activity'!G35</f>
        <v>0</v>
      </c>
      <c r="AN35" s="170">
        <f>'Pencapaian Join Event Activity'!I35</f>
        <v>0</v>
      </c>
      <c r="AO35" s="15">
        <f t="shared" si="2"/>
        <v>750000</v>
      </c>
      <c r="AP35" s="13">
        <v>0</v>
      </c>
      <c r="AQ35" s="15">
        <f t="shared" ref="AQ35:AQ38" si="28">IF(AP35&gt;=0.5%,-(AO35*10%),0)</f>
        <v>0</v>
      </c>
      <c r="AR35" s="13">
        <v>0</v>
      </c>
      <c r="AS35" s="15">
        <f t="shared" ref="AS35:AS38" si="29">IF(AR35&gt;0,-(AO35+AQ35),0)</f>
        <v>0</v>
      </c>
      <c r="AT35" s="15">
        <f t="shared" si="5"/>
        <v>750000</v>
      </c>
      <c r="AU35" s="15">
        <f t="shared" ref="AU35" si="30">AT35*55%</f>
        <v>412500.00000000006</v>
      </c>
      <c r="AV35" s="15">
        <f t="shared" ref="AV35" si="31">AT35*45%</f>
        <v>337500</v>
      </c>
    </row>
    <row r="36" spans="2:48" ht="14.5" customHeight="1" x14ac:dyDescent="0.2">
      <c r="B36" s="394" t="s">
        <v>0</v>
      </c>
      <c r="C36" s="401" t="s">
        <v>4</v>
      </c>
      <c r="D36" s="398" t="s">
        <v>139</v>
      </c>
      <c r="E36" s="398"/>
      <c r="F36" s="399" t="s">
        <v>134</v>
      </c>
      <c r="G36" s="399" t="s">
        <v>135</v>
      </c>
      <c r="H36" s="399" t="s">
        <v>5</v>
      </c>
      <c r="I36" s="399" t="s">
        <v>137</v>
      </c>
      <c r="J36" s="399" t="s">
        <v>424</v>
      </c>
      <c r="K36" s="399" t="s">
        <v>431</v>
      </c>
      <c r="L36" s="399" t="s">
        <v>438</v>
      </c>
      <c r="M36" s="399" t="s">
        <v>445</v>
      </c>
      <c r="N36" s="398" t="s">
        <v>1</v>
      </c>
      <c r="O36" s="3"/>
      <c r="P36" s="397"/>
      <c r="Q36" s="52" t="s">
        <v>363</v>
      </c>
      <c r="R36" s="52" t="s">
        <v>298</v>
      </c>
      <c r="S36" s="12" t="s">
        <v>18</v>
      </c>
      <c r="T36" s="269">
        <f>'Pencapaian Sales Value'!G36</f>
        <v>0.99833741100300144</v>
      </c>
      <c r="U36" s="15">
        <f>'Pencapaian Sales Value'!I36</f>
        <v>337500</v>
      </c>
      <c r="V36" s="304">
        <f>'Pencapaian Product Focus'!H36</f>
        <v>0</v>
      </c>
      <c r="W36" s="304">
        <f>'Pencapaian Product Focus'!L36</f>
        <v>0</v>
      </c>
      <c r="X36" s="178">
        <f>'Pencapaian Product Focus'!N36</f>
        <v>0</v>
      </c>
      <c r="Y36" s="269">
        <f>'Pencapaian Effective Call'!G36</f>
        <v>1.0285714285714285</v>
      </c>
      <c r="Z36" s="15">
        <f>'Pencapaian Effective Call'!I36</f>
        <v>180000</v>
      </c>
      <c r="AA36" s="269">
        <f>'Pencapaian New Open Outlet'!G36</f>
        <v>0.2</v>
      </c>
      <c r="AB36" s="15">
        <f>'Pencapaian New Open Outlet'!I36</f>
        <v>0</v>
      </c>
      <c r="AC36" s="269">
        <f>'Pencapaian Active Outlet'!G36</f>
        <v>1.1363636363636365</v>
      </c>
      <c r="AD36" s="15">
        <f>'Pencapaian Active Outlet'!I36</f>
        <v>112500</v>
      </c>
      <c r="AE36" s="272">
        <f>'Pencapaian Item per Outlet'!G36</f>
        <v>0</v>
      </c>
      <c r="AF36" s="261">
        <f>'Pencapaian Item per Outlet'!I36</f>
        <v>0</v>
      </c>
      <c r="AG36" s="255">
        <f>'Pencapaian Product Display'!G36</f>
        <v>0</v>
      </c>
      <c r="AH36" s="170">
        <f>'Pencapaian Product Display'!I36</f>
        <v>0</v>
      </c>
      <c r="AI36" s="255">
        <f>'Pencapaian Sales Contract'!G36</f>
        <v>0</v>
      </c>
      <c r="AJ36" s="170">
        <f>'Pencapaian Sales Contract'!I36</f>
        <v>0</v>
      </c>
      <c r="AK36" s="255">
        <f>'Pencapaian Co-Branding'!G36</f>
        <v>0</v>
      </c>
      <c r="AL36" s="170">
        <f>'Pencapaian Co-Branding'!I36</f>
        <v>0</v>
      </c>
      <c r="AM36" s="255">
        <f>'Pencapaian Join Event Activity'!G36</f>
        <v>0</v>
      </c>
      <c r="AN36" s="170">
        <f>'Pencapaian Join Event Activity'!I36</f>
        <v>0</v>
      </c>
      <c r="AO36" s="15">
        <f t="shared" si="2"/>
        <v>630000</v>
      </c>
      <c r="AP36" s="13">
        <v>0</v>
      </c>
      <c r="AQ36" s="15">
        <f t="shared" si="28"/>
        <v>0</v>
      </c>
      <c r="AR36" s="13">
        <v>0</v>
      </c>
      <c r="AS36" s="15">
        <f t="shared" si="29"/>
        <v>0</v>
      </c>
      <c r="AT36" s="15">
        <f t="shared" si="5"/>
        <v>630000</v>
      </c>
      <c r="AU36" s="15">
        <f t="shared" ref="AU36:AU37" si="32">AT36*70%</f>
        <v>441000</v>
      </c>
      <c r="AV36" s="15">
        <f t="shared" ref="AV36:AV37" si="33">AT36*30%</f>
        <v>189000</v>
      </c>
    </row>
    <row r="37" spans="2:48" ht="14.5" customHeight="1" x14ac:dyDescent="0.2">
      <c r="B37" s="394"/>
      <c r="C37" s="401"/>
      <c r="D37" s="292" t="s">
        <v>514</v>
      </c>
      <c r="E37" s="292" t="s">
        <v>515</v>
      </c>
      <c r="F37" s="400"/>
      <c r="G37" s="400"/>
      <c r="H37" s="400"/>
      <c r="I37" s="400"/>
      <c r="J37" s="400"/>
      <c r="K37" s="400"/>
      <c r="L37" s="400"/>
      <c r="M37" s="400"/>
      <c r="N37" s="398"/>
      <c r="O37" s="3"/>
      <c r="P37" s="397"/>
      <c r="Q37" s="52" t="s">
        <v>364</v>
      </c>
      <c r="R37" s="52" t="s">
        <v>274</v>
      </c>
      <c r="S37" s="12" t="s">
        <v>18</v>
      </c>
      <c r="T37" s="269">
        <f>'Pencapaian Sales Value'!G37</f>
        <v>0.80220533186498721</v>
      </c>
      <c r="U37" s="15">
        <f>'Pencapaian Sales Value'!I37</f>
        <v>225000</v>
      </c>
      <c r="V37" s="304">
        <f>'Pencapaian Product Focus'!H37</f>
        <v>0</v>
      </c>
      <c r="W37" s="304">
        <f>'Pencapaian Product Focus'!L37</f>
        <v>0</v>
      </c>
      <c r="X37" s="178">
        <f>'Pencapaian Product Focus'!N37</f>
        <v>0</v>
      </c>
      <c r="Y37" s="269">
        <f>'Pencapaian Effective Call'!G37</f>
        <v>0.7038461538461539</v>
      </c>
      <c r="Z37" s="15">
        <f>'Pencapaian Effective Call'!I37</f>
        <v>45000</v>
      </c>
      <c r="AA37" s="269">
        <f>'Pencapaian New Open Outlet'!G37</f>
        <v>0.2</v>
      </c>
      <c r="AB37" s="15">
        <f>'Pencapaian New Open Outlet'!I37</f>
        <v>0</v>
      </c>
      <c r="AC37" s="269">
        <f>'Pencapaian Active Outlet'!G37</f>
        <v>1.1111111111111112</v>
      </c>
      <c r="AD37" s="15">
        <f>'Pencapaian Active Outlet'!I37</f>
        <v>112500</v>
      </c>
      <c r="AE37" s="272">
        <f>'Pencapaian Item per Outlet'!G37</f>
        <v>0</v>
      </c>
      <c r="AF37" s="261">
        <f>'Pencapaian Item per Outlet'!I37</f>
        <v>0</v>
      </c>
      <c r="AG37" s="255">
        <f>'Pencapaian Product Display'!G37</f>
        <v>0</v>
      </c>
      <c r="AH37" s="170">
        <f>'Pencapaian Product Display'!I37</f>
        <v>0</v>
      </c>
      <c r="AI37" s="255">
        <f>'Pencapaian Sales Contract'!G37</f>
        <v>0</v>
      </c>
      <c r="AJ37" s="170">
        <f>'Pencapaian Sales Contract'!I37</f>
        <v>0</v>
      </c>
      <c r="AK37" s="255">
        <f>'Pencapaian Co-Branding'!G37</f>
        <v>0</v>
      </c>
      <c r="AL37" s="170">
        <f>'Pencapaian Co-Branding'!I37</f>
        <v>0</v>
      </c>
      <c r="AM37" s="255">
        <f>'Pencapaian Join Event Activity'!G37</f>
        <v>0</v>
      </c>
      <c r="AN37" s="170">
        <f>'Pencapaian Join Event Activity'!I37</f>
        <v>0</v>
      </c>
      <c r="AO37" s="15">
        <f t="shared" si="2"/>
        <v>382500</v>
      </c>
      <c r="AP37" s="13">
        <v>0</v>
      </c>
      <c r="AQ37" s="15">
        <f t="shared" si="28"/>
        <v>0</v>
      </c>
      <c r="AR37" s="13">
        <v>0</v>
      </c>
      <c r="AS37" s="15">
        <f t="shared" si="29"/>
        <v>0</v>
      </c>
      <c r="AT37" s="15">
        <f t="shared" si="5"/>
        <v>382500</v>
      </c>
      <c r="AU37" s="15">
        <f t="shared" si="32"/>
        <v>267750</v>
      </c>
      <c r="AV37" s="15">
        <f t="shared" si="33"/>
        <v>114750</v>
      </c>
    </row>
    <row r="38" spans="2:48" ht="16" x14ac:dyDescent="0.2">
      <c r="B38" s="12" t="s">
        <v>31</v>
      </c>
      <c r="C38" s="254">
        <f>'Pencapaian Sales Value'!G165</f>
        <v>0.99046014666666671</v>
      </c>
      <c r="D38" s="266"/>
      <c r="E38" s="266"/>
      <c r="F38" s="266"/>
      <c r="G38" s="266"/>
      <c r="H38" s="254">
        <f>'Pencapaian Active Outlet'!G165</f>
        <v>1.1282051282051282</v>
      </c>
      <c r="I38" s="266"/>
      <c r="J38" s="266"/>
      <c r="K38" s="266"/>
      <c r="L38" s="266"/>
      <c r="M38" s="266"/>
      <c r="N38" s="14">
        <f>AO165</f>
        <v>2969000</v>
      </c>
      <c r="O38" s="3"/>
      <c r="P38" s="397"/>
      <c r="Q38" s="78"/>
      <c r="R38" s="78" t="s">
        <v>259</v>
      </c>
      <c r="S38" s="64" t="s">
        <v>20</v>
      </c>
      <c r="T38" s="258">
        <f>'Pencapaian Sales Value'!G38</f>
        <v>0.95821433341119688</v>
      </c>
      <c r="U38" s="63">
        <f>'Pencapaian Sales Value'!I38</f>
        <v>336000</v>
      </c>
      <c r="V38" s="268">
        <f>'Pencapaian Product Focus'!H38</f>
        <v>0</v>
      </c>
      <c r="W38" s="268">
        <f>'Pencapaian Product Focus'!L38</f>
        <v>0</v>
      </c>
      <c r="X38" s="189">
        <f>'Pencapaian Product Focus'!N38</f>
        <v>0</v>
      </c>
      <c r="Y38" s="258">
        <f>'Pencapaian Effective Call'!G38</f>
        <v>0.91868131868131864</v>
      </c>
      <c r="Z38" s="63">
        <f>'Pencapaian Effective Call'!I38</f>
        <v>168000</v>
      </c>
      <c r="AA38" s="258">
        <f>'Pencapaian New Open Outlet'!G38</f>
        <v>0.14285714285714285</v>
      </c>
      <c r="AB38" s="63">
        <f>'Pencapaian New Open Outlet'!I38</f>
        <v>0</v>
      </c>
      <c r="AC38" s="258">
        <f>'Pencapaian Active Outlet'!G38</f>
        <v>1.1049180327868853</v>
      </c>
      <c r="AD38" s="63">
        <f>'Pencapaian Active Outlet'!I38</f>
        <v>336000</v>
      </c>
      <c r="AE38" s="257">
        <f>'Pencapaian Item per Outlet'!G38</f>
        <v>0</v>
      </c>
      <c r="AF38" s="224">
        <f>'Pencapaian Item per Outlet'!I38</f>
        <v>0</v>
      </c>
      <c r="AG38" s="268">
        <f>'Pencapaian Product Display'!G38</f>
        <v>0</v>
      </c>
      <c r="AH38" s="189">
        <f>'Pencapaian Product Display'!I38</f>
        <v>0</v>
      </c>
      <c r="AI38" s="268">
        <f>'Pencapaian Sales Contract'!G38</f>
        <v>0</v>
      </c>
      <c r="AJ38" s="189">
        <f>'Pencapaian Sales Contract'!I38</f>
        <v>0</v>
      </c>
      <c r="AK38" s="268">
        <f>'Pencapaian Co-Branding'!G38</f>
        <v>0</v>
      </c>
      <c r="AL38" s="189">
        <f>'Pencapaian Co-Branding'!I38</f>
        <v>0</v>
      </c>
      <c r="AM38" s="268">
        <f>'Pencapaian Join Event Activity'!G38</f>
        <v>0</v>
      </c>
      <c r="AN38" s="189">
        <f>'Pencapaian Join Event Activity'!I38</f>
        <v>0</v>
      </c>
      <c r="AO38" s="63">
        <f t="shared" si="2"/>
        <v>840000</v>
      </c>
      <c r="AP38" s="110">
        <v>0</v>
      </c>
      <c r="AQ38" s="63">
        <f t="shared" si="28"/>
        <v>0</v>
      </c>
      <c r="AR38" s="110">
        <v>0</v>
      </c>
      <c r="AS38" s="63">
        <f t="shared" si="29"/>
        <v>0</v>
      </c>
      <c r="AT38" s="63">
        <f t="shared" si="5"/>
        <v>840000</v>
      </c>
      <c r="AU38" s="63">
        <f>AT38</f>
        <v>840000</v>
      </c>
      <c r="AV38" s="63">
        <v>0</v>
      </c>
    </row>
    <row r="39" spans="2:48" ht="16" x14ac:dyDescent="0.2">
      <c r="B39" s="12" t="s">
        <v>572</v>
      </c>
      <c r="C39" s="254">
        <f>'Pencapaian Sales Value'!G181</f>
        <v>0.71644363200000005</v>
      </c>
      <c r="D39" s="266"/>
      <c r="E39" s="266"/>
      <c r="F39" s="266"/>
      <c r="G39" s="266"/>
      <c r="H39" s="254">
        <f>'Pencapaian Active Outlet'!G181</f>
        <v>0.4</v>
      </c>
      <c r="I39" s="266"/>
      <c r="J39" s="266"/>
      <c r="K39" s="266"/>
      <c r="L39" s="266"/>
      <c r="M39" s="266"/>
      <c r="N39" s="14">
        <f>AO181</f>
        <v>450000</v>
      </c>
      <c r="O39" s="3"/>
      <c r="P39" s="397"/>
      <c r="Q39" s="77"/>
      <c r="R39" s="77" t="s">
        <v>257</v>
      </c>
      <c r="S39" s="42"/>
      <c r="T39" s="264">
        <f>'Pencapaian Sales Value'!G39</f>
        <v>0.95821433341119688</v>
      </c>
      <c r="U39" s="23">
        <f>'Pencapaian Sales Value'!I39</f>
        <v>1348500</v>
      </c>
      <c r="V39" s="274">
        <f>'Pencapaian Product Focus'!H39</f>
        <v>0</v>
      </c>
      <c r="W39" s="274">
        <f>'Pencapaian Product Focus'!L39</f>
        <v>0</v>
      </c>
      <c r="X39" s="190">
        <f>'Pencapaian Product Focus'!N39</f>
        <v>0</v>
      </c>
      <c r="Y39" s="264">
        <f>'Pencapaian Effective Call'!G39</f>
        <v>0.91868131868131864</v>
      </c>
      <c r="Z39" s="23">
        <f>'Pencapaian Effective Call'!I39</f>
        <v>573000</v>
      </c>
      <c r="AA39" s="264">
        <f>'Pencapaian New Open Outlet'!G39</f>
        <v>0.14285714285714285</v>
      </c>
      <c r="AB39" s="23">
        <f>'Pencapaian New Open Outlet'!I39</f>
        <v>0</v>
      </c>
      <c r="AC39" s="264">
        <f>'Pencapaian Active Outlet'!G39</f>
        <v>1.1049180327868853</v>
      </c>
      <c r="AD39" s="23">
        <f>'Pencapaian Active Outlet'!I39</f>
        <v>681000</v>
      </c>
      <c r="AE39" s="263">
        <f>'Pencapaian Item per Outlet'!G39</f>
        <v>0</v>
      </c>
      <c r="AF39" s="227">
        <f>'Pencapaian Item per Outlet'!I39</f>
        <v>0</v>
      </c>
      <c r="AG39" s="274">
        <f>'Pencapaian Product Display'!G39</f>
        <v>0</v>
      </c>
      <c r="AH39" s="190">
        <f>'Pencapaian Product Display'!I39</f>
        <v>0</v>
      </c>
      <c r="AI39" s="274">
        <f>'Pencapaian Sales Contract'!G39</f>
        <v>0</v>
      </c>
      <c r="AJ39" s="190">
        <f>'Pencapaian Sales Contract'!I39</f>
        <v>0</v>
      </c>
      <c r="AK39" s="274">
        <f>'Pencapaian Co-Branding'!G39</f>
        <v>0</v>
      </c>
      <c r="AL39" s="190">
        <f>'Pencapaian Co-Branding'!I39</f>
        <v>0</v>
      </c>
      <c r="AM39" s="274">
        <f>'Pencapaian Join Event Activity'!G39</f>
        <v>0</v>
      </c>
      <c r="AN39" s="190">
        <f>'Pencapaian Join Event Activity'!I39</f>
        <v>0</v>
      </c>
      <c r="AO39" s="23">
        <f t="shared" si="2"/>
        <v>2602500</v>
      </c>
      <c r="AP39" s="112">
        <v>0</v>
      </c>
      <c r="AQ39" s="23">
        <f>SUM(AQ35:AQ38)</f>
        <v>0</v>
      </c>
      <c r="AR39" s="112">
        <v>0</v>
      </c>
      <c r="AS39" s="23">
        <f>SUM(AS35:AS38)</f>
        <v>0</v>
      </c>
      <c r="AT39" s="23">
        <f t="shared" si="5"/>
        <v>2602500</v>
      </c>
      <c r="AU39" s="23">
        <f t="shared" ref="AU39:AV39" si="34">SUM(AU35:AU38)</f>
        <v>1961250</v>
      </c>
      <c r="AV39" s="23">
        <f t="shared" si="34"/>
        <v>641250</v>
      </c>
    </row>
    <row r="40" spans="2:48" ht="16" x14ac:dyDescent="0.2">
      <c r="B40" s="12" t="s">
        <v>573</v>
      </c>
      <c r="C40" s="254">
        <f>'Pencapaian Sales Value'!G199</f>
        <v>0.76989445248868782</v>
      </c>
      <c r="D40" s="266"/>
      <c r="E40" s="266"/>
      <c r="F40" s="266"/>
      <c r="G40" s="266"/>
      <c r="H40" s="254">
        <f>'Pencapaian Active Outlet'!G199</f>
        <v>0.66352941176470592</v>
      </c>
      <c r="I40" s="266"/>
      <c r="J40" s="266"/>
      <c r="K40" s="266"/>
      <c r="L40" s="266"/>
      <c r="M40" s="266"/>
      <c r="N40" s="14">
        <f>AO199</f>
        <v>1173000</v>
      </c>
      <c r="O40" s="3"/>
      <c r="Q40" s="80"/>
      <c r="R40" s="80" t="s">
        <v>110</v>
      </c>
      <c r="S40" s="205"/>
      <c r="T40" s="270">
        <f>'Pencapaian Sales Value'!G40</f>
        <v>0.89525819216102509</v>
      </c>
      <c r="U40" s="43">
        <f>'Pencapaian Sales Value'!I40</f>
        <v>9278000</v>
      </c>
      <c r="V40" s="270">
        <f>'Pencapaian Product Focus'!H40</f>
        <v>0.93931294151482914</v>
      </c>
      <c r="W40" s="270">
        <f>'Pencapaian Product Focus'!L40</f>
        <v>0.98344573881054564</v>
      </c>
      <c r="X40" s="43">
        <f>'Pencapaian Product Focus'!N40</f>
        <v>3607000</v>
      </c>
      <c r="Y40" s="270">
        <f>'Pencapaian Effective Call'!G40</f>
        <v>0.92789788408463658</v>
      </c>
      <c r="Z40" s="43">
        <f>'Pencapaian Effective Call'!I40</f>
        <v>2405250</v>
      </c>
      <c r="AA40" s="270">
        <f>'Pencapaian New Open Outlet'!G40</f>
        <v>0.37654320987654322</v>
      </c>
      <c r="AB40" s="43">
        <f>'Pencapaian New Open Outlet'!I40</f>
        <v>1048500</v>
      </c>
      <c r="AC40" s="270">
        <f>'Pencapaian Active Outlet'!G40</f>
        <v>0.98463255665623584</v>
      </c>
      <c r="AD40" s="43">
        <f>'Pencapaian Active Outlet'!I40</f>
        <v>1430000</v>
      </c>
      <c r="AE40" s="270">
        <f>'Pencapaian Item per Outlet'!G40</f>
        <v>0.79537524742680166</v>
      </c>
      <c r="AF40" s="43">
        <f>'Pencapaian Item per Outlet'!I40</f>
        <v>1626000</v>
      </c>
      <c r="AG40" s="263">
        <f>'Pencapaian Product Display'!G40</f>
        <v>0.89090909090909087</v>
      </c>
      <c r="AH40" s="148">
        <f>'Pencapaian Product Display'!I40</f>
        <v>40000</v>
      </c>
      <c r="AI40" s="263">
        <f>'Pencapaian Sales Contract'!G40</f>
        <v>0</v>
      </c>
      <c r="AJ40" s="148">
        <f>'Pencapaian Sales Contract'!I40</f>
        <v>0</v>
      </c>
      <c r="AK40" s="263">
        <f>'Pencapaian Co-Branding'!G40</f>
        <v>0</v>
      </c>
      <c r="AL40" s="148">
        <f>'Pencapaian Co-Branding'!I40</f>
        <v>0</v>
      </c>
      <c r="AM40" s="263">
        <f>'Pencapaian Join Event Activity'!G40</f>
        <v>1</v>
      </c>
      <c r="AN40" s="148">
        <f>'Pencapaian Join Event Activity'!I40</f>
        <v>50000</v>
      </c>
      <c r="AO40" s="43">
        <f t="shared" si="2"/>
        <v>19484750</v>
      </c>
      <c r="AP40" s="136">
        <v>9.1240406788677085E-3</v>
      </c>
      <c r="AQ40" s="43">
        <f>SUM(AQ39,AQ34,AQ28)</f>
        <v>-287750</v>
      </c>
      <c r="AR40" s="136">
        <v>8.4008462831647641E-5</v>
      </c>
      <c r="AS40" s="43">
        <f>SUM(AS39,AS34,AS28)</f>
        <v>-1605000</v>
      </c>
      <c r="AT40" s="43">
        <f t="shared" si="5"/>
        <v>17592000</v>
      </c>
      <c r="AU40" s="43">
        <f t="shared" ref="AU40:AV40" si="35">SUM(AU39,AU34,AU28)</f>
        <v>11771250</v>
      </c>
      <c r="AV40" s="43">
        <f t="shared" si="35"/>
        <v>5820750</v>
      </c>
    </row>
    <row r="41" spans="2:48" ht="32" x14ac:dyDescent="0.2">
      <c r="B41" s="12" t="s">
        <v>574</v>
      </c>
      <c r="C41" s="254">
        <f>'Pencapaian Sales Value'!G215</f>
        <v>0.47776870454545456</v>
      </c>
      <c r="D41" s="266"/>
      <c r="E41" s="266"/>
      <c r="F41" s="266"/>
      <c r="G41" s="266"/>
      <c r="H41" s="254">
        <f>'Pencapaian Active Outlet'!G215</f>
        <v>0.3037037037037037</v>
      </c>
      <c r="I41" s="266"/>
      <c r="J41" s="266"/>
      <c r="K41" s="266"/>
      <c r="L41" s="266"/>
      <c r="M41" s="266"/>
      <c r="N41" s="14">
        <f>AO215</f>
        <v>390000</v>
      </c>
      <c r="O41" s="3"/>
      <c r="P41" s="79" t="s">
        <v>517</v>
      </c>
      <c r="Q41" s="5" t="s">
        <v>973</v>
      </c>
      <c r="R41" s="5"/>
      <c r="T41" s="300"/>
      <c r="U41" s="2"/>
      <c r="V41" s="300"/>
      <c r="X41" s="2"/>
      <c r="Y41" s="300"/>
      <c r="Z41" s="2"/>
      <c r="AA41" s="300"/>
      <c r="AB41" s="2"/>
      <c r="AC41" s="300"/>
      <c r="AD41" s="2"/>
      <c r="AE41" s="300"/>
      <c r="AF41" s="2"/>
      <c r="AG41" s="300"/>
      <c r="AH41" s="2"/>
      <c r="AI41" s="300"/>
      <c r="AJ41" s="2"/>
      <c r="AK41" s="300"/>
      <c r="AL41" s="2"/>
      <c r="AM41" s="300"/>
      <c r="AN41" s="2"/>
      <c r="AO41" s="2"/>
      <c r="AP41" s="1" t="s">
        <v>785</v>
      </c>
      <c r="AQ41" s="133"/>
      <c r="AR41" s="1"/>
      <c r="AS41" s="2"/>
      <c r="AT41" s="2"/>
      <c r="AU41" s="2"/>
      <c r="AV41" s="2"/>
    </row>
    <row r="42" spans="2:48" x14ac:dyDescent="0.2">
      <c r="B42" s="12" t="s">
        <v>769</v>
      </c>
      <c r="C42" s="254">
        <f>'Pencapaian Sales Value'!G220</f>
        <v>0.24207575000000001</v>
      </c>
      <c r="D42" s="266"/>
      <c r="E42" s="266"/>
      <c r="F42" s="266"/>
      <c r="G42" s="266"/>
      <c r="H42" s="254">
        <f>'Pencapaian Active Outlet'!G220</f>
        <v>0.29333333333333333</v>
      </c>
      <c r="I42" s="266"/>
      <c r="J42" s="266"/>
      <c r="K42" s="266"/>
      <c r="L42" s="266"/>
      <c r="M42" s="266"/>
      <c r="N42" s="14">
        <f>AO220</f>
        <v>0</v>
      </c>
      <c r="O42" s="3"/>
      <c r="P42" s="8"/>
      <c r="Q42" s="8"/>
      <c r="R42" s="8"/>
      <c r="T42" s="300"/>
      <c r="U42" s="2"/>
      <c r="V42" s="300"/>
      <c r="X42" s="2"/>
      <c r="Y42" s="300"/>
      <c r="Z42" s="2"/>
      <c r="AA42" s="300"/>
      <c r="AB42" s="2"/>
      <c r="AC42" s="300"/>
      <c r="AD42" s="2"/>
      <c r="AE42" s="300"/>
      <c r="AF42" s="2"/>
      <c r="AG42" s="300"/>
      <c r="AH42" s="2"/>
      <c r="AI42" s="300"/>
      <c r="AJ42" s="2"/>
      <c r="AK42" s="300"/>
      <c r="AL42" s="2"/>
      <c r="AM42" s="300"/>
      <c r="AN42" s="2"/>
      <c r="AO42" s="2"/>
      <c r="AP42" s="1"/>
      <c r="AQ42" s="133"/>
      <c r="AR42" s="1"/>
      <c r="AS42" s="2"/>
      <c r="AT42" s="2"/>
      <c r="AU42" s="2"/>
      <c r="AV42" s="2"/>
    </row>
    <row r="43" spans="2:48" x14ac:dyDescent="0.2">
      <c r="B43" s="12" t="s">
        <v>770</v>
      </c>
      <c r="C43" s="254">
        <f>'Pencapaian Sales Value'!G225</f>
        <v>-1.01475E-3</v>
      </c>
      <c r="D43" s="266"/>
      <c r="E43" s="266"/>
      <c r="F43" s="266"/>
      <c r="G43" s="266"/>
      <c r="H43" s="254">
        <f>'Pencapaian Active Outlet'!G225</f>
        <v>1.3333333333333334E-2</v>
      </c>
      <c r="I43" s="266"/>
      <c r="J43" s="266"/>
      <c r="K43" s="266"/>
      <c r="L43" s="266"/>
      <c r="M43" s="266"/>
      <c r="N43" s="14">
        <f>AO225</f>
        <v>0</v>
      </c>
      <c r="O43" s="3"/>
      <c r="U43" s="2"/>
      <c r="X43" s="2"/>
      <c r="Z43" s="2"/>
      <c r="AB43" s="2"/>
      <c r="AD43" s="2"/>
      <c r="AF43" s="2"/>
      <c r="AH43" s="2"/>
      <c r="AJ43" s="2"/>
      <c r="AL43" s="2"/>
      <c r="AN43" s="2"/>
      <c r="AO43" s="2"/>
      <c r="AP43" s="1"/>
      <c r="AQ43" s="2"/>
      <c r="AR43" s="1"/>
      <c r="AS43" s="2"/>
      <c r="AT43" s="2"/>
      <c r="AU43" s="2"/>
      <c r="AV43" s="2"/>
    </row>
    <row r="44" spans="2:48" x14ac:dyDescent="0.2">
      <c r="B44" s="12" t="s">
        <v>771</v>
      </c>
      <c r="C44" s="269">
        <f>'Pencapaian Sales Value'!G242</f>
        <v>0.40937878846153847</v>
      </c>
      <c r="D44" s="266"/>
      <c r="E44" s="266"/>
      <c r="F44" s="266"/>
      <c r="G44" s="266"/>
      <c r="H44" s="269">
        <f>'Pencapaian Active Outlet'!G242</f>
        <v>0.30847457627118646</v>
      </c>
      <c r="I44" s="266"/>
      <c r="J44" s="266"/>
      <c r="K44" s="266"/>
      <c r="L44" s="266"/>
      <c r="M44" s="266"/>
      <c r="N44" s="14">
        <f>AO242</f>
        <v>180000</v>
      </c>
      <c r="O44" s="3"/>
      <c r="U44" s="2"/>
      <c r="X44" s="2"/>
      <c r="Z44" s="2"/>
      <c r="AB44" s="2"/>
      <c r="AD44" s="2"/>
      <c r="AF44" s="2"/>
      <c r="AH44" s="2"/>
      <c r="AJ44" s="2"/>
      <c r="AL44" s="2"/>
      <c r="AN44" s="2"/>
      <c r="AO44" s="2"/>
      <c r="AP44" s="1"/>
      <c r="AQ44" s="2"/>
      <c r="AR44" s="1"/>
      <c r="AS44" s="2"/>
      <c r="AT44" s="2"/>
      <c r="AU44" s="2"/>
      <c r="AV44" s="2"/>
    </row>
    <row r="45" spans="2:48" s="75" customFormat="1" x14ac:dyDescent="0.2">
      <c r="B45" s="12" t="s">
        <v>773</v>
      </c>
      <c r="C45" s="269">
        <f>'Pencapaian Sales Value'!G249</f>
        <v>0.24224722222222222</v>
      </c>
      <c r="D45" s="266"/>
      <c r="E45" s="266"/>
      <c r="F45" s="266"/>
      <c r="G45" s="266"/>
      <c r="H45" s="269">
        <f>'Pencapaian Active Outlet'!G249</f>
        <v>4.4444444444444446E-2</v>
      </c>
      <c r="I45" s="266"/>
      <c r="J45" s="266"/>
      <c r="K45" s="266"/>
      <c r="L45" s="266"/>
      <c r="M45" s="266"/>
      <c r="N45" s="14">
        <f>AO249</f>
        <v>60000</v>
      </c>
      <c r="O45" s="82"/>
      <c r="P45"/>
      <c r="Q45"/>
      <c r="R45"/>
      <c r="S45"/>
      <c r="T45" s="303"/>
      <c r="U45" s="2"/>
      <c r="V45" s="303"/>
      <c r="W45" s="303"/>
      <c r="X45" s="2"/>
      <c r="Y45" s="303"/>
      <c r="Z45" s="2"/>
      <c r="AA45" s="303"/>
      <c r="AB45" s="2"/>
      <c r="AC45" s="303"/>
      <c r="AD45" s="2"/>
      <c r="AE45" s="303"/>
      <c r="AF45" s="2"/>
      <c r="AG45" s="303"/>
      <c r="AH45" s="2"/>
      <c r="AI45" s="303"/>
      <c r="AJ45" s="2"/>
      <c r="AK45" s="303"/>
      <c r="AL45" s="2"/>
      <c r="AM45" s="303"/>
      <c r="AN45" s="2"/>
      <c r="AO45" s="2"/>
      <c r="AP45" s="1"/>
      <c r="AQ45" s="2"/>
      <c r="AR45" s="1"/>
      <c r="AS45" s="2"/>
      <c r="AT45" s="2"/>
      <c r="AU45" s="2"/>
      <c r="AV45" s="2"/>
    </row>
    <row r="46" spans="2:48" x14ac:dyDescent="0.2">
      <c r="B46" s="12" t="s">
        <v>772</v>
      </c>
      <c r="C46" s="269">
        <f>'Pencapaian Sales Value'!G258</f>
        <v>0.53519257109915452</v>
      </c>
      <c r="D46" s="266"/>
      <c r="E46" s="266"/>
      <c r="F46" s="266"/>
      <c r="G46" s="266"/>
      <c r="H46" s="254">
        <f>'Pencapaian Active Outlet'!G258</f>
        <v>0.4702702702702703</v>
      </c>
      <c r="I46" s="266"/>
      <c r="J46" s="266"/>
      <c r="K46" s="266"/>
      <c r="L46" s="266"/>
      <c r="M46" s="266"/>
      <c r="N46" s="14">
        <f>AO258</f>
        <v>0</v>
      </c>
      <c r="O46" s="3"/>
      <c r="U46" s="2"/>
      <c r="X46" s="2"/>
      <c r="Z46" s="2"/>
      <c r="AB46" s="2"/>
      <c r="AD46" s="2"/>
      <c r="AF46" s="2"/>
      <c r="AH46" s="2"/>
      <c r="AJ46" s="2"/>
      <c r="AL46" s="2"/>
      <c r="AN46" s="2"/>
      <c r="AO46" s="2"/>
      <c r="AP46" s="1"/>
      <c r="AQ46" s="2"/>
      <c r="AR46" s="1"/>
      <c r="AS46" s="2"/>
      <c r="AT46" s="2"/>
      <c r="AU46" s="2"/>
      <c r="AV46" s="2"/>
    </row>
    <row r="47" spans="2:48" x14ac:dyDescent="0.2">
      <c r="B47" s="218" t="s">
        <v>774</v>
      </c>
      <c r="C47" s="269">
        <f>'Pencapaian Sales Value'!G274</f>
        <v>0.58794207843137258</v>
      </c>
      <c r="D47" s="318"/>
      <c r="E47" s="318"/>
      <c r="F47" s="318"/>
      <c r="G47" s="318"/>
      <c r="H47" s="269">
        <f>'Pencapaian Active Outlet'!G274</f>
        <v>0.18461538461538463</v>
      </c>
      <c r="I47" s="318"/>
      <c r="J47" s="318"/>
      <c r="K47" s="318"/>
      <c r="L47" s="318"/>
      <c r="M47" s="318"/>
      <c r="N47" s="319">
        <f>AO274</f>
        <v>180000</v>
      </c>
      <c r="O47" s="3"/>
      <c r="U47" s="2"/>
      <c r="X47" s="2"/>
      <c r="Z47" s="2"/>
      <c r="AB47" s="2"/>
      <c r="AD47" s="2"/>
      <c r="AF47" s="2"/>
      <c r="AH47" s="2"/>
      <c r="AJ47" s="2"/>
      <c r="AL47" s="2"/>
      <c r="AN47" s="2"/>
      <c r="AO47" s="2"/>
      <c r="AP47" s="1"/>
      <c r="AQ47" s="2"/>
      <c r="AR47" s="1"/>
      <c r="AS47" s="2"/>
      <c r="AT47" s="2"/>
      <c r="AU47" s="2"/>
      <c r="AV47" s="2"/>
    </row>
    <row r="48" spans="2:48" s="61" customFormat="1" ht="14.5" customHeight="1" x14ac:dyDescent="0.2">
      <c r="B48" s="74" t="s">
        <v>775</v>
      </c>
      <c r="C48" s="269">
        <f>'Pencapaian Sales Value'!G280</f>
        <v>0.29983033333333331</v>
      </c>
      <c r="D48" s="318"/>
      <c r="E48" s="318"/>
      <c r="F48" s="318"/>
      <c r="G48" s="318"/>
      <c r="H48" s="269">
        <f>'Pencapaian Active Outlet'!G280</f>
        <v>0.3</v>
      </c>
      <c r="I48" s="318"/>
      <c r="J48" s="318"/>
      <c r="K48" s="318"/>
      <c r="L48" s="318"/>
      <c r="M48" s="318"/>
      <c r="N48" s="319">
        <f>AO280</f>
        <v>0</v>
      </c>
      <c r="O48" s="316"/>
      <c r="P48" s="388" t="s">
        <v>0</v>
      </c>
      <c r="Q48" s="388" t="s">
        <v>270</v>
      </c>
      <c r="R48" s="388" t="s">
        <v>2</v>
      </c>
      <c r="S48" s="394" t="s">
        <v>3</v>
      </c>
      <c r="T48" s="388" t="s">
        <v>4</v>
      </c>
      <c r="U48" s="388"/>
      <c r="V48" s="388" t="s">
        <v>139</v>
      </c>
      <c r="W48" s="388"/>
      <c r="X48" s="388"/>
      <c r="Y48" s="388" t="s">
        <v>134</v>
      </c>
      <c r="Z48" s="388"/>
      <c r="AA48" s="388" t="s">
        <v>135</v>
      </c>
      <c r="AB48" s="388"/>
      <c r="AC48" s="388" t="s">
        <v>5</v>
      </c>
      <c r="AD48" s="388"/>
      <c r="AE48" s="388" t="s">
        <v>137</v>
      </c>
      <c r="AF48" s="388"/>
      <c r="AG48" s="388" t="s">
        <v>424</v>
      </c>
      <c r="AH48" s="388"/>
      <c r="AI48" s="388" t="s">
        <v>431</v>
      </c>
      <c r="AJ48" s="388"/>
      <c r="AK48" s="388" t="s">
        <v>438</v>
      </c>
      <c r="AL48" s="388"/>
      <c r="AM48" s="388" t="s">
        <v>445</v>
      </c>
      <c r="AN48" s="388"/>
      <c r="AO48" s="389" t="s">
        <v>141</v>
      </c>
      <c r="AP48" s="391" t="s">
        <v>6</v>
      </c>
      <c r="AQ48" s="391"/>
      <c r="AR48" s="391"/>
      <c r="AS48" s="391"/>
      <c r="AT48" s="385" t="s">
        <v>7</v>
      </c>
      <c r="AU48" s="385" t="s">
        <v>2</v>
      </c>
      <c r="AV48" s="385" t="s">
        <v>144</v>
      </c>
    </row>
    <row r="49" spans="2:48" s="61" customFormat="1" ht="32" x14ac:dyDescent="0.2">
      <c r="B49" s="12" t="s">
        <v>776</v>
      </c>
      <c r="C49" s="269">
        <f>'Pencapaian Sales Value'!G288</f>
        <v>4.6463533333333334E-2</v>
      </c>
      <c r="D49" s="266"/>
      <c r="E49" s="266"/>
      <c r="F49" s="266"/>
      <c r="G49" s="266"/>
      <c r="H49" s="269">
        <f>'Pencapaian Active Outlet'!G288</f>
        <v>6.6765578635014824E-2</v>
      </c>
      <c r="I49" s="266"/>
      <c r="J49" s="266"/>
      <c r="K49" s="266"/>
      <c r="L49" s="266"/>
      <c r="M49" s="266"/>
      <c r="N49" s="14">
        <f>AO288</f>
        <v>0</v>
      </c>
      <c r="O49" s="316"/>
      <c r="P49" s="388"/>
      <c r="Q49" s="388"/>
      <c r="R49" s="388"/>
      <c r="S49" s="394"/>
      <c r="T49" s="253" t="s">
        <v>9</v>
      </c>
      <c r="U49" s="54" t="s">
        <v>10</v>
      </c>
      <c r="V49" s="253" t="s">
        <v>514</v>
      </c>
      <c r="W49" s="296" t="s">
        <v>515</v>
      </c>
      <c r="X49" s="54" t="s">
        <v>10</v>
      </c>
      <c r="Y49" s="253" t="s">
        <v>9</v>
      </c>
      <c r="Z49" s="54" t="s">
        <v>10</v>
      </c>
      <c r="AA49" s="253" t="s">
        <v>9</v>
      </c>
      <c r="AB49" s="54" t="s">
        <v>10</v>
      </c>
      <c r="AC49" s="253" t="s">
        <v>9</v>
      </c>
      <c r="AD49" s="54" t="s">
        <v>10</v>
      </c>
      <c r="AE49" s="253" t="s">
        <v>9</v>
      </c>
      <c r="AF49" s="54" t="s">
        <v>10</v>
      </c>
      <c r="AG49" s="253" t="s">
        <v>9</v>
      </c>
      <c r="AH49" s="54" t="s">
        <v>10</v>
      </c>
      <c r="AI49" s="253" t="s">
        <v>9</v>
      </c>
      <c r="AJ49" s="54" t="s">
        <v>10</v>
      </c>
      <c r="AK49" s="253" t="s">
        <v>9</v>
      </c>
      <c r="AL49" s="54" t="s">
        <v>10</v>
      </c>
      <c r="AM49" s="253" t="s">
        <v>9</v>
      </c>
      <c r="AN49" s="54" t="s">
        <v>10</v>
      </c>
      <c r="AO49" s="390"/>
      <c r="AP49" s="135" t="s">
        <v>798</v>
      </c>
      <c r="AQ49" s="134" t="s">
        <v>143</v>
      </c>
      <c r="AR49" s="135" t="s">
        <v>11</v>
      </c>
      <c r="AS49" s="134" t="s">
        <v>143</v>
      </c>
      <c r="AT49" s="385"/>
      <c r="AU49" s="385"/>
      <c r="AV49" s="385"/>
    </row>
    <row r="50" spans="2:48" ht="16" x14ac:dyDescent="0.2">
      <c r="B50" s="12" t="s">
        <v>950</v>
      </c>
      <c r="C50" s="254" t="e">
        <f>'Pencapaian Sales Value'!G292</f>
        <v>#DIV/0!</v>
      </c>
      <c r="D50" s="266"/>
      <c r="E50" s="266"/>
      <c r="F50" s="266"/>
      <c r="G50" s="266"/>
      <c r="H50" s="269" t="e">
        <f>'Pencapaian Active Outlet'!G292</f>
        <v>#DIV/0!</v>
      </c>
      <c r="I50" s="266"/>
      <c r="J50" s="266"/>
      <c r="K50" s="266"/>
      <c r="L50" s="266"/>
      <c r="M50" s="266"/>
      <c r="N50" s="14">
        <f>AO292</f>
        <v>0</v>
      </c>
      <c r="O50" s="3"/>
      <c r="P50" s="397" t="s">
        <v>25</v>
      </c>
      <c r="Q50" s="193"/>
      <c r="R50" s="193" t="s">
        <v>148</v>
      </c>
      <c r="S50" s="193"/>
      <c r="T50" s="272">
        <f>'Pencapaian Sales Value'!G50</f>
        <v>0</v>
      </c>
      <c r="U50" s="261">
        <f>'Pencapaian Sales Value'!I50</f>
        <v>0</v>
      </c>
      <c r="V50" s="272">
        <f>'Pencapaian Product Focus'!H50</f>
        <v>0</v>
      </c>
      <c r="W50" s="272">
        <f>'Pencapaian Product Focus'!L50</f>
        <v>0</v>
      </c>
      <c r="X50" s="261">
        <f>'Pencapaian Product Focus'!N50</f>
        <v>0</v>
      </c>
      <c r="Y50" s="272">
        <f>'Pencapaian Effective Call'!G50</f>
        <v>0</v>
      </c>
      <c r="Z50" s="261">
        <f>'Pencapaian Effective Call'!I50</f>
        <v>0</v>
      </c>
      <c r="AA50" s="255">
        <f>'Pencapaian New Open Outlet'!G50</f>
        <v>0</v>
      </c>
      <c r="AB50" s="170">
        <f>'Pencapaian New Open Outlet'!I50</f>
        <v>0</v>
      </c>
      <c r="AC50" s="255">
        <f>'Pencapaian Active Outlet'!G50</f>
        <v>0</v>
      </c>
      <c r="AD50" s="170">
        <f>'Pencapaian Active Outlet'!I50</f>
        <v>0</v>
      </c>
      <c r="AE50" s="272">
        <f>'Pencapaian Item per Outlet'!G50</f>
        <v>0</v>
      </c>
      <c r="AF50" s="261">
        <f>'Pencapaian Item per Outlet'!I50</f>
        <v>0</v>
      </c>
      <c r="AG50" s="255">
        <f>'Pencapaian Product Display'!G50</f>
        <v>0</v>
      </c>
      <c r="AH50" s="170">
        <f>'Pencapaian Product Display'!I50</f>
        <v>0</v>
      </c>
      <c r="AI50" s="255">
        <f>'Pencapaian Sales Contract'!G50</f>
        <v>0</v>
      </c>
      <c r="AJ50" s="170">
        <f>'Pencapaian Sales Contract'!I50</f>
        <v>0</v>
      </c>
      <c r="AK50" s="255">
        <f>'Pencapaian Co-Branding'!G50</f>
        <v>0</v>
      </c>
      <c r="AL50" s="170">
        <f>'Pencapaian Co-Branding'!I50</f>
        <v>0</v>
      </c>
      <c r="AM50" s="255">
        <f>'Pencapaian Join Event Activity'!G50</f>
        <v>0</v>
      </c>
      <c r="AN50" s="170">
        <f>'Pencapaian Join Event Activity'!I50</f>
        <v>0</v>
      </c>
      <c r="AO50" s="261">
        <f t="shared" ref="AO50" si="36">SUM(AN50,AL50,AJ50,AH50,AF50,AD50,AB50,Z50,X50,U50)</f>
        <v>0</v>
      </c>
      <c r="AP50" s="328">
        <v>0</v>
      </c>
      <c r="AQ50" s="261">
        <f t="shared" ref="AQ50:AQ63" si="37">IF(AP50&gt;=0.5%,-(AO50*10%),0)</f>
        <v>0</v>
      </c>
      <c r="AR50" s="328">
        <v>0</v>
      </c>
      <c r="AS50" s="261">
        <f t="shared" ref="AS50:AS63" si="38">IF(AR50&gt;0,-(AO50+AQ50),0)</f>
        <v>0</v>
      </c>
      <c r="AT50" s="261">
        <f t="shared" ref="AT50:AT77" si="39">SUM(AS50,AQ50,AO50)</f>
        <v>0</v>
      </c>
      <c r="AU50" s="261"/>
      <c r="AV50" s="261"/>
    </row>
    <row r="51" spans="2:48" ht="16" x14ac:dyDescent="0.2">
      <c r="B51" s="12" t="s">
        <v>777</v>
      </c>
      <c r="C51" s="254">
        <f>'Pencapaian Sales Value'!G299</f>
        <v>0.1402112857142857</v>
      </c>
      <c r="D51" s="266"/>
      <c r="E51" s="266"/>
      <c r="F51" s="266"/>
      <c r="G51" s="266"/>
      <c r="H51" s="269">
        <f>'Pencapaian Active Outlet'!G299</f>
        <v>4.1666666666666664E-2</v>
      </c>
      <c r="I51" s="266"/>
      <c r="J51" s="266"/>
      <c r="K51" s="266"/>
      <c r="L51" s="266"/>
      <c r="M51" s="266"/>
      <c r="N51" s="14">
        <f>AO299</f>
        <v>90000</v>
      </c>
      <c r="O51" s="3"/>
      <c r="P51" s="397"/>
      <c r="Q51" s="52" t="s">
        <v>365</v>
      </c>
      <c r="R51" s="52" t="s">
        <v>151</v>
      </c>
      <c r="S51" s="12" t="s">
        <v>18</v>
      </c>
      <c r="T51" s="269">
        <f>'Pencapaian Sales Value'!G51</f>
        <v>0.85832202145066661</v>
      </c>
      <c r="U51" s="15">
        <f>'Pencapaian Sales Value'!I51</f>
        <v>225000</v>
      </c>
      <c r="V51" s="269">
        <f>'Pencapaian Product Focus'!H51</f>
        <v>0.59999999999999987</v>
      </c>
      <c r="W51" s="269">
        <f>'Pencapaian Product Focus'!L51</f>
        <v>0.64</v>
      </c>
      <c r="X51" s="15">
        <f>'Pencapaian Product Focus'!N51</f>
        <v>0</v>
      </c>
      <c r="Y51" s="269">
        <f>'Pencapaian Effective Call'!G51</f>
        <v>0.94588235294117651</v>
      </c>
      <c r="Z51" s="15">
        <f>'Pencapaian Effective Call'!I51</f>
        <v>101250</v>
      </c>
      <c r="AA51" s="255">
        <f>'Pencapaian New Open Outlet'!G51</f>
        <v>0.18181818181818182</v>
      </c>
      <c r="AB51" s="170">
        <f>'Pencapaian New Open Outlet'!I51</f>
        <v>0</v>
      </c>
      <c r="AC51" s="255">
        <f>'Pencapaian Active Outlet'!G51</f>
        <v>1.0207336523125996</v>
      </c>
      <c r="AD51" s="170">
        <f>'Pencapaian Active Outlet'!I51</f>
        <v>0</v>
      </c>
      <c r="AE51" s="269">
        <f>'Pencapaian Item per Outlet'!G51</f>
        <v>0.45766871165644174</v>
      </c>
      <c r="AF51" s="15">
        <f>'Pencapaian Item per Outlet'!I51</f>
        <v>0</v>
      </c>
      <c r="AG51" s="255">
        <f>'Pencapaian Product Display'!G51</f>
        <v>0</v>
      </c>
      <c r="AH51" s="170">
        <f>'Pencapaian Product Display'!I51</f>
        <v>0</v>
      </c>
      <c r="AI51" s="255">
        <f>'Pencapaian Sales Contract'!G51</f>
        <v>0</v>
      </c>
      <c r="AJ51" s="170">
        <f>'Pencapaian Sales Contract'!I51</f>
        <v>0</v>
      </c>
      <c r="AK51" s="255">
        <f>'Pencapaian Co-Branding'!G51</f>
        <v>0</v>
      </c>
      <c r="AL51" s="170">
        <f>'Pencapaian Co-Branding'!I51</f>
        <v>0</v>
      </c>
      <c r="AM51" s="255">
        <f>'Pencapaian Join Event Activity'!G51</f>
        <v>0</v>
      </c>
      <c r="AN51" s="170">
        <f>'Pencapaian Join Event Activity'!I51</f>
        <v>0</v>
      </c>
      <c r="AO51" s="15">
        <f t="shared" ref="AO51:AO77" si="40">SUM(AN51,AL51,AJ51,AH51,AF51,AD51,AB51,Z51,X51,U51)</f>
        <v>326250</v>
      </c>
      <c r="AP51" s="13">
        <v>0</v>
      </c>
      <c r="AQ51" s="15">
        <f t="shared" si="37"/>
        <v>0</v>
      </c>
      <c r="AR51" s="13">
        <v>0</v>
      </c>
      <c r="AS51" s="15">
        <f t="shared" si="38"/>
        <v>0</v>
      </c>
      <c r="AT51" s="15">
        <f t="shared" si="39"/>
        <v>326250</v>
      </c>
      <c r="AU51" s="15">
        <f>AT51*70%</f>
        <v>228375</v>
      </c>
      <c r="AV51" s="15">
        <f>AT51*30%</f>
        <v>97875</v>
      </c>
    </row>
    <row r="52" spans="2:48" ht="16" x14ac:dyDescent="0.2">
      <c r="B52" s="12" t="s">
        <v>778</v>
      </c>
      <c r="C52" s="254">
        <f>'Pencapaian Sales Value'!G307</f>
        <v>6.0630428571428571E-2</v>
      </c>
      <c r="D52" s="266"/>
      <c r="E52" s="266"/>
      <c r="F52" s="266"/>
      <c r="G52" s="266"/>
      <c r="H52" s="254">
        <f>'Pencapaian Active Outlet'!G307</f>
        <v>3.2000000000000001E-2</v>
      </c>
      <c r="I52" s="266"/>
      <c r="J52" s="266"/>
      <c r="K52" s="266"/>
      <c r="L52" s="266"/>
      <c r="M52" s="266"/>
      <c r="N52" s="14">
        <f>AO307</f>
        <v>0</v>
      </c>
      <c r="O52" s="3"/>
      <c r="P52" s="397"/>
      <c r="Q52" s="52" t="s">
        <v>366</v>
      </c>
      <c r="R52" s="52" t="s">
        <v>241</v>
      </c>
      <c r="S52" s="12" t="s">
        <v>18</v>
      </c>
      <c r="T52" s="269">
        <f>'Pencapaian Sales Value'!G52</f>
        <v>0.79612219178720056</v>
      </c>
      <c r="U52" s="15">
        <f>'Pencapaian Sales Value'!I52</f>
        <v>112500</v>
      </c>
      <c r="V52" s="269">
        <f>'Pencapaian Product Focus'!H52</f>
        <v>0.5395833333333333</v>
      </c>
      <c r="W52" s="269">
        <f>'Pencapaian Product Focus'!L52</f>
        <v>0.7142857142857143</v>
      </c>
      <c r="X52" s="15">
        <f>'Pencapaian Product Focus'!N52</f>
        <v>22500</v>
      </c>
      <c r="Y52" s="269">
        <f>'Pencapaian Effective Call'!G52</f>
        <v>0.98</v>
      </c>
      <c r="Z52" s="15">
        <f>'Pencapaian Effective Call'!I52</f>
        <v>101250</v>
      </c>
      <c r="AA52" s="255">
        <f>'Pencapaian New Open Outlet'!G52</f>
        <v>0.10810810810810811</v>
      </c>
      <c r="AB52" s="170">
        <f>'Pencapaian New Open Outlet'!I52</f>
        <v>0</v>
      </c>
      <c r="AC52" s="255">
        <f>'Pencapaian Active Outlet'!G52</f>
        <v>1.0590894413948984</v>
      </c>
      <c r="AD52" s="170">
        <f>'Pencapaian Active Outlet'!I52</f>
        <v>0</v>
      </c>
      <c r="AE52" s="269">
        <f>'Pencapaian Item per Outlet'!G52</f>
        <v>0.60481927710843375</v>
      </c>
      <c r="AF52" s="15">
        <f>'Pencapaian Item per Outlet'!I52</f>
        <v>0</v>
      </c>
      <c r="AG52" s="255">
        <f>'Pencapaian Product Display'!G52</f>
        <v>0</v>
      </c>
      <c r="AH52" s="170">
        <f>'Pencapaian Product Display'!I52</f>
        <v>0</v>
      </c>
      <c r="AI52" s="255">
        <f>'Pencapaian Sales Contract'!G52</f>
        <v>0</v>
      </c>
      <c r="AJ52" s="170">
        <f>'Pencapaian Sales Contract'!I52</f>
        <v>0</v>
      </c>
      <c r="AK52" s="255">
        <f>'Pencapaian Co-Branding'!G52</f>
        <v>0</v>
      </c>
      <c r="AL52" s="170">
        <f>'Pencapaian Co-Branding'!I52</f>
        <v>0</v>
      </c>
      <c r="AM52" s="255">
        <f>'Pencapaian Join Event Activity'!G52</f>
        <v>0</v>
      </c>
      <c r="AN52" s="170">
        <f>'Pencapaian Join Event Activity'!I52</f>
        <v>0</v>
      </c>
      <c r="AO52" s="15">
        <f t="shared" si="40"/>
        <v>236250</v>
      </c>
      <c r="AP52" s="13">
        <v>0</v>
      </c>
      <c r="AQ52" s="15">
        <f t="shared" si="37"/>
        <v>0</v>
      </c>
      <c r="AR52" s="13">
        <v>0</v>
      </c>
      <c r="AS52" s="15">
        <f t="shared" si="38"/>
        <v>0</v>
      </c>
      <c r="AT52" s="15">
        <f t="shared" si="39"/>
        <v>236250</v>
      </c>
      <c r="AU52" s="15">
        <f>AT52*70%</f>
        <v>165375</v>
      </c>
      <c r="AV52" s="15">
        <f>AT52*30%</f>
        <v>70875</v>
      </c>
    </row>
    <row r="53" spans="2:48" ht="16" x14ac:dyDescent="0.2">
      <c r="B53" s="12" t="s">
        <v>779</v>
      </c>
      <c r="C53" s="254">
        <f>'Pencapaian Sales Value'!G313</f>
        <v>-1.4740909090909091E-2</v>
      </c>
      <c r="D53" s="266"/>
      <c r="E53" s="266"/>
      <c r="F53" s="266"/>
      <c r="G53" s="266"/>
      <c r="H53" s="254">
        <f>'Pencapaian Active Outlet'!G313</f>
        <v>0.09</v>
      </c>
      <c r="I53" s="266"/>
      <c r="J53" s="266"/>
      <c r="K53" s="266"/>
      <c r="L53" s="266"/>
      <c r="M53" s="266"/>
      <c r="N53" s="14">
        <f>AO313</f>
        <v>0</v>
      </c>
      <c r="O53" s="3"/>
      <c r="P53" s="397"/>
      <c r="Q53" s="52" t="s">
        <v>368</v>
      </c>
      <c r="R53" s="52" t="s">
        <v>107</v>
      </c>
      <c r="S53" s="12" t="s">
        <v>18</v>
      </c>
      <c r="T53" s="269">
        <f>'Pencapaian Sales Value'!G53</f>
        <v>0.81550126167231629</v>
      </c>
      <c r="U53" s="15">
        <f>'Pencapaian Sales Value'!I53</f>
        <v>225000</v>
      </c>
      <c r="V53" s="269">
        <f>'Pencapaian Product Focus'!H53</f>
        <v>0.38854166666666667</v>
      </c>
      <c r="W53" s="269">
        <f>'Pencapaian Product Focus'!L53</f>
        <v>0.6</v>
      </c>
      <c r="X53" s="15">
        <f>'Pencapaian Product Focus'!N53</f>
        <v>0</v>
      </c>
      <c r="Y53" s="269">
        <f>'Pencapaian Effective Call'!G53</f>
        <v>0.98719999999999997</v>
      </c>
      <c r="Z53" s="15">
        <f>'Pencapaian Effective Call'!I53</f>
        <v>101250</v>
      </c>
      <c r="AA53" s="255">
        <f>'Pencapaian New Open Outlet'!G53</f>
        <v>3.9603960396039604E-2</v>
      </c>
      <c r="AB53" s="170">
        <f>'Pencapaian New Open Outlet'!I53</f>
        <v>0</v>
      </c>
      <c r="AC53" s="255">
        <f>'Pencapaian Active Outlet'!G53</f>
        <v>1.0526315789473686</v>
      </c>
      <c r="AD53" s="170">
        <f>'Pencapaian Active Outlet'!I53</f>
        <v>0</v>
      </c>
      <c r="AE53" s="269">
        <f>'Pencapaian Item per Outlet'!G53</f>
        <v>0.55652173913043479</v>
      </c>
      <c r="AF53" s="15">
        <f>'Pencapaian Item per Outlet'!I53</f>
        <v>0</v>
      </c>
      <c r="AG53" s="255">
        <f>'Pencapaian Product Display'!G53</f>
        <v>0</v>
      </c>
      <c r="AH53" s="170">
        <f>'Pencapaian Product Display'!I53</f>
        <v>0</v>
      </c>
      <c r="AI53" s="255">
        <f>'Pencapaian Sales Contract'!G53</f>
        <v>0</v>
      </c>
      <c r="AJ53" s="170">
        <f>'Pencapaian Sales Contract'!I53</f>
        <v>0</v>
      </c>
      <c r="AK53" s="255">
        <f>'Pencapaian Co-Branding'!G53</f>
        <v>0</v>
      </c>
      <c r="AL53" s="170">
        <f>'Pencapaian Co-Branding'!I53</f>
        <v>0</v>
      </c>
      <c r="AM53" s="255">
        <f>'Pencapaian Join Event Activity'!G53</f>
        <v>0</v>
      </c>
      <c r="AN53" s="170">
        <f>'Pencapaian Join Event Activity'!I53</f>
        <v>0</v>
      </c>
      <c r="AO53" s="15">
        <f t="shared" si="40"/>
        <v>326250</v>
      </c>
      <c r="AP53" s="13">
        <v>0</v>
      </c>
      <c r="AQ53" s="15">
        <f t="shared" si="37"/>
        <v>0</v>
      </c>
      <c r="AR53" s="13">
        <v>0</v>
      </c>
      <c r="AS53" s="15">
        <f t="shared" si="38"/>
        <v>0</v>
      </c>
      <c r="AT53" s="15">
        <f t="shared" si="39"/>
        <v>326250</v>
      </c>
      <c r="AU53" s="15">
        <f>AT53*70%</f>
        <v>228375</v>
      </c>
      <c r="AV53" s="15">
        <f>AT53*30%</f>
        <v>97875</v>
      </c>
    </row>
    <row r="54" spans="2:48" ht="17" thickBot="1" x14ac:dyDescent="0.25">
      <c r="B54" s="25" t="s">
        <v>33</v>
      </c>
      <c r="C54" s="256">
        <f>'Pencapaian Sales Value'!G315</f>
        <v>0.67362980081876866</v>
      </c>
      <c r="D54" s="260"/>
      <c r="E54" s="260"/>
      <c r="F54" s="260"/>
      <c r="G54" s="260"/>
      <c r="H54" s="256">
        <f>'Pencapaian Active Outlet'!G315</f>
        <v>0.40988658777120313</v>
      </c>
      <c r="I54" s="260"/>
      <c r="J54" s="260"/>
      <c r="K54" s="260"/>
      <c r="L54" s="260"/>
      <c r="M54" s="260"/>
      <c r="N54" s="26">
        <f>SUM(N38:N53)</f>
        <v>5492000</v>
      </c>
      <c r="O54" s="3"/>
      <c r="P54" s="397"/>
      <c r="Q54" s="52" t="s">
        <v>369</v>
      </c>
      <c r="R54" s="52" t="s">
        <v>262</v>
      </c>
      <c r="S54" s="12" t="s">
        <v>18</v>
      </c>
      <c r="T54" s="269">
        <f>'Pencapaian Sales Value'!G54</f>
        <v>0.71289233400325058</v>
      </c>
      <c r="U54" s="15">
        <f>'Pencapaian Sales Value'!I54</f>
        <v>112500</v>
      </c>
      <c r="V54" s="269">
        <f>'Pencapaian Product Focus'!H54</f>
        <v>0.84999999999999987</v>
      </c>
      <c r="W54" s="269">
        <f>'Pencapaian Product Focus'!L54</f>
        <v>0.65714285714285714</v>
      </c>
      <c r="X54" s="15">
        <f>'Pencapaian Product Focus'!N54</f>
        <v>45000</v>
      </c>
      <c r="Y54" s="269">
        <f>'Pencapaian Effective Call'!G54</f>
        <v>0.92</v>
      </c>
      <c r="Z54" s="15">
        <f>'Pencapaian Effective Call'!I54</f>
        <v>101250</v>
      </c>
      <c r="AA54" s="255">
        <f>'Pencapaian New Open Outlet'!G54</f>
        <v>0.4</v>
      </c>
      <c r="AB54" s="170">
        <f>'Pencapaian New Open Outlet'!I54</f>
        <v>0</v>
      </c>
      <c r="AC54" s="255">
        <f>'Pencapaian Active Outlet'!G54</f>
        <v>0.93301435406698563</v>
      </c>
      <c r="AD54" s="170">
        <f>'Pencapaian Active Outlet'!I54</f>
        <v>0</v>
      </c>
      <c r="AE54" s="269">
        <f>'Pencapaian Item per Outlet'!G54</f>
        <v>0.45645933014354068</v>
      </c>
      <c r="AF54" s="15">
        <f>'Pencapaian Item per Outlet'!I54</f>
        <v>0</v>
      </c>
      <c r="AG54" s="255">
        <f>'Pencapaian Product Display'!G54</f>
        <v>0</v>
      </c>
      <c r="AH54" s="170">
        <f>'Pencapaian Product Display'!I54</f>
        <v>0</v>
      </c>
      <c r="AI54" s="255">
        <f>'Pencapaian Sales Contract'!G54</f>
        <v>0</v>
      </c>
      <c r="AJ54" s="170">
        <f>'Pencapaian Sales Contract'!I54</f>
        <v>0</v>
      </c>
      <c r="AK54" s="255">
        <f>'Pencapaian Co-Branding'!G54</f>
        <v>0</v>
      </c>
      <c r="AL54" s="170">
        <f>'Pencapaian Co-Branding'!I54</f>
        <v>0</v>
      </c>
      <c r="AM54" s="255">
        <f>'Pencapaian Join Event Activity'!G54</f>
        <v>0</v>
      </c>
      <c r="AN54" s="170">
        <f>'Pencapaian Join Event Activity'!I54</f>
        <v>0</v>
      </c>
      <c r="AO54" s="15">
        <f t="shared" si="40"/>
        <v>258750</v>
      </c>
      <c r="AP54" s="13">
        <v>0</v>
      </c>
      <c r="AQ54" s="15">
        <f t="shared" si="37"/>
        <v>0</v>
      </c>
      <c r="AR54" s="13">
        <v>0</v>
      </c>
      <c r="AS54" s="15">
        <f t="shared" si="38"/>
        <v>0</v>
      </c>
      <c r="AT54" s="15">
        <f t="shared" si="39"/>
        <v>258750</v>
      </c>
      <c r="AU54" s="15">
        <f>AT54*70%</f>
        <v>181125</v>
      </c>
      <c r="AV54" s="15">
        <f>AT54*30%</f>
        <v>77625</v>
      </c>
    </row>
    <row r="55" spans="2:48" ht="17" thickTop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"/>
      <c r="P55" s="397"/>
      <c r="Q55" s="78"/>
      <c r="R55" s="78" t="s">
        <v>177</v>
      </c>
      <c r="S55" s="64" t="s">
        <v>20</v>
      </c>
      <c r="T55" s="258">
        <f>'Pencapaian Sales Value'!G55</f>
        <v>0.81042837727931771</v>
      </c>
      <c r="U55" s="63">
        <f>'Pencapaian Sales Value'!I55</f>
        <v>216000</v>
      </c>
      <c r="V55" s="258">
        <f>'Pencapaian Product Focus'!H55</f>
        <v>0.56846846846846855</v>
      </c>
      <c r="W55" s="258">
        <f>'Pencapaian Product Focus'!L55</f>
        <v>0.6470588235294118</v>
      </c>
      <c r="X55" s="63">
        <f>'Pencapaian Product Focus'!N55</f>
        <v>0</v>
      </c>
      <c r="Y55" s="257">
        <f>'Pencapaian Effective Call'!G55</f>
        <v>0</v>
      </c>
      <c r="Z55" s="189">
        <f>'Pencapaian Effective Call'!I55</f>
        <v>0</v>
      </c>
      <c r="AA55" s="268">
        <f>'Pencapaian New Open Outlet'!G55</f>
        <v>0.19302949061662197</v>
      </c>
      <c r="AB55" s="189">
        <f>'Pencapaian New Open Outlet'!I55</f>
        <v>0</v>
      </c>
      <c r="AC55" s="258">
        <f>'Pencapaian Active Outlet'!G55</f>
        <v>1.0107573460399972</v>
      </c>
      <c r="AD55" s="63">
        <f>'Pencapaian Active Outlet'!I55</f>
        <v>240000</v>
      </c>
      <c r="AE55" s="258">
        <f>'Pencapaian Item per Outlet'!G55</f>
        <v>0.51886726450971277</v>
      </c>
      <c r="AF55" s="63">
        <f>'Pencapaian Item per Outlet'!I55</f>
        <v>0</v>
      </c>
      <c r="AG55" s="297">
        <f>'Pencapaian Product Display'!G55</f>
        <v>0</v>
      </c>
      <c r="AH55" s="314">
        <f>'Pencapaian Product Display'!I55</f>
        <v>0</v>
      </c>
      <c r="AI55" s="306">
        <f>'Pencapaian Sales Contract'!G55</f>
        <v>0</v>
      </c>
      <c r="AJ55" s="152">
        <f>'Pencapaian Sales Contract'!I55</f>
        <v>0</v>
      </c>
      <c r="AK55" s="306">
        <f>'Pencapaian Co-Branding'!G55</f>
        <v>0</v>
      </c>
      <c r="AL55" s="152">
        <f>'Pencapaian Co-Branding'!I55</f>
        <v>0</v>
      </c>
      <c r="AM55" s="297">
        <f>'Pencapaian Join Event Activity'!G55</f>
        <v>0</v>
      </c>
      <c r="AN55" s="314">
        <f>'Pencapaian Join Event Activity'!I55</f>
        <v>0</v>
      </c>
      <c r="AO55" s="63">
        <f t="shared" si="40"/>
        <v>456000</v>
      </c>
      <c r="AP55" s="110">
        <v>0</v>
      </c>
      <c r="AQ55" s="63">
        <f t="shared" si="37"/>
        <v>0</v>
      </c>
      <c r="AR55" s="110">
        <v>0</v>
      </c>
      <c r="AS55" s="63">
        <f t="shared" si="38"/>
        <v>0</v>
      </c>
      <c r="AT55" s="63">
        <f t="shared" si="39"/>
        <v>456000</v>
      </c>
      <c r="AU55" s="63">
        <f>AT55</f>
        <v>456000</v>
      </c>
      <c r="AV55" s="63">
        <v>0</v>
      </c>
    </row>
    <row r="56" spans="2:48" s="21" customFormat="1" ht="16" x14ac:dyDescent="0.2">
      <c r="B56" s="6" t="s">
        <v>951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7"/>
      <c r="O56" s="31"/>
      <c r="P56" s="397"/>
      <c r="Q56" s="52" t="s">
        <v>370</v>
      </c>
      <c r="R56" s="52" t="s">
        <v>244</v>
      </c>
      <c r="S56" s="12" t="s">
        <v>18</v>
      </c>
      <c r="T56" s="269">
        <f>'Pencapaian Sales Value'!G56</f>
        <v>0.95812507516018885</v>
      </c>
      <c r="U56" s="15">
        <f>'Pencapaian Sales Value'!I56</f>
        <v>337500</v>
      </c>
      <c r="V56" s="269">
        <f>'Pencapaian Product Focus'!H56</f>
        <v>0.40583333333333338</v>
      </c>
      <c r="W56" s="269">
        <f>'Pencapaian Product Focus'!L56</f>
        <v>0.68571428571428572</v>
      </c>
      <c r="X56" s="15">
        <f>'Pencapaian Product Focus'!N56</f>
        <v>0</v>
      </c>
      <c r="Y56" s="269">
        <f>'Pencapaian Effective Call'!G56</f>
        <v>1.04</v>
      </c>
      <c r="Z56" s="15">
        <f>'Pencapaian Effective Call'!I56</f>
        <v>135000</v>
      </c>
      <c r="AA56" s="255">
        <f>'Pencapaian New Open Outlet'!G56</f>
        <v>9.1954022988505746E-2</v>
      </c>
      <c r="AB56" s="170">
        <f>'Pencapaian New Open Outlet'!I56</f>
        <v>0</v>
      </c>
      <c r="AC56" s="255">
        <f>'Pencapaian Active Outlet'!G56</f>
        <v>1.0275689223057645</v>
      </c>
      <c r="AD56" s="170">
        <f>'Pencapaian Active Outlet'!I56</f>
        <v>0</v>
      </c>
      <c r="AE56" s="269">
        <f>'Pencapaian Item per Outlet'!G56</f>
        <v>0.49090909090909091</v>
      </c>
      <c r="AF56" s="15">
        <f>'Pencapaian Item per Outlet'!I56</f>
        <v>0</v>
      </c>
      <c r="AG56" s="255">
        <f>'Pencapaian Product Display'!G56</f>
        <v>0</v>
      </c>
      <c r="AH56" s="170">
        <f>'Pencapaian Product Display'!I56</f>
        <v>0</v>
      </c>
      <c r="AI56" s="255">
        <f>'Pencapaian Sales Contract'!G56</f>
        <v>0</v>
      </c>
      <c r="AJ56" s="170">
        <f>'Pencapaian Sales Contract'!I56</f>
        <v>0</v>
      </c>
      <c r="AK56" s="255">
        <f>'Pencapaian Co-Branding'!G56</f>
        <v>0</v>
      </c>
      <c r="AL56" s="170">
        <f>'Pencapaian Co-Branding'!I56</f>
        <v>0</v>
      </c>
      <c r="AM56" s="255">
        <f>'Pencapaian Join Event Activity'!G56</f>
        <v>0</v>
      </c>
      <c r="AN56" s="170">
        <f>'Pencapaian Join Event Activity'!I56</f>
        <v>0</v>
      </c>
      <c r="AO56" s="15">
        <f t="shared" si="40"/>
        <v>472500</v>
      </c>
      <c r="AP56" s="13">
        <v>0</v>
      </c>
      <c r="AQ56" s="15">
        <f t="shared" si="37"/>
        <v>0</v>
      </c>
      <c r="AR56" s="13">
        <v>0</v>
      </c>
      <c r="AS56" s="15">
        <f t="shared" si="38"/>
        <v>0</v>
      </c>
      <c r="AT56" s="15">
        <f t="shared" si="39"/>
        <v>472500</v>
      </c>
      <c r="AU56" s="15">
        <f t="shared" ref="AU56" si="41">AT56*70%</f>
        <v>330750</v>
      </c>
      <c r="AV56" s="15">
        <f t="shared" ref="AV56" si="42">AT56*30%</f>
        <v>141750</v>
      </c>
    </row>
    <row r="57" spans="2:48" ht="16" x14ac:dyDescent="0.2">
      <c r="B57" s="394" t="s">
        <v>0</v>
      </c>
      <c r="C57" s="401" t="s">
        <v>4</v>
      </c>
      <c r="D57" s="398" t="s">
        <v>139</v>
      </c>
      <c r="E57" s="398"/>
      <c r="F57" s="399" t="s">
        <v>134</v>
      </c>
      <c r="G57" s="399" t="s">
        <v>135</v>
      </c>
      <c r="H57" s="399" t="s">
        <v>5</v>
      </c>
      <c r="I57" s="399" t="s">
        <v>137</v>
      </c>
      <c r="J57" s="399" t="s">
        <v>424</v>
      </c>
      <c r="K57" s="399" t="s">
        <v>431</v>
      </c>
      <c r="L57" s="399" t="s">
        <v>438</v>
      </c>
      <c r="M57" s="399" t="s">
        <v>445</v>
      </c>
      <c r="N57" s="398" t="s">
        <v>1</v>
      </c>
      <c r="O57" s="3"/>
      <c r="P57" s="397"/>
      <c r="Q57" s="52" t="s">
        <v>367</v>
      </c>
      <c r="R57" s="52" t="s">
        <v>242</v>
      </c>
      <c r="S57" s="12" t="s">
        <v>18</v>
      </c>
      <c r="T57" s="269">
        <f>'Pencapaian Sales Value'!G57</f>
        <v>0.72169732428908873</v>
      </c>
      <c r="U57" s="15">
        <f>'Pencapaian Sales Value'!I57</f>
        <v>112500</v>
      </c>
      <c r="V57" s="269">
        <f>'Pencapaian Product Focus'!H57</f>
        <v>0.40666666666666673</v>
      </c>
      <c r="W57" s="269">
        <f>'Pencapaian Product Focus'!L57</f>
        <v>0.48571428571428571</v>
      </c>
      <c r="X57" s="15">
        <f>'Pencapaian Product Focus'!N57</f>
        <v>0</v>
      </c>
      <c r="Y57" s="269">
        <f>'Pencapaian Effective Call'!G57</f>
        <v>1.0422222222222222</v>
      </c>
      <c r="Z57" s="15">
        <f>'Pencapaian Effective Call'!I57</f>
        <v>135000</v>
      </c>
      <c r="AA57" s="255">
        <f>'Pencapaian New Open Outlet'!G57</f>
        <v>0.42168674698795194</v>
      </c>
      <c r="AB57" s="170">
        <f>'Pencapaian New Open Outlet'!I57</f>
        <v>0</v>
      </c>
      <c r="AC57" s="255">
        <f>'Pencapaian Active Outlet'!G57</f>
        <v>1.1216566005176878</v>
      </c>
      <c r="AD57" s="170">
        <f>'Pencapaian Active Outlet'!I57</f>
        <v>0</v>
      </c>
      <c r="AE57" s="269">
        <f>'Pencapaian Item per Outlet'!G57</f>
        <v>0.59083969465648856</v>
      </c>
      <c r="AF57" s="15">
        <f>'Pencapaian Item per Outlet'!I57</f>
        <v>0</v>
      </c>
      <c r="AG57" s="255">
        <f>'Pencapaian Product Display'!G57</f>
        <v>0</v>
      </c>
      <c r="AH57" s="170">
        <f>'Pencapaian Product Display'!I57</f>
        <v>0</v>
      </c>
      <c r="AI57" s="255">
        <f>'Pencapaian Sales Contract'!G57</f>
        <v>0</v>
      </c>
      <c r="AJ57" s="170">
        <f>'Pencapaian Sales Contract'!I57</f>
        <v>0</v>
      </c>
      <c r="AK57" s="255">
        <f>'Pencapaian Co-Branding'!G57</f>
        <v>0</v>
      </c>
      <c r="AL57" s="170">
        <f>'Pencapaian Co-Branding'!I57</f>
        <v>0</v>
      </c>
      <c r="AM57" s="255">
        <f>'Pencapaian Join Event Activity'!G57</f>
        <v>0</v>
      </c>
      <c r="AN57" s="170">
        <f>'Pencapaian Join Event Activity'!I57</f>
        <v>0</v>
      </c>
      <c r="AO57" s="15">
        <f t="shared" si="40"/>
        <v>247500</v>
      </c>
      <c r="AP57" s="13">
        <v>0</v>
      </c>
      <c r="AQ57" s="15">
        <f t="shared" si="37"/>
        <v>0</v>
      </c>
      <c r="AR57" s="13">
        <v>0</v>
      </c>
      <c r="AS57" s="15">
        <f t="shared" si="38"/>
        <v>0</v>
      </c>
      <c r="AT57" s="15">
        <f t="shared" si="39"/>
        <v>247500</v>
      </c>
      <c r="AU57" s="15">
        <f>AT57*70%</f>
        <v>173250</v>
      </c>
      <c r="AV57" s="15">
        <f>AT57*30%</f>
        <v>74250</v>
      </c>
    </row>
    <row r="58" spans="2:48" ht="14.5" customHeight="1" x14ac:dyDescent="0.2">
      <c r="B58" s="394"/>
      <c r="C58" s="401"/>
      <c r="D58" s="292" t="s">
        <v>514</v>
      </c>
      <c r="E58" s="292" t="s">
        <v>515</v>
      </c>
      <c r="F58" s="400"/>
      <c r="G58" s="400"/>
      <c r="H58" s="400"/>
      <c r="I58" s="400"/>
      <c r="J58" s="400"/>
      <c r="K58" s="400"/>
      <c r="L58" s="400"/>
      <c r="M58" s="400"/>
      <c r="N58" s="398"/>
      <c r="O58" s="3"/>
      <c r="P58" s="397"/>
      <c r="Q58" s="193"/>
      <c r="R58" s="193" t="s">
        <v>148</v>
      </c>
      <c r="S58" s="193"/>
      <c r="T58" s="272">
        <f>'Pencapaian Sales Value'!G58</f>
        <v>0</v>
      </c>
      <c r="U58" s="261">
        <f>'Pencapaian Sales Value'!I58</f>
        <v>0</v>
      </c>
      <c r="V58" s="272">
        <f>'Pencapaian Product Focus'!H58</f>
        <v>0</v>
      </c>
      <c r="W58" s="272">
        <f>'Pencapaian Product Focus'!L58</f>
        <v>0</v>
      </c>
      <c r="X58" s="261">
        <f>'Pencapaian Product Focus'!N58</f>
        <v>0</v>
      </c>
      <c r="Y58" s="272">
        <f>'Pencapaian Effective Call'!G58</f>
        <v>0</v>
      </c>
      <c r="Z58" s="261">
        <f>'Pencapaian Effective Call'!I58</f>
        <v>0</v>
      </c>
      <c r="AA58" s="255">
        <f>'Pencapaian New Open Outlet'!G58</f>
        <v>0</v>
      </c>
      <c r="AB58" s="170">
        <f>'Pencapaian New Open Outlet'!I58</f>
        <v>0</v>
      </c>
      <c r="AC58" s="255">
        <f>'Pencapaian Active Outlet'!G58</f>
        <v>0</v>
      </c>
      <c r="AD58" s="170">
        <f>'Pencapaian Active Outlet'!I58</f>
        <v>0</v>
      </c>
      <c r="AE58" s="272">
        <f>'Pencapaian Item per Outlet'!G58</f>
        <v>0</v>
      </c>
      <c r="AF58" s="261">
        <f>'Pencapaian Item per Outlet'!I58</f>
        <v>0</v>
      </c>
      <c r="AG58" s="255">
        <f>'Pencapaian Product Display'!G58</f>
        <v>0</v>
      </c>
      <c r="AH58" s="170">
        <f>'Pencapaian Product Display'!I58</f>
        <v>0</v>
      </c>
      <c r="AI58" s="255">
        <f>'Pencapaian Sales Contract'!G58</f>
        <v>0</v>
      </c>
      <c r="AJ58" s="170">
        <f>'Pencapaian Sales Contract'!I58</f>
        <v>0</v>
      </c>
      <c r="AK58" s="255">
        <f>'Pencapaian Co-Branding'!G58</f>
        <v>0</v>
      </c>
      <c r="AL58" s="170">
        <f>'Pencapaian Co-Branding'!I58</f>
        <v>0</v>
      </c>
      <c r="AM58" s="255">
        <f>'Pencapaian Join Event Activity'!G58</f>
        <v>0</v>
      </c>
      <c r="AN58" s="170">
        <f>'Pencapaian Join Event Activity'!I58</f>
        <v>0</v>
      </c>
      <c r="AO58" s="261">
        <f t="shared" si="40"/>
        <v>0</v>
      </c>
      <c r="AP58" s="328">
        <v>0</v>
      </c>
      <c r="AQ58" s="261">
        <f t="shared" si="37"/>
        <v>0</v>
      </c>
      <c r="AR58" s="328">
        <v>0</v>
      </c>
      <c r="AS58" s="261">
        <f t="shared" si="38"/>
        <v>0</v>
      </c>
      <c r="AT58" s="261">
        <f t="shared" si="39"/>
        <v>0</v>
      </c>
      <c r="AU58" s="261"/>
      <c r="AV58" s="261"/>
    </row>
    <row r="59" spans="2:48" ht="16" x14ac:dyDescent="0.2">
      <c r="B59" s="12" t="s">
        <v>952</v>
      </c>
      <c r="C59" s="254">
        <f>'Pencapaian Sales Value'!G337</f>
        <v>1.0635301962962971</v>
      </c>
      <c r="D59" s="266"/>
      <c r="E59" s="266"/>
      <c r="F59" s="266"/>
      <c r="G59" s="266"/>
      <c r="H59" s="254">
        <f>'Pencapaian Active Outlet'!G336</f>
        <v>0.93</v>
      </c>
      <c r="I59" s="266"/>
      <c r="J59" s="266"/>
      <c r="K59" s="266"/>
      <c r="L59" s="266"/>
      <c r="M59" s="266"/>
      <c r="N59" s="14">
        <f>AO337</f>
        <v>1935000</v>
      </c>
      <c r="O59" s="1"/>
      <c r="P59" s="397"/>
      <c r="Q59" s="52" t="s">
        <v>371</v>
      </c>
      <c r="R59" s="52" t="s">
        <v>303</v>
      </c>
      <c r="S59" s="12" t="s">
        <v>471</v>
      </c>
      <c r="T59" s="269">
        <f>'Pencapaian Sales Value'!G59</f>
        <v>1.0382770762990579</v>
      </c>
      <c r="U59" s="15">
        <f>'Pencapaian Sales Value'!I59</f>
        <v>600000</v>
      </c>
      <c r="V59" s="269">
        <f>'Pencapaian Product Focus'!H59</f>
        <v>0.73899999999999999</v>
      </c>
      <c r="W59" s="269">
        <f>'Pencapaian Product Focus'!L59</f>
        <v>0.65333333333333332</v>
      </c>
      <c r="X59" s="15">
        <f>'Pencapaian Product Focus'!N59</f>
        <v>20000</v>
      </c>
      <c r="Y59" s="269">
        <f>'Pencapaian Effective Call'!G59</f>
        <v>0.99199999999999999</v>
      </c>
      <c r="Z59" s="15">
        <f>'Pencapaian Effective Call'!I59</f>
        <v>105000</v>
      </c>
      <c r="AA59" s="255">
        <f>'Pencapaian New Open Outlet'!G59</f>
        <v>0</v>
      </c>
      <c r="AB59" s="170">
        <f>'Pencapaian New Open Outlet'!I59</f>
        <v>0</v>
      </c>
      <c r="AC59" s="255">
        <f>'Pencapaian Active Outlet'!G59</f>
        <v>1.04547081990691</v>
      </c>
      <c r="AD59" s="170">
        <f>'Pencapaian Active Outlet'!I59</f>
        <v>0</v>
      </c>
      <c r="AE59" s="269">
        <f>'Pencapaian Item per Outlet'!G59</f>
        <v>0.64459459459459456</v>
      </c>
      <c r="AF59" s="15">
        <f>'Pencapaian Item per Outlet'!I59</f>
        <v>0</v>
      </c>
      <c r="AG59" s="255">
        <f>'Pencapaian Product Display'!G59</f>
        <v>0</v>
      </c>
      <c r="AH59" s="170">
        <f>'Pencapaian Product Display'!I59</f>
        <v>0</v>
      </c>
      <c r="AI59" s="255">
        <f>'Pencapaian Sales Contract'!G59</f>
        <v>0</v>
      </c>
      <c r="AJ59" s="170">
        <f>'Pencapaian Sales Contract'!I59</f>
        <v>0</v>
      </c>
      <c r="AK59" s="255">
        <f>'Pencapaian Co-Branding'!G59</f>
        <v>0</v>
      </c>
      <c r="AL59" s="170">
        <f>'Pencapaian Co-Branding'!I59</f>
        <v>0</v>
      </c>
      <c r="AM59" s="255">
        <f>'Pencapaian Join Event Activity'!G59</f>
        <v>0</v>
      </c>
      <c r="AN59" s="170">
        <f>'Pencapaian Join Event Activity'!I59</f>
        <v>0</v>
      </c>
      <c r="AO59" s="15">
        <f t="shared" si="40"/>
        <v>725000</v>
      </c>
      <c r="AP59" s="13">
        <v>0</v>
      </c>
      <c r="AQ59" s="15">
        <f t="shared" si="37"/>
        <v>0</v>
      </c>
      <c r="AR59" s="13">
        <v>0</v>
      </c>
      <c r="AS59" s="15">
        <f t="shared" si="38"/>
        <v>0</v>
      </c>
      <c r="AT59" s="15">
        <f t="shared" si="39"/>
        <v>725000</v>
      </c>
      <c r="AU59" s="15">
        <f>AT59*55%</f>
        <v>398750.00000000006</v>
      </c>
      <c r="AV59" s="15">
        <f>AT59*45%</f>
        <v>326250</v>
      </c>
    </row>
    <row r="60" spans="2:48" ht="17" thickBot="1" x14ac:dyDescent="0.25">
      <c r="B60" s="17" t="s">
        <v>953</v>
      </c>
      <c r="C60" s="256">
        <f>'Pencapaian Sales Value'!G338</f>
        <v>1.0635301962962971</v>
      </c>
      <c r="D60" s="260"/>
      <c r="E60" s="260"/>
      <c r="F60" s="260"/>
      <c r="G60" s="260"/>
      <c r="H60" s="256">
        <f>'Pencapaian Active Outlet'!G337</f>
        <v>0.93</v>
      </c>
      <c r="I60" s="260"/>
      <c r="J60" s="260"/>
      <c r="K60" s="260"/>
      <c r="L60" s="260"/>
      <c r="M60" s="260"/>
      <c r="N60" s="18">
        <f>SUM(N59:N59)</f>
        <v>1935000</v>
      </c>
      <c r="O60" s="3"/>
      <c r="P60" s="397"/>
      <c r="Q60" s="52" t="s">
        <v>372</v>
      </c>
      <c r="R60" s="52" t="s">
        <v>108</v>
      </c>
      <c r="S60" s="12" t="s">
        <v>471</v>
      </c>
      <c r="T60" s="269">
        <f>'Pencapaian Sales Value'!G60</f>
        <v>1.031812480002642</v>
      </c>
      <c r="U60" s="15">
        <f>'Pencapaian Sales Value'!I60</f>
        <v>600000</v>
      </c>
      <c r="V60" s="269">
        <f>'Pencapaian Product Focus'!H60</f>
        <v>1.1142222222222222</v>
      </c>
      <c r="W60" s="269">
        <f>'Pencapaian Product Focus'!L60</f>
        <v>0.8545454545454545</v>
      </c>
      <c r="X60" s="15">
        <f>'Pencapaian Product Focus'!N60</f>
        <v>175000</v>
      </c>
      <c r="Y60" s="269">
        <f>'Pencapaian Effective Call'!G60</f>
        <v>1.0032000000000001</v>
      </c>
      <c r="Z60" s="15">
        <f>'Pencapaian Effective Call'!I60</f>
        <v>150000</v>
      </c>
      <c r="AA60" s="255">
        <f>'Pencapaian New Open Outlet'!G60</f>
        <v>9.3749999999999958E-2</v>
      </c>
      <c r="AB60" s="170">
        <f>'Pencapaian New Open Outlet'!I60</f>
        <v>0</v>
      </c>
      <c r="AC60" s="255">
        <f>'Pencapaian Active Outlet'!G60</f>
        <v>1.0656270305393112</v>
      </c>
      <c r="AD60" s="170">
        <f>'Pencapaian Active Outlet'!I60</f>
        <v>0</v>
      </c>
      <c r="AE60" s="269">
        <f>'Pencapaian Item per Outlet'!G60</f>
        <v>0.8829268292682928</v>
      </c>
      <c r="AF60" s="15">
        <f>'Pencapaian Item per Outlet'!I60</f>
        <v>20000</v>
      </c>
      <c r="AG60" s="255">
        <f>'Pencapaian Product Display'!G60</f>
        <v>0</v>
      </c>
      <c r="AH60" s="170">
        <f>'Pencapaian Product Display'!I60</f>
        <v>0</v>
      </c>
      <c r="AI60" s="255">
        <f>'Pencapaian Sales Contract'!G60</f>
        <v>0</v>
      </c>
      <c r="AJ60" s="170">
        <f>'Pencapaian Sales Contract'!I60</f>
        <v>0</v>
      </c>
      <c r="AK60" s="255">
        <f>'Pencapaian Co-Branding'!G60</f>
        <v>0</v>
      </c>
      <c r="AL60" s="170">
        <f>'Pencapaian Co-Branding'!I60</f>
        <v>0</v>
      </c>
      <c r="AM60" s="255">
        <f>'Pencapaian Join Event Activity'!G60</f>
        <v>0</v>
      </c>
      <c r="AN60" s="170">
        <f>'Pencapaian Join Event Activity'!I60</f>
        <v>0</v>
      </c>
      <c r="AO60" s="15">
        <f t="shared" si="40"/>
        <v>945000</v>
      </c>
      <c r="AP60" s="13">
        <v>0</v>
      </c>
      <c r="AQ60" s="15">
        <f t="shared" si="37"/>
        <v>0</v>
      </c>
      <c r="AR60" s="13">
        <v>0</v>
      </c>
      <c r="AS60" s="15">
        <f t="shared" si="38"/>
        <v>0</v>
      </c>
      <c r="AT60" s="15">
        <f t="shared" si="39"/>
        <v>945000</v>
      </c>
      <c r="AU60" s="15">
        <f>AT60*55%</f>
        <v>519750.00000000006</v>
      </c>
      <c r="AV60" s="15">
        <f>AT60*45%</f>
        <v>425250</v>
      </c>
    </row>
    <row r="61" spans="2:48" ht="17" thickTop="1" x14ac:dyDescent="0.2">
      <c r="C61" s="1"/>
      <c r="D61" s="1"/>
      <c r="E61" s="1"/>
      <c r="F61" s="1"/>
      <c r="G61" s="1"/>
      <c r="H61" s="1"/>
      <c r="I61" s="1"/>
      <c r="J61" s="1"/>
      <c r="O61" s="3"/>
      <c r="P61" s="397"/>
      <c r="Q61" s="52" t="s">
        <v>373</v>
      </c>
      <c r="R61" s="52" t="s">
        <v>268</v>
      </c>
      <c r="S61" s="12" t="s">
        <v>468</v>
      </c>
      <c r="T61" s="269">
        <f>'Pencapaian Sales Value'!G61</f>
        <v>0.52143946355958903</v>
      </c>
      <c r="U61" s="15">
        <f>'Pencapaian Sales Value'!I61</f>
        <v>0</v>
      </c>
      <c r="V61" s="304">
        <f>'Pencapaian Product Focus'!H61</f>
        <v>0</v>
      </c>
      <c r="W61" s="304">
        <f>'Pencapaian Product Focus'!L61</f>
        <v>0</v>
      </c>
      <c r="X61" s="178">
        <f>'Pencapaian Product Focus'!N61</f>
        <v>0</v>
      </c>
      <c r="Y61" s="304">
        <f>'Pencapaian Effective Call'!G61</f>
        <v>0</v>
      </c>
      <c r="Z61" s="178">
        <f>'Pencapaian Effective Call'!I61</f>
        <v>0</v>
      </c>
      <c r="AA61" s="269">
        <f>'Pencapaian New Open Outlet'!G61</f>
        <v>0.35</v>
      </c>
      <c r="AB61" s="15">
        <f>'Pencapaian New Open Outlet'!I61</f>
        <v>0</v>
      </c>
      <c r="AC61" s="269">
        <f>'Pencapaian Active Outlet'!G61</f>
        <v>0.95906432748538006</v>
      </c>
      <c r="AD61" s="15">
        <f>'Pencapaian Active Outlet'!I61</f>
        <v>98000</v>
      </c>
      <c r="AE61" s="272">
        <f>'Pencapaian Item per Outlet'!G61</f>
        <v>0</v>
      </c>
      <c r="AF61" s="261">
        <f>'Pencapaian Item per Outlet'!I61</f>
        <v>0</v>
      </c>
      <c r="AG61" s="255">
        <f>'Pencapaian Product Display'!G61</f>
        <v>0</v>
      </c>
      <c r="AH61" s="170">
        <f>'Pencapaian Product Display'!I61</f>
        <v>0</v>
      </c>
      <c r="AI61" s="269">
        <f>'Pencapaian Sales Contract'!G61</f>
        <v>0</v>
      </c>
      <c r="AJ61" s="15">
        <f>'Pencapaian Sales Contract'!I61</f>
        <v>0</v>
      </c>
      <c r="AK61" s="269">
        <f>'Pencapaian Co-Branding'!G61</f>
        <v>0</v>
      </c>
      <c r="AL61" s="15">
        <f>'Pencapaian Co-Branding'!I61</f>
        <v>0</v>
      </c>
      <c r="AM61" s="255">
        <f>'Pencapaian Join Event Activity'!G61</f>
        <v>0</v>
      </c>
      <c r="AN61" s="170">
        <f>'Pencapaian Join Event Activity'!I61</f>
        <v>0</v>
      </c>
      <c r="AO61" s="15">
        <f t="shared" si="40"/>
        <v>98000</v>
      </c>
      <c r="AP61" s="13">
        <v>0</v>
      </c>
      <c r="AQ61" s="15">
        <f t="shared" si="37"/>
        <v>0</v>
      </c>
      <c r="AR61" s="13">
        <v>0</v>
      </c>
      <c r="AS61" s="15">
        <f t="shared" si="38"/>
        <v>0</v>
      </c>
      <c r="AT61" s="15">
        <f t="shared" si="39"/>
        <v>98000</v>
      </c>
      <c r="AU61" s="15">
        <f>AT61</f>
        <v>98000</v>
      </c>
      <c r="AV61" s="15">
        <v>0</v>
      </c>
    </row>
    <row r="62" spans="2:48" ht="16" x14ac:dyDescent="0.2">
      <c r="C62" s="1"/>
      <c r="D62" s="1"/>
      <c r="E62" s="1"/>
      <c r="F62" s="1"/>
      <c r="G62" s="1"/>
      <c r="H62" s="1"/>
      <c r="I62" s="1"/>
      <c r="J62" s="1"/>
      <c r="O62" s="3"/>
      <c r="P62" s="397"/>
      <c r="Q62" s="78"/>
      <c r="R62" s="78" t="s">
        <v>177</v>
      </c>
      <c r="S62" s="64" t="s">
        <v>20</v>
      </c>
      <c r="T62" s="258">
        <f>'Pencapaian Sales Value'!G62</f>
        <v>0.91155863018281413</v>
      </c>
      <c r="U62" s="63">
        <f>'Pencapaian Sales Value'!I62</f>
        <v>336000</v>
      </c>
      <c r="V62" s="258">
        <f>'Pencapaian Product Focus'!H62</f>
        <v>0.84208333333333329</v>
      </c>
      <c r="W62" s="258">
        <f>'Pencapaian Product Focus'!L62</f>
        <v>0.68500000000000005</v>
      </c>
      <c r="X62" s="63">
        <f>'Pencapaian Product Focus'!N62</f>
        <v>54000</v>
      </c>
      <c r="Y62" s="257">
        <f>'Pencapaian Effective Call'!G62</f>
        <v>1.0171428571428571</v>
      </c>
      <c r="Z62" s="189">
        <f>'Pencapaian Effective Call'!I62</f>
        <v>0</v>
      </c>
      <c r="AA62" s="271">
        <f>'Pencapaian New Open Outlet'!G62</f>
        <v>0.1953648726297644</v>
      </c>
      <c r="AB62" s="189">
        <f>'Pencapaian New Open Outlet'!I62</f>
        <v>0</v>
      </c>
      <c r="AC62" s="258">
        <f>'Pencapaian Active Outlet'!G62</f>
        <v>1.0526315789473686</v>
      </c>
      <c r="AD62" s="63">
        <f>'Pencapaian Active Outlet'!I62</f>
        <v>240000</v>
      </c>
      <c r="AE62" s="258">
        <f>'Pencapaian Item per Outlet'!G62</f>
        <v>0.65231755235711675</v>
      </c>
      <c r="AF62" s="63">
        <f>'Pencapaian Item per Outlet'!I62</f>
        <v>0</v>
      </c>
      <c r="AG62" s="297">
        <f>'Pencapaian Product Display'!G62</f>
        <v>0</v>
      </c>
      <c r="AH62" s="314">
        <f>'Pencapaian Product Display'!I62</f>
        <v>0</v>
      </c>
      <c r="AI62" s="306">
        <f>'Pencapaian Sales Contract'!G62</f>
        <v>0</v>
      </c>
      <c r="AJ62" s="152">
        <f>'Pencapaian Sales Contract'!I62</f>
        <v>0</v>
      </c>
      <c r="AK62" s="306">
        <f>'Pencapaian Co-Branding'!G62</f>
        <v>0</v>
      </c>
      <c r="AL62" s="152">
        <f>'Pencapaian Co-Branding'!I62</f>
        <v>0</v>
      </c>
      <c r="AM62" s="297">
        <f>'Pencapaian Join Event Activity'!G62</f>
        <v>0</v>
      </c>
      <c r="AN62" s="314">
        <f>'Pencapaian Join Event Activity'!I62</f>
        <v>0</v>
      </c>
      <c r="AO62" s="63">
        <f t="shared" si="40"/>
        <v>630000</v>
      </c>
      <c r="AP62" s="110">
        <v>0</v>
      </c>
      <c r="AQ62" s="63">
        <f t="shared" si="37"/>
        <v>0</v>
      </c>
      <c r="AR62" s="110">
        <v>0</v>
      </c>
      <c r="AS62" s="63">
        <f t="shared" si="38"/>
        <v>0</v>
      </c>
      <c r="AT62" s="63">
        <f t="shared" si="39"/>
        <v>630000</v>
      </c>
      <c r="AU62" s="63">
        <f>AT62</f>
        <v>630000</v>
      </c>
      <c r="AV62" s="63">
        <v>0</v>
      </c>
    </row>
    <row r="63" spans="2:48" ht="16" x14ac:dyDescent="0.2">
      <c r="C63" s="1"/>
      <c r="D63" s="1"/>
      <c r="E63" s="1"/>
      <c r="F63" s="1"/>
      <c r="G63" s="1"/>
      <c r="H63" s="1"/>
      <c r="I63" s="1"/>
      <c r="J63" s="1"/>
      <c r="K63" s="29" t="s">
        <v>88</v>
      </c>
      <c r="L63" s="130">
        <f>SUM(N60,N54,N33,N23,N16,N8)</f>
        <v>38696750</v>
      </c>
      <c r="M63" s="30"/>
      <c r="N63" s="31"/>
      <c r="O63" s="3"/>
      <c r="P63" s="397"/>
      <c r="Q63" s="52" t="s">
        <v>374</v>
      </c>
      <c r="R63" s="52" t="s">
        <v>249</v>
      </c>
      <c r="S63" s="12" t="s">
        <v>471</v>
      </c>
      <c r="T63" s="269">
        <f>'Pencapaian Sales Value'!G63</f>
        <v>0.84277090909090913</v>
      </c>
      <c r="U63" s="15">
        <f>'Pencapaian Sales Value'!I63</f>
        <v>180000</v>
      </c>
      <c r="V63" s="269">
        <f>'Pencapaian Product Focus'!H63</f>
        <v>0.54166666666666663</v>
      </c>
      <c r="W63" s="269">
        <f>'Pencapaian Product Focus'!L63</f>
        <v>0.08</v>
      </c>
      <c r="X63" s="15">
        <f>'Pencapaian Product Focus'!N63</f>
        <v>0</v>
      </c>
      <c r="Y63" s="269" t="e">
        <f>'Pencapaian Effective Call'!G63</f>
        <v>#DIV/0!</v>
      </c>
      <c r="Z63" s="15">
        <f>'Pencapaian Effective Call'!I63</f>
        <v>0</v>
      </c>
      <c r="AA63" s="255">
        <f>'Pencapaian New Open Outlet'!G63</f>
        <v>0</v>
      </c>
      <c r="AB63" s="170">
        <f>'Pencapaian New Open Outlet'!I63</f>
        <v>0</v>
      </c>
      <c r="AC63" s="255" t="e">
        <f>'Pencapaian Active Outlet'!G63</f>
        <v>#DIV/0!</v>
      </c>
      <c r="AD63" s="170">
        <f>'Pencapaian Active Outlet'!I63</f>
        <v>0</v>
      </c>
      <c r="AE63" s="269">
        <f>'Pencapaian Item per Outlet'!G63</f>
        <v>0.47499999999999998</v>
      </c>
      <c r="AF63" s="15">
        <f>'Pencapaian Item per Outlet'!I63</f>
        <v>0</v>
      </c>
      <c r="AG63" s="255">
        <f>'Pencapaian Product Display'!G63</f>
        <v>0</v>
      </c>
      <c r="AH63" s="170">
        <f>'Pencapaian Product Display'!I63</f>
        <v>0</v>
      </c>
      <c r="AI63" s="255">
        <f>'Pencapaian Sales Contract'!G63</f>
        <v>0</v>
      </c>
      <c r="AJ63" s="170">
        <f>'Pencapaian Sales Contract'!I63</f>
        <v>0</v>
      </c>
      <c r="AK63" s="255">
        <f>'Pencapaian Co-Branding'!G63</f>
        <v>0</v>
      </c>
      <c r="AL63" s="170">
        <f>'Pencapaian Co-Branding'!I63</f>
        <v>0</v>
      </c>
      <c r="AM63" s="255">
        <f>'Pencapaian Join Event Activity'!G63</f>
        <v>0</v>
      </c>
      <c r="AN63" s="170">
        <f>'Pencapaian Join Event Activity'!I63</f>
        <v>0</v>
      </c>
      <c r="AO63" s="15">
        <f t="shared" si="40"/>
        <v>180000</v>
      </c>
      <c r="AP63" s="13">
        <v>0</v>
      </c>
      <c r="AQ63" s="15">
        <f t="shared" si="37"/>
        <v>0</v>
      </c>
      <c r="AR63" s="13">
        <v>0</v>
      </c>
      <c r="AS63" s="15">
        <f t="shared" si="38"/>
        <v>0</v>
      </c>
      <c r="AT63" s="15">
        <f t="shared" si="39"/>
        <v>180000</v>
      </c>
      <c r="AU63" s="15">
        <f t="shared" ref="AU63" si="43">AT63*70%</f>
        <v>125999.99999999999</v>
      </c>
      <c r="AV63" s="15">
        <f t="shared" ref="AV63" si="44">AT63*30%</f>
        <v>54000</v>
      </c>
    </row>
    <row r="64" spans="2:48" ht="16" x14ac:dyDescent="0.2">
      <c r="C64" s="1"/>
      <c r="D64" s="1"/>
      <c r="E64" s="1"/>
      <c r="F64" s="1"/>
      <c r="G64" s="1"/>
      <c r="H64" s="1"/>
      <c r="I64" s="1"/>
      <c r="J64" s="1"/>
      <c r="K64" s="1" t="s">
        <v>84</v>
      </c>
      <c r="L64" s="131">
        <f>'Pencapaian ASM'!M7</f>
        <v>3002500</v>
      </c>
      <c r="M64" s="1"/>
      <c r="N64" s="3"/>
      <c r="O64" s="3"/>
      <c r="P64" s="397"/>
      <c r="Q64" s="73"/>
      <c r="R64" s="73" t="s">
        <v>30</v>
      </c>
      <c r="S64" s="41"/>
      <c r="T64" s="273">
        <f>'Pencapaian Sales Value'!G64</f>
        <v>0.86073580391585169</v>
      </c>
      <c r="U64" s="39">
        <f>'Pencapaian Sales Value'!I64</f>
        <v>3057000</v>
      </c>
      <c r="V64" s="273">
        <f>'Pencapaian Product Focus'!H64</f>
        <v>0.75020833333333337</v>
      </c>
      <c r="W64" s="273">
        <f>'Pencapaian Product Focus'!L64</f>
        <v>0.63037974683544307</v>
      </c>
      <c r="X64" s="39">
        <f>'Pencapaian Product Focus'!N64</f>
        <v>316500</v>
      </c>
      <c r="Y64" s="273">
        <f>'Pencapaian Effective Call'!G64</f>
        <v>0.9922352941176471</v>
      </c>
      <c r="Z64" s="39">
        <f>'Pencapaian Effective Call'!I64</f>
        <v>930000</v>
      </c>
      <c r="AA64" s="263">
        <f>'Pencapaian New Open Outlet'!G64</f>
        <v>0.19415680473372782</v>
      </c>
      <c r="AB64" s="227">
        <f>'Pencapaian New Open Outlet'!I64</f>
        <v>0</v>
      </c>
      <c r="AC64" s="264">
        <f>'Pencapaian Active Outlet'!G64</f>
        <v>1.0290043995437512</v>
      </c>
      <c r="AD64" s="23">
        <f>'Pencapaian Active Outlet'!I64</f>
        <v>578000</v>
      </c>
      <c r="AE64" s="273">
        <f>'Pencapaian Item per Outlet'!G64</f>
        <v>0.54872827228894328</v>
      </c>
      <c r="AF64" s="39">
        <f>'Pencapaian Item per Outlet'!I64</f>
        <v>20000</v>
      </c>
      <c r="AG64" s="308">
        <f>'Pencapaian Product Display'!G64</f>
        <v>0</v>
      </c>
      <c r="AH64" s="315">
        <f>'Pencapaian Product Display'!I64</f>
        <v>0</v>
      </c>
      <c r="AI64" s="263">
        <f>'Pencapaian Sales Contract'!G64</f>
        <v>0</v>
      </c>
      <c r="AJ64" s="148">
        <f>'Pencapaian Sales Contract'!I64</f>
        <v>0</v>
      </c>
      <c r="AK64" s="263">
        <f>'Pencapaian Co-Branding'!G64</f>
        <v>0</v>
      </c>
      <c r="AL64" s="148">
        <f>'Pencapaian Co-Branding'!I64</f>
        <v>0</v>
      </c>
      <c r="AM64" s="308">
        <f>'Pencapaian Join Event Activity'!G64</f>
        <v>0</v>
      </c>
      <c r="AN64" s="315">
        <f>'Pencapaian Join Event Activity'!I64</f>
        <v>0</v>
      </c>
      <c r="AO64" s="39">
        <f t="shared" si="40"/>
        <v>4901500</v>
      </c>
      <c r="AP64" s="111">
        <v>0</v>
      </c>
      <c r="AQ64" s="39">
        <f>SUM(AQ50:AQ63)</f>
        <v>0</v>
      </c>
      <c r="AR64" s="111">
        <v>0</v>
      </c>
      <c r="AS64" s="39">
        <f>SUM(AS50:AS63)</f>
        <v>0</v>
      </c>
      <c r="AT64" s="39">
        <f t="shared" si="39"/>
        <v>4901500</v>
      </c>
      <c r="AU64" s="39">
        <f t="shared" ref="AU64:AV64" si="45">SUM(AU50:AU63)</f>
        <v>3535750</v>
      </c>
      <c r="AV64" s="39">
        <f t="shared" si="45"/>
        <v>1365750</v>
      </c>
    </row>
    <row r="65" spans="2:48" ht="16" x14ac:dyDescent="0.2">
      <c r="C65" s="1"/>
      <c r="D65" s="1"/>
      <c r="E65" s="1"/>
      <c r="F65" s="1"/>
      <c r="G65" s="1"/>
      <c r="H65" s="1"/>
      <c r="I65" s="1"/>
      <c r="J65" s="1"/>
      <c r="K65" s="1"/>
      <c r="L65" s="132">
        <f>SUM(L63:L64)</f>
        <v>41699250</v>
      </c>
      <c r="M65" s="1"/>
      <c r="N65" s="3"/>
      <c r="O65" s="3"/>
      <c r="P65" s="397" t="s">
        <v>59</v>
      </c>
      <c r="Q65" s="52" t="s">
        <v>375</v>
      </c>
      <c r="R65" s="52" t="s">
        <v>211</v>
      </c>
      <c r="S65" s="12" t="s">
        <v>470</v>
      </c>
      <c r="T65" s="269">
        <f>'Pencapaian Sales Value'!G65</f>
        <v>0.71110568750000003</v>
      </c>
      <c r="U65" s="15">
        <f>'Pencapaian Sales Value'!I65</f>
        <v>82500</v>
      </c>
      <c r="V65" s="269">
        <f>'Pencapaian Product Focus'!H65</f>
        <v>0.64470588235294113</v>
      </c>
      <c r="W65" s="269">
        <f>'Pencapaian Product Focus'!L65</f>
        <v>1</v>
      </c>
      <c r="X65" s="15">
        <f>'Pencapaian Product Focus'!N65</f>
        <v>66000</v>
      </c>
      <c r="Y65" s="269">
        <f>'Pencapaian Effective Call'!G65</f>
        <v>0.79294117647058826</v>
      </c>
      <c r="Z65" s="15">
        <f>'Pencapaian Effective Call'!I65</f>
        <v>24750</v>
      </c>
      <c r="AA65" s="269">
        <f>'Pencapaian New Open Outlet'!G65</f>
        <v>9.5465393794749456E-2</v>
      </c>
      <c r="AB65" s="15">
        <f>'Pencapaian New Open Outlet'!I65</f>
        <v>0</v>
      </c>
      <c r="AC65" s="255">
        <f>'Pencapaian Active Outlet'!G65</f>
        <v>0.69412662090007626</v>
      </c>
      <c r="AD65" s="170">
        <f>'Pencapaian Active Outlet'!I65</f>
        <v>0</v>
      </c>
      <c r="AE65" s="272">
        <f>'Pencapaian Item per Outlet'!G65</f>
        <v>0</v>
      </c>
      <c r="AF65" s="261">
        <f>'Pencapaian Item per Outlet'!I65</f>
        <v>0</v>
      </c>
      <c r="AG65" s="272">
        <f>'Pencapaian Product Display'!G65</f>
        <v>0</v>
      </c>
      <c r="AH65" s="261">
        <f>'Pencapaian Product Display'!I65</f>
        <v>0</v>
      </c>
      <c r="AI65" s="255">
        <f>'Pencapaian Sales Contract'!G65</f>
        <v>0</v>
      </c>
      <c r="AJ65" s="170">
        <f>'Pencapaian Sales Contract'!I65</f>
        <v>0</v>
      </c>
      <c r="AK65" s="255">
        <f>'Pencapaian Co-Branding'!G65</f>
        <v>0</v>
      </c>
      <c r="AL65" s="170">
        <f>'Pencapaian Co-Branding'!I65</f>
        <v>0</v>
      </c>
      <c r="AM65" s="272">
        <f>'Pencapaian Join Event Activity'!G65</f>
        <v>0</v>
      </c>
      <c r="AN65" s="261">
        <f>'Pencapaian Join Event Activity'!I65</f>
        <v>0</v>
      </c>
      <c r="AO65" s="15">
        <f t="shared" si="40"/>
        <v>173250</v>
      </c>
      <c r="AP65" s="13">
        <v>2.3510921504196237E-3</v>
      </c>
      <c r="AQ65" s="15">
        <f t="shared" ref="AQ65:AQ70" si="46">IF(AP65&gt;=0.5%,-(AO65*10%),0)</f>
        <v>0</v>
      </c>
      <c r="AR65" s="13">
        <v>0</v>
      </c>
      <c r="AS65" s="15">
        <f t="shared" ref="AS65:AS70" si="47">IF(AR65&gt;0,-(AO65+AQ65),0)</f>
        <v>0</v>
      </c>
      <c r="AT65" s="15">
        <f t="shared" si="39"/>
        <v>173250</v>
      </c>
      <c r="AU65" s="15">
        <f>AT65</f>
        <v>173250</v>
      </c>
      <c r="AV65" s="15">
        <v>0</v>
      </c>
    </row>
    <row r="66" spans="2:48" ht="16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  <c r="O66" s="3"/>
      <c r="P66" s="397"/>
      <c r="Q66" s="52" t="s">
        <v>376</v>
      </c>
      <c r="R66" s="52" t="s">
        <v>145</v>
      </c>
      <c r="S66" s="12" t="s">
        <v>18</v>
      </c>
      <c r="T66" s="269">
        <f>'Pencapaian Sales Value'!G66</f>
        <v>0.87298369415384613</v>
      </c>
      <c r="U66" s="15">
        <f>'Pencapaian Sales Value'!I66</f>
        <v>225000</v>
      </c>
      <c r="V66" s="269">
        <f>'Pencapaian Product Focus'!H66</f>
        <v>1.028888888888889</v>
      </c>
      <c r="W66" s="269">
        <f>'Pencapaian Product Focus'!L66</f>
        <v>1.016</v>
      </c>
      <c r="X66" s="15">
        <f>'Pencapaian Product Focus'!N66</f>
        <v>180000</v>
      </c>
      <c r="Y66" s="269">
        <f>'Pencapaian Effective Call'!G66</f>
        <v>0.86571428571428577</v>
      </c>
      <c r="Z66" s="15">
        <f>'Pencapaian Effective Call'!I66</f>
        <v>67500</v>
      </c>
      <c r="AA66" s="269">
        <f>'Pencapaian New Open Outlet'!G66</f>
        <v>0.20408163265306123</v>
      </c>
      <c r="AB66" s="15">
        <f>'Pencapaian New Open Outlet'!I66</f>
        <v>0</v>
      </c>
      <c r="AC66" s="255">
        <f>'Pencapaian Active Outlet'!G66</f>
        <v>0.92520775623268703</v>
      </c>
      <c r="AD66" s="170">
        <f>'Pencapaian Active Outlet'!I66</f>
        <v>0</v>
      </c>
      <c r="AE66" s="272">
        <f>'Pencapaian Item per Outlet'!G66</f>
        <v>0</v>
      </c>
      <c r="AF66" s="261">
        <f>'Pencapaian Item per Outlet'!I66</f>
        <v>0</v>
      </c>
      <c r="AG66" s="272">
        <f>'Pencapaian Product Display'!G66</f>
        <v>0</v>
      </c>
      <c r="AH66" s="261">
        <f>'Pencapaian Product Display'!I66</f>
        <v>0</v>
      </c>
      <c r="AI66" s="255">
        <f>'Pencapaian Sales Contract'!G66</f>
        <v>0</v>
      </c>
      <c r="AJ66" s="170">
        <f>'Pencapaian Sales Contract'!I66</f>
        <v>0</v>
      </c>
      <c r="AK66" s="255">
        <f>'Pencapaian Co-Branding'!G66</f>
        <v>0</v>
      </c>
      <c r="AL66" s="170">
        <f>'Pencapaian Co-Branding'!I66</f>
        <v>0</v>
      </c>
      <c r="AM66" s="272">
        <f>'Pencapaian Join Event Activity'!G66</f>
        <v>0</v>
      </c>
      <c r="AN66" s="261">
        <f>'Pencapaian Join Event Activity'!I66</f>
        <v>0</v>
      </c>
      <c r="AO66" s="15">
        <f t="shared" si="40"/>
        <v>472500</v>
      </c>
      <c r="AP66" s="13">
        <v>0</v>
      </c>
      <c r="AQ66" s="15">
        <f t="shared" si="46"/>
        <v>0</v>
      </c>
      <c r="AR66" s="13">
        <v>0</v>
      </c>
      <c r="AS66" s="15">
        <f t="shared" si="47"/>
        <v>0</v>
      </c>
      <c r="AT66" s="15">
        <f t="shared" si="39"/>
        <v>472500</v>
      </c>
      <c r="AU66" s="15">
        <f t="shared" ref="AU66:AU67" si="48">AT66*70%</f>
        <v>330750</v>
      </c>
      <c r="AV66" s="15">
        <f t="shared" ref="AV66:AV67" si="49">AT66*30%</f>
        <v>141750</v>
      </c>
    </row>
    <row r="67" spans="2:48" ht="16" x14ac:dyDescent="0.2">
      <c r="C67" s="1"/>
      <c r="D67" s="1"/>
      <c r="E67" s="1"/>
      <c r="F67" s="1"/>
      <c r="G67" s="1"/>
      <c r="H67" s="1"/>
      <c r="I67" s="1"/>
      <c r="J67" s="1"/>
      <c r="K67" s="29" t="s">
        <v>78</v>
      </c>
      <c r="L67" s="29"/>
      <c r="M67" s="2">
        <f>'Pencapaian Sales Value'!I340</f>
        <v>18617500</v>
      </c>
      <c r="N67" s="3"/>
      <c r="O67" s="3"/>
      <c r="P67" s="397"/>
      <c r="Q67" s="52" t="s">
        <v>377</v>
      </c>
      <c r="R67" s="52" t="s">
        <v>287</v>
      </c>
      <c r="S67" s="12" t="s">
        <v>18</v>
      </c>
      <c r="T67" s="269">
        <f>'Pencapaian Sales Value'!G67</f>
        <v>0.71329625105075856</v>
      </c>
      <c r="U67" s="15">
        <f>'Pencapaian Sales Value'!I67</f>
        <v>112500</v>
      </c>
      <c r="V67" s="269">
        <f>'Pencapaian Product Focus'!H67</f>
        <v>0.4</v>
      </c>
      <c r="W67" s="269">
        <f>'Pencapaian Product Focus'!L67</f>
        <v>0.66666666666666663</v>
      </c>
      <c r="X67" s="15">
        <f>'Pencapaian Product Focus'!N67</f>
        <v>0</v>
      </c>
      <c r="Y67" s="269">
        <f>'Pencapaian Effective Call'!G67</f>
        <v>0.88500000000000001</v>
      </c>
      <c r="Z67" s="15">
        <f>'Pencapaian Effective Call'!I67</f>
        <v>67500</v>
      </c>
      <c r="AA67" s="269">
        <f>'Pencapaian New Open Outlet'!G67</f>
        <v>0</v>
      </c>
      <c r="AB67" s="15">
        <f>'Pencapaian New Open Outlet'!I67</f>
        <v>0</v>
      </c>
      <c r="AC67" s="255">
        <f>'Pencapaian Active Outlet'!G67</f>
        <v>0.88324258923169996</v>
      </c>
      <c r="AD67" s="170">
        <f>'Pencapaian Active Outlet'!I67</f>
        <v>0</v>
      </c>
      <c r="AE67" s="272">
        <f>'Pencapaian Item per Outlet'!G67</f>
        <v>0</v>
      </c>
      <c r="AF67" s="261">
        <f>'Pencapaian Item per Outlet'!I67</f>
        <v>0</v>
      </c>
      <c r="AG67" s="272">
        <f>'Pencapaian Product Display'!G67</f>
        <v>0</v>
      </c>
      <c r="AH67" s="261">
        <f>'Pencapaian Product Display'!I67</f>
        <v>0</v>
      </c>
      <c r="AI67" s="255">
        <f>'Pencapaian Sales Contract'!G67</f>
        <v>0</v>
      </c>
      <c r="AJ67" s="170">
        <f>'Pencapaian Sales Contract'!I67</f>
        <v>0</v>
      </c>
      <c r="AK67" s="255">
        <f>'Pencapaian Co-Branding'!G67</f>
        <v>0</v>
      </c>
      <c r="AL67" s="170">
        <f>'Pencapaian Co-Branding'!I67</f>
        <v>0</v>
      </c>
      <c r="AM67" s="272">
        <f>'Pencapaian Join Event Activity'!G67</f>
        <v>0</v>
      </c>
      <c r="AN67" s="261">
        <f>'Pencapaian Join Event Activity'!I67</f>
        <v>0</v>
      </c>
      <c r="AO67" s="15">
        <f t="shared" si="40"/>
        <v>180000</v>
      </c>
      <c r="AP67" s="13">
        <v>1.0811471165576486E-2</v>
      </c>
      <c r="AQ67" s="15">
        <f t="shared" si="46"/>
        <v>-18000</v>
      </c>
      <c r="AR67" s="13">
        <v>6.3604987628884972E-3</v>
      </c>
      <c r="AS67" s="15">
        <f t="shared" si="47"/>
        <v>-162000</v>
      </c>
      <c r="AT67" s="15">
        <f t="shared" si="39"/>
        <v>0</v>
      </c>
      <c r="AU67" s="15">
        <f t="shared" si="48"/>
        <v>0</v>
      </c>
      <c r="AV67" s="15">
        <f t="shared" si="49"/>
        <v>0</v>
      </c>
    </row>
    <row r="68" spans="2:48" ht="16" x14ac:dyDescent="0.2">
      <c r="C68" s="1"/>
      <c r="D68" s="1"/>
      <c r="E68" s="1"/>
      <c r="F68" s="1"/>
      <c r="G68" s="1"/>
      <c r="H68" s="1"/>
      <c r="I68" s="1"/>
      <c r="J68" s="1"/>
      <c r="K68" s="29" t="s">
        <v>80</v>
      </c>
      <c r="L68" s="29"/>
      <c r="M68" s="2">
        <f>'Pencapaian Sales Value'!I341</f>
        <v>5062000</v>
      </c>
      <c r="N68" s="3"/>
      <c r="O68" s="3"/>
      <c r="P68" s="397"/>
      <c r="Q68" s="52" t="s">
        <v>379</v>
      </c>
      <c r="R68" s="52" t="s">
        <v>380</v>
      </c>
      <c r="S68" s="12" t="s">
        <v>469</v>
      </c>
      <c r="T68" s="269">
        <f>'Pencapaian Sales Value'!G68</f>
        <v>0.59131893666666657</v>
      </c>
      <c r="U68" s="15">
        <f>'Pencapaian Sales Value'!I68</f>
        <v>0</v>
      </c>
      <c r="V68" s="269">
        <f>'Pencapaian Product Focus'!H68</f>
        <v>0.54583333333333339</v>
      </c>
      <c r="W68" s="269">
        <f>'Pencapaian Product Focus'!L68</f>
        <v>0.4</v>
      </c>
      <c r="X68" s="15">
        <f>'Pencapaian Product Focus'!N68</f>
        <v>0</v>
      </c>
      <c r="Y68" s="269">
        <f>'Pencapaian Effective Call'!G68</f>
        <v>6.6666666666666666E-2</v>
      </c>
      <c r="Z68" s="15">
        <f>'Pencapaian Effective Call'!I68</f>
        <v>0</v>
      </c>
      <c r="AA68" s="269">
        <f>'Pencapaian New Open Outlet'!G68</f>
        <v>0</v>
      </c>
      <c r="AB68" s="15">
        <f>'Pencapaian New Open Outlet'!I68</f>
        <v>0</v>
      </c>
      <c r="AC68" s="269">
        <f>'Pencapaian Active Outlet'!G68</f>
        <v>0.8521303258145364</v>
      </c>
      <c r="AD68" s="15">
        <f>'Pencapaian Active Outlet'!I68</f>
        <v>0</v>
      </c>
      <c r="AE68" s="269">
        <f>'Pencapaian Item per Outlet'!G68</f>
        <v>0.50909090909090904</v>
      </c>
      <c r="AF68" s="15">
        <f>'Pencapaian Item per Outlet'!I68</f>
        <v>0</v>
      </c>
      <c r="AG68" s="272">
        <f>'Pencapaian Product Display'!G68</f>
        <v>0</v>
      </c>
      <c r="AH68" s="261">
        <f>'Pencapaian Product Display'!I68</f>
        <v>0</v>
      </c>
      <c r="AI68" s="255">
        <f>'Pencapaian Sales Contract'!G68</f>
        <v>0</v>
      </c>
      <c r="AJ68" s="170">
        <f>'Pencapaian Sales Contract'!I68</f>
        <v>0</v>
      </c>
      <c r="AK68" s="255">
        <f>'Pencapaian Co-Branding'!G68</f>
        <v>0</v>
      </c>
      <c r="AL68" s="170">
        <f>'Pencapaian Co-Branding'!I68</f>
        <v>0</v>
      </c>
      <c r="AM68" s="272">
        <f>'Pencapaian Join Event Activity'!G68</f>
        <v>0</v>
      </c>
      <c r="AN68" s="261">
        <f>'Pencapaian Join Event Activity'!I68</f>
        <v>0</v>
      </c>
      <c r="AO68" s="15">
        <f t="shared" si="40"/>
        <v>0</v>
      </c>
      <c r="AP68" s="13">
        <v>0.30601928803441386</v>
      </c>
      <c r="AQ68" s="15">
        <f t="shared" si="46"/>
        <v>0</v>
      </c>
      <c r="AR68" s="13">
        <v>1.0719877672782799E-2</v>
      </c>
      <c r="AS68" s="15">
        <f t="shared" si="47"/>
        <v>0</v>
      </c>
      <c r="AT68" s="15">
        <f t="shared" si="39"/>
        <v>0</v>
      </c>
      <c r="AU68" s="15">
        <f>AT68</f>
        <v>0</v>
      </c>
      <c r="AV68" s="15">
        <v>0</v>
      </c>
    </row>
    <row r="69" spans="2:48" ht="16" x14ac:dyDescent="0.2">
      <c r="C69" s="1"/>
      <c r="D69" s="1"/>
      <c r="E69" s="1"/>
      <c r="F69" s="1"/>
      <c r="G69" s="1"/>
      <c r="H69" s="1"/>
      <c r="I69" s="1"/>
      <c r="J69" s="1"/>
      <c r="K69" s="29" t="s">
        <v>138</v>
      </c>
      <c r="L69" s="29"/>
      <c r="M69" s="2">
        <f>'Pencapaian Sales Value'!I342</f>
        <v>4324500</v>
      </c>
      <c r="N69" s="3"/>
      <c r="O69" s="3"/>
      <c r="P69" s="397"/>
      <c r="Q69" s="52" t="s">
        <v>378</v>
      </c>
      <c r="R69" s="52" t="s">
        <v>210</v>
      </c>
      <c r="S69" s="12" t="s">
        <v>467</v>
      </c>
      <c r="T69" s="269">
        <f>'Pencapaian Sales Value'!G69</f>
        <v>0.41715999999999998</v>
      </c>
      <c r="U69" s="15">
        <f>'Pencapaian Sales Value'!I69</f>
        <v>0</v>
      </c>
      <c r="V69" s="304">
        <f>'Pencapaian Product Focus'!H69</f>
        <v>0</v>
      </c>
      <c r="W69" s="304">
        <f>'Pencapaian Product Focus'!L69</f>
        <v>0</v>
      </c>
      <c r="X69" s="178">
        <f>'Pencapaian Product Focus'!N69</f>
        <v>0</v>
      </c>
      <c r="Y69" s="304">
        <f>'Pencapaian Effective Call'!G69</f>
        <v>0</v>
      </c>
      <c r="Z69" s="178">
        <f>'Pencapaian Effective Call'!I69</f>
        <v>0</v>
      </c>
      <c r="AA69" s="269" t="e">
        <f>'Pencapaian New Open Outlet'!G69</f>
        <v>#DIV/0!</v>
      </c>
      <c r="AB69" s="15">
        <f>'Pencapaian New Open Outlet'!I69</f>
        <v>0</v>
      </c>
      <c r="AC69" s="269" t="e">
        <f>'Pencapaian Active Outlet'!G69</f>
        <v>#DIV/0!</v>
      </c>
      <c r="AD69" s="15">
        <f>'Pencapaian Active Outlet'!I69</f>
        <v>0</v>
      </c>
      <c r="AE69" s="272">
        <f>'Pencapaian Item per Outlet'!G69</f>
        <v>0</v>
      </c>
      <c r="AF69" s="261">
        <f>'Pencapaian Item per Outlet'!I69</f>
        <v>0</v>
      </c>
      <c r="AG69" s="272">
        <f>'Pencapaian Product Display'!G69</f>
        <v>0</v>
      </c>
      <c r="AH69" s="261">
        <f>'Pencapaian Product Display'!I69</f>
        <v>0</v>
      </c>
      <c r="AI69" s="255">
        <f>'Pencapaian Sales Contract'!G69</f>
        <v>0</v>
      </c>
      <c r="AJ69" s="170">
        <f>'Pencapaian Sales Contract'!I69</f>
        <v>0</v>
      </c>
      <c r="AK69" s="255">
        <f>'Pencapaian Co-Branding'!G69</f>
        <v>0</v>
      </c>
      <c r="AL69" s="170">
        <f>'Pencapaian Co-Branding'!I69</f>
        <v>0</v>
      </c>
      <c r="AM69" s="272">
        <f>'Pencapaian Join Event Activity'!G69</f>
        <v>0</v>
      </c>
      <c r="AN69" s="261">
        <f>'Pencapaian Join Event Activity'!I69</f>
        <v>0</v>
      </c>
      <c r="AO69" s="15">
        <f t="shared" si="40"/>
        <v>0</v>
      </c>
      <c r="AP69" s="13">
        <v>0</v>
      </c>
      <c r="AQ69" s="15">
        <f t="shared" si="46"/>
        <v>0</v>
      </c>
      <c r="AR69" s="13">
        <v>0</v>
      </c>
      <c r="AS69" s="15">
        <f t="shared" si="47"/>
        <v>0</v>
      </c>
      <c r="AT69" s="15">
        <f t="shared" si="39"/>
        <v>0</v>
      </c>
      <c r="AU69" s="15">
        <f>AT69</f>
        <v>0</v>
      </c>
      <c r="AV69" s="15">
        <v>0</v>
      </c>
    </row>
    <row r="70" spans="2:48" ht="16" x14ac:dyDescent="0.2">
      <c r="C70" s="1"/>
      <c r="D70" s="1"/>
      <c r="E70" s="1"/>
      <c r="F70" s="1"/>
      <c r="G70" s="1"/>
      <c r="H70" s="1"/>
      <c r="I70" s="1"/>
      <c r="J70" s="1"/>
      <c r="K70" s="29" t="s">
        <v>153</v>
      </c>
      <c r="L70" s="29"/>
      <c r="M70" s="2">
        <f>'Pencapaian Sales Value'!I343</f>
        <v>1949250</v>
      </c>
      <c r="N70" s="3"/>
      <c r="O70" s="3"/>
      <c r="P70" s="397"/>
      <c r="Q70" s="78"/>
      <c r="R70" s="78" t="s">
        <v>74</v>
      </c>
      <c r="S70" s="64" t="s">
        <v>20</v>
      </c>
      <c r="T70" s="258">
        <f>'Pencapaian Sales Value'!G70</f>
        <v>0.73837175952201439</v>
      </c>
      <c r="U70" s="63">
        <f>'Pencapaian Sales Value'!I70</f>
        <v>120000</v>
      </c>
      <c r="V70" s="258">
        <f>'Pencapaian Product Focus'!H70</f>
        <v>0.70340277777777782</v>
      </c>
      <c r="W70" s="258">
        <f>'Pencapaian Product Focus'!L70</f>
        <v>0.86799999999999999</v>
      </c>
      <c r="X70" s="63">
        <f>'Pencapaian Product Focus'!N70</f>
        <v>84000</v>
      </c>
      <c r="Y70" s="257">
        <f>'Pencapaian Effective Call'!G70</f>
        <v>0.65741935483870972</v>
      </c>
      <c r="Z70" s="189">
        <f>'Pencapaian Effective Call'!I70</f>
        <v>0</v>
      </c>
      <c r="AA70" s="258">
        <f>'Pencapaian New Open Outlet'!G70</f>
        <v>8.8407758231844838E-2</v>
      </c>
      <c r="AB70" s="63">
        <f>'Pencapaian New Open Outlet'!I70</f>
        <v>0</v>
      </c>
      <c r="AC70" s="258">
        <f>'Pencapaian Active Outlet'!G70</f>
        <v>0.85245901639344257</v>
      </c>
      <c r="AD70" s="63">
        <f>'Pencapaian Active Outlet'!I70</f>
        <v>108000</v>
      </c>
      <c r="AE70" s="268">
        <f>'Pencapaian Item per Outlet'!G70</f>
        <v>0.50909090909090904</v>
      </c>
      <c r="AF70" s="189">
        <f>'Pencapaian Item per Outlet'!I70</f>
        <v>0</v>
      </c>
      <c r="AG70" s="268">
        <f>'Pencapaian Product Display'!G70</f>
        <v>0</v>
      </c>
      <c r="AH70" s="189">
        <f>'Pencapaian Product Display'!I70</f>
        <v>0</v>
      </c>
      <c r="AI70" s="306">
        <f>'Pencapaian Sales Contract'!G70</f>
        <v>0</v>
      </c>
      <c r="AJ70" s="152">
        <f>'Pencapaian Sales Contract'!I70</f>
        <v>0</v>
      </c>
      <c r="AK70" s="306">
        <f>'Pencapaian Co-Branding'!G70</f>
        <v>0</v>
      </c>
      <c r="AL70" s="152">
        <f>'Pencapaian Co-Branding'!I70</f>
        <v>0</v>
      </c>
      <c r="AM70" s="268">
        <f>'Pencapaian Join Event Activity'!G70</f>
        <v>0</v>
      </c>
      <c r="AN70" s="189">
        <f>'Pencapaian Join Event Activity'!I70</f>
        <v>0</v>
      </c>
      <c r="AO70" s="63">
        <f t="shared" si="40"/>
        <v>312000</v>
      </c>
      <c r="AP70" s="110">
        <v>9.2738999771003923E-3</v>
      </c>
      <c r="AQ70" s="63">
        <f t="shared" si="46"/>
        <v>-31200</v>
      </c>
      <c r="AR70" s="110">
        <v>1.2804986884637401E-3</v>
      </c>
      <c r="AS70" s="63">
        <f t="shared" si="47"/>
        <v>-280800</v>
      </c>
      <c r="AT70" s="63">
        <f t="shared" si="39"/>
        <v>0</v>
      </c>
      <c r="AU70" s="63">
        <f>AT70</f>
        <v>0</v>
      </c>
      <c r="AV70" s="63">
        <v>0</v>
      </c>
    </row>
    <row r="71" spans="2:48" ht="16" x14ac:dyDescent="0.2">
      <c r="C71" s="1"/>
      <c r="D71" s="1"/>
      <c r="E71" s="1"/>
      <c r="F71" s="1"/>
      <c r="G71" s="1"/>
      <c r="H71" s="1"/>
      <c r="I71" s="1"/>
      <c r="J71" s="1"/>
      <c r="K71" s="29" t="s">
        <v>79</v>
      </c>
      <c r="L71" s="29"/>
      <c r="M71" s="2">
        <f>'Pencapaian Sales Value'!I344</f>
        <v>7007500</v>
      </c>
      <c r="N71" s="3"/>
      <c r="O71" s="3"/>
      <c r="P71" s="397"/>
      <c r="Q71" s="77"/>
      <c r="R71" s="77" t="s">
        <v>36</v>
      </c>
      <c r="S71" s="42"/>
      <c r="T71" s="264">
        <f>'Pencapaian Sales Value'!G71</f>
        <v>0.73837175952201439</v>
      </c>
      <c r="U71" s="23">
        <f>'Pencapaian Sales Value'!I71</f>
        <v>540000</v>
      </c>
      <c r="V71" s="264">
        <f>'Pencapaian Product Focus'!H71</f>
        <v>0.70340277777777782</v>
      </c>
      <c r="W71" s="264">
        <f>'Pencapaian Product Focus'!L71</f>
        <v>0.86799999999999999</v>
      </c>
      <c r="X71" s="23">
        <f>'Pencapaian Product Focus'!N71</f>
        <v>330000</v>
      </c>
      <c r="Y71" s="264">
        <f>'Pencapaian Effective Call'!G71</f>
        <v>0.65741935483870972</v>
      </c>
      <c r="Z71" s="23">
        <f>'Pencapaian Effective Call'!I71</f>
        <v>159750</v>
      </c>
      <c r="AA71" s="264">
        <f>'Pencapaian New Open Outlet'!G71</f>
        <v>8.8407758231844838E-2</v>
      </c>
      <c r="AB71" s="23">
        <f>'Pencapaian New Open Outlet'!I71</f>
        <v>0</v>
      </c>
      <c r="AC71" s="264">
        <f>'Pencapaian Active Outlet'!G71</f>
        <v>0.85245901639344257</v>
      </c>
      <c r="AD71" s="23">
        <f>'Pencapaian Active Outlet'!I71</f>
        <v>108000</v>
      </c>
      <c r="AE71" s="264">
        <f>'Pencapaian Item per Outlet'!G71</f>
        <v>0.50909090909090904</v>
      </c>
      <c r="AF71" s="23">
        <f>'Pencapaian Item per Outlet'!I71</f>
        <v>0</v>
      </c>
      <c r="AG71" s="308">
        <f>'Pencapaian Product Display'!G71</f>
        <v>0</v>
      </c>
      <c r="AH71" s="315">
        <f>'Pencapaian Product Display'!I71</f>
        <v>0</v>
      </c>
      <c r="AI71" s="307">
        <f>'Pencapaian Sales Contract'!G71</f>
        <v>0</v>
      </c>
      <c r="AJ71" s="157">
        <f>'Pencapaian Sales Contract'!I71</f>
        <v>0</v>
      </c>
      <c r="AK71" s="307">
        <f>'Pencapaian Co-Branding'!G71</f>
        <v>0</v>
      </c>
      <c r="AL71" s="157">
        <f>'Pencapaian Co-Branding'!I71</f>
        <v>0</v>
      </c>
      <c r="AM71" s="308">
        <f>'Pencapaian Join Event Activity'!G71</f>
        <v>0</v>
      </c>
      <c r="AN71" s="315">
        <f>'Pencapaian Join Event Activity'!I71</f>
        <v>0</v>
      </c>
      <c r="AO71" s="23">
        <f t="shared" si="40"/>
        <v>1137750</v>
      </c>
      <c r="AP71" s="112">
        <v>9.2738999771003923E-3</v>
      </c>
      <c r="AQ71" s="23">
        <f>SUM(AQ65:AQ70)</f>
        <v>-49200</v>
      </c>
      <c r="AR71" s="112">
        <v>1.2804986884637401E-3</v>
      </c>
      <c r="AS71" s="23">
        <f>SUM(AS65:AS70)</f>
        <v>-442800</v>
      </c>
      <c r="AT71" s="23">
        <f t="shared" si="39"/>
        <v>645750</v>
      </c>
      <c r="AU71" s="23">
        <f t="shared" ref="AU71:AV71" si="50">SUM(AU65:AU70)</f>
        <v>504000</v>
      </c>
      <c r="AV71" s="23">
        <f t="shared" si="50"/>
        <v>141750</v>
      </c>
    </row>
    <row r="72" spans="2:48" ht="16" x14ac:dyDescent="0.2">
      <c r="B72" s="61"/>
      <c r="C72" s="320"/>
      <c r="D72" s="320"/>
      <c r="E72" s="320"/>
      <c r="F72" s="320"/>
      <c r="G72" s="320"/>
      <c r="H72" s="320"/>
      <c r="I72" s="320"/>
      <c r="J72" s="320"/>
      <c r="K72" s="29" t="s">
        <v>136</v>
      </c>
      <c r="L72" s="29"/>
      <c r="M72" s="2">
        <f>'Pencapaian Sales Value'!I345</f>
        <v>1646000</v>
      </c>
      <c r="N72" s="32"/>
      <c r="O72" s="3"/>
      <c r="P72" s="397" t="s">
        <v>131</v>
      </c>
      <c r="Q72" s="52" t="s">
        <v>381</v>
      </c>
      <c r="R72" s="74" t="s">
        <v>132</v>
      </c>
      <c r="S72" s="12" t="s">
        <v>18</v>
      </c>
      <c r="T72" s="269">
        <f>'Pencapaian Sales Value'!G72</f>
        <v>0.42190237520671947</v>
      </c>
      <c r="U72" s="15">
        <f>'Pencapaian Sales Value'!I72</f>
        <v>0</v>
      </c>
      <c r="V72" s="304">
        <f>'Pencapaian Product Focus'!H72</f>
        <v>0</v>
      </c>
      <c r="W72" s="304">
        <f>'Pencapaian Product Focus'!L72</f>
        <v>0</v>
      </c>
      <c r="X72" s="178">
        <f>'Pencapaian Product Focus'!N72</f>
        <v>0</v>
      </c>
      <c r="Y72" s="269">
        <f>'Pencapaian Effective Call'!G72</f>
        <v>0.25666666666666665</v>
      </c>
      <c r="Z72" s="15">
        <f>'Pencapaian Effective Call'!I72</f>
        <v>0</v>
      </c>
      <c r="AA72" s="269">
        <f>'Pencapaian New Open Outlet'!G72</f>
        <v>0.625</v>
      </c>
      <c r="AB72" s="15">
        <f>'Pencapaian New Open Outlet'!I72</f>
        <v>0</v>
      </c>
      <c r="AC72" s="269">
        <f>'Pencapaian Active Outlet'!G72</f>
        <v>0.36297640653357538</v>
      </c>
      <c r="AD72" s="15">
        <f>'Pencapaian Active Outlet'!I72</f>
        <v>0</v>
      </c>
      <c r="AE72" s="272">
        <f>'Pencapaian Item per Outlet'!G72</f>
        <v>0</v>
      </c>
      <c r="AF72" s="261">
        <f>'Pencapaian Item per Outlet'!I72</f>
        <v>0</v>
      </c>
      <c r="AG72" s="272">
        <f>'Pencapaian Product Display'!G72</f>
        <v>0</v>
      </c>
      <c r="AH72" s="261">
        <f>'Pencapaian Product Display'!I72</f>
        <v>0</v>
      </c>
      <c r="AI72" s="255">
        <f>'Pencapaian Sales Contract'!G72</f>
        <v>0</v>
      </c>
      <c r="AJ72" s="170">
        <f>'Pencapaian Sales Contract'!I72</f>
        <v>0</v>
      </c>
      <c r="AK72" s="255">
        <f>'Pencapaian Co-Branding'!G72</f>
        <v>0</v>
      </c>
      <c r="AL72" s="170">
        <f>'Pencapaian Co-Branding'!I72</f>
        <v>0</v>
      </c>
      <c r="AM72" s="272">
        <f>'Pencapaian Join Event Activity'!G72</f>
        <v>0</v>
      </c>
      <c r="AN72" s="261">
        <f>'Pencapaian Join Event Activity'!I72</f>
        <v>0</v>
      </c>
      <c r="AO72" s="15">
        <f t="shared" si="40"/>
        <v>0</v>
      </c>
      <c r="AP72" s="13">
        <v>0.26045180263870621</v>
      </c>
      <c r="AQ72" s="15">
        <f t="shared" ref="AQ72:AQ75" si="51">IF(AP72&gt;=0.5%,-(AO72*10%),0)</f>
        <v>0</v>
      </c>
      <c r="AR72" s="13">
        <v>0.23275766595070935</v>
      </c>
      <c r="AS72" s="15">
        <f t="shared" ref="AS72:AS75" si="52">IF(AR72&gt;0,-(AO72+AQ72),0)</f>
        <v>0</v>
      </c>
      <c r="AT72" s="15">
        <f t="shared" si="39"/>
        <v>0</v>
      </c>
      <c r="AU72" s="15">
        <f t="shared" ref="AU72:AU74" si="53">AT72*70%</f>
        <v>0</v>
      </c>
      <c r="AV72" s="15">
        <f t="shared" ref="AV72:AV74" si="54">AT72*30%</f>
        <v>0</v>
      </c>
    </row>
    <row r="73" spans="2:48" ht="16" x14ac:dyDescent="0.2">
      <c r="B73" s="61"/>
      <c r="C73" s="320"/>
      <c r="D73" s="320"/>
      <c r="E73" s="320"/>
      <c r="F73" s="320"/>
      <c r="G73" s="320"/>
      <c r="H73" s="320"/>
      <c r="I73" s="320"/>
      <c r="J73" s="320"/>
      <c r="K73" s="29" t="s">
        <v>414</v>
      </c>
      <c r="L73" s="29"/>
      <c r="M73" s="2">
        <f>'Pencapaian Sales Value'!I346</f>
        <v>40000</v>
      </c>
      <c r="N73" s="31"/>
      <c r="O73" s="3"/>
      <c r="P73" s="397"/>
      <c r="Q73" s="52" t="s">
        <v>382</v>
      </c>
      <c r="R73" s="52" t="s">
        <v>667</v>
      </c>
      <c r="S73" s="12" t="s">
        <v>18</v>
      </c>
      <c r="T73" s="269">
        <f>'Pencapaian Sales Value'!G73</f>
        <v>0.55771933428870979</v>
      </c>
      <c r="U73" s="15">
        <f>'Pencapaian Sales Value'!I73</f>
        <v>0</v>
      </c>
      <c r="V73" s="304">
        <f>'Pencapaian Product Focus'!H73</f>
        <v>0</v>
      </c>
      <c r="W73" s="304">
        <f>'Pencapaian Product Focus'!L73</f>
        <v>0</v>
      </c>
      <c r="X73" s="178">
        <f>'Pencapaian Product Focus'!N73</f>
        <v>0</v>
      </c>
      <c r="Y73" s="269">
        <f>'Pencapaian Effective Call'!G73</f>
        <v>0.40333333333333332</v>
      </c>
      <c r="Z73" s="15">
        <f>'Pencapaian Effective Call'!I73</f>
        <v>0</v>
      </c>
      <c r="AA73" s="269">
        <f>'Pencapaian New Open Outlet'!G73</f>
        <v>0.6875</v>
      </c>
      <c r="AB73" s="15">
        <f>'Pencapaian New Open Outlet'!I73</f>
        <v>0</v>
      </c>
      <c r="AC73" s="269">
        <f>'Pencapaian Active Outlet'!G73</f>
        <v>0.49001814882032674</v>
      </c>
      <c r="AD73" s="15">
        <f>'Pencapaian Active Outlet'!I73</f>
        <v>0</v>
      </c>
      <c r="AE73" s="272">
        <f>'Pencapaian Item per Outlet'!G73</f>
        <v>0</v>
      </c>
      <c r="AF73" s="261">
        <f>'Pencapaian Item per Outlet'!I73</f>
        <v>0</v>
      </c>
      <c r="AG73" s="272">
        <f>'Pencapaian Product Display'!G73</f>
        <v>0</v>
      </c>
      <c r="AH73" s="261">
        <f>'Pencapaian Product Display'!I73</f>
        <v>0</v>
      </c>
      <c r="AI73" s="255">
        <f>'Pencapaian Sales Contract'!G73</f>
        <v>0</v>
      </c>
      <c r="AJ73" s="170">
        <f>'Pencapaian Sales Contract'!I73</f>
        <v>0</v>
      </c>
      <c r="AK73" s="255">
        <f>'Pencapaian Co-Branding'!G73</f>
        <v>0</v>
      </c>
      <c r="AL73" s="170">
        <f>'Pencapaian Co-Branding'!I73</f>
        <v>0</v>
      </c>
      <c r="AM73" s="272">
        <f>'Pencapaian Join Event Activity'!G73</f>
        <v>0</v>
      </c>
      <c r="AN73" s="261">
        <f>'Pencapaian Join Event Activity'!I73</f>
        <v>0</v>
      </c>
      <c r="AO73" s="15">
        <f t="shared" si="40"/>
        <v>0</v>
      </c>
      <c r="AP73" s="13">
        <v>0.23824660984783133</v>
      </c>
      <c r="AQ73" s="15">
        <f t="shared" si="51"/>
        <v>0</v>
      </c>
      <c r="AR73" s="13">
        <v>7.7162623787999041E-2</v>
      </c>
      <c r="AS73" s="15">
        <f t="shared" si="52"/>
        <v>0</v>
      </c>
      <c r="AT73" s="15">
        <f t="shared" si="39"/>
        <v>0</v>
      </c>
      <c r="AU73" s="15">
        <f t="shared" si="53"/>
        <v>0</v>
      </c>
      <c r="AV73" s="15">
        <f t="shared" si="54"/>
        <v>0</v>
      </c>
    </row>
    <row r="74" spans="2:48" ht="16" x14ac:dyDescent="0.2">
      <c r="C74" s="1"/>
      <c r="D74" s="1"/>
      <c r="E74" s="1"/>
      <c r="F74" s="1"/>
      <c r="G74" s="1"/>
      <c r="H74" s="1"/>
      <c r="I74" s="1"/>
      <c r="J74" s="1"/>
      <c r="K74" s="29" t="s">
        <v>415</v>
      </c>
      <c r="L74" s="29"/>
      <c r="M74" s="2">
        <f>'Pencapaian Sales Value'!I347</f>
        <v>0</v>
      </c>
      <c r="N74" s="31"/>
      <c r="O74" s="3"/>
      <c r="P74" s="397"/>
      <c r="Q74" s="52" t="s">
        <v>383</v>
      </c>
      <c r="R74" s="52" t="s">
        <v>613</v>
      </c>
      <c r="S74" s="12" t="s">
        <v>18</v>
      </c>
      <c r="T74" s="269">
        <f>'Pencapaian Sales Value'!G74</f>
        <v>0.6784480916727792</v>
      </c>
      <c r="U74" s="15">
        <f>'Pencapaian Sales Value'!I74</f>
        <v>0</v>
      </c>
      <c r="V74" s="304">
        <f>'Pencapaian Product Focus'!H74</f>
        <v>0</v>
      </c>
      <c r="W74" s="304">
        <f>'Pencapaian Product Focus'!L74</f>
        <v>0</v>
      </c>
      <c r="X74" s="178">
        <f>'Pencapaian Product Focus'!N74</f>
        <v>0</v>
      </c>
      <c r="Y74" s="269">
        <f>'Pencapaian Effective Call'!G74</f>
        <v>0.87333333333333329</v>
      </c>
      <c r="Z74" s="15">
        <f>'Pencapaian Effective Call'!I74</f>
        <v>90000</v>
      </c>
      <c r="AA74" s="269">
        <f>'Pencapaian New Open Outlet'!G74</f>
        <v>0.3125</v>
      </c>
      <c r="AB74" s="15">
        <f>'Pencapaian New Open Outlet'!I74</f>
        <v>0</v>
      </c>
      <c r="AC74" s="269">
        <f>'Pencapaian Active Outlet'!G74</f>
        <v>0.66813740939174282</v>
      </c>
      <c r="AD74" s="15">
        <f>'Pencapaian Active Outlet'!I74</f>
        <v>0</v>
      </c>
      <c r="AE74" s="272">
        <f>'Pencapaian Item per Outlet'!G74</f>
        <v>0</v>
      </c>
      <c r="AF74" s="261">
        <f>'Pencapaian Item per Outlet'!I74</f>
        <v>0</v>
      </c>
      <c r="AG74" s="272">
        <f>'Pencapaian Product Display'!G74</f>
        <v>0</v>
      </c>
      <c r="AH74" s="261">
        <f>'Pencapaian Product Display'!I74</f>
        <v>0</v>
      </c>
      <c r="AI74" s="255">
        <f>'Pencapaian Sales Contract'!G74</f>
        <v>0</v>
      </c>
      <c r="AJ74" s="170">
        <f>'Pencapaian Sales Contract'!I74</f>
        <v>0</v>
      </c>
      <c r="AK74" s="255">
        <f>'Pencapaian Co-Branding'!G74</f>
        <v>0</v>
      </c>
      <c r="AL74" s="170">
        <f>'Pencapaian Co-Branding'!I74</f>
        <v>0</v>
      </c>
      <c r="AM74" s="272">
        <f>'Pencapaian Join Event Activity'!G74</f>
        <v>0</v>
      </c>
      <c r="AN74" s="261">
        <f>'Pencapaian Join Event Activity'!I74</f>
        <v>0</v>
      </c>
      <c r="AO74" s="15">
        <f t="shared" si="40"/>
        <v>90000</v>
      </c>
      <c r="AP74" s="13">
        <v>4.2278134524878642E-2</v>
      </c>
      <c r="AQ74" s="15">
        <f t="shared" si="51"/>
        <v>-9000</v>
      </c>
      <c r="AR74" s="13">
        <v>0</v>
      </c>
      <c r="AS74" s="15">
        <f t="shared" si="52"/>
        <v>0</v>
      </c>
      <c r="AT74" s="15">
        <f t="shared" si="39"/>
        <v>81000</v>
      </c>
      <c r="AU74" s="15">
        <f t="shared" si="53"/>
        <v>56700</v>
      </c>
      <c r="AV74" s="15">
        <f t="shared" si="54"/>
        <v>24300</v>
      </c>
    </row>
    <row r="75" spans="2:48" ht="16" x14ac:dyDescent="0.2">
      <c r="C75" s="1"/>
      <c r="D75" s="1"/>
      <c r="E75" s="1"/>
      <c r="F75" s="1"/>
      <c r="G75" s="1"/>
      <c r="H75" s="1"/>
      <c r="I75" s="1"/>
      <c r="J75" s="1"/>
      <c r="K75" s="29" t="s">
        <v>416</v>
      </c>
      <c r="L75" s="29"/>
      <c r="M75" s="2">
        <f>'Pencapaian Sales Value'!I348</f>
        <v>0</v>
      </c>
      <c r="N75" s="3"/>
      <c r="O75" s="3"/>
      <c r="P75" s="397"/>
      <c r="Q75" s="78"/>
      <c r="R75" s="78" t="s">
        <v>483</v>
      </c>
      <c r="S75" s="64" t="s">
        <v>20</v>
      </c>
      <c r="T75" s="258">
        <f>'Pencapaian Sales Value'!G75</f>
        <v>0.55375184252973098</v>
      </c>
      <c r="U75" s="63">
        <f>'Pencapaian Sales Value'!I75</f>
        <v>0</v>
      </c>
      <c r="V75" s="268">
        <f>'Pencapaian Product Focus'!H75</f>
        <v>0</v>
      </c>
      <c r="W75" s="268">
        <f>'Pencapaian Product Focus'!L75</f>
        <v>0</v>
      </c>
      <c r="X75" s="189">
        <f>'Pencapaian Product Focus'!N75</f>
        <v>0</v>
      </c>
      <c r="Y75" s="258">
        <f>'Pencapaian Effective Call'!G75</f>
        <v>0.51111111111111107</v>
      </c>
      <c r="Z75" s="63">
        <f>'Pencapaian Effective Call'!I75</f>
        <v>0</v>
      </c>
      <c r="AA75" s="258">
        <f>'Pencapaian New Open Outlet'!G75</f>
        <v>0.54166666666666663</v>
      </c>
      <c r="AB75" s="63">
        <f>'Pencapaian New Open Outlet'!I75</f>
        <v>0</v>
      </c>
      <c r="AC75" s="258">
        <f>'Pencapaian Active Outlet'!G75</f>
        <v>0.5276348766653477</v>
      </c>
      <c r="AD75" s="63">
        <f>'Pencapaian Active Outlet'!I75</f>
        <v>0</v>
      </c>
      <c r="AE75" s="268">
        <f>'Pencapaian Item per Outlet'!G75</f>
        <v>0</v>
      </c>
      <c r="AF75" s="189">
        <f>'Pencapaian Item per Outlet'!I75</f>
        <v>0</v>
      </c>
      <c r="AG75" s="268">
        <f>'Pencapaian Product Display'!G75</f>
        <v>0</v>
      </c>
      <c r="AH75" s="189">
        <f>'Pencapaian Product Display'!I75</f>
        <v>0</v>
      </c>
      <c r="AI75" s="268">
        <f>'Pencapaian Sales Contract'!G75</f>
        <v>0</v>
      </c>
      <c r="AJ75" s="189">
        <f>'Pencapaian Sales Contract'!I75</f>
        <v>0</v>
      </c>
      <c r="AK75" s="268">
        <f>'Pencapaian Co-Branding'!G75</f>
        <v>0</v>
      </c>
      <c r="AL75" s="189">
        <f>'Pencapaian Co-Branding'!I75</f>
        <v>0</v>
      </c>
      <c r="AM75" s="268">
        <f>'Pencapaian Join Event Activity'!G75</f>
        <v>0</v>
      </c>
      <c r="AN75" s="189">
        <f>'Pencapaian Join Event Activity'!I75</f>
        <v>0</v>
      </c>
      <c r="AO75" s="63">
        <f t="shared" si="40"/>
        <v>0</v>
      </c>
      <c r="AP75" s="110">
        <v>0</v>
      </c>
      <c r="AQ75" s="63">
        <f t="shared" si="51"/>
        <v>0</v>
      </c>
      <c r="AR75" s="110">
        <v>0</v>
      </c>
      <c r="AS75" s="63">
        <f t="shared" si="52"/>
        <v>0</v>
      </c>
      <c r="AT75" s="63">
        <f t="shared" si="39"/>
        <v>0</v>
      </c>
      <c r="AU75" s="63">
        <f>AT75</f>
        <v>0</v>
      </c>
      <c r="AV75" s="63">
        <v>0</v>
      </c>
    </row>
    <row r="76" spans="2:48" ht="16" x14ac:dyDescent="0.2">
      <c r="C76" s="1"/>
      <c r="D76" s="1"/>
      <c r="E76" s="1"/>
      <c r="F76" s="1"/>
      <c r="G76" s="1"/>
      <c r="H76" s="1"/>
      <c r="I76" s="1"/>
      <c r="J76" s="1"/>
      <c r="K76" s="29" t="s">
        <v>417</v>
      </c>
      <c r="L76" s="29"/>
      <c r="M76" s="2">
        <f>'Pencapaian Sales Value'!I349</f>
        <v>50000</v>
      </c>
      <c r="N76" s="3"/>
      <c r="O76" s="3"/>
      <c r="P76" s="397"/>
      <c r="Q76" s="77"/>
      <c r="R76" s="77" t="s">
        <v>133</v>
      </c>
      <c r="S76" s="42"/>
      <c r="T76" s="264">
        <f>'Pencapaian Sales Value'!G76</f>
        <v>0.55375184252973098</v>
      </c>
      <c r="U76" s="23">
        <f>'Pencapaian Sales Value'!I76</f>
        <v>0</v>
      </c>
      <c r="V76" s="274">
        <f>'Pencapaian Product Focus'!H76</f>
        <v>0</v>
      </c>
      <c r="W76" s="274">
        <f>'Pencapaian Product Focus'!L76</f>
        <v>0</v>
      </c>
      <c r="X76" s="190">
        <f>'Pencapaian Product Focus'!N76</f>
        <v>0</v>
      </c>
      <c r="Y76" s="264">
        <f>'Pencapaian Effective Call'!G76</f>
        <v>0.51111111111111107</v>
      </c>
      <c r="Z76" s="23">
        <f>'Pencapaian Effective Call'!I76</f>
        <v>90000</v>
      </c>
      <c r="AA76" s="264">
        <f>'Pencapaian New Open Outlet'!G76</f>
        <v>0.54166666666666663</v>
      </c>
      <c r="AB76" s="23">
        <f>'Pencapaian New Open Outlet'!I76</f>
        <v>0</v>
      </c>
      <c r="AC76" s="264">
        <f>'Pencapaian Active Outlet'!G76</f>
        <v>0.5276348766653477</v>
      </c>
      <c r="AD76" s="23">
        <f>'Pencapaian Active Outlet'!I76</f>
        <v>0</v>
      </c>
      <c r="AE76" s="274">
        <f>'Pencapaian Item per Outlet'!G76</f>
        <v>0</v>
      </c>
      <c r="AF76" s="190">
        <f>'Pencapaian Item per Outlet'!I76</f>
        <v>0</v>
      </c>
      <c r="AG76" s="274">
        <f>'Pencapaian Product Display'!G76</f>
        <v>0</v>
      </c>
      <c r="AH76" s="190">
        <f>'Pencapaian Product Display'!I76</f>
        <v>0</v>
      </c>
      <c r="AI76" s="274">
        <f>'Pencapaian Sales Contract'!G76</f>
        <v>0</v>
      </c>
      <c r="AJ76" s="190">
        <f>'Pencapaian Sales Contract'!I76</f>
        <v>0</v>
      </c>
      <c r="AK76" s="274">
        <f>'Pencapaian Co-Branding'!G76</f>
        <v>0</v>
      </c>
      <c r="AL76" s="190">
        <f>'Pencapaian Co-Branding'!I76</f>
        <v>0</v>
      </c>
      <c r="AM76" s="274">
        <f>'Pencapaian Join Event Activity'!G76</f>
        <v>0</v>
      </c>
      <c r="AN76" s="190">
        <f>'Pencapaian Join Event Activity'!I76</f>
        <v>0</v>
      </c>
      <c r="AO76" s="23">
        <f t="shared" si="40"/>
        <v>90000</v>
      </c>
      <c r="AP76" s="112">
        <v>0.16107054461546902</v>
      </c>
      <c r="AQ76" s="23">
        <f>SUM(AQ72:AQ75)</f>
        <v>-9000</v>
      </c>
      <c r="AR76" s="112">
        <v>8.4134201573812711E-2</v>
      </c>
      <c r="AS76" s="23">
        <f>SUM(AS72:AS75)</f>
        <v>0</v>
      </c>
      <c r="AT76" s="23">
        <f t="shared" si="39"/>
        <v>81000</v>
      </c>
      <c r="AU76" s="23">
        <f t="shared" ref="AU76:AV76" si="55">SUM(AU72:AU75)</f>
        <v>56700</v>
      </c>
      <c r="AV76" s="23">
        <f t="shared" si="55"/>
        <v>24300</v>
      </c>
    </row>
    <row r="77" spans="2:48" ht="16" x14ac:dyDescent="0.2">
      <c r="C77" s="1"/>
      <c r="D77" s="1"/>
      <c r="E77" s="1"/>
      <c r="F77" s="1"/>
      <c r="G77" s="1"/>
      <c r="H77" s="1"/>
      <c r="I77" s="1"/>
      <c r="J77" s="1"/>
      <c r="K77" s="47" t="s">
        <v>418</v>
      </c>
      <c r="L77" s="47"/>
      <c r="M77" s="46">
        <f>'Pencapaian Sales Value'!I350</f>
        <v>220000</v>
      </c>
      <c r="N77" s="3"/>
      <c r="O77" s="3"/>
      <c r="P77" s="79"/>
      <c r="Q77" s="80"/>
      <c r="R77" s="80" t="s">
        <v>109</v>
      </c>
      <c r="S77" s="205"/>
      <c r="T77" s="270">
        <f>'Pencapaian Sales Value'!G77</f>
        <v>0.82895214655144445</v>
      </c>
      <c r="U77" s="43">
        <f>'Pencapaian Sales Value'!I77</f>
        <v>3597000</v>
      </c>
      <c r="V77" s="270">
        <f>'Pencapaian Product Focus'!H77</f>
        <v>0.72680555555555559</v>
      </c>
      <c r="W77" s="270">
        <f>'Pencapaian Product Focus'!L77</f>
        <v>0.72248062015503878</v>
      </c>
      <c r="X77" s="43">
        <f>'Pencapaian Product Focus'!N77</f>
        <v>646500</v>
      </c>
      <c r="Y77" s="270">
        <f>'Pencapaian Effective Call'!G77</f>
        <v>0.85014925373134331</v>
      </c>
      <c r="Z77" s="43">
        <f>'Pencapaian Effective Call'!I77</f>
        <v>1179750</v>
      </c>
      <c r="AA77" s="270">
        <f>'Pencapaian New Open Outlet'!G77</f>
        <v>0.22117760034694525</v>
      </c>
      <c r="AB77" s="43">
        <f>'Pencapaian New Open Outlet'!I77</f>
        <v>0</v>
      </c>
      <c r="AC77" s="270">
        <f>'Pencapaian Active Outlet'!G77</f>
        <v>0.89526292916123429</v>
      </c>
      <c r="AD77" s="43">
        <f>'Pencapaian Active Outlet'!I77</f>
        <v>686000</v>
      </c>
      <c r="AE77" s="270">
        <f>'Pencapaian Item per Outlet'!G77</f>
        <v>0.53551581788959846</v>
      </c>
      <c r="AF77" s="43">
        <f>'Pencapaian Item per Outlet'!I77</f>
        <v>20000</v>
      </c>
      <c r="AG77" s="308">
        <f>'Pencapaian Product Display'!G77</f>
        <v>0</v>
      </c>
      <c r="AH77" s="315">
        <f>'Pencapaian Product Display'!I77</f>
        <v>0</v>
      </c>
      <c r="AI77" s="263">
        <f>'Pencapaian Sales Contract'!G77</f>
        <v>0</v>
      </c>
      <c r="AJ77" s="148">
        <f>'Pencapaian Sales Contract'!I77</f>
        <v>0</v>
      </c>
      <c r="AK77" s="263">
        <f>'Pencapaian Co-Branding'!G77</f>
        <v>0</v>
      </c>
      <c r="AL77" s="148">
        <f>'Pencapaian Co-Branding'!I77</f>
        <v>0</v>
      </c>
      <c r="AM77" s="308">
        <f>'Pencapaian Join Event Activity'!G77</f>
        <v>0</v>
      </c>
      <c r="AN77" s="315">
        <f>'Pencapaian Join Event Activity'!I77</f>
        <v>0</v>
      </c>
      <c r="AO77" s="43">
        <f t="shared" si="40"/>
        <v>6129250</v>
      </c>
      <c r="AP77" s="136">
        <v>5.3274450274115965E-3</v>
      </c>
      <c r="AQ77" s="43">
        <f>SUM(AQ76,AQ71,AQ64)</f>
        <v>-58200</v>
      </c>
      <c r="AR77" s="136">
        <v>2.2532300831001216E-3</v>
      </c>
      <c r="AS77" s="43">
        <f>SUM(AS76,AS71,AS64)</f>
        <v>-442800</v>
      </c>
      <c r="AT77" s="43">
        <f t="shared" si="39"/>
        <v>5628250</v>
      </c>
      <c r="AU77" s="43">
        <f t="shared" ref="AU77:AV77" si="56">SUM(AU76,AU71,AU64)</f>
        <v>4096450</v>
      </c>
      <c r="AV77" s="43">
        <f t="shared" si="56"/>
        <v>1531800</v>
      </c>
    </row>
    <row r="78" spans="2:48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  <c r="O78" s="3"/>
      <c r="U78" s="2"/>
      <c r="X78" s="2"/>
      <c r="Z78" s="2"/>
      <c r="AB78" s="2"/>
      <c r="AD78" s="2"/>
      <c r="AF78" s="2"/>
      <c r="AH78" s="2"/>
      <c r="AJ78" s="2"/>
      <c r="AL78" s="2"/>
      <c r="AN78" s="2"/>
      <c r="AO78" s="2"/>
      <c r="AP78" s="1" t="s">
        <v>785</v>
      </c>
      <c r="AQ78" s="2"/>
      <c r="AR78" s="1"/>
      <c r="AS78" s="2"/>
      <c r="AT78" s="2"/>
      <c r="AU78" s="2"/>
      <c r="AV78" s="2"/>
    </row>
    <row r="79" spans="2:48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29">
        <f>SUM(M67:M77)</f>
        <v>38916750</v>
      </c>
      <c r="N79" s="267">
        <f>M79-L63</f>
        <v>220000</v>
      </c>
      <c r="O79" s="3"/>
      <c r="U79" s="2"/>
      <c r="X79" s="2"/>
      <c r="Z79" s="2"/>
      <c r="AB79" s="2"/>
      <c r="AD79" s="2"/>
      <c r="AF79" s="2"/>
      <c r="AH79" s="2"/>
      <c r="AJ79" s="2"/>
      <c r="AL79" s="2"/>
      <c r="AN79" s="2"/>
      <c r="AO79" s="2"/>
      <c r="AP79" s="1"/>
      <c r="AQ79" s="2"/>
      <c r="AR79" s="1"/>
      <c r="AS79" s="2"/>
      <c r="AT79" s="2"/>
      <c r="AU79" s="2"/>
      <c r="AV79" s="2"/>
    </row>
    <row r="80" spans="2:48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67" t="s">
        <v>516</v>
      </c>
      <c r="O80" s="3"/>
      <c r="U80" s="2"/>
      <c r="X80" s="2"/>
      <c r="Z80" s="2"/>
      <c r="AB80" s="2"/>
      <c r="AD80" s="2"/>
      <c r="AF80" s="2"/>
      <c r="AH80" s="2"/>
      <c r="AJ80" s="2"/>
      <c r="AL80" s="2"/>
      <c r="AN80" s="2"/>
      <c r="AO80" s="2"/>
      <c r="AP80" s="1"/>
      <c r="AQ80" s="2"/>
      <c r="AR80" s="1"/>
      <c r="AS80" s="2"/>
      <c r="AT80" s="2"/>
      <c r="AU80" s="2"/>
      <c r="AV80" s="2"/>
    </row>
    <row r="81" spans="2:48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3"/>
      <c r="O81" s="3"/>
      <c r="U81" s="2"/>
      <c r="X81" s="2"/>
      <c r="Z81" s="2"/>
      <c r="AB81" s="2"/>
      <c r="AD81" s="2"/>
      <c r="AF81" s="2"/>
      <c r="AH81" s="2"/>
      <c r="AJ81" s="2"/>
      <c r="AL81" s="2"/>
      <c r="AN81" s="2"/>
      <c r="AO81" s="2"/>
      <c r="AP81" s="1"/>
      <c r="AQ81" s="2"/>
      <c r="AR81" s="1"/>
      <c r="AS81" s="2"/>
      <c r="AT81" s="2"/>
      <c r="AU81" s="2"/>
      <c r="AV81" s="2"/>
    </row>
    <row r="82" spans="2:48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3"/>
      <c r="O82" s="3"/>
      <c r="U82" s="2"/>
      <c r="X82" s="2"/>
      <c r="Z82" s="2"/>
      <c r="AB82" s="2"/>
      <c r="AD82" s="2"/>
      <c r="AF82" s="2"/>
      <c r="AH82" s="2"/>
      <c r="AJ82" s="2"/>
      <c r="AL82" s="2"/>
      <c r="AN82" s="2"/>
      <c r="AO82" s="2"/>
      <c r="AP82" s="1"/>
      <c r="AQ82" s="2"/>
      <c r="AR82" s="1"/>
      <c r="AS82" s="2"/>
      <c r="AT82" s="2"/>
      <c r="AU82" s="2"/>
      <c r="AV82" s="2"/>
    </row>
    <row r="83" spans="2:48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3"/>
      <c r="O83" s="3"/>
      <c r="P83" s="4"/>
      <c r="Q83" s="5"/>
      <c r="R83" s="5"/>
      <c r="U83" s="2"/>
      <c r="X83" s="2"/>
      <c r="Z83" s="2"/>
      <c r="AB83" s="2"/>
      <c r="AD83" s="2"/>
      <c r="AF83" s="2"/>
      <c r="AH83" s="2"/>
      <c r="AJ83" s="2"/>
      <c r="AL83" s="2"/>
      <c r="AN83" s="2"/>
      <c r="AO83" s="2"/>
      <c r="AP83" s="1"/>
      <c r="AQ83" s="2"/>
      <c r="AR83" s="1"/>
      <c r="AS83" s="2"/>
      <c r="AT83" s="2"/>
      <c r="AU83" s="2"/>
      <c r="AV83" s="2"/>
    </row>
    <row r="84" spans="2:48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3"/>
      <c r="O84" s="3"/>
      <c r="P84" s="8"/>
      <c r="Q84" s="8"/>
      <c r="R84" s="8"/>
      <c r="U84" s="2"/>
      <c r="X84" s="2"/>
      <c r="Z84" s="2"/>
      <c r="AB84" s="2"/>
      <c r="AD84" s="2"/>
      <c r="AF84" s="2"/>
      <c r="AH84" s="2"/>
      <c r="AJ84" s="2"/>
      <c r="AL84" s="2"/>
      <c r="AN84" s="2"/>
      <c r="AO84" s="2"/>
      <c r="AP84" s="1"/>
      <c r="AQ84" s="2"/>
      <c r="AR84" s="1"/>
      <c r="AS84" s="2"/>
      <c r="AT84" s="2"/>
      <c r="AU84" s="2"/>
      <c r="AV84" s="2"/>
    </row>
    <row r="85" spans="2:48" s="61" customFormat="1" ht="14.5" customHeight="1" x14ac:dyDescent="0.2">
      <c r="B8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3"/>
      <c r="O85" s="316"/>
      <c r="P85" s="388" t="s">
        <v>0</v>
      </c>
      <c r="Q85" s="388" t="s">
        <v>270</v>
      </c>
      <c r="R85" s="388" t="s">
        <v>2</v>
      </c>
      <c r="S85" s="394" t="s">
        <v>3</v>
      </c>
      <c r="T85" s="388" t="s">
        <v>4</v>
      </c>
      <c r="U85" s="388"/>
      <c r="V85" s="388" t="s">
        <v>139</v>
      </c>
      <c r="W85" s="388"/>
      <c r="X85" s="388"/>
      <c r="Y85" s="388" t="s">
        <v>134</v>
      </c>
      <c r="Z85" s="388"/>
      <c r="AA85" s="388" t="s">
        <v>135</v>
      </c>
      <c r="AB85" s="388"/>
      <c r="AC85" s="388" t="s">
        <v>5</v>
      </c>
      <c r="AD85" s="388"/>
      <c r="AE85" s="388" t="s">
        <v>137</v>
      </c>
      <c r="AF85" s="388"/>
      <c r="AG85" s="388" t="s">
        <v>424</v>
      </c>
      <c r="AH85" s="388"/>
      <c r="AI85" s="388" t="s">
        <v>431</v>
      </c>
      <c r="AJ85" s="388"/>
      <c r="AK85" s="388" t="s">
        <v>438</v>
      </c>
      <c r="AL85" s="388"/>
      <c r="AM85" s="388" t="s">
        <v>445</v>
      </c>
      <c r="AN85" s="388"/>
      <c r="AO85" s="389" t="s">
        <v>141</v>
      </c>
      <c r="AP85" s="391" t="s">
        <v>6</v>
      </c>
      <c r="AQ85" s="391"/>
      <c r="AR85" s="391"/>
      <c r="AS85" s="391"/>
      <c r="AT85" s="385" t="s">
        <v>7</v>
      </c>
      <c r="AU85" s="385" t="s">
        <v>2</v>
      </c>
      <c r="AV85" s="385" t="s">
        <v>144</v>
      </c>
    </row>
    <row r="86" spans="2:48" s="61" customFormat="1" ht="32" x14ac:dyDescent="0.2">
      <c r="B8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3"/>
      <c r="O86" s="316"/>
      <c r="P86" s="388"/>
      <c r="Q86" s="388"/>
      <c r="R86" s="388"/>
      <c r="S86" s="394"/>
      <c r="T86" s="253" t="s">
        <v>9</v>
      </c>
      <c r="U86" s="54" t="s">
        <v>10</v>
      </c>
      <c r="V86" s="253" t="s">
        <v>514</v>
      </c>
      <c r="W86" s="296" t="s">
        <v>515</v>
      </c>
      <c r="X86" s="54" t="s">
        <v>10</v>
      </c>
      <c r="Y86" s="253" t="s">
        <v>9</v>
      </c>
      <c r="Z86" s="54" t="s">
        <v>10</v>
      </c>
      <c r="AA86" s="253" t="s">
        <v>9</v>
      </c>
      <c r="AB86" s="54" t="s">
        <v>10</v>
      </c>
      <c r="AC86" s="253" t="s">
        <v>9</v>
      </c>
      <c r="AD86" s="54" t="s">
        <v>10</v>
      </c>
      <c r="AE86" s="253" t="s">
        <v>9</v>
      </c>
      <c r="AF86" s="54" t="s">
        <v>10</v>
      </c>
      <c r="AG86" s="253" t="s">
        <v>9</v>
      </c>
      <c r="AH86" s="54" t="s">
        <v>10</v>
      </c>
      <c r="AI86" s="253" t="s">
        <v>9</v>
      </c>
      <c r="AJ86" s="54" t="s">
        <v>10</v>
      </c>
      <c r="AK86" s="253" t="s">
        <v>9</v>
      </c>
      <c r="AL86" s="54" t="s">
        <v>10</v>
      </c>
      <c r="AM86" s="253" t="s">
        <v>9</v>
      </c>
      <c r="AN86" s="54" t="s">
        <v>10</v>
      </c>
      <c r="AO86" s="390"/>
      <c r="AP86" s="135" t="s">
        <v>798</v>
      </c>
      <c r="AQ86" s="134" t="s">
        <v>143</v>
      </c>
      <c r="AR86" s="135" t="s">
        <v>11</v>
      </c>
      <c r="AS86" s="134" t="s">
        <v>143</v>
      </c>
      <c r="AT86" s="385"/>
      <c r="AU86" s="385"/>
      <c r="AV86" s="385"/>
    </row>
    <row r="87" spans="2:48" ht="16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3"/>
      <c r="O87" s="3"/>
      <c r="P87" s="397" t="s">
        <v>37</v>
      </c>
      <c r="Q87" s="52" t="s">
        <v>385</v>
      </c>
      <c r="R87" s="74" t="s">
        <v>98</v>
      </c>
      <c r="S87" s="12" t="s">
        <v>18</v>
      </c>
      <c r="T87" s="269">
        <f>'Pencapaian Sales Value'!G87</f>
        <v>0.42701404814428112</v>
      </c>
      <c r="U87" s="15">
        <f>'Pencapaian Sales Value'!I87</f>
        <v>0</v>
      </c>
      <c r="V87" s="304">
        <f>'Pencapaian Product Focus'!H87</f>
        <v>0</v>
      </c>
      <c r="W87" s="304">
        <f>'Pencapaian Product Focus'!L87</f>
        <v>0</v>
      </c>
      <c r="X87" s="178">
        <f>'Pencapaian Product Focus'!N87</f>
        <v>0</v>
      </c>
      <c r="Y87" s="269">
        <f>'Pencapaian Effective Call'!G87</f>
        <v>0.63733333333333331</v>
      </c>
      <c r="Z87" s="15">
        <f>'Pencapaian Effective Call'!I87</f>
        <v>0</v>
      </c>
      <c r="AA87" s="269">
        <f>'Pencapaian New Open Outlet'!G87</f>
        <v>3.7</v>
      </c>
      <c r="AB87" s="15">
        <f>'Pencapaian New Open Outlet'!I87</f>
        <v>225000</v>
      </c>
      <c r="AC87" s="269">
        <f>'Pencapaian Active Outlet'!G87</f>
        <v>0.84571428571428575</v>
      </c>
      <c r="AD87" s="15">
        <f>'Pencapaian Active Outlet'!I87</f>
        <v>45000</v>
      </c>
      <c r="AE87" s="255">
        <f>'Pencapaian Item per Outlet'!G87</f>
        <v>0</v>
      </c>
      <c r="AF87" s="170">
        <f>'Pencapaian Item per Outlet'!I87</f>
        <v>0</v>
      </c>
      <c r="AG87" s="255">
        <f>'Pencapaian Product Display'!G87</f>
        <v>0</v>
      </c>
      <c r="AH87" s="170">
        <f>'Pencapaian Product Display'!I87</f>
        <v>0</v>
      </c>
      <c r="AI87" s="255">
        <f>'Pencapaian Sales Contract'!G87</f>
        <v>0</v>
      </c>
      <c r="AJ87" s="170">
        <f>'Pencapaian Sales Contract'!I87</f>
        <v>0</v>
      </c>
      <c r="AK87" s="255">
        <f>'Pencapaian Co-Branding'!G87</f>
        <v>0</v>
      </c>
      <c r="AL87" s="170">
        <f>'Pencapaian Co-Branding'!I87</f>
        <v>0</v>
      </c>
      <c r="AM87" s="255">
        <f>'Pencapaian Join Event Activity'!G87</f>
        <v>0</v>
      </c>
      <c r="AN87" s="170">
        <f>'Pencapaian Join Event Activity'!I87</f>
        <v>0</v>
      </c>
      <c r="AO87" s="15">
        <f t="shared" ref="AO87" si="57">SUM(AN87,AL87,AJ87,AH87,AF87,AD87,AB87,Z87,X87,U87)</f>
        <v>270000</v>
      </c>
      <c r="AP87" s="13">
        <v>4.6681903121176763E-3</v>
      </c>
      <c r="AQ87" s="15">
        <f t="shared" ref="AQ87:AQ89" si="58">IF(AP87&gt;=0.5%,-(AO87*10%),0)</f>
        <v>0</v>
      </c>
      <c r="AR87" s="13">
        <v>0</v>
      </c>
      <c r="AS87" s="15">
        <f t="shared" ref="AS87:AS89" si="59">IF(AR87&gt;0,-(AO87+AQ87),0)</f>
        <v>0</v>
      </c>
      <c r="AT87" s="15">
        <f t="shared" ref="AT87:AT95" si="60">SUM(AS87,AQ87,AO87)</f>
        <v>270000</v>
      </c>
      <c r="AU87" s="15">
        <f t="shared" ref="AU87:AU88" si="61">AT87*70%</f>
        <v>189000</v>
      </c>
      <c r="AV87" s="15">
        <f t="shared" ref="AV87:AV88" si="62">AT87*30%</f>
        <v>81000</v>
      </c>
    </row>
    <row r="88" spans="2:48" ht="16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3"/>
      <c r="O88" s="3"/>
      <c r="P88" s="397"/>
      <c r="Q88" s="52" t="s">
        <v>384</v>
      </c>
      <c r="R88" s="52" t="s">
        <v>310</v>
      </c>
      <c r="S88" s="12" t="s">
        <v>18</v>
      </c>
      <c r="T88" s="269">
        <f>'Pencapaian Sales Value'!G88</f>
        <v>1.0391522807435349</v>
      </c>
      <c r="U88" s="15">
        <f>'Pencapaian Sales Value'!I88</f>
        <v>450000</v>
      </c>
      <c r="V88" s="304">
        <f>'Pencapaian Product Focus'!H88</f>
        <v>0</v>
      </c>
      <c r="W88" s="304">
        <f>'Pencapaian Product Focus'!L88</f>
        <v>0</v>
      </c>
      <c r="X88" s="178">
        <f>'Pencapaian Product Focus'!N88</f>
        <v>0</v>
      </c>
      <c r="Y88" s="269">
        <f>'Pencapaian Effective Call'!G88</f>
        <v>0.89866666666666661</v>
      </c>
      <c r="Z88" s="15">
        <f>'Pencapaian Effective Call'!I88</f>
        <v>90000</v>
      </c>
      <c r="AA88" s="269">
        <f>'Pencapaian New Open Outlet'!G88</f>
        <v>0.8</v>
      </c>
      <c r="AB88" s="15">
        <f>'Pencapaian New Open Outlet'!I88</f>
        <v>90000</v>
      </c>
      <c r="AC88" s="269">
        <f>'Pencapaian Active Outlet'!G88</f>
        <v>1.2733333333333334</v>
      </c>
      <c r="AD88" s="15">
        <f>'Pencapaian Active Outlet'!I88</f>
        <v>112500</v>
      </c>
      <c r="AE88" s="255">
        <f>'Pencapaian Item per Outlet'!G88</f>
        <v>0</v>
      </c>
      <c r="AF88" s="170">
        <f>'Pencapaian Item per Outlet'!I88</f>
        <v>0</v>
      </c>
      <c r="AG88" s="255">
        <f>'Pencapaian Product Display'!G88</f>
        <v>0</v>
      </c>
      <c r="AH88" s="170">
        <f>'Pencapaian Product Display'!I88</f>
        <v>0</v>
      </c>
      <c r="AI88" s="255">
        <f>'Pencapaian Sales Contract'!G88</f>
        <v>0</v>
      </c>
      <c r="AJ88" s="170">
        <f>'Pencapaian Sales Contract'!I88</f>
        <v>0</v>
      </c>
      <c r="AK88" s="255">
        <f>'Pencapaian Co-Branding'!G88</f>
        <v>0</v>
      </c>
      <c r="AL88" s="170">
        <f>'Pencapaian Co-Branding'!I88</f>
        <v>0</v>
      </c>
      <c r="AM88" s="255">
        <f>'Pencapaian Join Event Activity'!G88</f>
        <v>0</v>
      </c>
      <c r="AN88" s="170">
        <f>'Pencapaian Join Event Activity'!I88</f>
        <v>0</v>
      </c>
      <c r="AO88" s="15">
        <f t="shared" ref="AO88:AO95" si="63">SUM(AN88,AL88,AJ88,AH88,AF88,AD88,AB88,Z88,X88,U88)</f>
        <v>742500</v>
      </c>
      <c r="AP88" s="13">
        <v>0</v>
      </c>
      <c r="AQ88" s="15">
        <f t="shared" si="58"/>
        <v>0</v>
      </c>
      <c r="AR88" s="13">
        <v>0</v>
      </c>
      <c r="AS88" s="15">
        <f t="shared" si="59"/>
        <v>0</v>
      </c>
      <c r="AT88" s="15">
        <f t="shared" si="60"/>
        <v>742500</v>
      </c>
      <c r="AU88" s="15">
        <f t="shared" si="61"/>
        <v>519749.99999999994</v>
      </c>
      <c r="AV88" s="15">
        <f t="shared" si="62"/>
        <v>222750</v>
      </c>
    </row>
    <row r="89" spans="2:48" ht="16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3"/>
      <c r="O89" s="3"/>
      <c r="P89" s="397"/>
      <c r="Q89" s="78"/>
      <c r="R89" s="78" t="s">
        <v>230</v>
      </c>
      <c r="S89" s="64" t="s">
        <v>20</v>
      </c>
      <c r="T89" s="258">
        <f>'Pencapaian Sales Value'!G89</f>
        <v>0.65077411352056969</v>
      </c>
      <c r="U89" s="63">
        <f>'Pencapaian Sales Value'!I89</f>
        <v>0</v>
      </c>
      <c r="V89" s="268">
        <f>'Pencapaian Product Focus'!H89</f>
        <v>0</v>
      </c>
      <c r="W89" s="268">
        <f>'Pencapaian Product Focus'!L89</f>
        <v>0</v>
      </c>
      <c r="X89" s="189">
        <f>'Pencapaian Product Focus'!N89</f>
        <v>0</v>
      </c>
      <c r="Y89" s="258">
        <f>'Pencapaian Effective Call'!G89</f>
        <v>0.76800000000000002</v>
      </c>
      <c r="Z89" s="63">
        <f>'Pencapaian Effective Call'!I89</f>
        <v>60000</v>
      </c>
      <c r="AA89" s="258">
        <f>'Pencapaian New Open Outlet'!G89</f>
        <v>2.25</v>
      </c>
      <c r="AB89" s="63">
        <f>'Pencapaian New Open Outlet'!I89</f>
        <v>336000</v>
      </c>
      <c r="AC89" s="258">
        <f>'Pencapaian Active Outlet'!G89</f>
        <v>1.043076923076923</v>
      </c>
      <c r="AD89" s="63">
        <f>'Pencapaian Active Outlet'!I89</f>
        <v>240000</v>
      </c>
      <c r="AE89" s="268">
        <f>'Pencapaian Item per Outlet'!G89</f>
        <v>0</v>
      </c>
      <c r="AF89" s="189">
        <f>'Pencapaian Item per Outlet'!I89</f>
        <v>0</v>
      </c>
      <c r="AG89" s="268">
        <f>'Pencapaian Product Display'!G89</f>
        <v>0</v>
      </c>
      <c r="AH89" s="189">
        <f>'Pencapaian Product Display'!I89</f>
        <v>0</v>
      </c>
      <c r="AI89" s="268">
        <f>'Pencapaian Sales Contract'!G89</f>
        <v>0</v>
      </c>
      <c r="AJ89" s="189">
        <f>'Pencapaian Sales Contract'!I89</f>
        <v>0</v>
      </c>
      <c r="AK89" s="268">
        <f>'Pencapaian Co-Branding'!G89</f>
        <v>0</v>
      </c>
      <c r="AL89" s="189">
        <f>'Pencapaian Co-Branding'!I89</f>
        <v>0</v>
      </c>
      <c r="AM89" s="268">
        <f>'Pencapaian Join Event Activity'!G89</f>
        <v>0</v>
      </c>
      <c r="AN89" s="189">
        <f>'Pencapaian Join Event Activity'!I89</f>
        <v>0</v>
      </c>
      <c r="AO89" s="63">
        <f t="shared" si="63"/>
        <v>636000</v>
      </c>
      <c r="AP89" s="110">
        <v>1.9434158899491493E-3</v>
      </c>
      <c r="AQ89" s="63">
        <f t="shared" si="58"/>
        <v>0</v>
      </c>
      <c r="AR89" s="110">
        <v>0</v>
      </c>
      <c r="AS89" s="63">
        <f t="shared" si="59"/>
        <v>0</v>
      </c>
      <c r="AT89" s="63">
        <f t="shared" si="60"/>
        <v>636000</v>
      </c>
      <c r="AU89" s="63">
        <f>AT89</f>
        <v>636000</v>
      </c>
      <c r="AV89" s="63">
        <v>0</v>
      </c>
    </row>
    <row r="90" spans="2:48" ht="16" x14ac:dyDescent="0.2">
      <c r="B90" s="61"/>
      <c r="C90" s="320"/>
      <c r="D90" s="320"/>
      <c r="E90" s="320"/>
      <c r="F90" s="320"/>
      <c r="G90" s="320"/>
      <c r="H90" s="320"/>
      <c r="I90" s="320"/>
      <c r="J90" s="320"/>
      <c r="K90" s="320"/>
      <c r="L90" s="320"/>
      <c r="M90" s="320"/>
      <c r="N90" s="316"/>
      <c r="O90" s="3"/>
      <c r="P90" s="397"/>
      <c r="Q90" s="77"/>
      <c r="R90" s="77" t="s">
        <v>38</v>
      </c>
      <c r="S90" s="42"/>
      <c r="T90" s="264">
        <f>'Pencapaian Sales Value'!G90</f>
        <v>0.65077411352056969</v>
      </c>
      <c r="U90" s="23">
        <f>'Pencapaian Sales Value'!I90</f>
        <v>450000</v>
      </c>
      <c r="V90" s="274">
        <f>'Pencapaian Product Focus'!H90</f>
        <v>0</v>
      </c>
      <c r="W90" s="274">
        <f>'Pencapaian Product Focus'!L90</f>
        <v>0</v>
      </c>
      <c r="X90" s="190">
        <f>'Pencapaian Product Focus'!N90</f>
        <v>0</v>
      </c>
      <c r="Y90" s="264">
        <f>'Pencapaian Effective Call'!G90</f>
        <v>0.76800000000000002</v>
      </c>
      <c r="Z90" s="23">
        <f>'Pencapaian Effective Call'!I90</f>
        <v>150000</v>
      </c>
      <c r="AA90" s="264">
        <f>'Pencapaian New Open Outlet'!G90</f>
        <v>2.25</v>
      </c>
      <c r="AB90" s="23">
        <f>'Pencapaian New Open Outlet'!I90</f>
        <v>651000</v>
      </c>
      <c r="AC90" s="264">
        <f>'Pencapaian Active Outlet'!G90</f>
        <v>1.043076923076923</v>
      </c>
      <c r="AD90" s="23">
        <f>'Pencapaian Active Outlet'!I90</f>
        <v>397500</v>
      </c>
      <c r="AE90" s="274">
        <f>'Pencapaian Item per Outlet'!G90</f>
        <v>0</v>
      </c>
      <c r="AF90" s="190">
        <f>'Pencapaian Item per Outlet'!I90</f>
        <v>0</v>
      </c>
      <c r="AG90" s="274">
        <f>'Pencapaian Product Display'!G90</f>
        <v>0</v>
      </c>
      <c r="AH90" s="190">
        <f>'Pencapaian Product Display'!I90</f>
        <v>0</v>
      </c>
      <c r="AI90" s="274">
        <f>'Pencapaian Sales Contract'!G90</f>
        <v>0</v>
      </c>
      <c r="AJ90" s="190">
        <f>'Pencapaian Sales Contract'!I90</f>
        <v>0</v>
      </c>
      <c r="AK90" s="274">
        <f>'Pencapaian Co-Branding'!G90</f>
        <v>0</v>
      </c>
      <c r="AL90" s="190">
        <f>'Pencapaian Co-Branding'!I90</f>
        <v>0</v>
      </c>
      <c r="AM90" s="274">
        <f>'Pencapaian Join Event Activity'!G90</f>
        <v>0</v>
      </c>
      <c r="AN90" s="190">
        <f>'Pencapaian Join Event Activity'!I90</f>
        <v>0</v>
      </c>
      <c r="AO90" s="23">
        <f t="shared" si="63"/>
        <v>1648500</v>
      </c>
      <c r="AP90" s="112">
        <v>1.9434158899491493E-3</v>
      </c>
      <c r="AQ90" s="23">
        <f>SUM(AQ87:AQ89)</f>
        <v>0</v>
      </c>
      <c r="AR90" s="112">
        <v>0</v>
      </c>
      <c r="AS90" s="23">
        <f>SUM(AS87:AS89)</f>
        <v>0</v>
      </c>
      <c r="AT90" s="23">
        <f t="shared" si="60"/>
        <v>1648500</v>
      </c>
      <c r="AU90" s="23">
        <f t="shared" ref="AU90:AV90" si="64">SUM(AU87:AU89)</f>
        <v>1344750</v>
      </c>
      <c r="AV90" s="23">
        <f t="shared" si="64"/>
        <v>303750</v>
      </c>
    </row>
    <row r="91" spans="2:48" ht="16" x14ac:dyDescent="0.2">
      <c r="B91" s="61"/>
      <c r="C91" s="320"/>
      <c r="D91" s="320"/>
      <c r="E91" s="320"/>
      <c r="F91" s="320"/>
      <c r="G91" s="320"/>
      <c r="H91" s="320"/>
      <c r="I91" s="320"/>
      <c r="J91" s="320"/>
      <c r="K91" s="320"/>
      <c r="L91" s="320"/>
      <c r="M91" s="320"/>
      <c r="N91" s="316"/>
      <c r="O91" s="3"/>
      <c r="P91" s="397" t="s">
        <v>614</v>
      </c>
      <c r="Q91" s="52" t="s">
        <v>386</v>
      </c>
      <c r="R91" s="69" t="s">
        <v>265</v>
      </c>
      <c r="S91" s="12" t="s">
        <v>18</v>
      </c>
      <c r="T91" s="269">
        <f>'Pencapaian Sales Value'!G91</f>
        <v>0.80873936723578732</v>
      </c>
      <c r="U91" s="15">
        <f>'Pencapaian Sales Value'!I91</f>
        <v>225000</v>
      </c>
      <c r="V91" s="304">
        <f>'Pencapaian Product Focus'!H91</f>
        <v>0</v>
      </c>
      <c r="W91" s="304">
        <f>'Pencapaian Product Focus'!L91</f>
        <v>0</v>
      </c>
      <c r="X91" s="178">
        <f>'Pencapaian Product Focus'!N91</f>
        <v>0</v>
      </c>
      <c r="Y91" s="269">
        <f>'Pencapaian Effective Call'!G91</f>
        <v>0.73076923076923073</v>
      </c>
      <c r="Z91" s="15">
        <f>'Pencapaian Effective Call'!I91</f>
        <v>45000</v>
      </c>
      <c r="AA91" s="269">
        <f>'Pencapaian New Open Outlet'!G91</f>
        <v>0.3</v>
      </c>
      <c r="AB91" s="15">
        <f>'Pencapaian New Open Outlet'!I91</f>
        <v>0</v>
      </c>
      <c r="AC91" s="269">
        <f>'Pencapaian Active Outlet'!G91</f>
        <v>0.60843373493975905</v>
      </c>
      <c r="AD91" s="15">
        <f>'Pencapaian Active Outlet'!I91</f>
        <v>0</v>
      </c>
      <c r="AE91" s="255">
        <f>'Pencapaian Item per Outlet'!G91</f>
        <v>0</v>
      </c>
      <c r="AF91" s="170">
        <f>'Pencapaian Item per Outlet'!I91</f>
        <v>0</v>
      </c>
      <c r="AG91" s="255">
        <f>'Pencapaian Product Display'!G91</f>
        <v>0</v>
      </c>
      <c r="AH91" s="170">
        <f>'Pencapaian Product Display'!I91</f>
        <v>0</v>
      </c>
      <c r="AI91" s="255">
        <f>'Pencapaian Sales Contract'!G91</f>
        <v>0</v>
      </c>
      <c r="AJ91" s="170">
        <f>'Pencapaian Sales Contract'!I91</f>
        <v>0</v>
      </c>
      <c r="AK91" s="255">
        <f>'Pencapaian Co-Branding'!G91</f>
        <v>0</v>
      </c>
      <c r="AL91" s="170">
        <f>'Pencapaian Co-Branding'!I91</f>
        <v>0</v>
      </c>
      <c r="AM91" s="255">
        <f>'Pencapaian Join Event Activity'!G91</f>
        <v>0</v>
      </c>
      <c r="AN91" s="170">
        <f>'Pencapaian Join Event Activity'!I91</f>
        <v>0</v>
      </c>
      <c r="AO91" s="15">
        <f t="shared" si="63"/>
        <v>270000</v>
      </c>
      <c r="AP91" s="13">
        <v>0</v>
      </c>
      <c r="AQ91" s="15">
        <f t="shared" ref="AQ91:AQ93" si="65">IF(AP91&gt;=0.5%,-(AO91*10%),0)</f>
        <v>0</v>
      </c>
      <c r="AR91" s="13">
        <v>0</v>
      </c>
      <c r="AS91" s="15">
        <f t="shared" ref="AS91:AS93" si="66">IF(AR91&gt;0,-(AO91+AQ91),0)</f>
        <v>0</v>
      </c>
      <c r="AT91" s="15">
        <f t="shared" si="60"/>
        <v>270000</v>
      </c>
      <c r="AU91" s="15">
        <f t="shared" ref="AU91:AU92" si="67">AT91*70%</f>
        <v>189000</v>
      </c>
      <c r="AV91" s="15">
        <f t="shared" ref="AV91:AV92" si="68">AT91*30%</f>
        <v>81000</v>
      </c>
    </row>
    <row r="92" spans="2:48" ht="16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3"/>
      <c r="O92" s="3"/>
      <c r="P92" s="397"/>
      <c r="Q92" s="52" t="s">
        <v>387</v>
      </c>
      <c r="R92" s="52" t="s">
        <v>97</v>
      </c>
      <c r="S92" s="38" t="s">
        <v>18</v>
      </c>
      <c r="T92" s="269">
        <f>'Pencapaian Sales Value'!G92</f>
        <v>0.65018427418700186</v>
      </c>
      <c r="U92" s="15">
        <f>'Pencapaian Sales Value'!I92</f>
        <v>0</v>
      </c>
      <c r="V92" s="304">
        <f>'Pencapaian Product Focus'!H92</f>
        <v>0</v>
      </c>
      <c r="W92" s="304">
        <f>'Pencapaian Product Focus'!L92</f>
        <v>0</v>
      </c>
      <c r="X92" s="178">
        <f>'Pencapaian Product Focus'!N92</f>
        <v>0</v>
      </c>
      <c r="Y92" s="269">
        <f>'Pencapaian Effective Call'!G92</f>
        <v>0.4653846153846154</v>
      </c>
      <c r="Z92" s="15">
        <f>'Pencapaian Effective Call'!I92</f>
        <v>0</v>
      </c>
      <c r="AA92" s="269">
        <f>'Pencapaian New Open Outlet'!G92</f>
        <v>0.3</v>
      </c>
      <c r="AB92" s="15">
        <f>'Pencapaian New Open Outlet'!I92</f>
        <v>0</v>
      </c>
      <c r="AC92" s="269">
        <f>'Pencapaian Active Outlet'!G92</f>
        <v>0.84705882352941175</v>
      </c>
      <c r="AD92" s="15">
        <f>'Pencapaian Active Outlet'!I92</f>
        <v>45000</v>
      </c>
      <c r="AE92" s="255">
        <f>'Pencapaian Item per Outlet'!G92</f>
        <v>0</v>
      </c>
      <c r="AF92" s="170">
        <f>'Pencapaian Item per Outlet'!I92</f>
        <v>0</v>
      </c>
      <c r="AG92" s="255">
        <f>'Pencapaian Product Display'!G92</f>
        <v>0</v>
      </c>
      <c r="AH92" s="170">
        <f>'Pencapaian Product Display'!I92</f>
        <v>0</v>
      </c>
      <c r="AI92" s="255">
        <f>'Pencapaian Sales Contract'!G92</f>
        <v>0</v>
      </c>
      <c r="AJ92" s="170">
        <f>'Pencapaian Sales Contract'!I92</f>
        <v>0</v>
      </c>
      <c r="AK92" s="255">
        <f>'Pencapaian Co-Branding'!G92</f>
        <v>0</v>
      </c>
      <c r="AL92" s="170">
        <f>'Pencapaian Co-Branding'!I92</f>
        <v>0</v>
      </c>
      <c r="AM92" s="255">
        <f>'Pencapaian Join Event Activity'!G92</f>
        <v>0</v>
      </c>
      <c r="AN92" s="170">
        <f>'Pencapaian Join Event Activity'!I92</f>
        <v>0</v>
      </c>
      <c r="AO92" s="15">
        <f t="shared" si="63"/>
        <v>45000</v>
      </c>
      <c r="AP92" s="13">
        <v>7.3689782953943886E-3</v>
      </c>
      <c r="AQ92" s="15">
        <f t="shared" si="65"/>
        <v>-4500</v>
      </c>
      <c r="AR92" s="13">
        <v>0</v>
      </c>
      <c r="AS92" s="15">
        <f t="shared" si="66"/>
        <v>0</v>
      </c>
      <c r="AT92" s="262">
        <f t="shared" si="60"/>
        <v>40500</v>
      </c>
      <c r="AU92" s="15">
        <f t="shared" si="67"/>
        <v>28350</v>
      </c>
      <c r="AV92" s="15">
        <f t="shared" si="68"/>
        <v>12150</v>
      </c>
    </row>
    <row r="93" spans="2:48" ht="16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3"/>
      <c r="O93" s="3"/>
      <c r="P93" s="397"/>
      <c r="Q93" s="78"/>
      <c r="R93" s="78" t="s">
        <v>497</v>
      </c>
      <c r="S93" s="64" t="s">
        <v>20</v>
      </c>
      <c r="T93" s="258">
        <f>'Pencapaian Sales Value'!G93</f>
        <v>0.75324508466871232</v>
      </c>
      <c r="U93" s="63">
        <f>'Pencapaian Sales Value'!I93</f>
        <v>120000</v>
      </c>
      <c r="V93" s="268">
        <f>'Pencapaian Product Focus'!H93</f>
        <v>0</v>
      </c>
      <c r="W93" s="268">
        <f>'Pencapaian Product Focus'!L93</f>
        <v>0</v>
      </c>
      <c r="X93" s="189">
        <f>'Pencapaian Product Focus'!N93</f>
        <v>0</v>
      </c>
      <c r="Y93" s="258">
        <f>'Pencapaian Effective Call'!G93</f>
        <v>0.6101398601398601</v>
      </c>
      <c r="Z93" s="63">
        <f>'Pencapaian Effective Call'!I93</f>
        <v>0</v>
      </c>
      <c r="AA93" s="258">
        <f>'Pencapaian New Open Outlet'!G93</f>
        <v>0.3</v>
      </c>
      <c r="AB93" s="63">
        <f>'Pencapaian New Open Outlet'!I93</f>
        <v>0</v>
      </c>
      <c r="AC93" s="258">
        <f>'Pencapaian Active Outlet'!G93</f>
        <v>0.68924302788844627</v>
      </c>
      <c r="AD93" s="63">
        <f>'Pencapaian Active Outlet'!I93</f>
        <v>0</v>
      </c>
      <c r="AE93" s="268">
        <f>'Pencapaian Item per Outlet'!G93</f>
        <v>0</v>
      </c>
      <c r="AF93" s="189">
        <f>'Pencapaian Item per Outlet'!I93</f>
        <v>0</v>
      </c>
      <c r="AG93" s="268">
        <f>'Pencapaian Product Display'!G93</f>
        <v>0</v>
      </c>
      <c r="AH93" s="189">
        <f>'Pencapaian Product Display'!I93</f>
        <v>0</v>
      </c>
      <c r="AI93" s="268">
        <f>'Pencapaian Sales Contract'!G93</f>
        <v>0</v>
      </c>
      <c r="AJ93" s="189">
        <f>'Pencapaian Sales Contract'!I93</f>
        <v>0</v>
      </c>
      <c r="AK93" s="268">
        <f>'Pencapaian Co-Branding'!G93</f>
        <v>0</v>
      </c>
      <c r="AL93" s="189">
        <f>'Pencapaian Co-Branding'!I93</f>
        <v>0</v>
      </c>
      <c r="AM93" s="268">
        <f>'Pencapaian Join Event Activity'!G93</f>
        <v>0</v>
      </c>
      <c r="AN93" s="189">
        <f>'Pencapaian Join Event Activity'!I93</f>
        <v>0</v>
      </c>
      <c r="AO93" s="63">
        <f t="shared" si="63"/>
        <v>120000</v>
      </c>
      <c r="AP93" s="110">
        <v>2.223842082374184E-3</v>
      </c>
      <c r="AQ93" s="63">
        <f t="shared" si="65"/>
        <v>0</v>
      </c>
      <c r="AR93" s="110">
        <v>0</v>
      </c>
      <c r="AS93" s="63">
        <f t="shared" si="66"/>
        <v>0</v>
      </c>
      <c r="AT93" s="63">
        <f t="shared" si="60"/>
        <v>120000</v>
      </c>
      <c r="AU93" s="63">
        <f>AT93</f>
        <v>120000</v>
      </c>
      <c r="AV93" s="63">
        <v>0</v>
      </c>
    </row>
    <row r="94" spans="2:48" ht="16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3"/>
      <c r="O94" s="3"/>
      <c r="P94" s="397"/>
      <c r="Q94" s="77"/>
      <c r="R94" s="77" t="s">
        <v>615</v>
      </c>
      <c r="S94" s="42"/>
      <c r="T94" s="264">
        <f>'Pencapaian Sales Value'!G94</f>
        <v>0.75324508466871232</v>
      </c>
      <c r="U94" s="23">
        <f>'Pencapaian Sales Value'!I94</f>
        <v>345000</v>
      </c>
      <c r="V94" s="274">
        <f>'Pencapaian Product Focus'!H94</f>
        <v>0</v>
      </c>
      <c r="W94" s="274">
        <f>'Pencapaian Product Focus'!L94</f>
        <v>0</v>
      </c>
      <c r="X94" s="190">
        <f>'Pencapaian Product Focus'!N94</f>
        <v>0</v>
      </c>
      <c r="Y94" s="264">
        <f>'Pencapaian Effective Call'!G94</f>
        <v>0.6101398601398601</v>
      </c>
      <c r="Z94" s="23">
        <f>'Pencapaian Effective Call'!I94</f>
        <v>45000</v>
      </c>
      <c r="AA94" s="264">
        <f>'Pencapaian New Open Outlet'!G94</f>
        <v>0.3</v>
      </c>
      <c r="AB94" s="23">
        <f>'Pencapaian New Open Outlet'!I94</f>
        <v>0</v>
      </c>
      <c r="AC94" s="264">
        <f>'Pencapaian Active Outlet'!G94</f>
        <v>0.68924302788844627</v>
      </c>
      <c r="AD94" s="23">
        <f>'Pencapaian Active Outlet'!I94</f>
        <v>45000</v>
      </c>
      <c r="AE94" s="274">
        <f>'Pencapaian Item per Outlet'!G94</f>
        <v>0</v>
      </c>
      <c r="AF94" s="190">
        <f>'Pencapaian Item per Outlet'!I94</f>
        <v>0</v>
      </c>
      <c r="AG94" s="274">
        <f>'Pencapaian Product Display'!G94</f>
        <v>0</v>
      </c>
      <c r="AH94" s="190">
        <f>'Pencapaian Product Display'!I94</f>
        <v>0</v>
      </c>
      <c r="AI94" s="274">
        <f>'Pencapaian Sales Contract'!G94</f>
        <v>0</v>
      </c>
      <c r="AJ94" s="190">
        <f>'Pencapaian Sales Contract'!I94</f>
        <v>0</v>
      </c>
      <c r="AK94" s="274">
        <f>'Pencapaian Co-Branding'!G94</f>
        <v>0</v>
      </c>
      <c r="AL94" s="190">
        <f>'Pencapaian Co-Branding'!I94</f>
        <v>0</v>
      </c>
      <c r="AM94" s="274">
        <f>'Pencapaian Join Event Activity'!G94</f>
        <v>0</v>
      </c>
      <c r="AN94" s="190">
        <f>'Pencapaian Join Event Activity'!I94</f>
        <v>0</v>
      </c>
      <c r="AO94" s="23">
        <f t="shared" si="63"/>
        <v>435000</v>
      </c>
      <c r="AP94" s="112">
        <v>2.223842082374184E-3</v>
      </c>
      <c r="AQ94" s="23">
        <f>SUM(AQ91:AQ93)</f>
        <v>-4500</v>
      </c>
      <c r="AR94" s="112">
        <v>0</v>
      </c>
      <c r="AS94" s="23">
        <f>SUM(AS91:AS93)</f>
        <v>0</v>
      </c>
      <c r="AT94" s="23">
        <f t="shared" si="60"/>
        <v>430500</v>
      </c>
      <c r="AU94" s="23">
        <f t="shared" ref="AU94:AV94" si="69">SUM(AU91:AU93)</f>
        <v>337350</v>
      </c>
      <c r="AV94" s="23">
        <f t="shared" si="69"/>
        <v>93150</v>
      </c>
    </row>
    <row r="95" spans="2:48" ht="16" x14ac:dyDescent="0.2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3"/>
      <c r="O95" s="3"/>
      <c r="P95" s="79"/>
      <c r="Q95" s="80"/>
      <c r="R95" s="80" t="s">
        <v>219</v>
      </c>
      <c r="S95" s="205"/>
      <c r="T95" s="270">
        <f>'Pencapaian Sales Value'!G95</f>
        <v>0.71673364607047563</v>
      </c>
      <c r="U95" s="43">
        <f>'Pencapaian Sales Value'!I95</f>
        <v>795000</v>
      </c>
      <c r="V95" s="274">
        <f>'Pencapaian Product Focus'!H95</f>
        <v>0</v>
      </c>
      <c r="W95" s="274">
        <f>'Pencapaian Product Focus'!L95</f>
        <v>0</v>
      </c>
      <c r="X95" s="190">
        <f>'Pencapaian Product Focus'!N95</f>
        <v>0</v>
      </c>
      <c r="Y95" s="270">
        <f>'Pencapaian Effective Call'!G95</f>
        <v>0.69969742813918301</v>
      </c>
      <c r="Z95" s="43">
        <f>'Pencapaian Effective Call'!I95</f>
        <v>195000</v>
      </c>
      <c r="AA95" s="270">
        <f>'Pencapaian New Open Outlet'!G95</f>
        <v>1.2749999999999999</v>
      </c>
      <c r="AB95" s="43">
        <f>'Pencapaian New Open Outlet'!I95</f>
        <v>651000</v>
      </c>
      <c r="AC95" s="270">
        <f>'Pencapaian Active Outlet'!G95</f>
        <v>0.88888888888888884</v>
      </c>
      <c r="AD95" s="43">
        <f>'Pencapaian Active Outlet'!I95</f>
        <v>442500</v>
      </c>
      <c r="AE95" s="274">
        <f>'Pencapaian Item per Outlet'!G95</f>
        <v>0</v>
      </c>
      <c r="AF95" s="190">
        <f>'Pencapaian Item per Outlet'!I95</f>
        <v>0</v>
      </c>
      <c r="AG95" s="308">
        <f>'Pencapaian Product Display'!G95</f>
        <v>0</v>
      </c>
      <c r="AH95" s="315">
        <f>'Pencapaian Product Display'!I95</f>
        <v>0</v>
      </c>
      <c r="AI95" s="308">
        <f>'Pencapaian Sales Contract'!G95</f>
        <v>0</v>
      </c>
      <c r="AJ95" s="315">
        <f>'Pencapaian Sales Contract'!I95</f>
        <v>0</v>
      </c>
      <c r="AK95" s="308">
        <f>'Pencapaian Co-Branding'!G95</f>
        <v>0</v>
      </c>
      <c r="AL95" s="315">
        <f>'Pencapaian Co-Branding'!I95</f>
        <v>0</v>
      </c>
      <c r="AM95" s="308">
        <f>'Pencapaian Join Event Activity'!G95</f>
        <v>0</v>
      </c>
      <c r="AN95" s="315">
        <f>'Pencapaian Join Event Activity'!I95</f>
        <v>0</v>
      </c>
      <c r="AO95" s="43">
        <f t="shared" si="63"/>
        <v>2083500</v>
      </c>
      <c r="AP95" s="136">
        <v>2.1331853405180245E-3</v>
      </c>
      <c r="AQ95" s="43">
        <f>SUM(AQ94,AQ90)</f>
        <v>-4500</v>
      </c>
      <c r="AR95" s="136">
        <v>0</v>
      </c>
      <c r="AS95" s="43">
        <f>SUM(AS94,AS90)</f>
        <v>0</v>
      </c>
      <c r="AT95" s="43">
        <f t="shared" si="60"/>
        <v>2079000</v>
      </c>
      <c r="AU95" s="43">
        <f t="shared" ref="AU95:AV95" si="70">SUM(AU90,AU94)</f>
        <v>1682100</v>
      </c>
      <c r="AV95" s="43">
        <f t="shared" si="70"/>
        <v>396900</v>
      </c>
    </row>
    <row r="96" spans="2:48" x14ac:dyDescent="0.2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3"/>
      <c r="O96" s="3"/>
      <c r="U96" s="2"/>
      <c r="X96" s="2"/>
      <c r="Z96" s="2"/>
      <c r="AB96" s="2"/>
      <c r="AD96" s="2"/>
      <c r="AF96" s="2"/>
      <c r="AH96" s="2"/>
      <c r="AJ96" s="2"/>
      <c r="AL96" s="2"/>
      <c r="AN96" s="2"/>
      <c r="AO96" s="2"/>
      <c r="AP96" s="1"/>
      <c r="AQ96" s="2"/>
      <c r="AR96" s="1"/>
      <c r="AS96" s="2"/>
      <c r="AT96" s="2"/>
      <c r="AU96" s="2"/>
      <c r="AV96" s="2"/>
    </row>
    <row r="97" spans="2:48" x14ac:dyDescent="0.2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3"/>
      <c r="O97" s="3"/>
      <c r="U97" s="2"/>
      <c r="X97" s="2"/>
      <c r="Z97" s="2"/>
      <c r="AB97" s="2"/>
      <c r="AD97" s="2"/>
      <c r="AF97" s="2"/>
      <c r="AH97" s="2"/>
      <c r="AJ97" s="2"/>
      <c r="AL97" s="2"/>
      <c r="AN97" s="2"/>
      <c r="AO97" s="2"/>
      <c r="AP97" s="1"/>
      <c r="AQ97" s="2"/>
      <c r="AR97" s="1"/>
      <c r="AS97" s="2"/>
      <c r="AT97" s="2"/>
      <c r="AU97" s="2"/>
      <c r="AV97" s="2"/>
    </row>
    <row r="98" spans="2:48" x14ac:dyDescent="0.2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3"/>
      <c r="O98" s="3"/>
      <c r="U98" s="2"/>
      <c r="X98" s="2"/>
      <c r="Z98" s="2"/>
      <c r="AB98" s="2"/>
      <c r="AD98" s="2"/>
      <c r="AF98" s="2"/>
      <c r="AH98" s="2"/>
      <c r="AJ98" s="2"/>
      <c r="AL98" s="2"/>
      <c r="AN98" s="2"/>
      <c r="AO98" s="2"/>
      <c r="AP98" s="1"/>
      <c r="AQ98" s="2"/>
      <c r="AR98" s="1"/>
      <c r="AS98" s="2"/>
      <c r="AT98" s="2"/>
      <c r="AU98" s="2"/>
      <c r="AV98" s="2"/>
    </row>
    <row r="99" spans="2:48" x14ac:dyDescent="0.2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3"/>
      <c r="O99" s="3"/>
      <c r="U99" s="2"/>
      <c r="X99" s="2"/>
      <c r="Z99" s="2"/>
      <c r="AB99" s="2"/>
      <c r="AD99" s="2"/>
      <c r="AF99" s="2"/>
      <c r="AH99" s="2"/>
      <c r="AJ99" s="2"/>
      <c r="AL99" s="2"/>
      <c r="AN99" s="2"/>
      <c r="AO99" s="2"/>
      <c r="AP99" s="1"/>
      <c r="AQ99" s="2"/>
      <c r="AR99" s="1"/>
      <c r="AS99" s="2"/>
      <c r="AT99" s="2"/>
      <c r="AU99" s="2"/>
      <c r="AV99" s="2"/>
    </row>
    <row r="100" spans="2:48" x14ac:dyDescent="0.2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"/>
      <c r="O100" s="3"/>
      <c r="U100" s="2"/>
      <c r="X100" s="2"/>
      <c r="Z100" s="2"/>
      <c r="AB100" s="2"/>
      <c r="AD100" s="2"/>
      <c r="AF100" s="2"/>
      <c r="AH100" s="2"/>
      <c r="AJ100" s="2"/>
      <c r="AL100" s="2"/>
      <c r="AN100" s="2"/>
      <c r="AO100" s="2"/>
      <c r="AP100" s="1"/>
      <c r="AQ100" s="2"/>
      <c r="AR100" s="1"/>
      <c r="AS100" s="2"/>
      <c r="AT100" s="2"/>
      <c r="AU100" s="2"/>
      <c r="AV100" s="2"/>
    </row>
    <row r="101" spans="2:48" x14ac:dyDescent="0.2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3"/>
      <c r="O101" s="3"/>
      <c r="P101" s="4"/>
      <c r="Q101" s="5"/>
      <c r="R101" s="5"/>
      <c r="T101" s="300"/>
      <c r="U101" s="2"/>
      <c r="V101" s="300"/>
      <c r="X101" s="2"/>
      <c r="Y101" s="300"/>
      <c r="Z101" s="2"/>
      <c r="AA101" s="300"/>
      <c r="AB101" s="2"/>
      <c r="AC101" s="300"/>
      <c r="AD101" s="2"/>
      <c r="AE101" s="300"/>
      <c r="AF101" s="2"/>
      <c r="AG101" s="300"/>
      <c r="AH101" s="2"/>
      <c r="AI101" s="300"/>
      <c r="AJ101" s="2"/>
      <c r="AK101" s="300"/>
      <c r="AL101" s="2"/>
      <c r="AM101" s="300"/>
      <c r="AN101" s="2"/>
      <c r="AO101" s="2"/>
      <c r="AP101" s="1"/>
      <c r="AQ101" s="133"/>
      <c r="AR101" s="1"/>
      <c r="AS101" s="2"/>
      <c r="AT101" s="2"/>
      <c r="AU101" s="2"/>
      <c r="AV101" s="2"/>
    </row>
    <row r="102" spans="2:48" x14ac:dyDescent="0.2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"/>
      <c r="O102" s="3"/>
      <c r="P102" s="8"/>
      <c r="Q102" s="8"/>
      <c r="R102" s="8"/>
      <c r="T102" s="300"/>
      <c r="U102" s="2"/>
      <c r="V102" s="300"/>
      <c r="X102" s="2"/>
      <c r="Y102" s="300"/>
      <c r="Z102" s="2"/>
      <c r="AA102" s="300"/>
      <c r="AB102" s="2"/>
      <c r="AC102" s="300"/>
      <c r="AD102" s="2"/>
      <c r="AE102" s="300"/>
      <c r="AF102" s="2"/>
      <c r="AG102" s="300"/>
      <c r="AH102" s="2"/>
      <c r="AI102" s="300"/>
      <c r="AJ102" s="2"/>
      <c r="AK102" s="300"/>
      <c r="AL102" s="2"/>
      <c r="AM102" s="300"/>
      <c r="AN102" s="2"/>
      <c r="AO102" s="2"/>
      <c r="AP102" s="1"/>
      <c r="AQ102" s="133"/>
      <c r="AR102" s="1"/>
      <c r="AS102" s="2"/>
      <c r="AT102" s="2"/>
      <c r="AU102" s="2"/>
      <c r="AV102" s="2"/>
    </row>
    <row r="103" spans="2:48" s="61" customFormat="1" ht="14.5" customHeight="1" x14ac:dyDescent="0.2">
      <c r="B10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"/>
      <c r="O103" s="316"/>
      <c r="P103" s="388" t="s">
        <v>0</v>
      </c>
      <c r="Q103" s="388" t="s">
        <v>270</v>
      </c>
      <c r="R103" s="388" t="s">
        <v>2</v>
      </c>
      <c r="S103" s="394" t="s">
        <v>3</v>
      </c>
      <c r="T103" s="388" t="s">
        <v>4</v>
      </c>
      <c r="U103" s="388"/>
      <c r="V103" s="388" t="s">
        <v>139</v>
      </c>
      <c r="W103" s="388"/>
      <c r="X103" s="388"/>
      <c r="Y103" s="388" t="s">
        <v>134</v>
      </c>
      <c r="Z103" s="388"/>
      <c r="AA103" s="388" t="s">
        <v>135</v>
      </c>
      <c r="AB103" s="388"/>
      <c r="AC103" s="388" t="s">
        <v>5</v>
      </c>
      <c r="AD103" s="388"/>
      <c r="AE103" s="388" t="s">
        <v>137</v>
      </c>
      <c r="AF103" s="388"/>
      <c r="AG103" s="388" t="s">
        <v>424</v>
      </c>
      <c r="AH103" s="388"/>
      <c r="AI103" s="388" t="s">
        <v>431</v>
      </c>
      <c r="AJ103" s="388"/>
      <c r="AK103" s="388" t="s">
        <v>438</v>
      </c>
      <c r="AL103" s="388"/>
      <c r="AM103" s="388" t="s">
        <v>445</v>
      </c>
      <c r="AN103" s="388"/>
      <c r="AO103" s="389" t="s">
        <v>141</v>
      </c>
      <c r="AP103" s="391" t="s">
        <v>6</v>
      </c>
      <c r="AQ103" s="391"/>
      <c r="AR103" s="391"/>
      <c r="AS103" s="391"/>
      <c r="AT103" s="385" t="s">
        <v>7</v>
      </c>
      <c r="AU103" s="385" t="s">
        <v>2</v>
      </c>
      <c r="AV103" s="385" t="s">
        <v>144</v>
      </c>
    </row>
    <row r="104" spans="2:48" s="61" customFormat="1" ht="32" x14ac:dyDescent="0.2">
      <c r="B10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"/>
      <c r="O104" s="316"/>
      <c r="P104" s="388"/>
      <c r="Q104" s="388"/>
      <c r="R104" s="388"/>
      <c r="S104" s="394"/>
      <c r="T104" s="253" t="s">
        <v>9</v>
      </c>
      <c r="U104" s="54" t="s">
        <v>10</v>
      </c>
      <c r="V104" s="253" t="s">
        <v>514</v>
      </c>
      <c r="W104" s="296" t="s">
        <v>515</v>
      </c>
      <c r="X104" s="54" t="s">
        <v>10</v>
      </c>
      <c r="Y104" s="253" t="s">
        <v>9</v>
      </c>
      <c r="Z104" s="54" t="s">
        <v>10</v>
      </c>
      <c r="AA104" s="253" t="s">
        <v>9</v>
      </c>
      <c r="AB104" s="54" t="s">
        <v>10</v>
      </c>
      <c r="AC104" s="253" t="s">
        <v>9</v>
      </c>
      <c r="AD104" s="54" t="s">
        <v>10</v>
      </c>
      <c r="AE104" s="253" t="s">
        <v>9</v>
      </c>
      <c r="AF104" s="54" t="s">
        <v>10</v>
      </c>
      <c r="AG104" s="253" t="s">
        <v>9</v>
      </c>
      <c r="AH104" s="54" t="s">
        <v>10</v>
      </c>
      <c r="AI104" s="253" t="s">
        <v>9</v>
      </c>
      <c r="AJ104" s="54" t="s">
        <v>10</v>
      </c>
      <c r="AK104" s="253" t="s">
        <v>9</v>
      </c>
      <c r="AL104" s="54" t="s">
        <v>10</v>
      </c>
      <c r="AM104" s="253" t="s">
        <v>9</v>
      </c>
      <c r="AN104" s="54" t="s">
        <v>10</v>
      </c>
      <c r="AO104" s="390"/>
      <c r="AP104" s="135" t="s">
        <v>798</v>
      </c>
      <c r="AQ104" s="134" t="s">
        <v>143</v>
      </c>
      <c r="AR104" s="135" t="s">
        <v>11</v>
      </c>
      <c r="AS104" s="134" t="s">
        <v>143</v>
      </c>
      <c r="AT104" s="385"/>
      <c r="AU104" s="385"/>
      <c r="AV104" s="385"/>
    </row>
    <row r="105" spans="2:48" ht="16" x14ac:dyDescent="0.2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"/>
      <c r="O105" s="3"/>
      <c r="P105" s="397" t="s">
        <v>39</v>
      </c>
      <c r="Q105" s="52" t="s">
        <v>388</v>
      </c>
      <c r="R105" s="12" t="s">
        <v>389</v>
      </c>
      <c r="S105" s="12" t="s">
        <v>18</v>
      </c>
      <c r="T105" s="269">
        <f>'Pencapaian Sales Value'!G105</f>
        <v>0.66350592592592594</v>
      </c>
      <c r="U105" s="15">
        <f>'Pencapaian Sales Value'!I105</f>
        <v>0</v>
      </c>
      <c r="V105" s="269">
        <f>'Pencapaian Product Focus'!H105</f>
        <v>0.75574074074073994</v>
      </c>
      <c r="W105" s="269">
        <f>'Pencapaian Product Focus'!L105</f>
        <v>0.375</v>
      </c>
      <c r="X105" s="15">
        <f>'Pencapaian Product Focus'!N105</f>
        <v>22500</v>
      </c>
      <c r="Y105" s="269">
        <f>'Pencapaian Effective Call'!G105</f>
        <v>0.6</v>
      </c>
      <c r="Z105" s="15">
        <f>'Pencapaian Effective Call'!I105</f>
        <v>0</v>
      </c>
      <c r="AA105" s="269">
        <f>'Pencapaian New Open Outlet'!G105</f>
        <v>0.61538461538461542</v>
      </c>
      <c r="AB105" s="15">
        <f>'Pencapaian New Open Outlet'!I105</f>
        <v>0</v>
      </c>
      <c r="AC105" s="255">
        <f>'Pencapaian Active Outlet'!G105</f>
        <v>0.7</v>
      </c>
      <c r="AD105" s="170">
        <f>'Pencapaian Active Outlet'!I105</f>
        <v>0</v>
      </c>
      <c r="AE105" s="255">
        <f>'Pencapaian Item per Outlet'!G105</f>
        <v>0</v>
      </c>
      <c r="AF105" s="309">
        <f>'Pencapaian Item per Outlet'!I105</f>
        <v>0</v>
      </c>
      <c r="AG105" s="255">
        <f>'Pencapaian Product Display'!G105</f>
        <v>0</v>
      </c>
      <c r="AH105" s="309">
        <f>'Pencapaian Product Display'!I105</f>
        <v>0</v>
      </c>
      <c r="AI105" s="255">
        <f>'Pencapaian Sales Contract'!G105</f>
        <v>0</v>
      </c>
      <c r="AJ105" s="309">
        <f>'Pencapaian Sales Contract'!I105</f>
        <v>0</v>
      </c>
      <c r="AK105" s="255">
        <f>'Pencapaian Co-Branding'!G105</f>
        <v>0</v>
      </c>
      <c r="AL105" s="309">
        <f>'Pencapaian Co-Branding'!I105</f>
        <v>0</v>
      </c>
      <c r="AM105" s="255">
        <f>'Pencapaian Join Event Activity'!G105</f>
        <v>0</v>
      </c>
      <c r="AN105" s="309">
        <f>'Pencapaian Join Event Activity'!I105</f>
        <v>0</v>
      </c>
      <c r="AO105" s="15">
        <f t="shared" ref="AO105" si="71">SUM(AN105,AL105,AJ105,AH105,AF105,AD105,AB105,Z105,X105,U105)</f>
        <v>22500</v>
      </c>
      <c r="AP105" s="13">
        <v>2.402501638323027E-2</v>
      </c>
      <c r="AQ105" s="15">
        <f t="shared" ref="AQ105:AQ108" si="72">IF(AP105&gt;=0.5%,-(AO105*10%),0)</f>
        <v>-2250</v>
      </c>
      <c r="AR105" s="13">
        <v>2.2328082140548579E-2</v>
      </c>
      <c r="AS105" s="15">
        <f t="shared" ref="AS105:AS108" si="73">IF(AR105&gt;0,-(AO105+AQ105),0)</f>
        <v>-20250</v>
      </c>
      <c r="AT105" s="15">
        <f t="shared" ref="AT105:AT147" si="74">SUM(AS105,AQ105,AO105)</f>
        <v>0</v>
      </c>
      <c r="AU105" s="15">
        <f t="shared" ref="AU105:AU106" si="75">AT105*70%</f>
        <v>0</v>
      </c>
      <c r="AV105" s="15">
        <f t="shared" ref="AV105:AV106" si="76">AT105*30%</f>
        <v>0</v>
      </c>
    </row>
    <row r="106" spans="2:48" ht="16" x14ac:dyDescent="0.2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"/>
      <c r="O106" s="3"/>
      <c r="P106" s="397"/>
      <c r="Q106" s="52" t="s">
        <v>390</v>
      </c>
      <c r="R106" s="12" t="s">
        <v>111</v>
      </c>
      <c r="S106" s="12" t="s">
        <v>18</v>
      </c>
      <c r="T106" s="269">
        <f>'Pencapaian Sales Value'!G106</f>
        <v>0.81200815707943019</v>
      </c>
      <c r="U106" s="15">
        <f>'Pencapaian Sales Value'!I106</f>
        <v>225000</v>
      </c>
      <c r="V106" s="269">
        <f>'Pencapaian Product Focus'!H106</f>
        <v>1.221481481488889</v>
      </c>
      <c r="W106" s="269">
        <f>'Pencapaian Product Focus'!L106</f>
        <v>0.7384615384615385</v>
      </c>
      <c r="X106" s="15">
        <f>'Pencapaian Product Focus'!N106</f>
        <v>135000</v>
      </c>
      <c r="Y106" s="269">
        <f>'Pencapaian Effective Call'!G106</f>
        <v>1.0434782608695652</v>
      </c>
      <c r="Z106" s="15">
        <f>'Pencapaian Effective Call'!I106</f>
        <v>135000</v>
      </c>
      <c r="AA106" s="269">
        <f>'Pencapaian New Open Outlet'!G106</f>
        <v>0.30769230769230771</v>
      </c>
      <c r="AB106" s="15">
        <f>'Pencapaian New Open Outlet'!I106</f>
        <v>0</v>
      </c>
      <c r="AC106" s="255">
        <f>'Pencapaian Active Outlet'!G106</f>
        <v>0.93076923076923079</v>
      </c>
      <c r="AD106" s="170">
        <f>'Pencapaian Active Outlet'!I106</f>
        <v>0</v>
      </c>
      <c r="AE106" s="255">
        <f>'Pencapaian Item per Outlet'!G106</f>
        <v>0</v>
      </c>
      <c r="AF106" s="309">
        <f>'Pencapaian Item per Outlet'!I106</f>
        <v>0</v>
      </c>
      <c r="AG106" s="255">
        <f>'Pencapaian Product Display'!G106</f>
        <v>0</v>
      </c>
      <c r="AH106" s="309">
        <f>'Pencapaian Product Display'!I106</f>
        <v>0</v>
      </c>
      <c r="AI106" s="255">
        <f>'Pencapaian Sales Contract'!G106</f>
        <v>0</v>
      </c>
      <c r="AJ106" s="309">
        <f>'Pencapaian Sales Contract'!I106</f>
        <v>0</v>
      </c>
      <c r="AK106" s="255">
        <f>'Pencapaian Co-Branding'!G106</f>
        <v>0</v>
      </c>
      <c r="AL106" s="309">
        <f>'Pencapaian Co-Branding'!I106</f>
        <v>0</v>
      </c>
      <c r="AM106" s="255">
        <f>'Pencapaian Join Event Activity'!G106</f>
        <v>0</v>
      </c>
      <c r="AN106" s="309">
        <f>'Pencapaian Join Event Activity'!I106</f>
        <v>0</v>
      </c>
      <c r="AO106" s="15">
        <f t="shared" ref="AO106:AO147" si="77">SUM(AN106,AL106,AJ106,AH106,AF106,AD106,AB106,Z106,X106,U106)</f>
        <v>495000</v>
      </c>
      <c r="AP106" s="13">
        <v>0</v>
      </c>
      <c r="AQ106" s="15">
        <f t="shared" si="72"/>
        <v>0</v>
      </c>
      <c r="AR106" s="13">
        <v>0</v>
      </c>
      <c r="AS106" s="15">
        <f t="shared" si="73"/>
        <v>0</v>
      </c>
      <c r="AT106" s="15">
        <f t="shared" si="74"/>
        <v>495000</v>
      </c>
      <c r="AU106" s="15">
        <f t="shared" si="75"/>
        <v>346500</v>
      </c>
      <c r="AV106" s="15">
        <f t="shared" si="76"/>
        <v>148500</v>
      </c>
    </row>
    <row r="107" spans="2:48" ht="16" x14ac:dyDescent="0.2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3"/>
      <c r="O107" s="3"/>
      <c r="P107" s="397"/>
      <c r="Q107" s="117" t="s">
        <v>391</v>
      </c>
      <c r="R107" s="117" t="s">
        <v>271</v>
      </c>
      <c r="S107" s="178"/>
      <c r="T107" s="304">
        <f>'Pencapaian Sales Value'!G107</f>
        <v>0</v>
      </c>
      <c r="U107" s="178">
        <f>'Pencapaian Sales Value'!I107</f>
        <v>0</v>
      </c>
      <c r="V107" s="304">
        <f>'Pencapaian Product Focus'!H107</f>
        <v>0</v>
      </c>
      <c r="W107" s="304">
        <f>'Pencapaian Product Focus'!L107</f>
        <v>0</v>
      </c>
      <c r="X107" s="178">
        <f>'Pencapaian Product Focus'!N107</f>
        <v>0</v>
      </c>
      <c r="Y107" s="304">
        <f>'Pencapaian Effective Call'!G107</f>
        <v>0</v>
      </c>
      <c r="Z107" s="178">
        <f>'Pencapaian Effective Call'!I107</f>
        <v>0</v>
      </c>
      <c r="AA107" s="304">
        <f>'Pencapaian New Open Outlet'!G107</f>
        <v>0</v>
      </c>
      <c r="AB107" s="178">
        <f>'Pencapaian New Open Outlet'!I107</f>
        <v>0</v>
      </c>
      <c r="AC107" s="255">
        <f>'Pencapaian Active Outlet'!G107</f>
        <v>0</v>
      </c>
      <c r="AD107" s="170">
        <f>'Pencapaian Active Outlet'!I107</f>
        <v>0</v>
      </c>
      <c r="AE107" s="255">
        <f>'Pencapaian Item per Outlet'!G107</f>
        <v>0</v>
      </c>
      <c r="AF107" s="309">
        <f>'Pencapaian Item per Outlet'!I107</f>
        <v>0</v>
      </c>
      <c r="AG107" s="255">
        <f>'Pencapaian Product Display'!G107</f>
        <v>0</v>
      </c>
      <c r="AH107" s="309">
        <f>'Pencapaian Product Display'!I107</f>
        <v>0</v>
      </c>
      <c r="AI107" s="255">
        <f>'Pencapaian Sales Contract'!G107</f>
        <v>0</v>
      </c>
      <c r="AJ107" s="309">
        <f>'Pencapaian Sales Contract'!I107</f>
        <v>0</v>
      </c>
      <c r="AK107" s="255">
        <f>'Pencapaian Co-Branding'!G107</f>
        <v>0</v>
      </c>
      <c r="AL107" s="309">
        <f>'Pencapaian Co-Branding'!I107</f>
        <v>0</v>
      </c>
      <c r="AM107" s="255">
        <f>'Pencapaian Join Event Activity'!G107</f>
        <v>0</v>
      </c>
      <c r="AN107" s="309">
        <f>'Pencapaian Join Event Activity'!I107</f>
        <v>0</v>
      </c>
      <c r="AO107" s="178">
        <f t="shared" si="77"/>
        <v>0</v>
      </c>
      <c r="AP107" s="265">
        <v>0</v>
      </c>
      <c r="AQ107" s="178">
        <f t="shared" si="72"/>
        <v>0</v>
      </c>
      <c r="AR107" s="265">
        <v>0</v>
      </c>
      <c r="AS107" s="178">
        <f t="shared" si="73"/>
        <v>0</v>
      </c>
      <c r="AT107" s="178">
        <f t="shared" si="74"/>
        <v>0</v>
      </c>
      <c r="AU107" s="178"/>
      <c r="AV107" s="178"/>
    </row>
    <row r="108" spans="2:48" ht="16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"/>
      <c r="O108" s="3"/>
      <c r="P108" s="397"/>
      <c r="Q108" s="70"/>
      <c r="R108" s="70" t="s">
        <v>891</v>
      </c>
      <c r="S108" s="64" t="s">
        <v>20</v>
      </c>
      <c r="T108" s="258">
        <f>'Pencapaian Sales Value'!G108</f>
        <v>0.74106037044822692</v>
      </c>
      <c r="U108" s="63">
        <f>'Pencapaian Sales Value'!I108</f>
        <v>120000</v>
      </c>
      <c r="V108" s="258">
        <f>'Pencapaian Product Focus'!H108</f>
        <v>0.98861111111481448</v>
      </c>
      <c r="W108" s="258">
        <f>'Pencapaian Product Focus'!L108</f>
        <v>0.56399999999999995</v>
      </c>
      <c r="X108" s="63">
        <f>'Pencapaian Product Focus'!N108</f>
        <v>84000</v>
      </c>
      <c r="Y108" s="257">
        <f>'Pencapaian Effective Call'!G108</f>
        <v>0.84285714285714286</v>
      </c>
      <c r="Z108" s="189">
        <f>'Pencapaian Effective Call'!I108</f>
        <v>0</v>
      </c>
      <c r="AA108" s="258">
        <f>'Pencapaian New Open Outlet'!G108</f>
        <v>0.46153846153846156</v>
      </c>
      <c r="AB108" s="63">
        <f>'Pencapaian New Open Outlet'!I108</f>
        <v>0</v>
      </c>
      <c r="AC108" s="258">
        <f>'Pencapaian Active Outlet'!G108</f>
        <v>0.82499999999999996</v>
      </c>
      <c r="AD108" s="63">
        <f>'Pencapaian Active Outlet'!I108</f>
        <v>108000</v>
      </c>
      <c r="AE108" s="297">
        <f>'Pencapaian Item per Outlet'!G108</f>
        <v>0</v>
      </c>
      <c r="AF108" s="310">
        <f>'Pencapaian Item per Outlet'!I108</f>
        <v>0</v>
      </c>
      <c r="AG108" s="297">
        <f>'Pencapaian Product Display'!G108</f>
        <v>0</v>
      </c>
      <c r="AH108" s="310">
        <f>'Pencapaian Product Display'!I108</f>
        <v>0</v>
      </c>
      <c r="AI108" s="297">
        <f>'Pencapaian Sales Contract'!G108</f>
        <v>0</v>
      </c>
      <c r="AJ108" s="310">
        <f>'Pencapaian Sales Contract'!I108</f>
        <v>0</v>
      </c>
      <c r="AK108" s="297">
        <f>'Pencapaian Co-Branding'!G108</f>
        <v>0</v>
      </c>
      <c r="AL108" s="310">
        <f>'Pencapaian Co-Branding'!I108</f>
        <v>0</v>
      </c>
      <c r="AM108" s="297">
        <f>'Pencapaian Join Event Activity'!G108</f>
        <v>0</v>
      </c>
      <c r="AN108" s="310">
        <f>'Pencapaian Join Event Activity'!I108</f>
        <v>0</v>
      </c>
      <c r="AO108" s="63">
        <f t="shared" si="77"/>
        <v>312000</v>
      </c>
      <c r="AP108" s="110">
        <v>1.0276868083468253E-2</v>
      </c>
      <c r="AQ108" s="63">
        <f t="shared" si="72"/>
        <v>-31200</v>
      </c>
      <c r="AR108" s="110">
        <v>9.5509926426284881E-3</v>
      </c>
      <c r="AS108" s="63">
        <f t="shared" si="73"/>
        <v>-280800</v>
      </c>
      <c r="AT108" s="63">
        <f t="shared" si="74"/>
        <v>0</v>
      </c>
      <c r="AU108" s="63">
        <f>AT108</f>
        <v>0</v>
      </c>
      <c r="AV108" s="63">
        <v>0</v>
      </c>
    </row>
    <row r="109" spans="2:48" ht="16" x14ac:dyDescent="0.2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3"/>
      <c r="O109" s="3"/>
      <c r="P109" s="397"/>
      <c r="Q109" s="71"/>
      <c r="R109" s="71" t="s">
        <v>40</v>
      </c>
      <c r="S109" s="42"/>
      <c r="T109" s="264">
        <f>'Pencapaian Sales Value'!G109</f>
        <v>0.74106037044822692</v>
      </c>
      <c r="U109" s="23">
        <f>'Pencapaian Sales Value'!I109</f>
        <v>345000</v>
      </c>
      <c r="V109" s="264">
        <f>'Pencapaian Product Focus'!H109</f>
        <v>0.98861111111481448</v>
      </c>
      <c r="W109" s="264">
        <f>'Pencapaian Product Focus'!L109</f>
        <v>0.56399999999999995</v>
      </c>
      <c r="X109" s="23">
        <f>'Pencapaian Product Focus'!N109</f>
        <v>241500</v>
      </c>
      <c r="Y109" s="264">
        <f>'Pencapaian Effective Call'!G109</f>
        <v>0.84285714285714286</v>
      </c>
      <c r="Z109" s="23">
        <f>'Pencapaian Effective Call'!I109</f>
        <v>135000</v>
      </c>
      <c r="AA109" s="264">
        <f>'Pencapaian New Open Outlet'!G109</f>
        <v>0.46153846153846156</v>
      </c>
      <c r="AB109" s="23">
        <f>'Pencapaian New Open Outlet'!I109</f>
        <v>0</v>
      </c>
      <c r="AC109" s="264">
        <f>'Pencapaian Active Outlet'!G109</f>
        <v>0.82499999999999996</v>
      </c>
      <c r="AD109" s="23">
        <f>'Pencapaian Active Outlet'!I109</f>
        <v>108000</v>
      </c>
      <c r="AE109" s="298">
        <f>'Pencapaian Item per Outlet'!G109</f>
        <v>0</v>
      </c>
      <c r="AF109" s="311">
        <f>'Pencapaian Item per Outlet'!I109</f>
        <v>0</v>
      </c>
      <c r="AG109" s="298">
        <f>'Pencapaian Product Display'!G109</f>
        <v>0</v>
      </c>
      <c r="AH109" s="311">
        <f>'Pencapaian Product Display'!I109</f>
        <v>0</v>
      </c>
      <c r="AI109" s="298">
        <f>'Pencapaian Sales Contract'!G109</f>
        <v>0</v>
      </c>
      <c r="AJ109" s="311">
        <f>'Pencapaian Sales Contract'!I109</f>
        <v>0</v>
      </c>
      <c r="AK109" s="298">
        <f>'Pencapaian Co-Branding'!G109</f>
        <v>0</v>
      </c>
      <c r="AL109" s="311">
        <f>'Pencapaian Co-Branding'!I109</f>
        <v>0</v>
      </c>
      <c r="AM109" s="298">
        <f>'Pencapaian Join Event Activity'!G109</f>
        <v>0</v>
      </c>
      <c r="AN109" s="311">
        <f>'Pencapaian Join Event Activity'!I109</f>
        <v>0</v>
      </c>
      <c r="AO109" s="23">
        <f t="shared" si="77"/>
        <v>829500</v>
      </c>
      <c r="AP109" s="112">
        <v>1.0276868083468253E-2</v>
      </c>
      <c r="AQ109" s="23">
        <f>SUM(AQ105:AQ108)</f>
        <v>-33450</v>
      </c>
      <c r="AR109" s="112">
        <v>9.5509926426284881E-3</v>
      </c>
      <c r="AS109" s="23">
        <f>SUM(AS105:AS108)</f>
        <v>-301050</v>
      </c>
      <c r="AT109" s="23">
        <f t="shared" si="74"/>
        <v>495000</v>
      </c>
      <c r="AU109" s="23">
        <f t="shared" ref="AU109:AV109" si="78">SUM(AU105:AU108)</f>
        <v>346500</v>
      </c>
      <c r="AV109" s="23">
        <f t="shared" si="78"/>
        <v>148500</v>
      </c>
    </row>
    <row r="110" spans="2:48" ht="16" x14ac:dyDescent="0.2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"/>
      <c r="O110" s="3"/>
      <c r="P110" s="397" t="s">
        <v>41</v>
      </c>
      <c r="Q110" s="52" t="s">
        <v>392</v>
      </c>
      <c r="R110" s="52" t="s">
        <v>112</v>
      </c>
      <c r="S110" s="12" t="s">
        <v>470</v>
      </c>
      <c r="T110" s="269">
        <f>'Pencapaian Sales Value'!G110</f>
        <v>0.61720876623376619</v>
      </c>
      <c r="U110" s="15">
        <f>'Pencapaian Sales Value'!I110</f>
        <v>0</v>
      </c>
      <c r="V110" s="269">
        <f>'Pencapaian Product Focus'!H110</f>
        <v>0.8035714285714286</v>
      </c>
      <c r="W110" s="269">
        <f>'Pencapaian Product Focus'!L110</f>
        <v>0.74285714285714288</v>
      </c>
      <c r="X110" s="15">
        <f>'Pencapaian Product Focus'!N110</f>
        <v>49500</v>
      </c>
      <c r="Y110" s="269">
        <f>'Pencapaian Effective Call'!G110</f>
        <v>0.96923076923076923</v>
      </c>
      <c r="Z110" s="15">
        <f>'Pencapaian Effective Call'!I110</f>
        <v>74250</v>
      </c>
      <c r="AA110" s="269">
        <f>'Pencapaian New Open Outlet'!G110</f>
        <v>0.25</v>
      </c>
      <c r="AB110" s="15">
        <f>'Pencapaian New Open Outlet'!I110</f>
        <v>0</v>
      </c>
      <c r="AC110" s="255">
        <f>'Pencapaian Active Outlet'!G110</f>
        <v>0.79354838709677422</v>
      </c>
      <c r="AD110" s="170">
        <f>'Pencapaian Active Outlet'!I110</f>
        <v>0</v>
      </c>
      <c r="AE110" s="255">
        <f>'Pencapaian Item per Outlet'!G110</f>
        <v>0</v>
      </c>
      <c r="AF110" s="309">
        <f>'Pencapaian Item per Outlet'!I110</f>
        <v>0</v>
      </c>
      <c r="AG110" s="255">
        <f>'Pencapaian Product Display'!G110</f>
        <v>0</v>
      </c>
      <c r="AH110" s="309">
        <f>'Pencapaian Product Display'!I110</f>
        <v>0</v>
      </c>
      <c r="AI110" s="255">
        <f>'Pencapaian Sales Contract'!G110</f>
        <v>0</v>
      </c>
      <c r="AJ110" s="309">
        <f>'Pencapaian Sales Contract'!I110</f>
        <v>0</v>
      </c>
      <c r="AK110" s="255">
        <f>'Pencapaian Co-Branding'!G110</f>
        <v>0</v>
      </c>
      <c r="AL110" s="309">
        <f>'Pencapaian Co-Branding'!I110</f>
        <v>0</v>
      </c>
      <c r="AM110" s="255">
        <f>'Pencapaian Join Event Activity'!G110</f>
        <v>0</v>
      </c>
      <c r="AN110" s="309">
        <f>'Pencapaian Join Event Activity'!I110</f>
        <v>0</v>
      </c>
      <c r="AO110" s="15">
        <f t="shared" si="77"/>
        <v>123750</v>
      </c>
      <c r="AP110" s="13">
        <v>0</v>
      </c>
      <c r="AQ110" s="15">
        <f t="shared" ref="AQ110:AQ114" si="79">IF(AP110&gt;=0.5%,-(AO110*10%),0)</f>
        <v>0</v>
      </c>
      <c r="AR110" s="13">
        <v>0</v>
      </c>
      <c r="AS110" s="15">
        <f t="shared" ref="AS110:AS114" si="80">IF(AR110&gt;0,-(AO110+AQ110),0)</f>
        <v>0</v>
      </c>
      <c r="AT110" s="15">
        <f t="shared" si="74"/>
        <v>123750</v>
      </c>
      <c r="AU110" s="15">
        <f t="shared" ref="AU110:AU113" si="81">AT110</f>
        <v>123750</v>
      </c>
      <c r="AV110" s="15">
        <v>0</v>
      </c>
    </row>
    <row r="111" spans="2:48" ht="16" x14ac:dyDescent="0.2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"/>
      <c r="O111" s="3"/>
      <c r="P111" s="397"/>
      <c r="Q111" s="52" t="s">
        <v>393</v>
      </c>
      <c r="R111" s="52" t="s">
        <v>394</v>
      </c>
      <c r="S111" s="12" t="s">
        <v>470</v>
      </c>
      <c r="T111" s="269">
        <f>'Pencapaian Sales Value'!G111</f>
        <v>0.54128965517241379</v>
      </c>
      <c r="U111" s="15">
        <f>'Pencapaian Sales Value'!I111</f>
        <v>0</v>
      </c>
      <c r="V111" s="269">
        <f>'Pencapaian Product Focus'!H111</f>
        <v>0.55714285714285716</v>
      </c>
      <c r="W111" s="269">
        <f>'Pencapaian Product Focus'!L111</f>
        <v>0.54545454545454541</v>
      </c>
      <c r="X111" s="15">
        <f>'Pencapaian Product Focus'!N111</f>
        <v>0</v>
      </c>
      <c r="Y111" s="269">
        <f>'Pencapaian Effective Call'!G111</f>
        <v>0.70869565217391306</v>
      </c>
      <c r="Z111" s="15">
        <f>'Pencapaian Effective Call'!I111</f>
        <v>24750</v>
      </c>
      <c r="AA111" s="269">
        <f>'Pencapaian New Open Outlet'!G111</f>
        <v>0.75</v>
      </c>
      <c r="AB111" s="15">
        <f>'Pencapaian New Open Outlet'!I111</f>
        <v>24750</v>
      </c>
      <c r="AC111" s="255">
        <f>'Pencapaian Active Outlet'!G111</f>
        <v>0.8571428571428571</v>
      </c>
      <c r="AD111" s="170">
        <f>'Pencapaian Active Outlet'!I111</f>
        <v>0</v>
      </c>
      <c r="AE111" s="255">
        <f>'Pencapaian Item per Outlet'!G111</f>
        <v>0</v>
      </c>
      <c r="AF111" s="309">
        <f>'Pencapaian Item per Outlet'!I111</f>
        <v>0</v>
      </c>
      <c r="AG111" s="255">
        <f>'Pencapaian Product Display'!G111</f>
        <v>0</v>
      </c>
      <c r="AH111" s="309">
        <f>'Pencapaian Product Display'!I111</f>
        <v>0</v>
      </c>
      <c r="AI111" s="255">
        <f>'Pencapaian Sales Contract'!G111</f>
        <v>0</v>
      </c>
      <c r="AJ111" s="309">
        <f>'Pencapaian Sales Contract'!I111</f>
        <v>0</v>
      </c>
      <c r="AK111" s="255">
        <f>'Pencapaian Co-Branding'!G111</f>
        <v>0</v>
      </c>
      <c r="AL111" s="309">
        <f>'Pencapaian Co-Branding'!I111</f>
        <v>0</v>
      </c>
      <c r="AM111" s="255">
        <f>'Pencapaian Join Event Activity'!G111</f>
        <v>0</v>
      </c>
      <c r="AN111" s="309">
        <f>'Pencapaian Join Event Activity'!I111</f>
        <v>0</v>
      </c>
      <c r="AO111" s="15">
        <f t="shared" si="77"/>
        <v>49500</v>
      </c>
      <c r="AP111" s="13">
        <v>0</v>
      </c>
      <c r="AQ111" s="15">
        <f t="shared" si="79"/>
        <v>0</v>
      </c>
      <c r="AR111" s="13">
        <v>0</v>
      </c>
      <c r="AS111" s="15">
        <f t="shared" si="80"/>
        <v>0</v>
      </c>
      <c r="AT111" s="15">
        <f t="shared" si="74"/>
        <v>49500</v>
      </c>
      <c r="AU111" s="15">
        <f t="shared" si="81"/>
        <v>49500</v>
      </c>
      <c r="AV111" s="15">
        <v>0</v>
      </c>
    </row>
    <row r="112" spans="2:48" ht="16" x14ac:dyDescent="0.2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"/>
      <c r="O112" s="3"/>
      <c r="P112" s="397"/>
      <c r="Q112" s="52" t="s">
        <v>395</v>
      </c>
      <c r="R112" s="52" t="s">
        <v>113</v>
      </c>
      <c r="S112" s="12" t="s">
        <v>470</v>
      </c>
      <c r="T112" s="269">
        <f>'Pencapaian Sales Value'!G112</f>
        <v>1.0025592105263157</v>
      </c>
      <c r="U112" s="15">
        <f>'Pencapaian Sales Value'!I112</f>
        <v>330000</v>
      </c>
      <c r="V112" s="269">
        <f>'Pencapaian Product Focus'!H112</f>
        <v>0.96875</v>
      </c>
      <c r="W112" s="269">
        <f>'Pencapaian Product Focus'!L112</f>
        <v>0.75</v>
      </c>
      <c r="X112" s="15">
        <f>'Pencapaian Product Focus'!N112</f>
        <v>66000</v>
      </c>
      <c r="Y112" s="269">
        <f>'Pencapaian Effective Call'!G112</f>
        <v>0.94117647058823528</v>
      </c>
      <c r="Z112" s="15">
        <f>'Pencapaian Effective Call'!I112</f>
        <v>74250</v>
      </c>
      <c r="AA112" s="269">
        <f>'Pencapaian New Open Outlet'!G112</f>
        <v>0.375</v>
      </c>
      <c r="AB112" s="15">
        <f>'Pencapaian New Open Outlet'!I112</f>
        <v>0</v>
      </c>
      <c r="AC112" s="255">
        <f>'Pencapaian Active Outlet'!G112</f>
        <v>0.90303030303030307</v>
      </c>
      <c r="AD112" s="170">
        <f>'Pencapaian Active Outlet'!I112</f>
        <v>0</v>
      </c>
      <c r="AE112" s="255">
        <f>'Pencapaian Item per Outlet'!G112</f>
        <v>0</v>
      </c>
      <c r="AF112" s="309">
        <f>'Pencapaian Item per Outlet'!I112</f>
        <v>0</v>
      </c>
      <c r="AG112" s="255">
        <f>'Pencapaian Product Display'!G112</f>
        <v>0</v>
      </c>
      <c r="AH112" s="309">
        <f>'Pencapaian Product Display'!I112</f>
        <v>0</v>
      </c>
      <c r="AI112" s="255">
        <f>'Pencapaian Sales Contract'!G112</f>
        <v>0</v>
      </c>
      <c r="AJ112" s="309">
        <f>'Pencapaian Sales Contract'!I112</f>
        <v>0</v>
      </c>
      <c r="AK112" s="255">
        <f>'Pencapaian Co-Branding'!G112</f>
        <v>0</v>
      </c>
      <c r="AL112" s="309">
        <f>'Pencapaian Co-Branding'!I112</f>
        <v>0</v>
      </c>
      <c r="AM112" s="255">
        <f>'Pencapaian Join Event Activity'!G112</f>
        <v>0</v>
      </c>
      <c r="AN112" s="309">
        <f>'Pencapaian Join Event Activity'!I112</f>
        <v>0</v>
      </c>
      <c r="AO112" s="15">
        <f t="shared" si="77"/>
        <v>470250</v>
      </c>
      <c r="AP112" s="13">
        <v>0</v>
      </c>
      <c r="AQ112" s="15">
        <f t="shared" si="79"/>
        <v>0</v>
      </c>
      <c r="AR112" s="13">
        <v>0</v>
      </c>
      <c r="AS112" s="15">
        <f t="shared" si="80"/>
        <v>0</v>
      </c>
      <c r="AT112" s="15">
        <f t="shared" si="74"/>
        <v>470250</v>
      </c>
      <c r="AU112" s="15">
        <f t="shared" si="81"/>
        <v>470250</v>
      </c>
      <c r="AV112" s="15">
        <v>0</v>
      </c>
    </row>
    <row r="113" spans="3:48" ht="16" x14ac:dyDescent="0.2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3"/>
      <c r="O113" s="3"/>
      <c r="P113" s="397"/>
      <c r="Q113" s="52" t="s">
        <v>396</v>
      </c>
      <c r="R113" s="52" t="s">
        <v>253</v>
      </c>
      <c r="S113" s="12" t="s">
        <v>470</v>
      </c>
      <c r="T113" s="269">
        <f>'Pencapaian Sales Value'!G113</f>
        <v>0.72853715083798887</v>
      </c>
      <c r="U113" s="15">
        <f>'Pencapaian Sales Value'!I113</f>
        <v>82500</v>
      </c>
      <c r="V113" s="269">
        <f>'Pencapaian Product Focus'!H113</f>
        <v>0.6489583333333333</v>
      </c>
      <c r="W113" s="269">
        <f>'Pencapaian Product Focus'!L113</f>
        <v>0.66249999999999998</v>
      </c>
      <c r="X113" s="15">
        <f>'Pencapaian Product Focus'!N113</f>
        <v>0</v>
      </c>
      <c r="Y113" s="269">
        <f>'Pencapaian Effective Call'!G113</f>
        <v>0.88214285714285712</v>
      </c>
      <c r="Z113" s="15">
        <f>'Pencapaian Effective Call'!I113</f>
        <v>49500</v>
      </c>
      <c r="AA113" s="269">
        <f>'Pencapaian New Open Outlet'!G113</f>
        <v>0.25</v>
      </c>
      <c r="AB113" s="15">
        <f>'Pencapaian New Open Outlet'!I113</f>
        <v>0</v>
      </c>
      <c r="AC113" s="255">
        <f>'Pencapaian Active Outlet'!G113</f>
        <v>0.68484848484848482</v>
      </c>
      <c r="AD113" s="170">
        <f>'Pencapaian Active Outlet'!I113</f>
        <v>0</v>
      </c>
      <c r="AE113" s="255">
        <f>'Pencapaian Item per Outlet'!G113</f>
        <v>0</v>
      </c>
      <c r="AF113" s="309">
        <f>'Pencapaian Item per Outlet'!I113</f>
        <v>0</v>
      </c>
      <c r="AG113" s="255">
        <f>'Pencapaian Product Display'!G113</f>
        <v>0</v>
      </c>
      <c r="AH113" s="309">
        <f>'Pencapaian Product Display'!I113</f>
        <v>0</v>
      </c>
      <c r="AI113" s="255">
        <f>'Pencapaian Sales Contract'!G113</f>
        <v>0</v>
      </c>
      <c r="AJ113" s="309">
        <f>'Pencapaian Sales Contract'!I113</f>
        <v>0</v>
      </c>
      <c r="AK113" s="255">
        <f>'Pencapaian Co-Branding'!G113</f>
        <v>0</v>
      </c>
      <c r="AL113" s="309">
        <f>'Pencapaian Co-Branding'!I113</f>
        <v>0</v>
      </c>
      <c r="AM113" s="255">
        <f>'Pencapaian Join Event Activity'!G113</f>
        <v>0</v>
      </c>
      <c r="AN113" s="309">
        <f>'Pencapaian Join Event Activity'!I113</f>
        <v>0</v>
      </c>
      <c r="AO113" s="15">
        <f t="shared" si="77"/>
        <v>132000</v>
      </c>
      <c r="AP113" s="13">
        <v>0</v>
      </c>
      <c r="AQ113" s="15">
        <f t="shared" si="79"/>
        <v>0</v>
      </c>
      <c r="AR113" s="13">
        <v>0</v>
      </c>
      <c r="AS113" s="15">
        <f t="shared" si="80"/>
        <v>0</v>
      </c>
      <c r="AT113" s="15">
        <f t="shared" si="74"/>
        <v>132000</v>
      </c>
      <c r="AU113" s="15">
        <f t="shared" si="81"/>
        <v>132000</v>
      </c>
      <c r="AV113" s="15">
        <v>0</v>
      </c>
    </row>
    <row r="114" spans="3:48" ht="16" x14ac:dyDescent="0.2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3"/>
      <c r="O114" s="3"/>
      <c r="P114" s="397"/>
      <c r="Q114" s="70"/>
      <c r="R114" s="70" t="s">
        <v>316</v>
      </c>
      <c r="S114" s="64" t="s">
        <v>20</v>
      </c>
      <c r="T114" s="258">
        <f>'Pencapaian Sales Value'!G114</f>
        <v>0.75907663934426228</v>
      </c>
      <c r="U114" s="63">
        <f>'Pencapaian Sales Value'!I114</f>
        <v>120000</v>
      </c>
      <c r="V114" s="258">
        <f>'Pencapaian Product Focus'!H114</f>
        <v>0.74888888888888883</v>
      </c>
      <c r="W114" s="258">
        <f>'Pencapaian Product Focus'!L114</f>
        <v>0.68421052631578949</v>
      </c>
      <c r="X114" s="63">
        <f>'Pencapaian Product Focus'!N114</f>
        <v>30000</v>
      </c>
      <c r="Y114" s="257">
        <f>'Pencapaian Effective Call'!G114</f>
        <v>0.88468468468468464</v>
      </c>
      <c r="Z114" s="189">
        <f>'Pencapaian Effective Call'!I114</f>
        <v>0</v>
      </c>
      <c r="AA114" s="258">
        <f>'Pencapaian New Open Outlet'!G114</f>
        <v>0.40625</v>
      </c>
      <c r="AB114" s="63">
        <f>'Pencapaian New Open Outlet'!I114</f>
        <v>0</v>
      </c>
      <c r="AC114" s="258">
        <f>'Pencapaian Active Outlet'!G114</f>
        <v>0.80508474576271183</v>
      </c>
      <c r="AD114" s="63">
        <f>'Pencapaian Active Outlet'!I114</f>
        <v>108000</v>
      </c>
      <c r="AE114" s="297">
        <f>'Pencapaian Item per Outlet'!G114</f>
        <v>0</v>
      </c>
      <c r="AF114" s="310">
        <f>'Pencapaian Item per Outlet'!I114</f>
        <v>0</v>
      </c>
      <c r="AG114" s="297">
        <f>'Pencapaian Product Display'!G114</f>
        <v>0</v>
      </c>
      <c r="AH114" s="310">
        <f>'Pencapaian Product Display'!I114</f>
        <v>0</v>
      </c>
      <c r="AI114" s="297">
        <f>'Pencapaian Sales Contract'!G114</f>
        <v>0</v>
      </c>
      <c r="AJ114" s="310">
        <f>'Pencapaian Sales Contract'!I114</f>
        <v>0</v>
      </c>
      <c r="AK114" s="297">
        <f>'Pencapaian Co-Branding'!G114</f>
        <v>0</v>
      </c>
      <c r="AL114" s="310">
        <f>'Pencapaian Co-Branding'!I114</f>
        <v>0</v>
      </c>
      <c r="AM114" s="297">
        <f>'Pencapaian Join Event Activity'!G114</f>
        <v>0</v>
      </c>
      <c r="AN114" s="310">
        <f>'Pencapaian Join Event Activity'!I114</f>
        <v>0</v>
      </c>
      <c r="AO114" s="63">
        <f t="shared" si="77"/>
        <v>258000</v>
      </c>
      <c r="AP114" s="110">
        <v>0</v>
      </c>
      <c r="AQ114" s="63">
        <f t="shared" si="79"/>
        <v>0</v>
      </c>
      <c r="AR114" s="110">
        <v>0</v>
      </c>
      <c r="AS114" s="63">
        <f t="shared" si="80"/>
        <v>0</v>
      </c>
      <c r="AT114" s="63">
        <f t="shared" si="74"/>
        <v>258000</v>
      </c>
      <c r="AU114" s="63">
        <f>AT114</f>
        <v>258000</v>
      </c>
      <c r="AV114" s="63">
        <v>0</v>
      </c>
    </row>
    <row r="115" spans="3:48" ht="16" x14ac:dyDescent="0.2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3"/>
      <c r="O115" s="3"/>
      <c r="P115" s="397"/>
      <c r="Q115" s="71"/>
      <c r="R115" s="71" t="s">
        <v>42</v>
      </c>
      <c r="S115" s="42"/>
      <c r="T115" s="264">
        <f>'Pencapaian Sales Value'!G115</f>
        <v>0.75907663934426228</v>
      </c>
      <c r="U115" s="23">
        <f>'Pencapaian Sales Value'!I115</f>
        <v>532500</v>
      </c>
      <c r="V115" s="264">
        <f>'Pencapaian Product Focus'!H115</f>
        <v>0.74888888888888883</v>
      </c>
      <c r="W115" s="264">
        <f>'Pencapaian Product Focus'!L115</f>
        <v>0.68421052631578949</v>
      </c>
      <c r="X115" s="23">
        <f>'Pencapaian Product Focus'!N115</f>
        <v>145500</v>
      </c>
      <c r="Y115" s="264">
        <f>'Pencapaian Effective Call'!G115</f>
        <v>0.88468468468468464</v>
      </c>
      <c r="Z115" s="23">
        <f>'Pencapaian Effective Call'!I115</f>
        <v>222750</v>
      </c>
      <c r="AA115" s="264">
        <f>'Pencapaian New Open Outlet'!G115</f>
        <v>0.40625</v>
      </c>
      <c r="AB115" s="23">
        <f>'Pencapaian New Open Outlet'!I115</f>
        <v>24750</v>
      </c>
      <c r="AC115" s="264">
        <f>'Pencapaian Active Outlet'!G115</f>
        <v>0.80508474576271183</v>
      </c>
      <c r="AD115" s="23">
        <f>'Pencapaian Active Outlet'!I115</f>
        <v>108000</v>
      </c>
      <c r="AE115" s="298">
        <f>'Pencapaian Item per Outlet'!G115</f>
        <v>0</v>
      </c>
      <c r="AF115" s="311">
        <f>'Pencapaian Item per Outlet'!I115</f>
        <v>0</v>
      </c>
      <c r="AG115" s="298">
        <f>'Pencapaian Product Display'!G115</f>
        <v>0</v>
      </c>
      <c r="AH115" s="311">
        <f>'Pencapaian Product Display'!I115</f>
        <v>0</v>
      </c>
      <c r="AI115" s="298">
        <f>'Pencapaian Sales Contract'!G115</f>
        <v>0</v>
      </c>
      <c r="AJ115" s="311">
        <f>'Pencapaian Sales Contract'!I115</f>
        <v>0</v>
      </c>
      <c r="AK115" s="298">
        <f>'Pencapaian Co-Branding'!G115</f>
        <v>0</v>
      </c>
      <c r="AL115" s="311">
        <f>'Pencapaian Co-Branding'!I115</f>
        <v>0</v>
      </c>
      <c r="AM115" s="298">
        <f>'Pencapaian Join Event Activity'!G115</f>
        <v>0</v>
      </c>
      <c r="AN115" s="311">
        <f>'Pencapaian Join Event Activity'!I115</f>
        <v>0</v>
      </c>
      <c r="AO115" s="23">
        <f t="shared" si="77"/>
        <v>1033500</v>
      </c>
      <c r="AP115" s="112">
        <v>0</v>
      </c>
      <c r="AQ115" s="23">
        <f>SUM(AQ110:AQ114)</f>
        <v>0</v>
      </c>
      <c r="AR115" s="112">
        <v>0</v>
      </c>
      <c r="AS115" s="23">
        <f>SUM(AS110:AS114)</f>
        <v>0</v>
      </c>
      <c r="AT115" s="23">
        <f t="shared" si="74"/>
        <v>1033500</v>
      </c>
      <c r="AU115" s="23">
        <f t="shared" ref="AU115:AV115" si="82">SUM(AU110:AU114)</f>
        <v>1033500</v>
      </c>
      <c r="AV115" s="23">
        <f t="shared" si="82"/>
        <v>0</v>
      </c>
    </row>
    <row r="116" spans="3:48" ht="16" x14ac:dyDescent="0.2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"/>
      <c r="O116" s="3"/>
      <c r="P116" s="397" t="s">
        <v>43</v>
      </c>
      <c r="Q116" s="52" t="s">
        <v>397</v>
      </c>
      <c r="R116" s="52" t="s">
        <v>114</v>
      </c>
      <c r="S116" s="12" t="s">
        <v>470</v>
      </c>
      <c r="T116" s="269">
        <f>'Pencapaian Sales Value'!G116</f>
        <v>0.68537606837606835</v>
      </c>
      <c r="U116" s="15">
        <f>'Pencapaian Sales Value'!I116</f>
        <v>0</v>
      </c>
      <c r="V116" s="269">
        <f>'Pencapaian Product Focus'!H116</f>
        <v>0.86363636363636365</v>
      </c>
      <c r="W116" s="269">
        <f>'Pencapaian Product Focus'!L116</f>
        <v>0.54545454545454541</v>
      </c>
      <c r="X116" s="15">
        <f>'Pencapaian Product Focus'!N116</f>
        <v>33000</v>
      </c>
      <c r="Y116" s="269">
        <f>'Pencapaian Effective Call'!G116</f>
        <v>0.70357142857142863</v>
      </c>
      <c r="Z116" s="15">
        <f>'Pencapaian Effective Call'!I116</f>
        <v>24750</v>
      </c>
      <c r="AA116" s="269">
        <f>'Pencapaian New Open Outlet'!G116</f>
        <v>0.5</v>
      </c>
      <c r="AB116" s="15">
        <f>'Pencapaian New Open Outlet'!I116</f>
        <v>0</v>
      </c>
      <c r="AC116" s="255">
        <f>'Pencapaian Active Outlet'!G116</f>
        <v>0.71250000000000002</v>
      </c>
      <c r="AD116" s="170">
        <f>'Pencapaian Active Outlet'!I116</f>
        <v>0</v>
      </c>
      <c r="AE116" s="255">
        <f>'Pencapaian Item per Outlet'!G116</f>
        <v>0</v>
      </c>
      <c r="AF116" s="309">
        <f>'Pencapaian Item per Outlet'!I116</f>
        <v>0</v>
      </c>
      <c r="AG116" s="255">
        <f>'Pencapaian Product Display'!G116</f>
        <v>0</v>
      </c>
      <c r="AH116" s="309">
        <f>'Pencapaian Product Display'!I116</f>
        <v>0</v>
      </c>
      <c r="AI116" s="255">
        <f>'Pencapaian Sales Contract'!G116</f>
        <v>0</v>
      </c>
      <c r="AJ116" s="309">
        <f>'Pencapaian Sales Contract'!I116</f>
        <v>0</v>
      </c>
      <c r="AK116" s="255">
        <f>'Pencapaian Co-Branding'!G116</f>
        <v>0</v>
      </c>
      <c r="AL116" s="309">
        <f>'Pencapaian Co-Branding'!I116</f>
        <v>0</v>
      </c>
      <c r="AM116" s="255">
        <f>'Pencapaian Join Event Activity'!G116</f>
        <v>0</v>
      </c>
      <c r="AN116" s="309">
        <f>'Pencapaian Join Event Activity'!I116</f>
        <v>0</v>
      </c>
      <c r="AO116" s="15">
        <f t="shared" si="77"/>
        <v>57750</v>
      </c>
      <c r="AP116" s="13">
        <v>0</v>
      </c>
      <c r="AQ116" s="15">
        <f t="shared" ref="AQ116:AQ127" si="83">IF(AP116&gt;=0.5%,-(AO116*10%),0)</f>
        <v>0</v>
      </c>
      <c r="AR116" s="13">
        <v>0</v>
      </c>
      <c r="AS116" s="15">
        <f t="shared" ref="AS116:AS127" si="84">IF(AR116&gt;0,-(AO116+AQ116),0)</f>
        <v>0</v>
      </c>
      <c r="AT116" s="15">
        <f t="shared" si="74"/>
        <v>57750</v>
      </c>
      <c r="AU116" s="15">
        <f t="shared" ref="AU116:AU117" si="85">AT116</f>
        <v>57750</v>
      </c>
      <c r="AV116" s="15">
        <v>0</v>
      </c>
    </row>
    <row r="117" spans="3:48" ht="16" x14ac:dyDescent="0.2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"/>
      <c r="O117" s="3"/>
      <c r="P117" s="397"/>
      <c r="Q117" s="52" t="s">
        <v>398</v>
      </c>
      <c r="R117" s="52" t="s">
        <v>341</v>
      </c>
      <c r="S117" s="12" t="s">
        <v>470</v>
      </c>
      <c r="T117" s="269">
        <f>'Pencapaian Sales Value'!G117</f>
        <v>0.91852147699035491</v>
      </c>
      <c r="U117" s="15">
        <f>'Pencapaian Sales Value'!I117</f>
        <v>247500</v>
      </c>
      <c r="V117" s="269">
        <f>'Pencapaian Product Focus'!H117</f>
        <v>1.009090909090909</v>
      </c>
      <c r="W117" s="269">
        <f>'Pencapaian Product Focus'!L117</f>
        <v>0.42857142857142855</v>
      </c>
      <c r="X117" s="15">
        <f>'Pencapaian Product Focus'!N117</f>
        <v>66000</v>
      </c>
      <c r="Y117" s="269">
        <f>'Pencapaian Effective Call'!G117</f>
        <v>0.89473684210526316</v>
      </c>
      <c r="Z117" s="15">
        <f>'Pencapaian Effective Call'!I117</f>
        <v>49500</v>
      </c>
      <c r="AA117" s="269">
        <f>'Pencapaian New Open Outlet'!G117</f>
        <v>0.1</v>
      </c>
      <c r="AB117" s="15">
        <f>'Pencapaian New Open Outlet'!I117</f>
        <v>0</v>
      </c>
      <c r="AC117" s="255">
        <f>'Pencapaian Active Outlet'!G117</f>
        <v>0.88500000000000001</v>
      </c>
      <c r="AD117" s="170">
        <f>'Pencapaian Active Outlet'!I117</f>
        <v>0</v>
      </c>
      <c r="AE117" s="255">
        <f>'Pencapaian Item per Outlet'!G117</f>
        <v>0</v>
      </c>
      <c r="AF117" s="309">
        <f>'Pencapaian Item per Outlet'!I117</f>
        <v>0</v>
      </c>
      <c r="AG117" s="255">
        <f>'Pencapaian Product Display'!G117</f>
        <v>0</v>
      </c>
      <c r="AH117" s="309">
        <f>'Pencapaian Product Display'!I117</f>
        <v>0</v>
      </c>
      <c r="AI117" s="255">
        <f>'Pencapaian Sales Contract'!G117</f>
        <v>0</v>
      </c>
      <c r="AJ117" s="309">
        <f>'Pencapaian Sales Contract'!I117</f>
        <v>0</v>
      </c>
      <c r="AK117" s="255">
        <f>'Pencapaian Co-Branding'!G117</f>
        <v>0</v>
      </c>
      <c r="AL117" s="309">
        <f>'Pencapaian Co-Branding'!I117</f>
        <v>0</v>
      </c>
      <c r="AM117" s="255">
        <f>'Pencapaian Join Event Activity'!G117</f>
        <v>0</v>
      </c>
      <c r="AN117" s="309">
        <f>'Pencapaian Join Event Activity'!I117</f>
        <v>0</v>
      </c>
      <c r="AO117" s="15">
        <f t="shared" si="77"/>
        <v>363000</v>
      </c>
      <c r="AP117" s="13">
        <v>0</v>
      </c>
      <c r="AQ117" s="15">
        <f t="shared" si="83"/>
        <v>0</v>
      </c>
      <c r="AR117" s="13">
        <v>0</v>
      </c>
      <c r="AS117" s="15">
        <f t="shared" si="84"/>
        <v>0</v>
      </c>
      <c r="AT117" s="15">
        <f t="shared" si="74"/>
        <v>363000</v>
      </c>
      <c r="AU117" s="15">
        <f t="shared" si="85"/>
        <v>363000</v>
      </c>
      <c r="AV117" s="15">
        <v>0</v>
      </c>
    </row>
    <row r="118" spans="3:48" ht="16" x14ac:dyDescent="0.2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"/>
      <c r="O118" s="3"/>
      <c r="P118" s="397"/>
      <c r="Q118" s="52" t="s">
        <v>399</v>
      </c>
      <c r="R118" s="52" t="s">
        <v>321</v>
      </c>
      <c r="S118" s="12" t="s">
        <v>18</v>
      </c>
      <c r="T118" s="269">
        <f>'Pencapaian Sales Value'!G118</f>
        <v>0.55646715686274506</v>
      </c>
      <c r="U118" s="15">
        <f>'Pencapaian Sales Value'!I118</f>
        <v>0</v>
      </c>
      <c r="V118" s="269">
        <f>'Pencapaian Product Focus'!H118</f>
        <v>1.3100877192982461</v>
      </c>
      <c r="W118" s="269">
        <f>'Pencapaian Product Focus'!L118</f>
        <v>0.69523809523809521</v>
      </c>
      <c r="X118" s="15">
        <f>'Pencapaian Product Focus'!N118</f>
        <v>112500</v>
      </c>
      <c r="Y118" s="269">
        <f>'Pencapaian Effective Call'!G118</f>
        <v>0.48571428571428571</v>
      </c>
      <c r="Z118" s="15">
        <f>'Pencapaian Effective Call'!I118</f>
        <v>0</v>
      </c>
      <c r="AA118" s="269">
        <f>'Pencapaian New Open Outlet'!G118</f>
        <v>0</v>
      </c>
      <c r="AB118" s="15">
        <f>'Pencapaian New Open Outlet'!I118</f>
        <v>0</v>
      </c>
      <c r="AC118" s="255">
        <f>'Pencapaian Active Outlet'!G118</f>
        <v>0.62</v>
      </c>
      <c r="AD118" s="170">
        <f>'Pencapaian Active Outlet'!I118</f>
        <v>0</v>
      </c>
      <c r="AE118" s="255">
        <f>'Pencapaian Item per Outlet'!G118</f>
        <v>0</v>
      </c>
      <c r="AF118" s="309">
        <f>'Pencapaian Item per Outlet'!I118</f>
        <v>0</v>
      </c>
      <c r="AG118" s="255">
        <f>'Pencapaian Product Display'!G118</f>
        <v>0</v>
      </c>
      <c r="AH118" s="309">
        <f>'Pencapaian Product Display'!I118</f>
        <v>0</v>
      </c>
      <c r="AI118" s="255">
        <f>'Pencapaian Sales Contract'!G118</f>
        <v>0</v>
      </c>
      <c r="AJ118" s="309">
        <f>'Pencapaian Sales Contract'!I118</f>
        <v>0</v>
      </c>
      <c r="AK118" s="255">
        <f>'Pencapaian Co-Branding'!G118</f>
        <v>0</v>
      </c>
      <c r="AL118" s="309">
        <f>'Pencapaian Co-Branding'!I118</f>
        <v>0</v>
      </c>
      <c r="AM118" s="255">
        <f>'Pencapaian Join Event Activity'!G118</f>
        <v>0</v>
      </c>
      <c r="AN118" s="309">
        <f>'Pencapaian Join Event Activity'!I118</f>
        <v>0</v>
      </c>
      <c r="AO118" s="15">
        <f t="shared" si="77"/>
        <v>112500</v>
      </c>
      <c r="AP118" s="13">
        <v>0</v>
      </c>
      <c r="AQ118" s="15">
        <f t="shared" si="83"/>
        <v>0</v>
      </c>
      <c r="AR118" s="13">
        <v>0</v>
      </c>
      <c r="AS118" s="15">
        <f t="shared" si="84"/>
        <v>0</v>
      </c>
      <c r="AT118" s="15">
        <f t="shared" si="74"/>
        <v>112500</v>
      </c>
      <c r="AU118" s="15">
        <f t="shared" ref="AU118:AU120" si="86">AT118*70%</f>
        <v>78750</v>
      </c>
      <c r="AV118" s="15">
        <f t="shared" ref="AV118:AV120" si="87">AT118*30%</f>
        <v>33750</v>
      </c>
    </row>
    <row r="119" spans="3:48" ht="16" x14ac:dyDescent="0.2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"/>
      <c r="O119" s="3"/>
      <c r="P119" s="397"/>
      <c r="Q119" s="52" t="s">
        <v>400</v>
      </c>
      <c r="R119" s="52" t="s">
        <v>322</v>
      </c>
      <c r="S119" s="12" t="s">
        <v>18</v>
      </c>
      <c r="T119" s="269">
        <f>'Pencapaian Sales Value'!G119</f>
        <v>0.75767519685039375</v>
      </c>
      <c r="U119" s="15">
        <f>'Pencapaian Sales Value'!I119</f>
        <v>112500</v>
      </c>
      <c r="V119" s="269">
        <f>'Pencapaian Product Focus'!H119</f>
        <v>1.0495098039215691</v>
      </c>
      <c r="W119" s="269">
        <f>'Pencapaian Product Focus'!L119</f>
        <v>0.42857142857142855</v>
      </c>
      <c r="X119" s="15">
        <f>'Pencapaian Product Focus'!N119</f>
        <v>90000</v>
      </c>
      <c r="Y119" s="269">
        <f>'Pencapaian Effective Call'!G119</f>
        <v>0.83214285714285718</v>
      </c>
      <c r="Z119" s="15">
        <f>'Pencapaian Effective Call'!I119</f>
        <v>67500</v>
      </c>
      <c r="AA119" s="269">
        <f>'Pencapaian New Open Outlet'!G119</f>
        <v>0.5</v>
      </c>
      <c r="AB119" s="15">
        <f>'Pencapaian New Open Outlet'!I119</f>
        <v>0</v>
      </c>
      <c r="AC119" s="255">
        <f>'Pencapaian Active Outlet'!G119</f>
        <v>0.94</v>
      </c>
      <c r="AD119" s="170">
        <f>'Pencapaian Active Outlet'!I119</f>
        <v>0</v>
      </c>
      <c r="AE119" s="255">
        <f>'Pencapaian Item per Outlet'!G119</f>
        <v>0</v>
      </c>
      <c r="AF119" s="309">
        <f>'Pencapaian Item per Outlet'!I119</f>
        <v>0</v>
      </c>
      <c r="AG119" s="255">
        <f>'Pencapaian Product Display'!G119</f>
        <v>0</v>
      </c>
      <c r="AH119" s="309">
        <f>'Pencapaian Product Display'!I119</f>
        <v>0</v>
      </c>
      <c r="AI119" s="255">
        <f>'Pencapaian Sales Contract'!G119</f>
        <v>0</v>
      </c>
      <c r="AJ119" s="309">
        <f>'Pencapaian Sales Contract'!I119</f>
        <v>0</v>
      </c>
      <c r="AK119" s="255">
        <f>'Pencapaian Co-Branding'!G119</f>
        <v>0</v>
      </c>
      <c r="AL119" s="309">
        <f>'Pencapaian Co-Branding'!I119</f>
        <v>0</v>
      </c>
      <c r="AM119" s="255">
        <f>'Pencapaian Join Event Activity'!G119</f>
        <v>0</v>
      </c>
      <c r="AN119" s="309">
        <f>'Pencapaian Join Event Activity'!I119</f>
        <v>0</v>
      </c>
      <c r="AO119" s="15">
        <f t="shared" si="77"/>
        <v>270000</v>
      </c>
      <c r="AP119" s="13">
        <v>0</v>
      </c>
      <c r="AQ119" s="15">
        <f t="shared" si="83"/>
        <v>0</v>
      </c>
      <c r="AR119" s="13">
        <v>0</v>
      </c>
      <c r="AS119" s="15">
        <f t="shared" si="84"/>
        <v>0</v>
      </c>
      <c r="AT119" s="15">
        <f t="shared" ref="AT119" si="88">SUM(AS119,AQ119,AO119)</f>
        <v>270000</v>
      </c>
      <c r="AU119" s="15">
        <f t="shared" ref="AU119" si="89">AT119*70%</f>
        <v>189000</v>
      </c>
      <c r="AV119" s="15">
        <f t="shared" ref="AV119" si="90">AT119*30%</f>
        <v>81000</v>
      </c>
    </row>
    <row r="120" spans="3:48" ht="16" x14ac:dyDescent="0.2">
      <c r="O120" s="3"/>
      <c r="P120" s="397"/>
      <c r="Q120" s="117"/>
      <c r="R120" s="117" t="s">
        <v>474</v>
      </c>
      <c r="S120" s="117"/>
      <c r="T120" s="304">
        <f>'Pencapaian Sales Value'!G120</f>
        <v>0</v>
      </c>
      <c r="U120" s="178">
        <f>'Pencapaian Sales Value'!I120</f>
        <v>0</v>
      </c>
      <c r="V120" s="304">
        <f>'Pencapaian Product Focus'!H120</f>
        <v>0</v>
      </c>
      <c r="W120" s="304">
        <f>'Pencapaian Product Focus'!L120</f>
        <v>0</v>
      </c>
      <c r="X120" s="178">
        <f>'Pencapaian Product Focus'!N120</f>
        <v>0</v>
      </c>
      <c r="Y120" s="304">
        <f>'Pencapaian Effective Call'!G120</f>
        <v>0</v>
      </c>
      <c r="Z120" s="178">
        <f>'Pencapaian Effective Call'!I120</f>
        <v>0</v>
      </c>
      <c r="AA120" s="304">
        <f>'Pencapaian New Open Outlet'!G120</f>
        <v>0</v>
      </c>
      <c r="AB120" s="178">
        <f>'Pencapaian New Open Outlet'!I120</f>
        <v>0</v>
      </c>
      <c r="AC120" s="255">
        <f>'Pencapaian Active Outlet'!G120</f>
        <v>0</v>
      </c>
      <c r="AD120" s="170">
        <f>'Pencapaian Active Outlet'!I120</f>
        <v>0</v>
      </c>
      <c r="AE120" s="255">
        <f>'Pencapaian Item per Outlet'!G120</f>
        <v>0</v>
      </c>
      <c r="AF120" s="309">
        <f>'Pencapaian Item per Outlet'!I120</f>
        <v>0</v>
      </c>
      <c r="AG120" s="255">
        <f>'Pencapaian Product Display'!G120</f>
        <v>0</v>
      </c>
      <c r="AH120" s="309">
        <f>'Pencapaian Product Display'!I120</f>
        <v>0</v>
      </c>
      <c r="AI120" s="255">
        <f>'Pencapaian Sales Contract'!G120</f>
        <v>0</v>
      </c>
      <c r="AJ120" s="309">
        <f>'Pencapaian Sales Contract'!I120</f>
        <v>0</v>
      </c>
      <c r="AK120" s="255">
        <f>'Pencapaian Co-Branding'!G120</f>
        <v>0</v>
      </c>
      <c r="AL120" s="309">
        <f>'Pencapaian Co-Branding'!I120</f>
        <v>0</v>
      </c>
      <c r="AM120" s="255">
        <f>'Pencapaian Join Event Activity'!G120</f>
        <v>0</v>
      </c>
      <c r="AN120" s="309">
        <f>'Pencapaian Join Event Activity'!I120</f>
        <v>0</v>
      </c>
      <c r="AO120" s="178">
        <f t="shared" si="77"/>
        <v>0</v>
      </c>
      <c r="AP120" s="265">
        <v>0</v>
      </c>
      <c r="AQ120" s="178">
        <f t="shared" si="83"/>
        <v>0</v>
      </c>
      <c r="AR120" s="265">
        <v>0</v>
      </c>
      <c r="AS120" s="178">
        <f t="shared" si="84"/>
        <v>0</v>
      </c>
      <c r="AT120" s="178">
        <f t="shared" si="74"/>
        <v>0</v>
      </c>
      <c r="AU120" s="178">
        <f t="shared" si="86"/>
        <v>0</v>
      </c>
      <c r="AV120" s="178">
        <f t="shared" si="87"/>
        <v>0</v>
      </c>
    </row>
    <row r="121" spans="3:48" ht="16" x14ac:dyDescent="0.2">
      <c r="O121" s="3"/>
      <c r="P121" s="396" t="s">
        <v>836</v>
      </c>
      <c r="Q121" s="178"/>
      <c r="R121" s="117" t="s">
        <v>837</v>
      </c>
      <c r="S121" s="178"/>
      <c r="T121" s="255">
        <f>'Pencapaian Sales Value'!G121</f>
        <v>0</v>
      </c>
      <c r="U121" s="170">
        <f>'Pencapaian Sales Value'!I121</f>
        <v>0</v>
      </c>
      <c r="V121" s="255">
        <f>'Pencapaian Product Focus'!H121</f>
        <v>0</v>
      </c>
      <c r="W121" s="255">
        <f>'Pencapaian Product Focus'!L121</f>
        <v>0</v>
      </c>
      <c r="X121" s="170">
        <f>'Pencapaian Product Focus'!N121</f>
        <v>0</v>
      </c>
      <c r="Y121" s="255">
        <f>'Pencapaian Effective Call'!G121</f>
        <v>0</v>
      </c>
      <c r="Z121" s="170">
        <f>'Pencapaian Effective Call'!I121</f>
        <v>0</v>
      </c>
      <c r="AA121" s="255">
        <f>'Pencapaian New Open Outlet'!G121</f>
        <v>0</v>
      </c>
      <c r="AB121" s="170">
        <f>'Pencapaian New Open Outlet'!I121</f>
        <v>0</v>
      </c>
      <c r="AC121" s="255">
        <f>'Pencapaian Active Outlet'!G121</f>
        <v>0</v>
      </c>
      <c r="AD121" s="170">
        <f>'Pencapaian Active Outlet'!I121</f>
        <v>0</v>
      </c>
      <c r="AE121" s="255">
        <f>'Pencapaian Item per Outlet'!G121</f>
        <v>0</v>
      </c>
      <c r="AF121" s="309">
        <f>'Pencapaian Item per Outlet'!I121</f>
        <v>0</v>
      </c>
      <c r="AG121" s="255">
        <f>'Pencapaian Product Display'!G121</f>
        <v>0</v>
      </c>
      <c r="AH121" s="309">
        <f>'Pencapaian Product Display'!I121</f>
        <v>0</v>
      </c>
      <c r="AI121" s="255">
        <f>'Pencapaian Sales Contract'!G121</f>
        <v>0</v>
      </c>
      <c r="AJ121" s="309">
        <f>'Pencapaian Sales Contract'!I121</f>
        <v>0</v>
      </c>
      <c r="AK121" s="255">
        <f>'Pencapaian Co-Branding'!G121</f>
        <v>0</v>
      </c>
      <c r="AL121" s="309">
        <f>'Pencapaian Co-Branding'!I121</f>
        <v>0</v>
      </c>
      <c r="AM121" s="255">
        <f>'Pencapaian Join Event Activity'!G121</f>
        <v>0</v>
      </c>
      <c r="AN121" s="309">
        <f>'Pencapaian Join Event Activity'!I121</f>
        <v>0</v>
      </c>
      <c r="AO121" s="15">
        <f t="shared" si="77"/>
        <v>0</v>
      </c>
      <c r="AP121" s="13">
        <v>0</v>
      </c>
      <c r="AQ121" s="15">
        <f t="shared" si="83"/>
        <v>0</v>
      </c>
      <c r="AR121" s="13">
        <v>0</v>
      </c>
      <c r="AS121" s="15">
        <f t="shared" si="84"/>
        <v>0</v>
      </c>
      <c r="AT121" s="15">
        <f t="shared" ref="AT121:AT126" si="91">SUM(AS121,AQ121,AO121)</f>
        <v>0</v>
      </c>
      <c r="AU121" s="15">
        <f t="shared" ref="AU121:AU123" si="92">AT121</f>
        <v>0</v>
      </c>
      <c r="AV121" s="15">
        <v>0</v>
      </c>
    </row>
    <row r="122" spans="3:48" ht="16" x14ac:dyDescent="0.2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"/>
      <c r="O122" s="3"/>
      <c r="P122" s="386"/>
      <c r="Q122" s="178"/>
      <c r="R122" s="117" t="s">
        <v>838</v>
      </c>
      <c r="S122" s="178"/>
      <c r="T122" s="255">
        <f>'Pencapaian Sales Value'!G122</f>
        <v>0</v>
      </c>
      <c r="U122" s="170">
        <f>'Pencapaian Sales Value'!I122</f>
        <v>0</v>
      </c>
      <c r="V122" s="255">
        <f>'Pencapaian Product Focus'!H122</f>
        <v>0</v>
      </c>
      <c r="W122" s="255">
        <f>'Pencapaian Product Focus'!L122</f>
        <v>0</v>
      </c>
      <c r="X122" s="170">
        <f>'Pencapaian Product Focus'!N122</f>
        <v>0</v>
      </c>
      <c r="Y122" s="255">
        <f>'Pencapaian Effective Call'!G122</f>
        <v>0</v>
      </c>
      <c r="Z122" s="170">
        <f>'Pencapaian Effective Call'!I122</f>
        <v>0</v>
      </c>
      <c r="AA122" s="255">
        <f>'Pencapaian New Open Outlet'!G122</f>
        <v>0</v>
      </c>
      <c r="AB122" s="170">
        <f>'Pencapaian New Open Outlet'!I122</f>
        <v>0</v>
      </c>
      <c r="AC122" s="255">
        <f>'Pencapaian Active Outlet'!G122</f>
        <v>0</v>
      </c>
      <c r="AD122" s="170">
        <f>'Pencapaian Active Outlet'!I122</f>
        <v>0</v>
      </c>
      <c r="AE122" s="255">
        <f>'Pencapaian Item per Outlet'!G122</f>
        <v>0</v>
      </c>
      <c r="AF122" s="309">
        <f>'Pencapaian Item per Outlet'!I122</f>
        <v>0</v>
      </c>
      <c r="AG122" s="255">
        <f>'Pencapaian Product Display'!G122</f>
        <v>0</v>
      </c>
      <c r="AH122" s="309">
        <f>'Pencapaian Product Display'!I122</f>
        <v>0</v>
      </c>
      <c r="AI122" s="255">
        <f>'Pencapaian Sales Contract'!G122</f>
        <v>0</v>
      </c>
      <c r="AJ122" s="309">
        <f>'Pencapaian Sales Contract'!I122</f>
        <v>0</v>
      </c>
      <c r="AK122" s="255">
        <f>'Pencapaian Co-Branding'!G122</f>
        <v>0</v>
      </c>
      <c r="AL122" s="309">
        <f>'Pencapaian Co-Branding'!I122</f>
        <v>0</v>
      </c>
      <c r="AM122" s="255">
        <f>'Pencapaian Join Event Activity'!G122</f>
        <v>0</v>
      </c>
      <c r="AN122" s="309">
        <f>'Pencapaian Join Event Activity'!I122</f>
        <v>0</v>
      </c>
      <c r="AO122" s="15">
        <f t="shared" si="77"/>
        <v>0</v>
      </c>
      <c r="AP122" s="13">
        <v>0</v>
      </c>
      <c r="AQ122" s="15">
        <f t="shared" si="83"/>
        <v>0</v>
      </c>
      <c r="AR122" s="13">
        <v>0</v>
      </c>
      <c r="AS122" s="15">
        <f t="shared" si="84"/>
        <v>0</v>
      </c>
      <c r="AT122" s="15">
        <f t="shared" si="91"/>
        <v>0</v>
      </c>
      <c r="AU122" s="15">
        <f t="shared" si="92"/>
        <v>0</v>
      </c>
      <c r="AV122" s="15">
        <v>0</v>
      </c>
    </row>
    <row r="123" spans="3:48" ht="16" x14ac:dyDescent="0.2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"/>
      <c r="O123" s="3"/>
      <c r="P123" s="386"/>
      <c r="Q123" s="178"/>
      <c r="R123" s="117" t="s">
        <v>839</v>
      </c>
      <c r="S123" s="178"/>
      <c r="T123" s="255">
        <f>'Pencapaian Sales Value'!G123</f>
        <v>0</v>
      </c>
      <c r="U123" s="170">
        <f>'Pencapaian Sales Value'!I123</f>
        <v>0</v>
      </c>
      <c r="V123" s="255">
        <f>'Pencapaian Product Focus'!H123</f>
        <v>0</v>
      </c>
      <c r="W123" s="255">
        <f>'Pencapaian Product Focus'!L123</f>
        <v>0</v>
      </c>
      <c r="X123" s="170">
        <f>'Pencapaian Product Focus'!N123</f>
        <v>0</v>
      </c>
      <c r="Y123" s="255">
        <f>'Pencapaian Effective Call'!G123</f>
        <v>0</v>
      </c>
      <c r="Z123" s="170">
        <f>'Pencapaian Effective Call'!I123</f>
        <v>0</v>
      </c>
      <c r="AA123" s="255">
        <f>'Pencapaian New Open Outlet'!G123</f>
        <v>0</v>
      </c>
      <c r="AB123" s="170">
        <f>'Pencapaian New Open Outlet'!I123</f>
        <v>0</v>
      </c>
      <c r="AC123" s="255">
        <f>'Pencapaian Active Outlet'!G123</f>
        <v>0</v>
      </c>
      <c r="AD123" s="170">
        <f>'Pencapaian Active Outlet'!I123</f>
        <v>0</v>
      </c>
      <c r="AE123" s="255">
        <f>'Pencapaian Item per Outlet'!G123</f>
        <v>0</v>
      </c>
      <c r="AF123" s="309">
        <f>'Pencapaian Item per Outlet'!I123</f>
        <v>0</v>
      </c>
      <c r="AG123" s="255">
        <f>'Pencapaian Product Display'!G123</f>
        <v>0</v>
      </c>
      <c r="AH123" s="309">
        <f>'Pencapaian Product Display'!I123</f>
        <v>0</v>
      </c>
      <c r="AI123" s="255">
        <f>'Pencapaian Sales Contract'!G123</f>
        <v>0</v>
      </c>
      <c r="AJ123" s="309">
        <f>'Pencapaian Sales Contract'!I123</f>
        <v>0</v>
      </c>
      <c r="AK123" s="255">
        <f>'Pencapaian Co-Branding'!G123</f>
        <v>0</v>
      </c>
      <c r="AL123" s="309">
        <f>'Pencapaian Co-Branding'!I123</f>
        <v>0</v>
      </c>
      <c r="AM123" s="255">
        <f>'Pencapaian Join Event Activity'!G123</f>
        <v>0</v>
      </c>
      <c r="AN123" s="309">
        <f>'Pencapaian Join Event Activity'!I123</f>
        <v>0</v>
      </c>
      <c r="AO123" s="15">
        <f t="shared" si="77"/>
        <v>0</v>
      </c>
      <c r="AP123" s="13">
        <v>0</v>
      </c>
      <c r="AQ123" s="15">
        <f t="shared" si="83"/>
        <v>0</v>
      </c>
      <c r="AR123" s="13">
        <v>0</v>
      </c>
      <c r="AS123" s="15">
        <f t="shared" si="84"/>
        <v>0</v>
      </c>
      <c r="AT123" s="15">
        <f t="shared" si="91"/>
        <v>0</v>
      </c>
      <c r="AU123" s="15">
        <f t="shared" si="92"/>
        <v>0</v>
      </c>
      <c r="AV123" s="15">
        <v>0</v>
      </c>
    </row>
    <row r="124" spans="3:48" ht="16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"/>
      <c r="O124" s="3"/>
      <c r="P124" s="386"/>
      <c r="Q124" s="52"/>
      <c r="R124" s="69" t="s">
        <v>893</v>
      </c>
      <c r="S124" s="12" t="s">
        <v>571</v>
      </c>
      <c r="T124" s="269">
        <f>'Pencapaian Sales Value'!G124</f>
        <v>0.12641628975999997</v>
      </c>
      <c r="U124" s="15">
        <f>'Pencapaian Sales Value'!I124</f>
        <v>0</v>
      </c>
      <c r="V124" s="255">
        <f>'Pencapaian Product Focus'!H124</f>
        <v>0</v>
      </c>
      <c r="W124" s="255">
        <f>'Pencapaian Product Focus'!L124</f>
        <v>0</v>
      </c>
      <c r="X124" s="170">
        <f>'Pencapaian Product Focus'!N124</f>
        <v>0</v>
      </c>
      <c r="Y124" s="255">
        <f>'Pencapaian Effective Call'!G124</f>
        <v>0</v>
      </c>
      <c r="Z124" s="170">
        <f>'Pencapaian Effective Call'!I124</f>
        <v>0</v>
      </c>
      <c r="AA124" s="255">
        <f>'Pencapaian New Open Outlet'!G124</f>
        <v>0</v>
      </c>
      <c r="AB124" s="170">
        <f>'Pencapaian New Open Outlet'!I124</f>
        <v>0</v>
      </c>
      <c r="AC124" s="269">
        <f>'Pencapaian Active Outlet'!G124</f>
        <v>0.09</v>
      </c>
      <c r="AD124" s="15">
        <f>'Pencapaian Active Outlet'!I124</f>
        <v>0</v>
      </c>
      <c r="AE124" s="255">
        <f>'Pencapaian Item per Outlet'!G124</f>
        <v>0</v>
      </c>
      <c r="AF124" s="309">
        <f>'Pencapaian Item per Outlet'!I124</f>
        <v>0</v>
      </c>
      <c r="AG124" s="255">
        <f>'Pencapaian Product Display'!G124</f>
        <v>0</v>
      </c>
      <c r="AH124" s="309">
        <f>'Pencapaian Product Display'!I124</f>
        <v>0</v>
      </c>
      <c r="AI124" s="255">
        <f>'Pencapaian Sales Contract'!G124</f>
        <v>0</v>
      </c>
      <c r="AJ124" s="309">
        <f>'Pencapaian Sales Contract'!I124</f>
        <v>0</v>
      </c>
      <c r="AK124" s="255">
        <f>'Pencapaian Co-Branding'!G124</f>
        <v>0</v>
      </c>
      <c r="AL124" s="309">
        <f>'Pencapaian Co-Branding'!I124</f>
        <v>0</v>
      </c>
      <c r="AM124" s="255">
        <f>'Pencapaian Join Event Activity'!G124</f>
        <v>0</v>
      </c>
      <c r="AN124" s="309">
        <f>'Pencapaian Join Event Activity'!I124</f>
        <v>0</v>
      </c>
      <c r="AO124" s="15">
        <f t="shared" si="77"/>
        <v>0</v>
      </c>
      <c r="AP124" s="13">
        <v>0</v>
      </c>
      <c r="AQ124" s="15">
        <f t="shared" si="83"/>
        <v>0</v>
      </c>
      <c r="AR124" s="13">
        <v>0</v>
      </c>
      <c r="AS124" s="15">
        <f t="shared" si="84"/>
        <v>0</v>
      </c>
      <c r="AT124" s="15">
        <f t="shared" si="91"/>
        <v>0</v>
      </c>
      <c r="AU124" s="15">
        <f t="shared" ref="AU124" si="93">AT124</f>
        <v>0</v>
      </c>
      <c r="AV124" s="15">
        <v>0</v>
      </c>
    </row>
    <row r="125" spans="3:48" ht="16" x14ac:dyDescent="0.2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"/>
      <c r="O125" s="3"/>
      <c r="P125" s="386"/>
      <c r="Q125" s="178"/>
      <c r="R125" s="117" t="s">
        <v>840</v>
      </c>
      <c r="S125" s="178"/>
      <c r="T125" s="255">
        <f>'Pencapaian Sales Value'!G125</f>
        <v>0</v>
      </c>
      <c r="U125" s="170">
        <f>'Pencapaian Sales Value'!I125</f>
        <v>0</v>
      </c>
      <c r="V125" s="255">
        <f>'Pencapaian Product Focus'!H125</f>
        <v>0</v>
      </c>
      <c r="W125" s="255">
        <f>'Pencapaian Product Focus'!L125</f>
        <v>0</v>
      </c>
      <c r="X125" s="170">
        <f>'Pencapaian Product Focus'!N125</f>
        <v>0</v>
      </c>
      <c r="Y125" s="255">
        <f>'Pencapaian Effective Call'!G125</f>
        <v>0</v>
      </c>
      <c r="Z125" s="170">
        <f>'Pencapaian Effective Call'!I125</f>
        <v>0</v>
      </c>
      <c r="AA125" s="255">
        <f>'Pencapaian New Open Outlet'!G125</f>
        <v>0</v>
      </c>
      <c r="AB125" s="170">
        <f>'Pencapaian New Open Outlet'!I125</f>
        <v>0</v>
      </c>
      <c r="AC125" s="255">
        <f>'Pencapaian Active Outlet'!G125</f>
        <v>0</v>
      </c>
      <c r="AD125" s="170">
        <f>'Pencapaian Active Outlet'!I125</f>
        <v>0</v>
      </c>
      <c r="AE125" s="255">
        <f>'Pencapaian Item per Outlet'!G125</f>
        <v>0</v>
      </c>
      <c r="AF125" s="309">
        <f>'Pencapaian Item per Outlet'!I125</f>
        <v>0</v>
      </c>
      <c r="AG125" s="255">
        <f>'Pencapaian Product Display'!G125</f>
        <v>0</v>
      </c>
      <c r="AH125" s="309">
        <f>'Pencapaian Product Display'!I125</f>
        <v>0</v>
      </c>
      <c r="AI125" s="255">
        <f>'Pencapaian Sales Contract'!G125</f>
        <v>0</v>
      </c>
      <c r="AJ125" s="309">
        <f>'Pencapaian Sales Contract'!I125</f>
        <v>0</v>
      </c>
      <c r="AK125" s="255">
        <f>'Pencapaian Co-Branding'!G125</f>
        <v>0</v>
      </c>
      <c r="AL125" s="309">
        <f>'Pencapaian Co-Branding'!I125</f>
        <v>0</v>
      </c>
      <c r="AM125" s="255">
        <f>'Pencapaian Join Event Activity'!G125</f>
        <v>0</v>
      </c>
      <c r="AN125" s="309">
        <f>'Pencapaian Join Event Activity'!I125</f>
        <v>0</v>
      </c>
      <c r="AO125" s="15">
        <f t="shared" si="77"/>
        <v>0</v>
      </c>
      <c r="AP125" s="13">
        <v>0</v>
      </c>
      <c r="AQ125" s="15">
        <f t="shared" si="83"/>
        <v>0</v>
      </c>
      <c r="AR125" s="13">
        <v>0</v>
      </c>
      <c r="AS125" s="15">
        <f t="shared" si="84"/>
        <v>0</v>
      </c>
      <c r="AT125" s="15">
        <f t="shared" si="91"/>
        <v>0</v>
      </c>
      <c r="AU125" s="15">
        <f t="shared" ref="AU125:AU126" si="94">AT125</f>
        <v>0</v>
      </c>
      <c r="AV125" s="15">
        <v>0</v>
      </c>
    </row>
    <row r="126" spans="3:48" ht="16" x14ac:dyDescent="0.2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"/>
      <c r="O126" s="3"/>
      <c r="P126" s="386"/>
      <c r="Q126" s="178"/>
      <c r="R126" s="117" t="s">
        <v>841</v>
      </c>
      <c r="S126" s="178"/>
      <c r="T126" s="255">
        <f>'Pencapaian Sales Value'!G126</f>
        <v>0</v>
      </c>
      <c r="U126" s="170">
        <f>'Pencapaian Sales Value'!I126</f>
        <v>0</v>
      </c>
      <c r="V126" s="255">
        <f>'Pencapaian Product Focus'!H126</f>
        <v>0</v>
      </c>
      <c r="W126" s="255">
        <f>'Pencapaian Product Focus'!L126</f>
        <v>0</v>
      </c>
      <c r="X126" s="170">
        <f>'Pencapaian Product Focus'!N126</f>
        <v>0</v>
      </c>
      <c r="Y126" s="255">
        <f>'Pencapaian Effective Call'!G126</f>
        <v>0</v>
      </c>
      <c r="Z126" s="170">
        <f>'Pencapaian Effective Call'!I126</f>
        <v>0</v>
      </c>
      <c r="AA126" s="255">
        <f>'Pencapaian New Open Outlet'!G126</f>
        <v>0</v>
      </c>
      <c r="AB126" s="170">
        <f>'Pencapaian New Open Outlet'!I126</f>
        <v>0</v>
      </c>
      <c r="AC126" s="255">
        <f>'Pencapaian Active Outlet'!G126</f>
        <v>0</v>
      </c>
      <c r="AD126" s="170">
        <f>'Pencapaian Active Outlet'!I126</f>
        <v>0</v>
      </c>
      <c r="AE126" s="255">
        <f>'Pencapaian Item per Outlet'!G126</f>
        <v>0</v>
      </c>
      <c r="AF126" s="309">
        <f>'Pencapaian Item per Outlet'!I126</f>
        <v>0</v>
      </c>
      <c r="AG126" s="255">
        <f>'Pencapaian Product Display'!G126</f>
        <v>0</v>
      </c>
      <c r="AH126" s="309">
        <f>'Pencapaian Product Display'!I126</f>
        <v>0</v>
      </c>
      <c r="AI126" s="255">
        <f>'Pencapaian Sales Contract'!G126</f>
        <v>0</v>
      </c>
      <c r="AJ126" s="309">
        <f>'Pencapaian Sales Contract'!I126</f>
        <v>0</v>
      </c>
      <c r="AK126" s="255">
        <f>'Pencapaian Co-Branding'!G126</f>
        <v>0</v>
      </c>
      <c r="AL126" s="309">
        <f>'Pencapaian Co-Branding'!I126</f>
        <v>0</v>
      </c>
      <c r="AM126" s="255">
        <f>'Pencapaian Join Event Activity'!G126</f>
        <v>0</v>
      </c>
      <c r="AN126" s="309">
        <f>'Pencapaian Join Event Activity'!I126</f>
        <v>0</v>
      </c>
      <c r="AO126" s="15">
        <f t="shared" si="77"/>
        <v>0</v>
      </c>
      <c r="AP126" s="13">
        <v>0</v>
      </c>
      <c r="AQ126" s="15">
        <f t="shared" si="83"/>
        <v>0</v>
      </c>
      <c r="AR126" s="13">
        <v>0</v>
      </c>
      <c r="AS126" s="15">
        <f t="shared" si="84"/>
        <v>0</v>
      </c>
      <c r="AT126" s="15">
        <f t="shared" si="91"/>
        <v>0</v>
      </c>
      <c r="AU126" s="15">
        <f t="shared" si="94"/>
        <v>0</v>
      </c>
      <c r="AV126" s="15">
        <v>0</v>
      </c>
    </row>
    <row r="127" spans="3:48" ht="16" x14ac:dyDescent="0.2">
      <c r="O127" s="3"/>
      <c r="P127" s="386"/>
      <c r="Q127" s="78"/>
      <c r="R127" s="78" t="s">
        <v>275</v>
      </c>
      <c r="S127" s="64" t="s">
        <v>20</v>
      </c>
      <c r="T127" s="258">
        <f>'Pencapaian Sales Value'!G127</f>
        <v>0.78995613690328459</v>
      </c>
      <c r="U127" s="63">
        <f>'Pencapaian Sales Value'!I127</f>
        <v>120000</v>
      </c>
      <c r="V127" s="258">
        <f>'Pencapaian Product Focus'!H127</f>
        <v>1.0919540229885061</v>
      </c>
      <c r="W127" s="258">
        <f>'Pencapaian Product Focus'!L127</f>
        <v>0.54333333333333333</v>
      </c>
      <c r="X127" s="63">
        <f>'Pencapaian Product Focus'!N127</f>
        <v>120000</v>
      </c>
      <c r="Y127" s="257">
        <f>'Pencapaian Effective Call'!G127</f>
        <v>0.74262295081967211</v>
      </c>
      <c r="Z127" s="189">
        <f>'Pencapaian Effective Call'!I127</f>
        <v>0</v>
      </c>
      <c r="AA127" s="258">
        <f>'Pencapaian New Open Outlet'!G127</f>
        <v>0.27500000000000002</v>
      </c>
      <c r="AB127" s="63">
        <f>'Pencapaian New Open Outlet'!I127</f>
        <v>0</v>
      </c>
      <c r="AC127" s="258">
        <f>'Pencapaian Active Outlet'!G127</f>
        <v>0.69242424242424239</v>
      </c>
      <c r="AD127" s="63">
        <f>'Pencapaian Active Outlet'!I127</f>
        <v>0</v>
      </c>
      <c r="AE127" s="297">
        <f>'Pencapaian Item per Outlet'!G127</f>
        <v>0</v>
      </c>
      <c r="AF127" s="310">
        <f>'Pencapaian Item per Outlet'!I127</f>
        <v>0</v>
      </c>
      <c r="AG127" s="297">
        <f>'Pencapaian Product Display'!G127</f>
        <v>0</v>
      </c>
      <c r="AH127" s="310">
        <f>'Pencapaian Product Display'!I127</f>
        <v>0</v>
      </c>
      <c r="AI127" s="297">
        <f>'Pencapaian Sales Contract'!G127</f>
        <v>0</v>
      </c>
      <c r="AJ127" s="310">
        <f>'Pencapaian Sales Contract'!I127</f>
        <v>0</v>
      </c>
      <c r="AK127" s="297">
        <f>'Pencapaian Co-Branding'!G127</f>
        <v>0</v>
      </c>
      <c r="AL127" s="310">
        <f>'Pencapaian Co-Branding'!I127</f>
        <v>0</v>
      </c>
      <c r="AM127" s="297">
        <f>'Pencapaian Join Event Activity'!G127</f>
        <v>0</v>
      </c>
      <c r="AN127" s="310">
        <f>'Pencapaian Join Event Activity'!I127</f>
        <v>0</v>
      </c>
      <c r="AO127" s="63">
        <f t="shared" si="77"/>
        <v>240000</v>
      </c>
      <c r="AP127" s="110">
        <v>0</v>
      </c>
      <c r="AQ127" s="63">
        <f t="shared" si="83"/>
        <v>0</v>
      </c>
      <c r="AR127" s="110">
        <v>0</v>
      </c>
      <c r="AS127" s="63">
        <f t="shared" si="84"/>
        <v>0</v>
      </c>
      <c r="AT127" s="63">
        <f t="shared" ref="AT127" si="95">SUM(AS127,AQ127,AO127)</f>
        <v>240000</v>
      </c>
      <c r="AU127" s="63">
        <f>AT127</f>
        <v>240000</v>
      </c>
      <c r="AV127" s="63">
        <v>0</v>
      </c>
    </row>
    <row r="128" spans="3:48" ht="1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"/>
      <c r="O128" s="3"/>
      <c r="P128" s="387"/>
      <c r="Q128" s="77"/>
      <c r="R128" s="77" t="s">
        <v>859</v>
      </c>
      <c r="S128" s="42"/>
      <c r="T128" s="264">
        <f>'Pencapaian Sales Value'!G128</f>
        <v>0.78995613690328459</v>
      </c>
      <c r="U128" s="23">
        <f>'Pencapaian Sales Value'!I128</f>
        <v>480000</v>
      </c>
      <c r="V128" s="274">
        <f>'Pencapaian Product Focus'!H128</f>
        <v>1.0919540229885061</v>
      </c>
      <c r="W128" s="274">
        <f>'Pencapaian Product Focus'!L128</f>
        <v>0.54333333333333333</v>
      </c>
      <c r="X128" s="190">
        <f>'Pencapaian Product Focus'!N128</f>
        <v>421500</v>
      </c>
      <c r="Y128" s="274">
        <f>'Pencapaian Effective Call'!G128</f>
        <v>0.74262295081967211</v>
      </c>
      <c r="Z128" s="190">
        <f>'Pencapaian Effective Call'!I128</f>
        <v>141750</v>
      </c>
      <c r="AA128" s="274">
        <f>'Pencapaian New Open Outlet'!G128</f>
        <v>0.27500000000000002</v>
      </c>
      <c r="AB128" s="190">
        <f>'Pencapaian New Open Outlet'!I128</f>
        <v>0</v>
      </c>
      <c r="AC128" s="264">
        <f>'Pencapaian Active Outlet'!G128</f>
        <v>0.69242424242424239</v>
      </c>
      <c r="AD128" s="23">
        <f>'Pencapaian Active Outlet'!I128</f>
        <v>0</v>
      </c>
      <c r="AE128" s="274">
        <f>'Pencapaian Item per Outlet'!G128</f>
        <v>0</v>
      </c>
      <c r="AF128" s="313">
        <f>'Pencapaian Item per Outlet'!I128</f>
        <v>0</v>
      </c>
      <c r="AG128" s="274">
        <f>'Pencapaian Product Display'!G128</f>
        <v>0</v>
      </c>
      <c r="AH128" s="313">
        <f>'Pencapaian Product Display'!I128</f>
        <v>0</v>
      </c>
      <c r="AI128" s="274">
        <f>'Pencapaian Sales Contract'!G128</f>
        <v>0</v>
      </c>
      <c r="AJ128" s="313">
        <f>'Pencapaian Sales Contract'!I128</f>
        <v>0</v>
      </c>
      <c r="AK128" s="274">
        <f>'Pencapaian Co-Branding'!G128</f>
        <v>0</v>
      </c>
      <c r="AL128" s="313">
        <f>'Pencapaian Co-Branding'!I128</f>
        <v>0</v>
      </c>
      <c r="AM128" s="274">
        <f>'Pencapaian Join Event Activity'!G128</f>
        <v>0</v>
      </c>
      <c r="AN128" s="313">
        <f>'Pencapaian Join Event Activity'!I128</f>
        <v>0</v>
      </c>
      <c r="AO128" s="23">
        <f t="shared" si="77"/>
        <v>1043250</v>
      </c>
      <c r="AP128" s="112">
        <v>0</v>
      </c>
      <c r="AQ128" s="23">
        <f>SUM(AQ116:AQ127)</f>
        <v>0</v>
      </c>
      <c r="AR128" s="112">
        <v>0</v>
      </c>
      <c r="AS128" s="23">
        <f>SUM(AS116:AS127)</f>
        <v>0</v>
      </c>
      <c r="AT128" s="23">
        <f>SUM(AS128,AQ128,AO128)</f>
        <v>1043250</v>
      </c>
      <c r="AU128" s="23">
        <f>SUM(AU121:AU127)</f>
        <v>240000</v>
      </c>
      <c r="AV128" s="23">
        <f>SUM(AV121:AV127)</f>
        <v>0</v>
      </c>
    </row>
    <row r="129" spans="3:48" ht="16" x14ac:dyDescent="0.2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"/>
      <c r="O129" s="3"/>
      <c r="P129" s="397" t="s">
        <v>45</v>
      </c>
      <c r="Q129" s="117"/>
      <c r="R129" s="117" t="s">
        <v>175</v>
      </c>
      <c r="S129" s="178"/>
      <c r="T129" s="304">
        <f>'Pencapaian Sales Value'!G129</f>
        <v>0</v>
      </c>
      <c r="U129" s="178">
        <f>'Pencapaian Sales Value'!I129</f>
        <v>0</v>
      </c>
      <c r="V129" s="304">
        <f>'Pencapaian Product Focus'!H129</f>
        <v>0</v>
      </c>
      <c r="W129" s="304">
        <f>'Pencapaian Product Focus'!L129</f>
        <v>0</v>
      </c>
      <c r="X129" s="178">
        <f>'Pencapaian Product Focus'!N129</f>
        <v>0</v>
      </c>
      <c r="Y129" s="304">
        <f>'Pencapaian Effective Call'!G129</f>
        <v>0</v>
      </c>
      <c r="Z129" s="178">
        <f>'Pencapaian Effective Call'!I129</f>
        <v>0</v>
      </c>
      <c r="AA129" s="304">
        <f>'Pencapaian New Open Outlet'!G129</f>
        <v>0</v>
      </c>
      <c r="AB129" s="178">
        <f>'Pencapaian New Open Outlet'!I129</f>
        <v>0</v>
      </c>
      <c r="AC129" s="255">
        <f>'Pencapaian Active Outlet'!G129</f>
        <v>0</v>
      </c>
      <c r="AD129" s="170">
        <f>'Pencapaian Active Outlet'!I129</f>
        <v>0</v>
      </c>
      <c r="AE129" s="255">
        <f>'Pencapaian Item per Outlet'!G129</f>
        <v>0</v>
      </c>
      <c r="AF129" s="309">
        <f>'Pencapaian Item per Outlet'!I129</f>
        <v>0</v>
      </c>
      <c r="AG129" s="255">
        <f>'Pencapaian Product Display'!G129</f>
        <v>0</v>
      </c>
      <c r="AH129" s="309">
        <f>'Pencapaian Product Display'!I129</f>
        <v>0</v>
      </c>
      <c r="AI129" s="255">
        <f>'Pencapaian Sales Contract'!G129</f>
        <v>0</v>
      </c>
      <c r="AJ129" s="309">
        <f>'Pencapaian Sales Contract'!I129</f>
        <v>0</v>
      </c>
      <c r="AK129" s="255">
        <f>'Pencapaian Co-Branding'!G129</f>
        <v>0</v>
      </c>
      <c r="AL129" s="309">
        <f>'Pencapaian Co-Branding'!I129</f>
        <v>0</v>
      </c>
      <c r="AM129" s="255">
        <f>'Pencapaian Join Event Activity'!G129</f>
        <v>0</v>
      </c>
      <c r="AN129" s="309">
        <f>'Pencapaian Join Event Activity'!I129</f>
        <v>0</v>
      </c>
      <c r="AO129" s="178">
        <f t="shared" si="77"/>
        <v>0</v>
      </c>
      <c r="AP129" s="265">
        <v>0</v>
      </c>
      <c r="AQ129" s="178">
        <f t="shared" ref="AQ129:AQ132" si="96">IF(AP129&gt;=0.5%,-(AO129*10%),0)</f>
        <v>0</v>
      </c>
      <c r="AR129" s="265">
        <v>0</v>
      </c>
      <c r="AS129" s="178">
        <f t="shared" ref="AS129:AS132" si="97">IF(AR129&gt;0,-(AO129+AQ129),0)</f>
        <v>0</v>
      </c>
      <c r="AT129" s="178">
        <f t="shared" si="74"/>
        <v>0</v>
      </c>
      <c r="AU129" s="178"/>
      <c r="AV129" s="178"/>
    </row>
    <row r="130" spans="3:48" ht="16" x14ac:dyDescent="0.2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"/>
      <c r="O130" s="3"/>
      <c r="P130" s="397"/>
      <c r="Q130" s="52" t="s">
        <v>401</v>
      </c>
      <c r="R130" s="52" t="s">
        <v>288</v>
      </c>
      <c r="S130" s="12" t="s">
        <v>18</v>
      </c>
      <c r="T130" s="269">
        <f>'Pencapaian Sales Value'!G130</f>
        <v>0.25863680583333332</v>
      </c>
      <c r="U130" s="15">
        <f>'Pencapaian Sales Value'!I130</f>
        <v>0</v>
      </c>
      <c r="V130" s="255">
        <f>'Pencapaian Product Focus'!H130</f>
        <v>0</v>
      </c>
      <c r="W130" s="255">
        <f>'Pencapaian Product Focus'!L130</f>
        <v>0</v>
      </c>
      <c r="X130" s="170">
        <f>'Pencapaian Product Focus'!N130</f>
        <v>0</v>
      </c>
      <c r="Y130" s="269">
        <f>'Pencapaian Effective Call'!G130</f>
        <v>0.58235294117647063</v>
      </c>
      <c r="Z130" s="15">
        <f>'Pencapaian Effective Call'!I130</f>
        <v>0</v>
      </c>
      <c r="AA130" s="269">
        <f>'Pencapaian New Open Outlet'!G130</f>
        <v>1.2307692307692308</v>
      </c>
      <c r="AB130" s="15">
        <f>'Pencapaian New Open Outlet'!I130</f>
        <v>225000</v>
      </c>
      <c r="AC130" s="269">
        <f>'Pencapaian Active Outlet'!G130</f>
        <v>0.70909090909090911</v>
      </c>
      <c r="AD130" s="15">
        <f>'Pencapaian Active Outlet'!I130</f>
        <v>22500</v>
      </c>
      <c r="AE130" s="255">
        <f>'Pencapaian Item per Outlet'!G130</f>
        <v>0</v>
      </c>
      <c r="AF130" s="309">
        <f>'Pencapaian Item per Outlet'!I130</f>
        <v>0</v>
      </c>
      <c r="AG130" s="255">
        <f>'Pencapaian Product Display'!G130</f>
        <v>0</v>
      </c>
      <c r="AH130" s="309">
        <f>'Pencapaian Product Display'!I130</f>
        <v>0</v>
      </c>
      <c r="AI130" s="255">
        <f>'Pencapaian Sales Contract'!G130</f>
        <v>0</v>
      </c>
      <c r="AJ130" s="309">
        <f>'Pencapaian Sales Contract'!I130</f>
        <v>0</v>
      </c>
      <c r="AK130" s="255">
        <f>'Pencapaian Co-Branding'!G130</f>
        <v>0</v>
      </c>
      <c r="AL130" s="309">
        <f>'Pencapaian Co-Branding'!I130</f>
        <v>0</v>
      </c>
      <c r="AM130" s="255">
        <f>'Pencapaian Join Event Activity'!G130</f>
        <v>0</v>
      </c>
      <c r="AN130" s="309">
        <f>'Pencapaian Join Event Activity'!I130</f>
        <v>0</v>
      </c>
      <c r="AO130" s="15">
        <f t="shared" si="77"/>
        <v>247500</v>
      </c>
      <c r="AP130" s="13">
        <v>7.1958478806393056E-2</v>
      </c>
      <c r="AQ130" s="15">
        <f t="shared" si="96"/>
        <v>-24750</v>
      </c>
      <c r="AR130" s="13">
        <v>0</v>
      </c>
      <c r="AS130" s="15">
        <f t="shared" si="97"/>
        <v>0</v>
      </c>
      <c r="AT130" s="15">
        <f t="shared" si="74"/>
        <v>222750</v>
      </c>
      <c r="AU130" s="15">
        <f t="shared" ref="AU130:AU131" si="98">AT130*70%</f>
        <v>155925</v>
      </c>
      <c r="AV130" s="15">
        <f t="shared" ref="AV130:AV131" si="99">AT130*30%</f>
        <v>66825</v>
      </c>
    </row>
    <row r="131" spans="3:48" ht="16" x14ac:dyDescent="0.2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"/>
      <c r="O131" s="3"/>
      <c r="P131" s="397"/>
      <c r="Q131" s="52" t="s">
        <v>402</v>
      </c>
      <c r="R131" s="52" t="s">
        <v>251</v>
      </c>
      <c r="S131" s="12" t="s">
        <v>18</v>
      </c>
      <c r="T131" s="269">
        <f>'Pencapaian Sales Value'!G131</f>
        <v>0.39313541666666668</v>
      </c>
      <c r="U131" s="15">
        <f>'Pencapaian Sales Value'!I131</f>
        <v>0</v>
      </c>
      <c r="V131" s="255">
        <f>'Pencapaian Product Focus'!H131</f>
        <v>0</v>
      </c>
      <c r="W131" s="255">
        <f>'Pencapaian Product Focus'!L131</f>
        <v>0</v>
      </c>
      <c r="X131" s="170">
        <f>'Pencapaian Product Focus'!N131</f>
        <v>0</v>
      </c>
      <c r="Y131" s="269">
        <f>'Pencapaian Effective Call'!G131</f>
        <v>0.79473684210526319</v>
      </c>
      <c r="Z131" s="15">
        <f>'Pencapaian Effective Call'!I131</f>
        <v>45000</v>
      </c>
      <c r="AA131" s="269">
        <f>'Pencapaian New Open Outlet'!G131</f>
        <v>0.15384615384615385</v>
      </c>
      <c r="AB131" s="15">
        <f>'Pencapaian New Open Outlet'!I131</f>
        <v>0</v>
      </c>
      <c r="AC131" s="269">
        <f>'Pencapaian Active Outlet'!G131</f>
        <v>0.9</v>
      </c>
      <c r="AD131" s="15">
        <f>'Pencapaian Active Outlet'!I131</f>
        <v>67500</v>
      </c>
      <c r="AE131" s="255">
        <f>'Pencapaian Item per Outlet'!G131</f>
        <v>0</v>
      </c>
      <c r="AF131" s="309">
        <f>'Pencapaian Item per Outlet'!I131</f>
        <v>0</v>
      </c>
      <c r="AG131" s="255">
        <f>'Pencapaian Product Display'!G131</f>
        <v>0</v>
      </c>
      <c r="AH131" s="309">
        <f>'Pencapaian Product Display'!I131</f>
        <v>0</v>
      </c>
      <c r="AI131" s="255">
        <f>'Pencapaian Sales Contract'!G131</f>
        <v>0</v>
      </c>
      <c r="AJ131" s="309">
        <f>'Pencapaian Sales Contract'!I131</f>
        <v>0</v>
      </c>
      <c r="AK131" s="255">
        <f>'Pencapaian Co-Branding'!G131</f>
        <v>0</v>
      </c>
      <c r="AL131" s="309">
        <f>'Pencapaian Co-Branding'!I131</f>
        <v>0</v>
      </c>
      <c r="AM131" s="255">
        <f>'Pencapaian Join Event Activity'!G131</f>
        <v>0</v>
      </c>
      <c r="AN131" s="309">
        <f>'Pencapaian Join Event Activity'!I131</f>
        <v>0</v>
      </c>
      <c r="AO131" s="15">
        <f t="shared" si="77"/>
        <v>112500</v>
      </c>
      <c r="AP131" s="13">
        <v>0</v>
      </c>
      <c r="AQ131" s="15">
        <f t="shared" si="96"/>
        <v>0</v>
      </c>
      <c r="AR131" s="13">
        <v>0</v>
      </c>
      <c r="AS131" s="15">
        <f t="shared" si="97"/>
        <v>0</v>
      </c>
      <c r="AT131" s="15">
        <f t="shared" si="74"/>
        <v>112500</v>
      </c>
      <c r="AU131" s="15">
        <f t="shared" si="98"/>
        <v>78750</v>
      </c>
      <c r="AV131" s="15">
        <f t="shared" si="99"/>
        <v>33750</v>
      </c>
    </row>
    <row r="132" spans="3:48" ht="16" x14ac:dyDescent="0.2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"/>
      <c r="O132" s="3"/>
      <c r="P132" s="397"/>
      <c r="Q132" s="70"/>
      <c r="R132" s="70" t="s">
        <v>315</v>
      </c>
      <c r="S132" s="64" t="s">
        <v>20</v>
      </c>
      <c r="T132" s="258">
        <f>'Pencapaian Sales Value'!G132</f>
        <v>0.32588611124999994</v>
      </c>
      <c r="U132" s="63">
        <f>'Pencapaian Sales Value'!I132</f>
        <v>0</v>
      </c>
      <c r="V132" s="268">
        <f>'Pencapaian Product Focus'!H132</f>
        <v>0</v>
      </c>
      <c r="W132" s="268">
        <f>'Pencapaian Product Focus'!L132</f>
        <v>0</v>
      </c>
      <c r="X132" s="189">
        <f>'Pencapaian Product Focus'!N132</f>
        <v>0</v>
      </c>
      <c r="Y132" s="258">
        <f>'Pencapaian Effective Call'!G132</f>
        <v>0.69444444444444442</v>
      </c>
      <c r="Z132" s="63">
        <f>'Pencapaian Effective Call'!I132</f>
        <v>0</v>
      </c>
      <c r="AA132" s="258">
        <f>'Pencapaian New Open Outlet'!G132</f>
        <v>0.69230769230769229</v>
      </c>
      <c r="AB132" s="63">
        <f>'Pencapaian New Open Outlet'!I132</f>
        <v>0</v>
      </c>
      <c r="AC132" s="258">
        <f>'Pencapaian Active Outlet'!G132</f>
        <v>0.80454545454545456</v>
      </c>
      <c r="AD132" s="63">
        <f>'Pencapaian Active Outlet'!I132</f>
        <v>108000</v>
      </c>
      <c r="AE132" s="268">
        <f>'Pencapaian Item per Outlet'!G132</f>
        <v>0</v>
      </c>
      <c r="AF132" s="312">
        <f>'Pencapaian Item per Outlet'!I132</f>
        <v>0</v>
      </c>
      <c r="AG132" s="268">
        <f>'Pencapaian Product Display'!G132</f>
        <v>0</v>
      </c>
      <c r="AH132" s="312">
        <f>'Pencapaian Product Display'!I132</f>
        <v>0</v>
      </c>
      <c r="AI132" s="268">
        <f>'Pencapaian Sales Contract'!G132</f>
        <v>0</v>
      </c>
      <c r="AJ132" s="312">
        <f>'Pencapaian Sales Contract'!I132</f>
        <v>0</v>
      </c>
      <c r="AK132" s="268">
        <f>'Pencapaian Co-Branding'!G132</f>
        <v>0</v>
      </c>
      <c r="AL132" s="312">
        <f>'Pencapaian Co-Branding'!I132</f>
        <v>0</v>
      </c>
      <c r="AM132" s="268">
        <f>'Pencapaian Join Event Activity'!G132</f>
        <v>0</v>
      </c>
      <c r="AN132" s="312">
        <f>'Pencapaian Join Event Activity'!I132</f>
        <v>0</v>
      </c>
      <c r="AO132" s="63">
        <f t="shared" si="77"/>
        <v>108000</v>
      </c>
      <c r="AP132" s="110">
        <v>2.8554624558445513E-2</v>
      </c>
      <c r="AQ132" s="63">
        <f t="shared" si="96"/>
        <v>-10800</v>
      </c>
      <c r="AR132" s="110">
        <v>0</v>
      </c>
      <c r="AS132" s="63">
        <f t="shared" si="97"/>
        <v>0</v>
      </c>
      <c r="AT132" s="63">
        <f t="shared" si="74"/>
        <v>97200</v>
      </c>
      <c r="AU132" s="63">
        <f>AT132</f>
        <v>97200</v>
      </c>
      <c r="AV132" s="63">
        <v>0</v>
      </c>
    </row>
    <row r="133" spans="3:48" ht="16" x14ac:dyDescent="0.2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"/>
      <c r="O133" s="3"/>
      <c r="P133" s="397"/>
      <c r="Q133" s="71"/>
      <c r="R133" s="71" t="s">
        <v>46</v>
      </c>
      <c r="S133" s="42"/>
      <c r="T133" s="264">
        <f>'Pencapaian Sales Value'!G133</f>
        <v>0.32588611124999994</v>
      </c>
      <c r="U133" s="23">
        <f>'Pencapaian Sales Value'!I133</f>
        <v>0</v>
      </c>
      <c r="V133" s="274">
        <f>'Pencapaian Product Focus'!H133</f>
        <v>0</v>
      </c>
      <c r="W133" s="274">
        <f>'Pencapaian Product Focus'!L133</f>
        <v>0</v>
      </c>
      <c r="X133" s="190">
        <f>'Pencapaian Product Focus'!N133</f>
        <v>0</v>
      </c>
      <c r="Y133" s="264">
        <f>'Pencapaian Effective Call'!G133</f>
        <v>0.69444444444444442</v>
      </c>
      <c r="Z133" s="23">
        <f>'Pencapaian Effective Call'!I133</f>
        <v>45000</v>
      </c>
      <c r="AA133" s="264">
        <f>'Pencapaian New Open Outlet'!G133</f>
        <v>0.69230769230769229</v>
      </c>
      <c r="AB133" s="23">
        <f>'Pencapaian New Open Outlet'!I133</f>
        <v>225000</v>
      </c>
      <c r="AC133" s="264">
        <f>'Pencapaian Active Outlet'!G133</f>
        <v>0.80454545454545456</v>
      </c>
      <c r="AD133" s="23">
        <f>'Pencapaian Active Outlet'!I133</f>
        <v>198000</v>
      </c>
      <c r="AE133" s="274">
        <f>'Pencapaian Item per Outlet'!G133</f>
        <v>0</v>
      </c>
      <c r="AF133" s="313">
        <f>'Pencapaian Item per Outlet'!I133</f>
        <v>0</v>
      </c>
      <c r="AG133" s="274">
        <f>'Pencapaian Product Display'!G133</f>
        <v>0</v>
      </c>
      <c r="AH133" s="313">
        <f>'Pencapaian Product Display'!I133</f>
        <v>0</v>
      </c>
      <c r="AI133" s="274">
        <f>'Pencapaian Sales Contract'!G133</f>
        <v>0</v>
      </c>
      <c r="AJ133" s="313">
        <f>'Pencapaian Sales Contract'!I133</f>
        <v>0</v>
      </c>
      <c r="AK133" s="274">
        <f>'Pencapaian Co-Branding'!G133</f>
        <v>0</v>
      </c>
      <c r="AL133" s="313">
        <f>'Pencapaian Co-Branding'!I133</f>
        <v>0</v>
      </c>
      <c r="AM133" s="274">
        <f>'Pencapaian Join Event Activity'!G133</f>
        <v>0</v>
      </c>
      <c r="AN133" s="313">
        <f>'Pencapaian Join Event Activity'!I133</f>
        <v>0</v>
      </c>
      <c r="AO133" s="23">
        <f t="shared" si="77"/>
        <v>468000</v>
      </c>
      <c r="AP133" s="112">
        <v>2.8554624558445513E-2</v>
      </c>
      <c r="AQ133" s="23">
        <f>SUM(AQ129:AQ132)</f>
        <v>-35550</v>
      </c>
      <c r="AR133" s="112">
        <v>0</v>
      </c>
      <c r="AS133" s="23">
        <f>SUM(AS129:AS132)</f>
        <v>0</v>
      </c>
      <c r="AT133" s="23">
        <f t="shared" si="74"/>
        <v>432450</v>
      </c>
      <c r="AU133" s="23">
        <f t="shared" ref="AU133:AV133" si="100">SUM(AU129:AU132)</f>
        <v>331875</v>
      </c>
      <c r="AV133" s="23">
        <f t="shared" si="100"/>
        <v>100575</v>
      </c>
    </row>
    <row r="134" spans="3:48" ht="16" x14ac:dyDescent="0.2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"/>
      <c r="O134" s="3"/>
      <c r="P134" s="396" t="s">
        <v>47</v>
      </c>
      <c r="Q134" s="52" t="s">
        <v>403</v>
      </c>
      <c r="R134" s="69" t="s">
        <v>668</v>
      </c>
      <c r="S134" s="12" t="s">
        <v>571</v>
      </c>
      <c r="T134" s="269">
        <f>'Pencapaian Sales Value'!G134</f>
        <v>0.27664465277777772</v>
      </c>
      <c r="U134" s="15">
        <f>'Pencapaian Sales Value'!I134</f>
        <v>0</v>
      </c>
      <c r="V134" s="255">
        <f>'Pencapaian Product Focus'!H134</f>
        <v>0</v>
      </c>
      <c r="W134" s="255">
        <f>'Pencapaian Product Focus'!L134</f>
        <v>0</v>
      </c>
      <c r="X134" s="170">
        <f>'Pencapaian Product Focus'!N134</f>
        <v>0</v>
      </c>
      <c r="Y134" s="255">
        <f>'Pencapaian Effective Call'!G134</f>
        <v>0</v>
      </c>
      <c r="Z134" s="170">
        <f>'Pencapaian Effective Call'!I134</f>
        <v>0</v>
      </c>
      <c r="AA134" s="255">
        <f>'Pencapaian New Open Outlet'!G134</f>
        <v>0</v>
      </c>
      <c r="AB134" s="170">
        <f>'Pencapaian New Open Outlet'!I134</f>
        <v>0</v>
      </c>
      <c r="AC134" s="269">
        <f>'Pencapaian Active Outlet'!G134</f>
        <v>0.89166666666666672</v>
      </c>
      <c r="AD134" s="15">
        <f>'Pencapaian Active Outlet'!I134</f>
        <v>198000</v>
      </c>
      <c r="AE134" s="255">
        <f>'Pencapaian Item per Outlet'!G134</f>
        <v>0</v>
      </c>
      <c r="AF134" s="309">
        <f>'Pencapaian Item per Outlet'!I134</f>
        <v>0</v>
      </c>
      <c r="AG134" s="255">
        <f>'Pencapaian Product Display'!G134</f>
        <v>0</v>
      </c>
      <c r="AH134" s="309">
        <f>'Pencapaian Product Display'!I134</f>
        <v>0</v>
      </c>
      <c r="AI134" s="255">
        <f>'Pencapaian Sales Contract'!G134</f>
        <v>0</v>
      </c>
      <c r="AJ134" s="309">
        <f>'Pencapaian Sales Contract'!I134</f>
        <v>0</v>
      </c>
      <c r="AK134" s="255">
        <f>'Pencapaian Co-Branding'!G134</f>
        <v>0</v>
      </c>
      <c r="AL134" s="309">
        <f>'Pencapaian Co-Branding'!I134</f>
        <v>0</v>
      </c>
      <c r="AM134" s="255">
        <f>'Pencapaian Join Event Activity'!G134</f>
        <v>0</v>
      </c>
      <c r="AN134" s="309">
        <f>'Pencapaian Join Event Activity'!I134</f>
        <v>0</v>
      </c>
      <c r="AO134" s="15">
        <f t="shared" si="77"/>
        <v>198000</v>
      </c>
      <c r="AP134" s="13">
        <v>0</v>
      </c>
      <c r="AQ134" s="15">
        <f t="shared" ref="AQ134:AQ145" si="101">IF(AP134&gt;=0.5%,-(AO134*10%),0)</f>
        <v>0</v>
      </c>
      <c r="AR134" s="13">
        <v>0</v>
      </c>
      <c r="AS134" s="15">
        <f t="shared" ref="AS134:AS145" si="102">IF(AR134&gt;0,-(AO134+AQ134),0)</f>
        <v>0</v>
      </c>
      <c r="AT134" s="15">
        <f t="shared" si="74"/>
        <v>198000</v>
      </c>
      <c r="AU134" s="15">
        <f t="shared" ref="AU134:AU145" si="103">AT134</f>
        <v>198000</v>
      </c>
      <c r="AV134" s="15">
        <v>0</v>
      </c>
    </row>
    <row r="135" spans="3:48" ht="16" x14ac:dyDescent="0.2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"/>
      <c r="O135" s="3"/>
      <c r="P135" s="386"/>
      <c r="Q135" s="52"/>
      <c r="R135" s="69" t="s">
        <v>526</v>
      </c>
      <c r="S135" s="12" t="s">
        <v>675</v>
      </c>
      <c r="T135" s="269">
        <f>'Pencapaian Sales Value'!G135</f>
        <v>3.0636277777777776E-2</v>
      </c>
      <c r="U135" s="15">
        <f>'Pencapaian Sales Value'!I135</f>
        <v>0</v>
      </c>
      <c r="V135" s="255">
        <f>'Pencapaian Product Focus'!H135</f>
        <v>0</v>
      </c>
      <c r="W135" s="255">
        <f>'Pencapaian Product Focus'!L135</f>
        <v>0</v>
      </c>
      <c r="X135" s="170">
        <f>'Pencapaian Product Focus'!N135</f>
        <v>0</v>
      </c>
      <c r="Y135" s="255">
        <f>'Pencapaian Effective Call'!G135</f>
        <v>0</v>
      </c>
      <c r="Z135" s="170">
        <f>'Pencapaian Effective Call'!I135</f>
        <v>0</v>
      </c>
      <c r="AA135" s="255">
        <f>'Pencapaian New Open Outlet'!G135</f>
        <v>0</v>
      </c>
      <c r="AB135" s="170">
        <f>'Pencapaian New Open Outlet'!I135</f>
        <v>0</v>
      </c>
      <c r="AC135" s="269">
        <f>'Pencapaian Active Outlet'!G135</f>
        <v>2.5000000000000001E-2</v>
      </c>
      <c r="AD135" s="15">
        <f>'Pencapaian Active Outlet'!I135</f>
        <v>0</v>
      </c>
      <c r="AE135" s="255">
        <f>'Pencapaian Item per Outlet'!G135</f>
        <v>0</v>
      </c>
      <c r="AF135" s="309">
        <f>'Pencapaian Item per Outlet'!I135</f>
        <v>0</v>
      </c>
      <c r="AG135" s="255">
        <f>'Pencapaian Product Display'!G135</f>
        <v>0</v>
      </c>
      <c r="AH135" s="309">
        <f>'Pencapaian Product Display'!I135</f>
        <v>0</v>
      </c>
      <c r="AI135" s="255">
        <f>'Pencapaian Sales Contract'!G135</f>
        <v>0</v>
      </c>
      <c r="AJ135" s="309">
        <f>'Pencapaian Sales Contract'!I135</f>
        <v>0</v>
      </c>
      <c r="AK135" s="255">
        <f>'Pencapaian Co-Branding'!G135</f>
        <v>0</v>
      </c>
      <c r="AL135" s="309">
        <f>'Pencapaian Co-Branding'!I135</f>
        <v>0</v>
      </c>
      <c r="AM135" s="255">
        <f>'Pencapaian Join Event Activity'!G135</f>
        <v>0</v>
      </c>
      <c r="AN135" s="309">
        <f>'Pencapaian Join Event Activity'!I135</f>
        <v>0</v>
      </c>
      <c r="AO135" s="15">
        <f t="shared" si="77"/>
        <v>0</v>
      </c>
      <c r="AP135" s="13">
        <v>0</v>
      </c>
      <c r="AQ135" s="15">
        <f t="shared" si="101"/>
        <v>0</v>
      </c>
      <c r="AR135" s="13">
        <v>0</v>
      </c>
      <c r="AS135" s="15">
        <f t="shared" si="102"/>
        <v>0</v>
      </c>
      <c r="AT135" s="15">
        <f t="shared" si="74"/>
        <v>0</v>
      </c>
      <c r="AU135" s="15">
        <f t="shared" si="103"/>
        <v>0</v>
      </c>
      <c r="AV135" s="15">
        <v>0</v>
      </c>
    </row>
    <row r="136" spans="3:48" ht="16" x14ac:dyDescent="0.2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"/>
      <c r="O136" s="3"/>
      <c r="P136" s="386"/>
      <c r="Q136" s="52"/>
      <c r="R136" s="69" t="s">
        <v>616</v>
      </c>
      <c r="S136" s="12" t="s">
        <v>675</v>
      </c>
      <c r="T136" s="269" t="e">
        <f>'Pencapaian Sales Value'!G136</f>
        <v>#DIV/0!</v>
      </c>
      <c r="U136" s="15">
        <f>'Pencapaian Sales Value'!I136</f>
        <v>0</v>
      </c>
      <c r="V136" s="255">
        <f>'Pencapaian Product Focus'!H136</f>
        <v>0</v>
      </c>
      <c r="W136" s="255">
        <f>'Pencapaian Product Focus'!L136</f>
        <v>0</v>
      </c>
      <c r="X136" s="170">
        <f>'Pencapaian Product Focus'!N136</f>
        <v>0</v>
      </c>
      <c r="Y136" s="255">
        <f>'Pencapaian Effective Call'!G136</f>
        <v>0</v>
      </c>
      <c r="Z136" s="170">
        <f>'Pencapaian Effective Call'!I136</f>
        <v>0</v>
      </c>
      <c r="AA136" s="255">
        <f>'Pencapaian New Open Outlet'!G136</f>
        <v>0</v>
      </c>
      <c r="AB136" s="170">
        <f>'Pencapaian New Open Outlet'!I136</f>
        <v>0</v>
      </c>
      <c r="AC136" s="269" t="e">
        <f>'Pencapaian Active Outlet'!G136</f>
        <v>#DIV/0!</v>
      </c>
      <c r="AD136" s="15">
        <f>'Pencapaian Active Outlet'!I136</f>
        <v>0</v>
      </c>
      <c r="AE136" s="255">
        <f>'Pencapaian Item per Outlet'!G136</f>
        <v>0</v>
      </c>
      <c r="AF136" s="309">
        <f>'Pencapaian Item per Outlet'!I136</f>
        <v>0</v>
      </c>
      <c r="AG136" s="255">
        <f>'Pencapaian Product Display'!G136</f>
        <v>0</v>
      </c>
      <c r="AH136" s="309">
        <f>'Pencapaian Product Display'!I136</f>
        <v>0</v>
      </c>
      <c r="AI136" s="255">
        <f>'Pencapaian Sales Contract'!G136</f>
        <v>0</v>
      </c>
      <c r="AJ136" s="309">
        <f>'Pencapaian Sales Contract'!I136</f>
        <v>0</v>
      </c>
      <c r="AK136" s="255">
        <f>'Pencapaian Co-Branding'!G136</f>
        <v>0</v>
      </c>
      <c r="AL136" s="309">
        <f>'Pencapaian Co-Branding'!I136</f>
        <v>0</v>
      </c>
      <c r="AM136" s="255">
        <f>'Pencapaian Join Event Activity'!G136</f>
        <v>0</v>
      </c>
      <c r="AN136" s="309">
        <f>'Pencapaian Join Event Activity'!I136</f>
        <v>0</v>
      </c>
      <c r="AO136" s="15">
        <f t="shared" si="77"/>
        <v>0</v>
      </c>
      <c r="AP136" s="13">
        <v>0</v>
      </c>
      <c r="AQ136" s="15">
        <f t="shared" si="101"/>
        <v>0</v>
      </c>
      <c r="AR136" s="13">
        <v>0</v>
      </c>
      <c r="AS136" s="15">
        <f t="shared" si="102"/>
        <v>0</v>
      </c>
      <c r="AT136" s="15">
        <f t="shared" si="74"/>
        <v>0</v>
      </c>
      <c r="AU136" s="15">
        <f t="shared" si="103"/>
        <v>0</v>
      </c>
      <c r="AV136" s="15">
        <v>0</v>
      </c>
    </row>
    <row r="137" spans="3:48" ht="16" x14ac:dyDescent="0.2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"/>
      <c r="O137" s="3"/>
      <c r="P137" s="386"/>
      <c r="Q137" s="52"/>
      <c r="R137" s="69" t="s">
        <v>499</v>
      </c>
      <c r="S137" s="12" t="s">
        <v>675</v>
      </c>
      <c r="T137" s="269" t="e">
        <f>'Pencapaian Sales Value'!G137</f>
        <v>#DIV/0!</v>
      </c>
      <c r="U137" s="15">
        <f>'Pencapaian Sales Value'!I137</f>
        <v>0</v>
      </c>
      <c r="V137" s="255">
        <f>'Pencapaian Product Focus'!H137</f>
        <v>0</v>
      </c>
      <c r="W137" s="255">
        <f>'Pencapaian Product Focus'!L137</f>
        <v>0</v>
      </c>
      <c r="X137" s="170">
        <f>'Pencapaian Product Focus'!N137</f>
        <v>0</v>
      </c>
      <c r="Y137" s="255">
        <f>'Pencapaian Effective Call'!G137</f>
        <v>0</v>
      </c>
      <c r="Z137" s="170">
        <f>'Pencapaian Effective Call'!I137</f>
        <v>0</v>
      </c>
      <c r="AA137" s="255">
        <f>'Pencapaian New Open Outlet'!G137</f>
        <v>0</v>
      </c>
      <c r="AB137" s="170">
        <f>'Pencapaian New Open Outlet'!I137</f>
        <v>0</v>
      </c>
      <c r="AC137" s="269" t="e">
        <f>'Pencapaian Active Outlet'!G137</f>
        <v>#DIV/0!</v>
      </c>
      <c r="AD137" s="15">
        <f>'Pencapaian Active Outlet'!I137</f>
        <v>0</v>
      </c>
      <c r="AE137" s="255">
        <f>'Pencapaian Item per Outlet'!G137</f>
        <v>0</v>
      </c>
      <c r="AF137" s="309">
        <f>'Pencapaian Item per Outlet'!I137</f>
        <v>0</v>
      </c>
      <c r="AG137" s="255">
        <f>'Pencapaian Product Display'!G137</f>
        <v>0</v>
      </c>
      <c r="AH137" s="309">
        <f>'Pencapaian Product Display'!I137</f>
        <v>0</v>
      </c>
      <c r="AI137" s="255">
        <f>'Pencapaian Sales Contract'!G137</f>
        <v>0</v>
      </c>
      <c r="AJ137" s="309">
        <f>'Pencapaian Sales Contract'!I137</f>
        <v>0</v>
      </c>
      <c r="AK137" s="255">
        <f>'Pencapaian Co-Branding'!G137</f>
        <v>0</v>
      </c>
      <c r="AL137" s="309">
        <f>'Pencapaian Co-Branding'!I137</f>
        <v>0</v>
      </c>
      <c r="AM137" s="255">
        <f>'Pencapaian Join Event Activity'!G137</f>
        <v>0</v>
      </c>
      <c r="AN137" s="309">
        <f>'Pencapaian Join Event Activity'!I137</f>
        <v>0</v>
      </c>
      <c r="AO137" s="15">
        <f t="shared" si="77"/>
        <v>0</v>
      </c>
      <c r="AP137" s="13">
        <v>0</v>
      </c>
      <c r="AQ137" s="15">
        <f t="shared" si="101"/>
        <v>0</v>
      </c>
      <c r="AR137" s="13">
        <v>0</v>
      </c>
      <c r="AS137" s="15">
        <f t="shared" si="102"/>
        <v>0</v>
      </c>
      <c r="AT137" s="15">
        <f t="shared" si="74"/>
        <v>0</v>
      </c>
      <c r="AU137" s="15">
        <f t="shared" si="103"/>
        <v>0</v>
      </c>
      <c r="AV137" s="15">
        <v>0</v>
      </c>
    </row>
    <row r="138" spans="3:48" ht="16" x14ac:dyDescent="0.2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3"/>
      <c r="O138" s="3"/>
      <c r="P138" s="386"/>
      <c r="Q138" s="52"/>
      <c r="R138" s="69" t="s">
        <v>527</v>
      </c>
      <c r="S138" s="12" t="s">
        <v>675</v>
      </c>
      <c r="T138" s="269" t="e">
        <f>'Pencapaian Sales Value'!G138</f>
        <v>#DIV/0!</v>
      </c>
      <c r="U138" s="15">
        <f>'Pencapaian Sales Value'!I138</f>
        <v>0</v>
      </c>
      <c r="V138" s="255">
        <f>'Pencapaian Product Focus'!H138</f>
        <v>0</v>
      </c>
      <c r="W138" s="255">
        <f>'Pencapaian Product Focus'!L138</f>
        <v>0</v>
      </c>
      <c r="X138" s="170">
        <f>'Pencapaian Product Focus'!N138</f>
        <v>0</v>
      </c>
      <c r="Y138" s="255">
        <f>'Pencapaian Effective Call'!G138</f>
        <v>0</v>
      </c>
      <c r="Z138" s="170">
        <f>'Pencapaian Effective Call'!I138</f>
        <v>0</v>
      </c>
      <c r="AA138" s="255">
        <f>'Pencapaian New Open Outlet'!G138</f>
        <v>0</v>
      </c>
      <c r="AB138" s="170">
        <f>'Pencapaian New Open Outlet'!I138</f>
        <v>0</v>
      </c>
      <c r="AC138" s="269" t="e">
        <f>'Pencapaian Active Outlet'!G138</f>
        <v>#DIV/0!</v>
      </c>
      <c r="AD138" s="15">
        <f>'Pencapaian Active Outlet'!I138</f>
        <v>0</v>
      </c>
      <c r="AE138" s="255">
        <f>'Pencapaian Item per Outlet'!G138</f>
        <v>0</v>
      </c>
      <c r="AF138" s="309">
        <f>'Pencapaian Item per Outlet'!I138</f>
        <v>0</v>
      </c>
      <c r="AG138" s="255">
        <f>'Pencapaian Product Display'!G138</f>
        <v>0</v>
      </c>
      <c r="AH138" s="309">
        <f>'Pencapaian Product Display'!I138</f>
        <v>0</v>
      </c>
      <c r="AI138" s="255">
        <f>'Pencapaian Sales Contract'!G138</f>
        <v>0</v>
      </c>
      <c r="AJ138" s="309">
        <f>'Pencapaian Sales Contract'!I138</f>
        <v>0</v>
      </c>
      <c r="AK138" s="255">
        <f>'Pencapaian Co-Branding'!G138</f>
        <v>0</v>
      </c>
      <c r="AL138" s="309">
        <f>'Pencapaian Co-Branding'!I138</f>
        <v>0</v>
      </c>
      <c r="AM138" s="255">
        <f>'Pencapaian Join Event Activity'!G138</f>
        <v>0</v>
      </c>
      <c r="AN138" s="309">
        <f>'Pencapaian Join Event Activity'!I138</f>
        <v>0</v>
      </c>
      <c r="AO138" s="15">
        <f t="shared" si="77"/>
        <v>0</v>
      </c>
      <c r="AP138" s="13">
        <v>0</v>
      </c>
      <c r="AQ138" s="15">
        <f t="shared" si="101"/>
        <v>0</v>
      </c>
      <c r="AR138" s="13">
        <v>0</v>
      </c>
      <c r="AS138" s="15">
        <f t="shared" si="102"/>
        <v>0</v>
      </c>
      <c r="AT138" s="15">
        <f t="shared" si="74"/>
        <v>0</v>
      </c>
      <c r="AU138" s="15">
        <f t="shared" si="103"/>
        <v>0</v>
      </c>
      <c r="AV138" s="15">
        <v>0</v>
      </c>
    </row>
    <row r="139" spans="3:48" ht="16" x14ac:dyDescent="0.2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"/>
      <c r="O139" s="3"/>
      <c r="P139" s="386"/>
      <c r="Q139" s="52"/>
      <c r="R139" s="69" t="s">
        <v>528</v>
      </c>
      <c r="S139" s="12" t="s">
        <v>675</v>
      </c>
      <c r="T139" s="269" t="e">
        <f>'Pencapaian Sales Value'!G139</f>
        <v>#DIV/0!</v>
      </c>
      <c r="U139" s="15">
        <f>'Pencapaian Sales Value'!I139</f>
        <v>0</v>
      </c>
      <c r="V139" s="255">
        <f>'Pencapaian Product Focus'!H139</f>
        <v>0</v>
      </c>
      <c r="W139" s="255">
        <f>'Pencapaian Product Focus'!L139</f>
        <v>0</v>
      </c>
      <c r="X139" s="170">
        <f>'Pencapaian Product Focus'!N139</f>
        <v>0</v>
      </c>
      <c r="Y139" s="255">
        <f>'Pencapaian Effective Call'!G139</f>
        <v>0</v>
      </c>
      <c r="Z139" s="170">
        <f>'Pencapaian Effective Call'!I139</f>
        <v>0</v>
      </c>
      <c r="AA139" s="255">
        <f>'Pencapaian New Open Outlet'!G139</f>
        <v>0</v>
      </c>
      <c r="AB139" s="170">
        <f>'Pencapaian New Open Outlet'!I139</f>
        <v>0</v>
      </c>
      <c r="AC139" s="269" t="e">
        <f>'Pencapaian Active Outlet'!G139</f>
        <v>#DIV/0!</v>
      </c>
      <c r="AD139" s="15">
        <f>'Pencapaian Active Outlet'!I139</f>
        <v>0</v>
      </c>
      <c r="AE139" s="255">
        <f>'Pencapaian Item per Outlet'!G139</f>
        <v>0</v>
      </c>
      <c r="AF139" s="309">
        <f>'Pencapaian Item per Outlet'!I139</f>
        <v>0</v>
      </c>
      <c r="AG139" s="255">
        <f>'Pencapaian Product Display'!G139</f>
        <v>0</v>
      </c>
      <c r="AH139" s="309">
        <f>'Pencapaian Product Display'!I139</f>
        <v>0</v>
      </c>
      <c r="AI139" s="255">
        <f>'Pencapaian Sales Contract'!G139</f>
        <v>0</v>
      </c>
      <c r="AJ139" s="309">
        <f>'Pencapaian Sales Contract'!I139</f>
        <v>0</v>
      </c>
      <c r="AK139" s="255">
        <f>'Pencapaian Co-Branding'!G139</f>
        <v>0</v>
      </c>
      <c r="AL139" s="309">
        <f>'Pencapaian Co-Branding'!I139</f>
        <v>0</v>
      </c>
      <c r="AM139" s="255">
        <f>'Pencapaian Join Event Activity'!G139</f>
        <v>0</v>
      </c>
      <c r="AN139" s="309">
        <f>'Pencapaian Join Event Activity'!I139</f>
        <v>0</v>
      </c>
      <c r="AO139" s="15">
        <f t="shared" si="77"/>
        <v>0</v>
      </c>
      <c r="AP139" s="13">
        <v>0</v>
      </c>
      <c r="AQ139" s="15">
        <f t="shared" si="101"/>
        <v>0</v>
      </c>
      <c r="AR139" s="13">
        <v>0</v>
      </c>
      <c r="AS139" s="15">
        <f t="shared" si="102"/>
        <v>0</v>
      </c>
      <c r="AT139" s="15">
        <f t="shared" si="74"/>
        <v>0</v>
      </c>
      <c r="AU139" s="15">
        <f t="shared" si="103"/>
        <v>0</v>
      </c>
      <c r="AV139" s="15">
        <v>0</v>
      </c>
    </row>
    <row r="140" spans="3:48" ht="16" x14ac:dyDescent="0.2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"/>
      <c r="O140" s="3"/>
      <c r="P140" s="386"/>
      <c r="Q140" s="52"/>
      <c r="R140" s="69" t="s">
        <v>789</v>
      </c>
      <c r="S140" s="12" t="s">
        <v>675</v>
      </c>
      <c r="T140" s="269" t="e">
        <f>'Pencapaian Sales Value'!G140</f>
        <v>#DIV/0!</v>
      </c>
      <c r="U140" s="15">
        <f>'Pencapaian Sales Value'!I140</f>
        <v>0</v>
      </c>
      <c r="V140" s="255">
        <f>'Pencapaian Product Focus'!H140</f>
        <v>0</v>
      </c>
      <c r="W140" s="255">
        <f>'Pencapaian Product Focus'!L140</f>
        <v>0</v>
      </c>
      <c r="X140" s="170">
        <f>'Pencapaian Product Focus'!N140</f>
        <v>0</v>
      </c>
      <c r="Y140" s="255">
        <f>'Pencapaian Effective Call'!G140</f>
        <v>0</v>
      </c>
      <c r="Z140" s="170">
        <f>'Pencapaian Effective Call'!I140</f>
        <v>0</v>
      </c>
      <c r="AA140" s="255">
        <f>'Pencapaian New Open Outlet'!G140</f>
        <v>0</v>
      </c>
      <c r="AB140" s="170">
        <f>'Pencapaian New Open Outlet'!I140</f>
        <v>0</v>
      </c>
      <c r="AC140" s="269" t="e">
        <f>'Pencapaian Active Outlet'!G140</f>
        <v>#DIV/0!</v>
      </c>
      <c r="AD140" s="15">
        <f>'Pencapaian Active Outlet'!I140</f>
        <v>0</v>
      </c>
      <c r="AE140" s="255">
        <f>'Pencapaian Item per Outlet'!G140</f>
        <v>0</v>
      </c>
      <c r="AF140" s="309">
        <f>'Pencapaian Item per Outlet'!I140</f>
        <v>0</v>
      </c>
      <c r="AG140" s="255">
        <f>'Pencapaian Product Display'!G140</f>
        <v>0</v>
      </c>
      <c r="AH140" s="309">
        <f>'Pencapaian Product Display'!I140</f>
        <v>0</v>
      </c>
      <c r="AI140" s="255">
        <f>'Pencapaian Sales Contract'!G140</f>
        <v>0</v>
      </c>
      <c r="AJ140" s="309">
        <f>'Pencapaian Sales Contract'!I140</f>
        <v>0</v>
      </c>
      <c r="AK140" s="255">
        <f>'Pencapaian Co-Branding'!G140</f>
        <v>0</v>
      </c>
      <c r="AL140" s="309">
        <f>'Pencapaian Co-Branding'!I140</f>
        <v>0</v>
      </c>
      <c r="AM140" s="255">
        <f>'Pencapaian Join Event Activity'!G140</f>
        <v>0</v>
      </c>
      <c r="AN140" s="309">
        <f>'Pencapaian Join Event Activity'!I140</f>
        <v>0</v>
      </c>
      <c r="AO140" s="15">
        <f t="shared" si="77"/>
        <v>0</v>
      </c>
      <c r="AP140" s="13">
        <v>0</v>
      </c>
      <c r="AQ140" s="15">
        <f t="shared" si="101"/>
        <v>0</v>
      </c>
      <c r="AR140" s="13">
        <v>0</v>
      </c>
      <c r="AS140" s="15">
        <f t="shared" si="102"/>
        <v>0</v>
      </c>
      <c r="AT140" s="15">
        <f t="shared" si="74"/>
        <v>0</v>
      </c>
      <c r="AU140" s="15">
        <f t="shared" si="103"/>
        <v>0</v>
      </c>
      <c r="AV140" s="15">
        <v>0</v>
      </c>
    </row>
    <row r="141" spans="3:48" ht="16" x14ac:dyDescent="0.2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"/>
      <c r="O141" s="3"/>
      <c r="P141" s="386"/>
      <c r="Q141" s="52"/>
      <c r="R141" s="69" t="s">
        <v>835</v>
      </c>
      <c r="S141" s="12" t="s">
        <v>675</v>
      </c>
      <c r="T141" s="269" t="e">
        <f>'Pencapaian Sales Value'!G141</f>
        <v>#DIV/0!</v>
      </c>
      <c r="U141" s="15">
        <f>'Pencapaian Sales Value'!I141</f>
        <v>0</v>
      </c>
      <c r="V141" s="255">
        <f>'Pencapaian Product Focus'!H141</f>
        <v>0</v>
      </c>
      <c r="W141" s="255">
        <f>'Pencapaian Product Focus'!L141</f>
        <v>0</v>
      </c>
      <c r="X141" s="170">
        <f>'Pencapaian Product Focus'!N141</f>
        <v>0</v>
      </c>
      <c r="Y141" s="255">
        <f>'Pencapaian Effective Call'!G141</f>
        <v>0</v>
      </c>
      <c r="Z141" s="170">
        <f>'Pencapaian Effective Call'!I141</f>
        <v>0</v>
      </c>
      <c r="AA141" s="255">
        <f>'Pencapaian New Open Outlet'!G141</f>
        <v>0</v>
      </c>
      <c r="AB141" s="170">
        <f>'Pencapaian New Open Outlet'!I141</f>
        <v>0</v>
      </c>
      <c r="AC141" s="269" t="e">
        <f>'Pencapaian Active Outlet'!G141</f>
        <v>#DIV/0!</v>
      </c>
      <c r="AD141" s="15">
        <f>'Pencapaian Active Outlet'!I141</f>
        <v>0</v>
      </c>
      <c r="AE141" s="255">
        <f>'Pencapaian Item per Outlet'!G141</f>
        <v>0</v>
      </c>
      <c r="AF141" s="309">
        <f>'Pencapaian Item per Outlet'!I141</f>
        <v>0</v>
      </c>
      <c r="AG141" s="255">
        <f>'Pencapaian Product Display'!G141</f>
        <v>0</v>
      </c>
      <c r="AH141" s="309">
        <f>'Pencapaian Product Display'!I141</f>
        <v>0</v>
      </c>
      <c r="AI141" s="255">
        <f>'Pencapaian Sales Contract'!G141</f>
        <v>0</v>
      </c>
      <c r="AJ141" s="309">
        <f>'Pencapaian Sales Contract'!I141</f>
        <v>0</v>
      </c>
      <c r="AK141" s="255">
        <f>'Pencapaian Co-Branding'!G141</f>
        <v>0</v>
      </c>
      <c r="AL141" s="309">
        <f>'Pencapaian Co-Branding'!I141</f>
        <v>0</v>
      </c>
      <c r="AM141" s="255">
        <f>'Pencapaian Join Event Activity'!G141</f>
        <v>0</v>
      </c>
      <c r="AN141" s="309">
        <f>'Pencapaian Join Event Activity'!I141</f>
        <v>0</v>
      </c>
      <c r="AO141" s="15">
        <f t="shared" si="77"/>
        <v>0</v>
      </c>
      <c r="AP141" s="13">
        <v>0</v>
      </c>
      <c r="AQ141" s="15">
        <f t="shared" si="101"/>
        <v>0</v>
      </c>
      <c r="AR141" s="13">
        <v>0</v>
      </c>
      <c r="AS141" s="15">
        <f t="shared" si="102"/>
        <v>0</v>
      </c>
      <c r="AT141" s="15">
        <f t="shared" si="74"/>
        <v>0</v>
      </c>
      <c r="AU141" s="15">
        <f t="shared" si="103"/>
        <v>0</v>
      </c>
      <c r="AV141" s="15">
        <v>0</v>
      </c>
    </row>
    <row r="142" spans="3:48" ht="16" x14ac:dyDescent="0.2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3"/>
      <c r="O142" s="3"/>
      <c r="P142" s="386"/>
      <c r="Q142" s="52"/>
      <c r="R142" s="69" t="s">
        <v>529</v>
      </c>
      <c r="S142" s="12" t="s">
        <v>675</v>
      </c>
      <c r="T142" s="269" t="e">
        <f>'Pencapaian Sales Value'!G142</f>
        <v>#DIV/0!</v>
      </c>
      <c r="U142" s="15">
        <f>'Pencapaian Sales Value'!I142</f>
        <v>0</v>
      </c>
      <c r="V142" s="255">
        <f>'Pencapaian Product Focus'!H142</f>
        <v>0</v>
      </c>
      <c r="W142" s="255">
        <f>'Pencapaian Product Focus'!L142</f>
        <v>0</v>
      </c>
      <c r="X142" s="170">
        <f>'Pencapaian Product Focus'!N142</f>
        <v>0</v>
      </c>
      <c r="Y142" s="255">
        <f>'Pencapaian Effective Call'!G142</f>
        <v>0</v>
      </c>
      <c r="Z142" s="170">
        <f>'Pencapaian Effective Call'!I142</f>
        <v>0</v>
      </c>
      <c r="AA142" s="255">
        <f>'Pencapaian New Open Outlet'!G142</f>
        <v>0</v>
      </c>
      <c r="AB142" s="170">
        <f>'Pencapaian New Open Outlet'!I142</f>
        <v>0</v>
      </c>
      <c r="AC142" s="269" t="e">
        <f>'Pencapaian Active Outlet'!G142</f>
        <v>#DIV/0!</v>
      </c>
      <c r="AD142" s="15">
        <f>'Pencapaian Active Outlet'!I142</f>
        <v>0</v>
      </c>
      <c r="AE142" s="255">
        <f>'Pencapaian Item per Outlet'!G142</f>
        <v>0</v>
      </c>
      <c r="AF142" s="309">
        <f>'Pencapaian Item per Outlet'!I142</f>
        <v>0</v>
      </c>
      <c r="AG142" s="255">
        <f>'Pencapaian Product Display'!G142</f>
        <v>0</v>
      </c>
      <c r="AH142" s="309">
        <f>'Pencapaian Product Display'!I142</f>
        <v>0</v>
      </c>
      <c r="AI142" s="255">
        <f>'Pencapaian Sales Contract'!G142</f>
        <v>0</v>
      </c>
      <c r="AJ142" s="309">
        <f>'Pencapaian Sales Contract'!I142</f>
        <v>0</v>
      </c>
      <c r="AK142" s="255">
        <f>'Pencapaian Co-Branding'!G142</f>
        <v>0</v>
      </c>
      <c r="AL142" s="309">
        <f>'Pencapaian Co-Branding'!I142</f>
        <v>0</v>
      </c>
      <c r="AM142" s="255">
        <f>'Pencapaian Join Event Activity'!G142</f>
        <v>0</v>
      </c>
      <c r="AN142" s="309">
        <f>'Pencapaian Join Event Activity'!I142</f>
        <v>0</v>
      </c>
      <c r="AO142" s="15">
        <f t="shared" si="77"/>
        <v>0</v>
      </c>
      <c r="AP142" s="13">
        <v>0</v>
      </c>
      <c r="AQ142" s="15">
        <f t="shared" si="101"/>
        <v>0</v>
      </c>
      <c r="AR142" s="13">
        <v>0</v>
      </c>
      <c r="AS142" s="15">
        <f t="shared" si="102"/>
        <v>0</v>
      </c>
      <c r="AT142" s="15">
        <f t="shared" si="74"/>
        <v>0</v>
      </c>
      <c r="AU142" s="15">
        <f t="shared" si="103"/>
        <v>0</v>
      </c>
      <c r="AV142" s="15">
        <v>0</v>
      </c>
    </row>
    <row r="143" spans="3:48" ht="16" x14ac:dyDescent="0.2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"/>
      <c r="O143" s="3"/>
      <c r="P143" s="386"/>
      <c r="Q143" s="52"/>
      <c r="R143" s="69" t="s">
        <v>530</v>
      </c>
      <c r="S143" s="12" t="s">
        <v>675</v>
      </c>
      <c r="T143" s="269" t="e">
        <f>'Pencapaian Sales Value'!G143</f>
        <v>#DIV/0!</v>
      </c>
      <c r="U143" s="15">
        <f>'Pencapaian Sales Value'!I143</f>
        <v>0</v>
      </c>
      <c r="V143" s="255">
        <f>'Pencapaian Product Focus'!H143</f>
        <v>0</v>
      </c>
      <c r="W143" s="255">
        <f>'Pencapaian Product Focus'!L143</f>
        <v>0</v>
      </c>
      <c r="X143" s="170">
        <f>'Pencapaian Product Focus'!N143</f>
        <v>0</v>
      </c>
      <c r="Y143" s="255">
        <f>'Pencapaian Effective Call'!G143</f>
        <v>0</v>
      </c>
      <c r="Z143" s="170">
        <f>'Pencapaian Effective Call'!I143</f>
        <v>0</v>
      </c>
      <c r="AA143" s="255">
        <f>'Pencapaian New Open Outlet'!G143</f>
        <v>0</v>
      </c>
      <c r="AB143" s="170">
        <f>'Pencapaian New Open Outlet'!I143</f>
        <v>0</v>
      </c>
      <c r="AC143" s="269" t="e">
        <f>'Pencapaian Active Outlet'!G143</f>
        <v>#DIV/0!</v>
      </c>
      <c r="AD143" s="15">
        <f>'Pencapaian Active Outlet'!I143</f>
        <v>0</v>
      </c>
      <c r="AE143" s="255">
        <f>'Pencapaian Item per Outlet'!G143</f>
        <v>0</v>
      </c>
      <c r="AF143" s="309">
        <f>'Pencapaian Item per Outlet'!I143</f>
        <v>0</v>
      </c>
      <c r="AG143" s="255">
        <f>'Pencapaian Product Display'!G143</f>
        <v>0</v>
      </c>
      <c r="AH143" s="309">
        <f>'Pencapaian Product Display'!I143</f>
        <v>0</v>
      </c>
      <c r="AI143" s="255">
        <f>'Pencapaian Sales Contract'!G143</f>
        <v>0</v>
      </c>
      <c r="AJ143" s="309">
        <f>'Pencapaian Sales Contract'!I143</f>
        <v>0</v>
      </c>
      <c r="AK143" s="255">
        <f>'Pencapaian Co-Branding'!G143</f>
        <v>0</v>
      </c>
      <c r="AL143" s="309">
        <f>'Pencapaian Co-Branding'!I143</f>
        <v>0</v>
      </c>
      <c r="AM143" s="255">
        <f>'Pencapaian Join Event Activity'!G143</f>
        <v>0</v>
      </c>
      <c r="AN143" s="309">
        <f>'Pencapaian Join Event Activity'!I143</f>
        <v>0</v>
      </c>
      <c r="AO143" s="15">
        <f t="shared" si="77"/>
        <v>0</v>
      </c>
      <c r="AP143" s="13">
        <v>0</v>
      </c>
      <c r="AQ143" s="15">
        <f t="shared" si="101"/>
        <v>0</v>
      </c>
      <c r="AR143" s="13">
        <v>0</v>
      </c>
      <c r="AS143" s="15">
        <f t="shared" si="102"/>
        <v>0</v>
      </c>
      <c r="AT143" s="15">
        <f t="shared" si="74"/>
        <v>0</v>
      </c>
      <c r="AU143" s="15">
        <f t="shared" si="103"/>
        <v>0</v>
      </c>
      <c r="AV143" s="15">
        <v>0</v>
      </c>
    </row>
    <row r="144" spans="3:48" ht="16" x14ac:dyDescent="0.2">
      <c r="O144" s="3"/>
      <c r="P144" s="386"/>
      <c r="Q144" s="52"/>
      <c r="R144" s="69" t="s">
        <v>531</v>
      </c>
      <c r="S144" s="12" t="s">
        <v>675</v>
      </c>
      <c r="T144" s="269" t="e">
        <f>'Pencapaian Sales Value'!G144</f>
        <v>#DIV/0!</v>
      </c>
      <c r="U144" s="15">
        <f>'Pencapaian Sales Value'!I144</f>
        <v>0</v>
      </c>
      <c r="V144" s="255">
        <f>'Pencapaian Product Focus'!H144</f>
        <v>0</v>
      </c>
      <c r="W144" s="255">
        <f>'Pencapaian Product Focus'!L144</f>
        <v>0</v>
      </c>
      <c r="X144" s="170">
        <f>'Pencapaian Product Focus'!N144</f>
        <v>0</v>
      </c>
      <c r="Y144" s="255">
        <f>'Pencapaian Effective Call'!G144</f>
        <v>0</v>
      </c>
      <c r="Z144" s="170">
        <f>'Pencapaian Effective Call'!I144</f>
        <v>0</v>
      </c>
      <c r="AA144" s="255">
        <f>'Pencapaian New Open Outlet'!G144</f>
        <v>0</v>
      </c>
      <c r="AB144" s="170">
        <f>'Pencapaian New Open Outlet'!I144</f>
        <v>0</v>
      </c>
      <c r="AC144" s="269" t="e">
        <f>'Pencapaian Active Outlet'!G144</f>
        <v>#DIV/0!</v>
      </c>
      <c r="AD144" s="15">
        <f>'Pencapaian Active Outlet'!I144</f>
        <v>0</v>
      </c>
      <c r="AE144" s="255">
        <f>'Pencapaian Item per Outlet'!G144</f>
        <v>0</v>
      </c>
      <c r="AF144" s="309">
        <f>'Pencapaian Item per Outlet'!I144</f>
        <v>0</v>
      </c>
      <c r="AG144" s="255">
        <f>'Pencapaian Product Display'!G144</f>
        <v>0</v>
      </c>
      <c r="AH144" s="309">
        <f>'Pencapaian Product Display'!I144</f>
        <v>0</v>
      </c>
      <c r="AI144" s="255">
        <f>'Pencapaian Sales Contract'!G144</f>
        <v>0</v>
      </c>
      <c r="AJ144" s="309">
        <f>'Pencapaian Sales Contract'!I144</f>
        <v>0</v>
      </c>
      <c r="AK144" s="255">
        <f>'Pencapaian Co-Branding'!G144</f>
        <v>0</v>
      </c>
      <c r="AL144" s="309">
        <f>'Pencapaian Co-Branding'!I144</f>
        <v>0</v>
      </c>
      <c r="AM144" s="255">
        <f>'Pencapaian Join Event Activity'!G144</f>
        <v>0</v>
      </c>
      <c r="AN144" s="309">
        <f>'Pencapaian Join Event Activity'!I144</f>
        <v>0</v>
      </c>
      <c r="AO144" s="15">
        <f t="shared" si="77"/>
        <v>0</v>
      </c>
      <c r="AP144" s="13">
        <v>0</v>
      </c>
      <c r="AQ144" s="15">
        <f t="shared" si="101"/>
        <v>0</v>
      </c>
      <c r="AR144" s="13">
        <v>0</v>
      </c>
      <c r="AS144" s="15">
        <f t="shared" si="102"/>
        <v>0</v>
      </c>
      <c r="AT144" s="15">
        <f t="shared" si="74"/>
        <v>0</v>
      </c>
      <c r="AU144" s="15">
        <f t="shared" si="103"/>
        <v>0</v>
      </c>
      <c r="AV144" s="15">
        <v>0</v>
      </c>
    </row>
    <row r="145" spans="15:48" ht="16" x14ac:dyDescent="0.2">
      <c r="O145" s="3"/>
      <c r="P145" s="386"/>
      <c r="Q145" s="78"/>
      <c r="R145" s="78" t="s">
        <v>74</v>
      </c>
      <c r="S145" s="64" t="s">
        <v>20</v>
      </c>
      <c r="T145" s="258">
        <f>'Pencapaian Sales Value'!G145</f>
        <v>0.25089458944444443</v>
      </c>
      <c r="U145" s="63">
        <f>'Pencapaian Sales Value'!I145</f>
        <v>0</v>
      </c>
      <c r="V145" s="268">
        <f>'Pencapaian Product Focus'!H145</f>
        <v>0</v>
      </c>
      <c r="W145" s="268">
        <f>'Pencapaian Product Focus'!L145</f>
        <v>0</v>
      </c>
      <c r="X145" s="189">
        <f>'Pencapaian Product Focus'!N145</f>
        <v>0</v>
      </c>
      <c r="Y145" s="268">
        <f>'Pencapaian Effective Call'!G145</f>
        <v>0</v>
      </c>
      <c r="Z145" s="189">
        <f>'Pencapaian Effective Call'!I145</f>
        <v>0</v>
      </c>
      <c r="AA145" s="268">
        <f>'Pencapaian New Open Outlet'!G145</f>
        <v>0</v>
      </c>
      <c r="AB145" s="189">
        <f>'Pencapaian New Open Outlet'!I145</f>
        <v>0</v>
      </c>
      <c r="AC145" s="258">
        <f>'Pencapaian Active Outlet'!G145</f>
        <v>0.421875</v>
      </c>
      <c r="AD145" s="63">
        <f>'Pencapaian Active Outlet'!I145</f>
        <v>0</v>
      </c>
      <c r="AE145" s="268">
        <f>'Pencapaian Item per Outlet'!G145</f>
        <v>0</v>
      </c>
      <c r="AF145" s="312">
        <f>'Pencapaian Item per Outlet'!I145</f>
        <v>0</v>
      </c>
      <c r="AG145" s="268">
        <f>'Pencapaian Product Display'!G145</f>
        <v>0</v>
      </c>
      <c r="AH145" s="312">
        <f>'Pencapaian Product Display'!I145</f>
        <v>0</v>
      </c>
      <c r="AI145" s="268">
        <f>'Pencapaian Sales Contract'!G145</f>
        <v>0</v>
      </c>
      <c r="AJ145" s="312">
        <f>'Pencapaian Sales Contract'!I145</f>
        <v>0</v>
      </c>
      <c r="AK145" s="268">
        <f>'Pencapaian Co-Branding'!G145</f>
        <v>0</v>
      </c>
      <c r="AL145" s="312">
        <f>'Pencapaian Co-Branding'!I145</f>
        <v>0</v>
      </c>
      <c r="AM145" s="268">
        <f>'Pencapaian Join Event Activity'!G145</f>
        <v>0</v>
      </c>
      <c r="AN145" s="312">
        <f>'Pencapaian Join Event Activity'!I145</f>
        <v>0</v>
      </c>
      <c r="AO145" s="63">
        <f t="shared" si="77"/>
        <v>0</v>
      </c>
      <c r="AP145" s="110">
        <v>0</v>
      </c>
      <c r="AQ145" s="63">
        <f t="shared" si="101"/>
        <v>0</v>
      </c>
      <c r="AR145" s="110">
        <v>0</v>
      </c>
      <c r="AS145" s="63">
        <f t="shared" si="102"/>
        <v>0</v>
      </c>
      <c r="AT145" s="63">
        <f t="shared" si="74"/>
        <v>0</v>
      </c>
      <c r="AU145" s="63">
        <f t="shared" si="103"/>
        <v>0</v>
      </c>
      <c r="AV145" s="63">
        <v>0</v>
      </c>
    </row>
    <row r="146" spans="15:48" ht="16" x14ac:dyDescent="0.2">
      <c r="O146" s="3"/>
      <c r="P146" s="387"/>
      <c r="Q146" s="77"/>
      <c r="R146" s="77" t="s">
        <v>48</v>
      </c>
      <c r="S146" s="42"/>
      <c r="T146" s="264">
        <f>'Pencapaian Sales Value'!G146</f>
        <v>0.25089458944444443</v>
      </c>
      <c r="U146" s="23">
        <f>'Pencapaian Sales Value'!I146</f>
        <v>0</v>
      </c>
      <c r="V146" s="274">
        <f>'Pencapaian Product Focus'!H146</f>
        <v>0</v>
      </c>
      <c r="W146" s="274">
        <f>'Pencapaian Product Focus'!L146</f>
        <v>0</v>
      </c>
      <c r="X146" s="190">
        <f>'Pencapaian Product Focus'!N146</f>
        <v>0</v>
      </c>
      <c r="Y146" s="274">
        <f>'Pencapaian Effective Call'!G146</f>
        <v>0</v>
      </c>
      <c r="Z146" s="190">
        <f>'Pencapaian Effective Call'!I146</f>
        <v>0</v>
      </c>
      <c r="AA146" s="274">
        <f>'Pencapaian New Open Outlet'!G146</f>
        <v>0</v>
      </c>
      <c r="AB146" s="190">
        <f>'Pencapaian New Open Outlet'!I146</f>
        <v>0</v>
      </c>
      <c r="AC146" s="264">
        <f>'Pencapaian Active Outlet'!G146</f>
        <v>0.421875</v>
      </c>
      <c r="AD146" s="23">
        <f>'Pencapaian Active Outlet'!I146</f>
        <v>198000</v>
      </c>
      <c r="AE146" s="274">
        <f>'Pencapaian Item per Outlet'!G146</f>
        <v>0</v>
      </c>
      <c r="AF146" s="313">
        <f>'Pencapaian Item per Outlet'!I146</f>
        <v>0</v>
      </c>
      <c r="AG146" s="274">
        <f>'Pencapaian Product Display'!G146</f>
        <v>0</v>
      </c>
      <c r="AH146" s="313">
        <f>'Pencapaian Product Display'!I146</f>
        <v>0</v>
      </c>
      <c r="AI146" s="274">
        <f>'Pencapaian Sales Contract'!G146</f>
        <v>0</v>
      </c>
      <c r="AJ146" s="313">
        <f>'Pencapaian Sales Contract'!I146</f>
        <v>0</v>
      </c>
      <c r="AK146" s="274">
        <f>'Pencapaian Co-Branding'!G146</f>
        <v>0</v>
      </c>
      <c r="AL146" s="313">
        <f>'Pencapaian Co-Branding'!I146</f>
        <v>0</v>
      </c>
      <c r="AM146" s="274">
        <f>'Pencapaian Join Event Activity'!G146</f>
        <v>0</v>
      </c>
      <c r="AN146" s="313">
        <f>'Pencapaian Join Event Activity'!I146</f>
        <v>0</v>
      </c>
      <c r="AO146" s="23">
        <f t="shared" si="77"/>
        <v>198000</v>
      </c>
      <c r="AP146" s="112">
        <v>0</v>
      </c>
      <c r="AQ146" s="23">
        <f>SUM(AQ134:AQ145)</f>
        <v>0</v>
      </c>
      <c r="AR146" s="112">
        <v>0</v>
      </c>
      <c r="AS146" s="23">
        <f>SUM(AS134:AS145)</f>
        <v>0</v>
      </c>
      <c r="AT146" s="23">
        <f t="shared" si="74"/>
        <v>198000</v>
      </c>
      <c r="AU146" s="23">
        <f>SUM(AU134:AU145)</f>
        <v>198000</v>
      </c>
      <c r="AV146" s="23">
        <f>SUM(AV134:AV145)</f>
        <v>0</v>
      </c>
    </row>
    <row r="147" spans="15:48" ht="16" x14ac:dyDescent="0.2">
      <c r="O147" s="3"/>
      <c r="P147" s="206"/>
      <c r="Q147" s="207"/>
      <c r="R147" s="207" t="s">
        <v>49</v>
      </c>
      <c r="S147" s="209"/>
      <c r="T147" s="305">
        <f>'Pencapaian Sales Value'!G147</f>
        <v>0.70096801555164223</v>
      </c>
      <c r="U147" s="210">
        <f>'Pencapaian Sales Value'!I147</f>
        <v>1357500</v>
      </c>
      <c r="V147" s="305">
        <f>'Pencapaian Product Focus'!H147</f>
        <v>0.98188202247378276</v>
      </c>
      <c r="W147" s="305">
        <f>'Pencapaian Product Focus'!L147</f>
        <v>0.5976047904191617</v>
      </c>
      <c r="X147" s="210">
        <f>'Pencapaian Product Focus'!N147</f>
        <v>808500</v>
      </c>
      <c r="Y147" s="305">
        <f>'Pencapaian Effective Call'!G147</f>
        <v>0.80128617363344057</v>
      </c>
      <c r="Z147" s="210">
        <f>'Pencapaian Effective Call'!I147</f>
        <v>544500</v>
      </c>
      <c r="AA147" s="305">
        <f>'Pencapaian New Open Outlet'!G147</f>
        <v>0.43548387096774194</v>
      </c>
      <c r="AB147" s="210">
        <f>'Pencapaian New Open Outlet'!I147</f>
        <v>249750</v>
      </c>
      <c r="AC147" s="305">
        <f>'Pencapaian Active Outlet'!G147</f>
        <v>0.71034482758620687</v>
      </c>
      <c r="AD147" s="210">
        <f>'Pencapaian Active Outlet'!I147</f>
        <v>612000</v>
      </c>
      <c r="AE147" s="299">
        <f>'Pencapaian Item per Outlet'!G147</f>
        <v>0</v>
      </c>
      <c r="AF147" s="213">
        <f>'Pencapaian Item per Outlet'!I147</f>
        <v>0</v>
      </c>
      <c r="AG147" s="299">
        <f>'Pencapaian Product Display'!G147</f>
        <v>0</v>
      </c>
      <c r="AH147" s="213">
        <f>'Pencapaian Product Display'!I147</f>
        <v>0</v>
      </c>
      <c r="AI147" s="299">
        <f>'Pencapaian Sales Contract'!G147</f>
        <v>0</v>
      </c>
      <c r="AJ147" s="213">
        <f>'Pencapaian Sales Contract'!I147</f>
        <v>0</v>
      </c>
      <c r="AK147" s="299">
        <f>'Pencapaian Co-Branding'!G147</f>
        <v>0</v>
      </c>
      <c r="AL147" s="213">
        <f>'Pencapaian Co-Branding'!I147</f>
        <v>0</v>
      </c>
      <c r="AM147" s="299">
        <f>'Pencapaian Join Event Activity'!G147</f>
        <v>0</v>
      </c>
      <c r="AN147" s="213">
        <f>'Pencapaian Join Event Activity'!I147</f>
        <v>0</v>
      </c>
      <c r="AO147" s="210">
        <f t="shared" si="77"/>
        <v>3572250</v>
      </c>
      <c r="AP147" s="217">
        <v>2.5767703640737359E-3</v>
      </c>
      <c r="AQ147" s="210">
        <f>SUM(AQ146,AQ133,AQ128,AQ115,AQ109)</f>
        <v>-69000</v>
      </c>
      <c r="AR147" s="217">
        <v>1.4758134960330676E-3</v>
      </c>
      <c r="AS147" s="210">
        <f>SUM(AS146,AS133,AS128,AS115,AS109)</f>
        <v>-301050</v>
      </c>
      <c r="AT147" s="210">
        <f t="shared" si="74"/>
        <v>3202200</v>
      </c>
      <c r="AU147" s="210">
        <f>SUM(AU146,AU133,AU128,AU115,AU109)</f>
        <v>2149875</v>
      </c>
      <c r="AV147" s="210">
        <f>SUM(AV146,AV133,AV128,AV115,AV109)</f>
        <v>249075</v>
      </c>
    </row>
    <row r="148" spans="15:48" x14ac:dyDescent="0.2">
      <c r="O148" s="3"/>
      <c r="U148" s="2"/>
      <c r="X148" s="2"/>
      <c r="Z148" s="2"/>
      <c r="AB148" s="2"/>
      <c r="AD148" s="2"/>
      <c r="AF148" s="2"/>
      <c r="AH148" s="2"/>
      <c r="AJ148" s="2"/>
      <c r="AL148" s="2"/>
      <c r="AN148" s="2"/>
      <c r="AO148" s="2"/>
      <c r="AP148" s="1" t="s">
        <v>797</v>
      </c>
      <c r="AQ148" s="2"/>
      <c r="AR148" s="1"/>
      <c r="AS148" s="2"/>
      <c r="AT148" s="2"/>
      <c r="AU148" s="2"/>
      <c r="AV148" s="2"/>
    </row>
    <row r="149" spans="15:48" x14ac:dyDescent="0.2">
      <c r="O149" s="3"/>
      <c r="U149" s="2"/>
      <c r="X149" s="2"/>
      <c r="Z149" s="2"/>
      <c r="AB149" s="2"/>
      <c r="AD149" s="2"/>
      <c r="AF149" s="2"/>
      <c r="AH149" s="2"/>
      <c r="AJ149" s="2"/>
      <c r="AL149" s="2"/>
      <c r="AN149" s="2"/>
      <c r="AO149" s="2"/>
      <c r="AP149" s="1"/>
      <c r="AQ149" s="2"/>
      <c r="AR149" s="1"/>
      <c r="AS149" s="2"/>
      <c r="AT149" s="2"/>
      <c r="AU149" s="2"/>
      <c r="AV149" s="2"/>
    </row>
    <row r="150" spans="15:48" x14ac:dyDescent="0.2">
      <c r="O150" s="3"/>
      <c r="U150" s="2"/>
      <c r="X150" s="2"/>
      <c r="Z150" s="2"/>
      <c r="AB150" s="2"/>
      <c r="AD150" s="2"/>
      <c r="AF150" s="2"/>
      <c r="AH150" s="2"/>
      <c r="AJ150" s="2"/>
      <c r="AL150" s="2"/>
      <c r="AN150" s="2"/>
      <c r="AO150" s="2"/>
      <c r="AP150" s="1"/>
      <c r="AQ150" s="2"/>
      <c r="AR150" s="1"/>
      <c r="AS150" s="2"/>
      <c r="AT150" s="2"/>
      <c r="AU150" s="2"/>
      <c r="AV150" s="2"/>
    </row>
    <row r="151" spans="15:48" x14ac:dyDescent="0.2">
      <c r="O151" s="3"/>
      <c r="U151" s="2"/>
      <c r="X151" s="2"/>
      <c r="Z151" s="2"/>
      <c r="AB151" s="2"/>
      <c r="AD151" s="2"/>
      <c r="AF151" s="2"/>
      <c r="AH151" s="2"/>
      <c r="AJ151" s="2"/>
      <c r="AL151" s="2"/>
      <c r="AN151" s="2"/>
      <c r="AO151" s="2"/>
      <c r="AP151" s="1"/>
      <c r="AQ151" s="2"/>
      <c r="AR151" s="1"/>
      <c r="AS151" s="2"/>
      <c r="AT151" s="2"/>
      <c r="AU151" s="2"/>
      <c r="AV151" s="2"/>
    </row>
    <row r="152" spans="15:48" x14ac:dyDescent="0.2">
      <c r="O152" s="3"/>
      <c r="U152" s="2"/>
      <c r="X152" s="2"/>
      <c r="Z152" s="2"/>
      <c r="AB152" s="2"/>
      <c r="AD152" s="2"/>
      <c r="AF152" s="2"/>
      <c r="AH152" s="2"/>
      <c r="AJ152" s="2"/>
      <c r="AL152" s="2"/>
      <c r="AN152" s="2"/>
      <c r="AO152" s="2"/>
      <c r="AP152" s="1"/>
      <c r="AQ152" s="2"/>
      <c r="AR152" s="1"/>
      <c r="AS152" s="2"/>
      <c r="AT152" s="2"/>
      <c r="AU152" s="2"/>
      <c r="AV152" s="2"/>
    </row>
    <row r="153" spans="15:48" x14ac:dyDescent="0.2">
      <c r="O153" s="3"/>
      <c r="P153" s="4"/>
      <c r="Q153" s="5"/>
      <c r="R153" s="5"/>
      <c r="U153" s="2"/>
      <c r="X153" s="2"/>
      <c r="Z153" s="2"/>
      <c r="AB153" s="2"/>
      <c r="AD153" s="2"/>
      <c r="AF153" s="2"/>
      <c r="AH153" s="2"/>
      <c r="AJ153" s="2"/>
      <c r="AL153" s="2"/>
      <c r="AN153" s="2"/>
      <c r="AO153" s="2"/>
      <c r="AP153" s="1"/>
      <c r="AQ153" s="2"/>
      <c r="AR153" s="1"/>
      <c r="AS153" s="2"/>
      <c r="AT153" s="2"/>
      <c r="AU153" s="2"/>
      <c r="AV153" s="2"/>
    </row>
    <row r="154" spans="15:48" x14ac:dyDescent="0.2">
      <c r="O154" s="3"/>
      <c r="P154" s="8"/>
      <c r="Q154" s="8"/>
      <c r="R154" s="8"/>
      <c r="U154" s="2"/>
      <c r="X154" s="2"/>
      <c r="Z154" s="2"/>
      <c r="AB154" s="2"/>
      <c r="AD154" s="2"/>
      <c r="AF154" s="2"/>
      <c r="AH154" s="2"/>
      <c r="AJ154" s="2"/>
      <c r="AL154" s="2"/>
      <c r="AN154" s="2"/>
      <c r="AO154" s="2"/>
      <c r="AP154" s="1"/>
      <c r="AQ154" s="2"/>
      <c r="AR154" s="1"/>
      <c r="AS154" s="2"/>
      <c r="AT154" s="2"/>
      <c r="AU154" s="2"/>
      <c r="AV154" s="2"/>
    </row>
    <row r="155" spans="15:48" ht="14.5" customHeight="1" x14ac:dyDescent="0.2">
      <c r="O155" s="3"/>
      <c r="P155" s="388" t="s">
        <v>0</v>
      </c>
      <c r="Q155" s="388" t="s">
        <v>270</v>
      </c>
      <c r="R155" s="388" t="s">
        <v>2</v>
      </c>
      <c r="S155" s="394" t="s">
        <v>3</v>
      </c>
      <c r="T155" s="388" t="s">
        <v>4</v>
      </c>
      <c r="U155" s="388"/>
      <c r="V155" s="388" t="s">
        <v>139</v>
      </c>
      <c r="W155" s="388"/>
      <c r="X155" s="388"/>
      <c r="Y155" s="388" t="s">
        <v>134</v>
      </c>
      <c r="Z155" s="388"/>
      <c r="AA155" s="388" t="s">
        <v>135</v>
      </c>
      <c r="AB155" s="388"/>
      <c r="AC155" s="388" t="s">
        <v>5</v>
      </c>
      <c r="AD155" s="388"/>
      <c r="AE155" s="388" t="s">
        <v>137</v>
      </c>
      <c r="AF155" s="388"/>
      <c r="AG155" s="388" t="s">
        <v>424</v>
      </c>
      <c r="AH155" s="388"/>
      <c r="AI155" s="388" t="s">
        <v>431</v>
      </c>
      <c r="AJ155" s="388"/>
      <c r="AK155" s="388" t="s">
        <v>438</v>
      </c>
      <c r="AL155" s="388"/>
      <c r="AM155" s="388" t="s">
        <v>445</v>
      </c>
      <c r="AN155" s="388"/>
      <c r="AO155" s="389" t="s">
        <v>141</v>
      </c>
      <c r="AP155" s="391" t="s">
        <v>6</v>
      </c>
      <c r="AQ155" s="391"/>
      <c r="AR155" s="391"/>
      <c r="AS155" s="391"/>
      <c r="AT155" s="385" t="s">
        <v>7</v>
      </c>
      <c r="AU155" s="385" t="s">
        <v>2</v>
      </c>
      <c r="AV155" s="385" t="s">
        <v>144</v>
      </c>
    </row>
    <row r="156" spans="15:48" ht="32" x14ac:dyDescent="0.2">
      <c r="O156" s="3"/>
      <c r="P156" s="388"/>
      <c r="Q156" s="388"/>
      <c r="R156" s="388"/>
      <c r="S156" s="394"/>
      <c r="T156" s="253" t="s">
        <v>9</v>
      </c>
      <c r="U156" s="54" t="s">
        <v>10</v>
      </c>
      <c r="V156" s="253" t="s">
        <v>514</v>
      </c>
      <c r="W156" s="296" t="s">
        <v>515</v>
      </c>
      <c r="X156" s="54" t="s">
        <v>10</v>
      </c>
      <c r="Y156" s="253" t="s">
        <v>9</v>
      </c>
      <c r="Z156" s="54" t="s">
        <v>10</v>
      </c>
      <c r="AA156" s="253" t="s">
        <v>9</v>
      </c>
      <c r="AB156" s="54" t="s">
        <v>10</v>
      </c>
      <c r="AC156" s="253" t="s">
        <v>9</v>
      </c>
      <c r="AD156" s="54" t="s">
        <v>10</v>
      </c>
      <c r="AE156" s="253" t="s">
        <v>9</v>
      </c>
      <c r="AF156" s="54" t="s">
        <v>10</v>
      </c>
      <c r="AG156" s="253" t="s">
        <v>9</v>
      </c>
      <c r="AH156" s="54" t="s">
        <v>10</v>
      </c>
      <c r="AI156" s="253" t="s">
        <v>9</v>
      </c>
      <c r="AJ156" s="54" t="s">
        <v>10</v>
      </c>
      <c r="AK156" s="253" t="s">
        <v>9</v>
      </c>
      <c r="AL156" s="54" t="s">
        <v>10</v>
      </c>
      <c r="AM156" s="253" t="s">
        <v>9</v>
      </c>
      <c r="AN156" s="54" t="s">
        <v>10</v>
      </c>
      <c r="AO156" s="390"/>
      <c r="AP156" s="135" t="s">
        <v>798</v>
      </c>
      <c r="AQ156" s="134" t="s">
        <v>143</v>
      </c>
      <c r="AR156" s="135" t="s">
        <v>11</v>
      </c>
      <c r="AS156" s="134" t="s">
        <v>143</v>
      </c>
      <c r="AT156" s="385"/>
      <c r="AU156" s="385"/>
      <c r="AV156" s="385"/>
    </row>
    <row r="157" spans="15:48" x14ac:dyDescent="0.2">
      <c r="P157" s="395" t="s">
        <v>53</v>
      </c>
      <c r="Q157" s="321" t="s">
        <v>404</v>
      </c>
      <c r="R157" s="321" t="s">
        <v>115</v>
      </c>
      <c r="S157" s="12" t="s">
        <v>571</v>
      </c>
      <c r="T157" s="269">
        <f>'Pencapaian Sales Value'!G157</f>
        <v>4.6197930500000002</v>
      </c>
      <c r="U157" s="284">
        <f>'Pencapaian Sales Value'!I157</f>
        <v>330000</v>
      </c>
      <c r="V157" s="304">
        <f>'Pencapaian Product Focus'!H157</f>
        <v>0</v>
      </c>
      <c r="W157" s="304">
        <f>'Pencapaian Product Focus'!L157</f>
        <v>0</v>
      </c>
      <c r="X157" s="285">
        <f>'Pencapaian Product Focus'!N157</f>
        <v>0</v>
      </c>
      <c r="Y157" s="335">
        <f>'Pencapaian Effective Call'!G157</f>
        <v>0</v>
      </c>
      <c r="Z157" s="285">
        <f>'Pencapaian Effective Call'!I157</f>
        <v>0</v>
      </c>
      <c r="AA157" s="378">
        <f>'Pencapaian New Open Outlet'!G157</f>
        <v>0</v>
      </c>
      <c r="AB157" s="285">
        <f>'Pencapaian New Open Outlet'!I157</f>
        <v>0</v>
      </c>
      <c r="AC157" s="269">
        <f>'Pencapaian Active Outlet'!G157</f>
        <v>1.3255813953488371</v>
      </c>
      <c r="AD157" s="284">
        <f>'Pencapaian Active Outlet'!I157</f>
        <v>495000</v>
      </c>
      <c r="AE157" s="335">
        <f>'Pencapaian Item per Outlet'!G157</f>
        <v>0</v>
      </c>
      <c r="AF157" s="285">
        <f>'Pencapaian Item per Outlet'!I157</f>
        <v>0</v>
      </c>
      <c r="AG157" s="335">
        <f>'Pencapaian Product Display'!G157</f>
        <v>0</v>
      </c>
      <c r="AH157" s="285">
        <f>'Pencapaian Product Display'!I157</f>
        <v>0</v>
      </c>
      <c r="AI157" s="335">
        <f>'Pencapaian Sales Contract'!G157</f>
        <v>0</v>
      </c>
      <c r="AJ157" s="285">
        <f>'Pencapaian Sales Contract'!I157</f>
        <v>0</v>
      </c>
      <c r="AK157" s="335">
        <f>'Pencapaian Co-Branding'!G157</f>
        <v>0</v>
      </c>
      <c r="AL157" s="285">
        <f>'Pencapaian Co-Branding'!I157</f>
        <v>0</v>
      </c>
      <c r="AM157" s="335">
        <f>'Pencapaian Join Event Activity'!G157</f>
        <v>0</v>
      </c>
      <c r="AN157" s="285">
        <f>'Pencapaian Join Event Activity'!I157</f>
        <v>0</v>
      </c>
      <c r="AO157" s="284">
        <f t="shared" ref="AO157" si="104">SUM(AN157,AL157,AJ157,AH157,AF157,AD157,AB157,Z157,X157,U157)</f>
        <v>825000</v>
      </c>
      <c r="AP157" s="322">
        <v>0</v>
      </c>
      <c r="AQ157" s="284">
        <f t="shared" ref="AQ157:AQ164" si="105">IF(AP157&gt;=0.5%,-(AO157*10%),0)</f>
        <v>0</v>
      </c>
      <c r="AR157" s="322">
        <v>0</v>
      </c>
      <c r="AS157" s="284">
        <f t="shared" ref="AS157:AS164" si="106">IF(AR157&gt;0,-(AO157+AQ157),0)</f>
        <v>0</v>
      </c>
      <c r="AT157" s="284">
        <f t="shared" ref="AT157:AT220" si="107">SUM(AS157,AQ157,AO157)</f>
        <v>825000</v>
      </c>
      <c r="AU157" s="284">
        <f t="shared" ref="AU157:AU164" si="108">AT157</f>
        <v>825000</v>
      </c>
      <c r="AV157" s="284">
        <v>0</v>
      </c>
    </row>
    <row r="158" spans="15:48" x14ac:dyDescent="0.2">
      <c r="P158" s="392"/>
      <c r="Q158" s="321"/>
      <c r="R158" s="323" t="s">
        <v>800</v>
      </c>
      <c r="S158" s="12"/>
      <c r="T158" s="269" t="e">
        <f>'Pencapaian Sales Value'!G158</f>
        <v>#DIV/0!</v>
      </c>
      <c r="U158" s="284">
        <f>'Pencapaian Sales Value'!I158</f>
        <v>0</v>
      </c>
      <c r="V158" s="304">
        <f>'Pencapaian Product Focus'!H158</f>
        <v>0</v>
      </c>
      <c r="W158" s="304">
        <f>'Pencapaian Product Focus'!L158</f>
        <v>0</v>
      </c>
      <c r="X158" s="285">
        <f>'Pencapaian Product Focus'!N158</f>
        <v>0</v>
      </c>
      <c r="Y158" s="304">
        <f>'Pencapaian Effective Call'!G158</f>
        <v>0</v>
      </c>
      <c r="Z158" s="285">
        <f>'Pencapaian Effective Call'!I158</f>
        <v>0</v>
      </c>
      <c r="AA158" s="304">
        <f>'Pencapaian New Open Outlet'!G158</f>
        <v>0</v>
      </c>
      <c r="AB158" s="285">
        <f>'Pencapaian New Open Outlet'!I158</f>
        <v>0</v>
      </c>
      <c r="AC158" s="269" t="e">
        <f>'Pencapaian Active Outlet'!G158</f>
        <v>#DIV/0!</v>
      </c>
      <c r="AD158" s="284">
        <f>'Pencapaian Active Outlet'!I158</f>
        <v>0</v>
      </c>
      <c r="AE158" s="304">
        <f>'Pencapaian Item per Outlet'!G158</f>
        <v>0</v>
      </c>
      <c r="AF158" s="285">
        <f>'Pencapaian Item per Outlet'!I158</f>
        <v>0</v>
      </c>
      <c r="AG158" s="304">
        <f>'Pencapaian Product Display'!G158</f>
        <v>0</v>
      </c>
      <c r="AH158" s="285">
        <f>'Pencapaian Product Display'!I158</f>
        <v>0</v>
      </c>
      <c r="AI158" s="304">
        <f>'Pencapaian Sales Contract'!G158</f>
        <v>0</v>
      </c>
      <c r="AJ158" s="285">
        <f>'Pencapaian Sales Contract'!I158</f>
        <v>0</v>
      </c>
      <c r="AK158" s="304">
        <f>'Pencapaian Co-Branding'!G158</f>
        <v>0</v>
      </c>
      <c r="AL158" s="285">
        <f>'Pencapaian Co-Branding'!I158</f>
        <v>0</v>
      </c>
      <c r="AM158" s="304">
        <f>'Pencapaian Join Event Activity'!G158</f>
        <v>0</v>
      </c>
      <c r="AN158" s="285">
        <f>'Pencapaian Join Event Activity'!I158</f>
        <v>0</v>
      </c>
      <c r="AO158" s="284">
        <f t="shared" ref="AO158:AO221" si="109">SUM(AN158,AL158,AJ158,AH158,AF158,AD158,AB158,Z158,X158,U158)</f>
        <v>0</v>
      </c>
      <c r="AP158" s="322">
        <v>0</v>
      </c>
      <c r="AQ158" s="284">
        <f t="shared" si="105"/>
        <v>0</v>
      </c>
      <c r="AR158" s="322">
        <v>0</v>
      </c>
      <c r="AS158" s="284">
        <f t="shared" si="106"/>
        <v>0</v>
      </c>
      <c r="AT158" s="284">
        <f t="shared" si="107"/>
        <v>0</v>
      </c>
      <c r="AU158" s="284">
        <f t="shared" si="108"/>
        <v>0</v>
      </c>
      <c r="AV158" s="284">
        <v>0</v>
      </c>
    </row>
    <row r="159" spans="15:48" x14ac:dyDescent="0.2">
      <c r="P159" s="392"/>
      <c r="Q159" s="321"/>
      <c r="R159" s="323" t="s">
        <v>532</v>
      </c>
      <c r="S159" s="12" t="s">
        <v>675</v>
      </c>
      <c r="T159" s="269">
        <f>'Pencapaian Sales Value'!G159</f>
        <v>0.49895733333333331</v>
      </c>
      <c r="U159" s="284">
        <f>'Pencapaian Sales Value'!I159</f>
        <v>0</v>
      </c>
      <c r="V159" s="304">
        <f>'Pencapaian Product Focus'!H159</f>
        <v>0</v>
      </c>
      <c r="W159" s="304">
        <f>'Pencapaian Product Focus'!L159</f>
        <v>0</v>
      </c>
      <c r="X159" s="285">
        <f>'Pencapaian Product Focus'!N159</f>
        <v>0</v>
      </c>
      <c r="Y159" s="304">
        <f>'Pencapaian Effective Call'!G159</f>
        <v>0</v>
      </c>
      <c r="Z159" s="285">
        <f>'Pencapaian Effective Call'!I159</f>
        <v>0</v>
      </c>
      <c r="AA159" s="304">
        <f>'Pencapaian New Open Outlet'!G159</f>
        <v>0</v>
      </c>
      <c r="AB159" s="285">
        <f>'Pencapaian New Open Outlet'!I159</f>
        <v>0</v>
      </c>
      <c r="AC159" s="269">
        <f>'Pencapaian Active Outlet'!G159</f>
        <v>0.9</v>
      </c>
      <c r="AD159" s="284">
        <f>'Pencapaian Active Outlet'!I159</f>
        <v>120000</v>
      </c>
      <c r="AE159" s="304">
        <f>'Pencapaian Item per Outlet'!G159</f>
        <v>0</v>
      </c>
      <c r="AF159" s="285">
        <f>'Pencapaian Item per Outlet'!I159</f>
        <v>0</v>
      </c>
      <c r="AG159" s="304">
        <f>'Pencapaian Product Display'!G159</f>
        <v>0</v>
      </c>
      <c r="AH159" s="285">
        <f>'Pencapaian Product Display'!I159</f>
        <v>0</v>
      </c>
      <c r="AI159" s="304">
        <f>'Pencapaian Sales Contract'!G159</f>
        <v>0</v>
      </c>
      <c r="AJ159" s="285">
        <f>'Pencapaian Sales Contract'!I159</f>
        <v>0</v>
      </c>
      <c r="AK159" s="304">
        <f>'Pencapaian Co-Branding'!G159</f>
        <v>0</v>
      </c>
      <c r="AL159" s="285">
        <f>'Pencapaian Co-Branding'!I159</f>
        <v>0</v>
      </c>
      <c r="AM159" s="304">
        <f>'Pencapaian Join Event Activity'!G159</f>
        <v>0</v>
      </c>
      <c r="AN159" s="285">
        <f>'Pencapaian Join Event Activity'!I159</f>
        <v>0</v>
      </c>
      <c r="AO159" s="284">
        <f t="shared" si="109"/>
        <v>120000</v>
      </c>
      <c r="AP159" s="322">
        <v>0</v>
      </c>
      <c r="AQ159" s="284">
        <f t="shared" si="105"/>
        <v>0</v>
      </c>
      <c r="AR159" s="322">
        <v>0</v>
      </c>
      <c r="AS159" s="284">
        <f t="shared" si="106"/>
        <v>0</v>
      </c>
      <c r="AT159" s="284">
        <f t="shared" si="107"/>
        <v>120000</v>
      </c>
      <c r="AU159" s="284">
        <f t="shared" si="108"/>
        <v>120000</v>
      </c>
      <c r="AV159" s="284">
        <v>0</v>
      </c>
    </row>
    <row r="160" spans="15:48" x14ac:dyDescent="0.2">
      <c r="P160" s="392"/>
      <c r="Q160" s="321"/>
      <c r="R160" s="323" t="s">
        <v>535</v>
      </c>
      <c r="S160" s="12" t="s">
        <v>675</v>
      </c>
      <c r="T160" s="269">
        <f>'Pencapaian Sales Value'!G160</f>
        <v>0.79263130769230772</v>
      </c>
      <c r="U160" s="284">
        <f>'Pencapaian Sales Value'!I160</f>
        <v>0</v>
      </c>
      <c r="V160" s="304">
        <f>'Pencapaian Product Focus'!H160</f>
        <v>0</v>
      </c>
      <c r="W160" s="304">
        <f>'Pencapaian Product Focus'!L160</f>
        <v>0</v>
      </c>
      <c r="X160" s="285">
        <f>'Pencapaian Product Focus'!N160</f>
        <v>0</v>
      </c>
      <c r="Y160" s="304">
        <f>'Pencapaian Effective Call'!G160</f>
        <v>0</v>
      </c>
      <c r="Z160" s="285">
        <f>'Pencapaian Effective Call'!I160</f>
        <v>0</v>
      </c>
      <c r="AA160" s="304">
        <f>'Pencapaian New Open Outlet'!G160</f>
        <v>0</v>
      </c>
      <c r="AB160" s="285">
        <f>'Pencapaian New Open Outlet'!I160</f>
        <v>0</v>
      </c>
      <c r="AC160" s="269">
        <f>'Pencapaian Active Outlet'!G160</f>
        <v>1</v>
      </c>
      <c r="AD160" s="284">
        <f>'Pencapaian Active Outlet'!I160</f>
        <v>135000</v>
      </c>
      <c r="AE160" s="304">
        <f>'Pencapaian Item per Outlet'!G160</f>
        <v>0</v>
      </c>
      <c r="AF160" s="285">
        <f>'Pencapaian Item per Outlet'!I160</f>
        <v>0</v>
      </c>
      <c r="AG160" s="304">
        <f>'Pencapaian Product Display'!G160</f>
        <v>0</v>
      </c>
      <c r="AH160" s="285">
        <f>'Pencapaian Product Display'!I160</f>
        <v>0</v>
      </c>
      <c r="AI160" s="304">
        <f>'Pencapaian Sales Contract'!G160</f>
        <v>0</v>
      </c>
      <c r="AJ160" s="285">
        <f>'Pencapaian Sales Contract'!I160</f>
        <v>0</v>
      </c>
      <c r="AK160" s="304">
        <f>'Pencapaian Co-Branding'!G160</f>
        <v>0</v>
      </c>
      <c r="AL160" s="285">
        <f>'Pencapaian Co-Branding'!I160</f>
        <v>0</v>
      </c>
      <c r="AM160" s="304">
        <f>'Pencapaian Join Event Activity'!G160</f>
        <v>0</v>
      </c>
      <c r="AN160" s="285">
        <f>'Pencapaian Join Event Activity'!I160</f>
        <v>0</v>
      </c>
      <c r="AO160" s="284">
        <f t="shared" si="109"/>
        <v>135000</v>
      </c>
      <c r="AP160" s="322">
        <v>0</v>
      </c>
      <c r="AQ160" s="284">
        <f t="shared" si="105"/>
        <v>0</v>
      </c>
      <c r="AR160" s="322">
        <v>0</v>
      </c>
      <c r="AS160" s="284">
        <f t="shared" si="106"/>
        <v>0</v>
      </c>
      <c r="AT160" s="284">
        <f t="shared" si="107"/>
        <v>135000</v>
      </c>
      <c r="AU160" s="284">
        <f t="shared" si="108"/>
        <v>135000</v>
      </c>
      <c r="AV160" s="284">
        <v>0</v>
      </c>
    </row>
    <row r="161" spans="16:48" x14ac:dyDescent="0.2">
      <c r="P161" s="392"/>
      <c r="Q161" s="321"/>
      <c r="R161" s="323" t="s">
        <v>533</v>
      </c>
      <c r="S161" s="12" t="s">
        <v>675</v>
      </c>
      <c r="T161" s="269">
        <f>'Pencapaian Sales Value'!G161</f>
        <v>0.12543901351351353</v>
      </c>
      <c r="U161" s="284">
        <f>'Pencapaian Sales Value'!I161</f>
        <v>0</v>
      </c>
      <c r="V161" s="304">
        <f>'Pencapaian Product Focus'!H161</f>
        <v>0</v>
      </c>
      <c r="W161" s="304">
        <f>'Pencapaian Product Focus'!L161</f>
        <v>0</v>
      </c>
      <c r="X161" s="285">
        <f>'Pencapaian Product Focus'!N161</f>
        <v>0</v>
      </c>
      <c r="Y161" s="304">
        <f>'Pencapaian Effective Call'!G161</f>
        <v>0</v>
      </c>
      <c r="Z161" s="285">
        <f>'Pencapaian Effective Call'!I161</f>
        <v>0</v>
      </c>
      <c r="AA161" s="304">
        <f>'Pencapaian New Open Outlet'!G161</f>
        <v>0</v>
      </c>
      <c r="AB161" s="285">
        <f>'Pencapaian New Open Outlet'!I161</f>
        <v>0</v>
      </c>
      <c r="AC161" s="269">
        <f>'Pencapaian Active Outlet'!G161</f>
        <v>1.04</v>
      </c>
      <c r="AD161" s="284">
        <f>'Pencapaian Active Outlet'!I161</f>
        <v>135000</v>
      </c>
      <c r="AE161" s="304">
        <f>'Pencapaian Item per Outlet'!G161</f>
        <v>0</v>
      </c>
      <c r="AF161" s="285">
        <f>'Pencapaian Item per Outlet'!I161</f>
        <v>0</v>
      </c>
      <c r="AG161" s="304">
        <f>'Pencapaian Product Display'!G161</f>
        <v>0</v>
      </c>
      <c r="AH161" s="285">
        <f>'Pencapaian Product Display'!I161</f>
        <v>0</v>
      </c>
      <c r="AI161" s="304">
        <f>'Pencapaian Sales Contract'!G161</f>
        <v>0</v>
      </c>
      <c r="AJ161" s="285">
        <f>'Pencapaian Sales Contract'!I161</f>
        <v>0</v>
      </c>
      <c r="AK161" s="304">
        <f>'Pencapaian Co-Branding'!G161</f>
        <v>0</v>
      </c>
      <c r="AL161" s="285">
        <f>'Pencapaian Co-Branding'!I161</f>
        <v>0</v>
      </c>
      <c r="AM161" s="304">
        <f>'Pencapaian Join Event Activity'!G161</f>
        <v>0</v>
      </c>
      <c r="AN161" s="285">
        <f>'Pencapaian Join Event Activity'!I161</f>
        <v>0</v>
      </c>
      <c r="AO161" s="284">
        <f t="shared" si="109"/>
        <v>135000</v>
      </c>
      <c r="AP161" s="322">
        <v>0</v>
      </c>
      <c r="AQ161" s="284">
        <f t="shared" si="105"/>
        <v>0</v>
      </c>
      <c r="AR161" s="322">
        <v>0</v>
      </c>
      <c r="AS161" s="284">
        <f t="shared" si="106"/>
        <v>0</v>
      </c>
      <c r="AT161" s="284">
        <f t="shared" si="107"/>
        <v>135000</v>
      </c>
      <c r="AU161" s="284">
        <f t="shared" si="108"/>
        <v>135000</v>
      </c>
      <c r="AV161" s="284">
        <v>0</v>
      </c>
    </row>
    <row r="162" spans="16:48" x14ac:dyDescent="0.2">
      <c r="P162" s="392"/>
      <c r="Q162" s="321"/>
      <c r="R162" s="323" t="s">
        <v>534</v>
      </c>
      <c r="S162" s="12" t="s">
        <v>675</v>
      </c>
      <c r="T162" s="269">
        <f>'Pencapaian Sales Value'!G162</f>
        <v>0.23739535802469136</v>
      </c>
      <c r="U162" s="284">
        <f>'Pencapaian Sales Value'!I162</f>
        <v>0</v>
      </c>
      <c r="V162" s="304">
        <f>'Pencapaian Product Focus'!H162</f>
        <v>0</v>
      </c>
      <c r="W162" s="304">
        <f>'Pencapaian Product Focus'!L162</f>
        <v>0</v>
      </c>
      <c r="X162" s="285">
        <f>'Pencapaian Product Focus'!N162</f>
        <v>0</v>
      </c>
      <c r="Y162" s="304">
        <f>'Pencapaian Effective Call'!G162</f>
        <v>0</v>
      </c>
      <c r="Z162" s="285">
        <f>'Pencapaian Effective Call'!I162</f>
        <v>0</v>
      </c>
      <c r="AA162" s="304">
        <f>'Pencapaian New Open Outlet'!G162</f>
        <v>0</v>
      </c>
      <c r="AB162" s="285">
        <f>'Pencapaian New Open Outlet'!I162</f>
        <v>0</v>
      </c>
      <c r="AC162" s="269">
        <f>'Pencapaian Active Outlet'!G162</f>
        <v>0.64</v>
      </c>
      <c r="AD162" s="284">
        <f>'Pencapaian Active Outlet'!I162</f>
        <v>0</v>
      </c>
      <c r="AE162" s="304">
        <f>'Pencapaian Item per Outlet'!G162</f>
        <v>0</v>
      </c>
      <c r="AF162" s="285">
        <f>'Pencapaian Item per Outlet'!I162</f>
        <v>0</v>
      </c>
      <c r="AG162" s="304">
        <f>'Pencapaian Product Display'!G162</f>
        <v>0</v>
      </c>
      <c r="AH162" s="285">
        <f>'Pencapaian Product Display'!I162</f>
        <v>0</v>
      </c>
      <c r="AI162" s="304">
        <f>'Pencapaian Sales Contract'!G162</f>
        <v>0</v>
      </c>
      <c r="AJ162" s="285">
        <f>'Pencapaian Sales Contract'!I162</f>
        <v>0</v>
      </c>
      <c r="AK162" s="304">
        <f>'Pencapaian Co-Branding'!G162</f>
        <v>0</v>
      </c>
      <c r="AL162" s="285">
        <f>'Pencapaian Co-Branding'!I162</f>
        <v>0</v>
      </c>
      <c r="AM162" s="304">
        <f>'Pencapaian Join Event Activity'!G162</f>
        <v>0</v>
      </c>
      <c r="AN162" s="285">
        <f>'Pencapaian Join Event Activity'!I162</f>
        <v>0</v>
      </c>
      <c r="AO162" s="284">
        <f t="shared" si="109"/>
        <v>0</v>
      </c>
      <c r="AP162" s="322">
        <v>0</v>
      </c>
      <c r="AQ162" s="284">
        <f t="shared" si="105"/>
        <v>0</v>
      </c>
      <c r="AR162" s="322">
        <v>0</v>
      </c>
      <c r="AS162" s="284">
        <f t="shared" si="106"/>
        <v>0</v>
      </c>
      <c r="AT162" s="284">
        <f t="shared" si="107"/>
        <v>0</v>
      </c>
      <c r="AU162" s="284">
        <f t="shared" si="108"/>
        <v>0</v>
      </c>
      <c r="AV162" s="284">
        <v>0</v>
      </c>
    </row>
    <row r="163" spans="16:48" x14ac:dyDescent="0.2">
      <c r="P163" s="392"/>
      <c r="Q163" s="324"/>
      <c r="R163" s="324" t="s">
        <v>894</v>
      </c>
      <c r="S163" s="64" t="s">
        <v>673</v>
      </c>
      <c r="T163" s="258">
        <f>'Pencapaian Sales Value'!G163</f>
        <v>0.99046014666666671</v>
      </c>
      <c r="U163" s="286">
        <f>'Pencapaian Sales Value'!I163</f>
        <v>140000</v>
      </c>
      <c r="V163" s="268">
        <f>'Pencapaian Product Focus'!H163</f>
        <v>0</v>
      </c>
      <c r="W163" s="268">
        <f>'Pencapaian Product Focus'!L163</f>
        <v>0</v>
      </c>
      <c r="X163" s="189">
        <f>'Pencapaian Product Focus'!N163</f>
        <v>0</v>
      </c>
      <c r="Y163" s="268">
        <f>'Pencapaian Effective Call'!G163</f>
        <v>0</v>
      </c>
      <c r="Z163" s="189">
        <f>'Pencapaian Effective Call'!I163</f>
        <v>0</v>
      </c>
      <c r="AA163" s="268">
        <f>'Pencapaian New Open Outlet'!G163</f>
        <v>0</v>
      </c>
      <c r="AB163" s="189">
        <f>'Pencapaian New Open Outlet'!I163</f>
        <v>0</v>
      </c>
      <c r="AC163" s="258">
        <f>'Pencapaian Active Outlet'!G163</f>
        <v>1.1282051282051282</v>
      </c>
      <c r="AD163" s="286">
        <f>'Pencapaian Active Outlet'!I163</f>
        <v>270000</v>
      </c>
      <c r="AE163" s="268">
        <f>'Pencapaian Item per Outlet'!G163</f>
        <v>0</v>
      </c>
      <c r="AF163" s="189">
        <f>'Pencapaian Item per Outlet'!I163</f>
        <v>0</v>
      </c>
      <c r="AG163" s="268">
        <f>'Pencapaian Product Display'!G163</f>
        <v>0</v>
      </c>
      <c r="AH163" s="189">
        <f>'Pencapaian Product Display'!I163</f>
        <v>0</v>
      </c>
      <c r="AI163" s="268">
        <f>'Pencapaian Sales Contract'!G163</f>
        <v>0</v>
      </c>
      <c r="AJ163" s="189">
        <f>'Pencapaian Sales Contract'!I163</f>
        <v>0</v>
      </c>
      <c r="AK163" s="268">
        <f>'Pencapaian Co-Branding'!G163</f>
        <v>0</v>
      </c>
      <c r="AL163" s="189">
        <f>'Pencapaian Co-Branding'!I163</f>
        <v>0</v>
      </c>
      <c r="AM163" s="268">
        <f>'Pencapaian Join Event Activity'!G163</f>
        <v>0</v>
      </c>
      <c r="AN163" s="189">
        <f>'Pencapaian Join Event Activity'!I163</f>
        <v>0</v>
      </c>
      <c r="AO163" s="286">
        <f t="shared" si="109"/>
        <v>410000</v>
      </c>
      <c r="AP163" s="289">
        <v>0</v>
      </c>
      <c r="AQ163" s="286">
        <f t="shared" si="105"/>
        <v>0</v>
      </c>
      <c r="AR163" s="289">
        <v>0</v>
      </c>
      <c r="AS163" s="286">
        <f t="shared" si="106"/>
        <v>0</v>
      </c>
      <c r="AT163" s="286">
        <f t="shared" si="107"/>
        <v>410000</v>
      </c>
      <c r="AU163" s="286">
        <f t="shared" si="108"/>
        <v>410000</v>
      </c>
      <c r="AV163" s="286">
        <v>0</v>
      </c>
    </row>
    <row r="164" spans="16:48" x14ac:dyDescent="0.2">
      <c r="P164" s="392"/>
      <c r="Q164" s="324"/>
      <c r="R164" s="324" t="s">
        <v>154</v>
      </c>
      <c r="S164" s="64" t="s">
        <v>20</v>
      </c>
      <c r="T164" s="258">
        <f>'Pencapaian Sales Value'!G164</f>
        <v>0.99046014666666671</v>
      </c>
      <c r="U164" s="286">
        <f>'Pencapaian Sales Value'!I164</f>
        <v>336000</v>
      </c>
      <c r="V164" s="268">
        <f>'Pencapaian Product Focus'!H164</f>
        <v>0</v>
      </c>
      <c r="W164" s="268">
        <f>'Pencapaian Product Focus'!L164</f>
        <v>0</v>
      </c>
      <c r="X164" s="189">
        <f>'Pencapaian Product Focus'!N164</f>
        <v>0</v>
      </c>
      <c r="Y164" s="268">
        <f>'Pencapaian Effective Call'!G164</f>
        <v>0</v>
      </c>
      <c r="Z164" s="189">
        <f>'Pencapaian Effective Call'!I164</f>
        <v>0</v>
      </c>
      <c r="AA164" s="268">
        <f>'Pencapaian New Open Outlet'!G164</f>
        <v>0</v>
      </c>
      <c r="AB164" s="189">
        <f>'Pencapaian New Open Outlet'!I164</f>
        <v>0</v>
      </c>
      <c r="AC164" s="258">
        <f>'Pencapaian Active Outlet'!G164</f>
        <v>1.1282051282051282</v>
      </c>
      <c r="AD164" s="286">
        <f>'Pencapaian Active Outlet'!I164</f>
        <v>1008000</v>
      </c>
      <c r="AE164" s="268">
        <f>'Pencapaian Item per Outlet'!G164</f>
        <v>0</v>
      </c>
      <c r="AF164" s="189">
        <f>'Pencapaian Item per Outlet'!I164</f>
        <v>0</v>
      </c>
      <c r="AG164" s="268">
        <f>'Pencapaian Product Display'!G164</f>
        <v>0</v>
      </c>
      <c r="AH164" s="189">
        <f>'Pencapaian Product Display'!I164</f>
        <v>0</v>
      </c>
      <c r="AI164" s="268">
        <f>'Pencapaian Sales Contract'!G164</f>
        <v>0</v>
      </c>
      <c r="AJ164" s="189">
        <f>'Pencapaian Sales Contract'!I164</f>
        <v>0</v>
      </c>
      <c r="AK164" s="268">
        <f>'Pencapaian Co-Branding'!G164</f>
        <v>0</v>
      </c>
      <c r="AL164" s="189">
        <f>'Pencapaian Co-Branding'!I164</f>
        <v>0</v>
      </c>
      <c r="AM164" s="268">
        <f>'Pencapaian Join Event Activity'!G164</f>
        <v>0</v>
      </c>
      <c r="AN164" s="189">
        <f>'Pencapaian Join Event Activity'!I164</f>
        <v>0</v>
      </c>
      <c r="AO164" s="286">
        <f t="shared" si="109"/>
        <v>1344000</v>
      </c>
      <c r="AP164" s="289">
        <v>0</v>
      </c>
      <c r="AQ164" s="286">
        <f t="shared" si="105"/>
        <v>0</v>
      </c>
      <c r="AR164" s="289">
        <v>0</v>
      </c>
      <c r="AS164" s="286">
        <f t="shared" si="106"/>
        <v>0</v>
      </c>
      <c r="AT164" s="286">
        <f t="shared" si="107"/>
        <v>1344000</v>
      </c>
      <c r="AU164" s="286">
        <f t="shared" si="108"/>
        <v>1344000</v>
      </c>
      <c r="AV164" s="286">
        <v>0</v>
      </c>
    </row>
    <row r="165" spans="16:48" x14ac:dyDescent="0.2">
      <c r="P165" s="393"/>
      <c r="Q165" s="325"/>
      <c r="R165" s="325" t="s">
        <v>54</v>
      </c>
      <c r="S165" s="42"/>
      <c r="T165" s="264">
        <f>'Pencapaian Sales Value'!G165</f>
        <v>0.99046014666666671</v>
      </c>
      <c r="U165" s="287">
        <f>'Pencapaian Sales Value'!I165</f>
        <v>806000</v>
      </c>
      <c r="V165" s="274">
        <f>'Pencapaian Product Focus'!H165</f>
        <v>0</v>
      </c>
      <c r="W165" s="274">
        <f>'Pencapaian Product Focus'!L165</f>
        <v>0</v>
      </c>
      <c r="X165" s="190">
        <f>'Pencapaian Product Focus'!N165</f>
        <v>0</v>
      </c>
      <c r="Y165" s="274">
        <f>'Pencapaian Effective Call'!G165</f>
        <v>0</v>
      </c>
      <c r="Z165" s="190">
        <f>'Pencapaian Effective Call'!I165</f>
        <v>0</v>
      </c>
      <c r="AA165" s="274">
        <f>'Pencapaian New Open Outlet'!G165</f>
        <v>0</v>
      </c>
      <c r="AB165" s="190">
        <f>'Pencapaian New Open Outlet'!I165</f>
        <v>0</v>
      </c>
      <c r="AC165" s="264">
        <f>'Pencapaian Active Outlet'!G165</f>
        <v>1.1282051282051282</v>
      </c>
      <c r="AD165" s="287">
        <f>'Pencapaian Active Outlet'!I165</f>
        <v>2163000</v>
      </c>
      <c r="AE165" s="274">
        <f>'Pencapaian Item per Outlet'!G165</f>
        <v>0</v>
      </c>
      <c r="AF165" s="190">
        <f>'Pencapaian Item per Outlet'!I165</f>
        <v>0</v>
      </c>
      <c r="AG165" s="274">
        <f>'Pencapaian Product Display'!G165</f>
        <v>0</v>
      </c>
      <c r="AH165" s="190">
        <f>'Pencapaian Product Display'!I165</f>
        <v>0</v>
      </c>
      <c r="AI165" s="274">
        <f>'Pencapaian Sales Contract'!G165</f>
        <v>0</v>
      </c>
      <c r="AJ165" s="190">
        <f>'Pencapaian Sales Contract'!I165</f>
        <v>0</v>
      </c>
      <c r="AK165" s="274">
        <f>'Pencapaian Co-Branding'!G165</f>
        <v>0</v>
      </c>
      <c r="AL165" s="190">
        <f>'Pencapaian Co-Branding'!I165</f>
        <v>0</v>
      </c>
      <c r="AM165" s="274">
        <f>'Pencapaian Join Event Activity'!G165</f>
        <v>0</v>
      </c>
      <c r="AN165" s="190">
        <f>'Pencapaian Join Event Activity'!I165</f>
        <v>0</v>
      </c>
      <c r="AO165" s="287">
        <f t="shared" si="109"/>
        <v>2969000</v>
      </c>
      <c r="AP165" s="290">
        <v>0</v>
      </c>
      <c r="AQ165" s="287">
        <f>SUM(AQ157:AQ164)</f>
        <v>0</v>
      </c>
      <c r="AR165" s="290">
        <v>0</v>
      </c>
      <c r="AS165" s="287">
        <f>SUM(AS157:AS164)</f>
        <v>0</v>
      </c>
      <c r="AT165" s="287">
        <f t="shared" si="107"/>
        <v>2969000</v>
      </c>
      <c r="AU165" s="287">
        <f>SUM(AU157:AU164)</f>
        <v>2969000</v>
      </c>
      <c r="AV165" s="287">
        <f>SUM(AV157:AV164)</f>
        <v>0</v>
      </c>
    </row>
    <row r="166" spans="16:48" x14ac:dyDescent="0.2">
      <c r="P166" s="395" t="s">
        <v>536</v>
      </c>
      <c r="Q166" s="321" t="s">
        <v>405</v>
      </c>
      <c r="R166" s="321" t="s">
        <v>116</v>
      </c>
      <c r="S166" s="12" t="s">
        <v>571</v>
      </c>
      <c r="T166" s="269">
        <f>'Pencapaian Sales Value'!G166</f>
        <v>0.42023181818181821</v>
      </c>
      <c r="U166" s="284">
        <f>'Pencapaian Sales Value'!I166</f>
        <v>0</v>
      </c>
      <c r="V166" s="304">
        <f>'Pencapaian Product Focus'!H166</f>
        <v>0</v>
      </c>
      <c r="W166" s="304">
        <f>'Pencapaian Product Focus'!L166</f>
        <v>0</v>
      </c>
      <c r="X166" s="285">
        <f>'Pencapaian Product Focus'!N166</f>
        <v>0</v>
      </c>
      <c r="Y166" s="304">
        <f>'Pencapaian Effective Call'!G166</f>
        <v>0</v>
      </c>
      <c r="Z166" s="285">
        <f>'Pencapaian Effective Call'!I166</f>
        <v>0</v>
      </c>
      <c r="AA166" s="304">
        <f>'Pencapaian New Open Outlet'!G166</f>
        <v>0</v>
      </c>
      <c r="AB166" s="285">
        <f>'Pencapaian New Open Outlet'!I166</f>
        <v>0</v>
      </c>
      <c r="AC166" s="269">
        <f>'Pencapaian Active Outlet'!G166</f>
        <v>0.45333333333333331</v>
      </c>
      <c r="AD166" s="284">
        <f>'Pencapaian Active Outlet'!I166</f>
        <v>0</v>
      </c>
      <c r="AE166" s="304">
        <f>'Pencapaian Item per Outlet'!G166</f>
        <v>0</v>
      </c>
      <c r="AF166" s="285">
        <f>'Pencapaian Item per Outlet'!I166</f>
        <v>0</v>
      </c>
      <c r="AG166" s="304">
        <f>'Pencapaian Product Display'!G166</f>
        <v>0</v>
      </c>
      <c r="AH166" s="285">
        <f>'Pencapaian Product Display'!I166</f>
        <v>0</v>
      </c>
      <c r="AI166" s="304">
        <f>'Pencapaian Sales Contract'!G166</f>
        <v>0</v>
      </c>
      <c r="AJ166" s="285">
        <f>'Pencapaian Sales Contract'!I166</f>
        <v>0</v>
      </c>
      <c r="AK166" s="304">
        <f>'Pencapaian Co-Branding'!G166</f>
        <v>0</v>
      </c>
      <c r="AL166" s="285">
        <f>'Pencapaian Co-Branding'!I166</f>
        <v>0</v>
      </c>
      <c r="AM166" s="304">
        <f>'Pencapaian Join Event Activity'!G166</f>
        <v>0</v>
      </c>
      <c r="AN166" s="285">
        <f>'Pencapaian Join Event Activity'!I166</f>
        <v>0</v>
      </c>
      <c r="AO166" s="284">
        <f t="shared" si="109"/>
        <v>0</v>
      </c>
      <c r="AP166" s="322">
        <v>0</v>
      </c>
      <c r="AQ166" s="284">
        <f t="shared" ref="AQ166:AQ180" si="110">IF(AP166&gt;=0.5%,-(AO166*10%),0)</f>
        <v>0</v>
      </c>
      <c r="AR166" s="322">
        <v>0</v>
      </c>
      <c r="AS166" s="284">
        <f t="shared" ref="AS166:AS180" si="111">IF(AR166&gt;0,-(AO166+AQ166),0)</f>
        <v>0</v>
      </c>
      <c r="AT166" s="284">
        <f t="shared" si="107"/>
        <v>0</v>
      </c>
      <c r="AU166" s="284">
        <f t="shared" ref="AU166:AU180" si="112">AT166</f>
        <v>0</v>
      </c>
      <c r="AV166" s="284">
        <v>0</v>
      </c>
    </row>
    <row r="167" spans="16:48" x14ac:dyDescent="0.2">
      <c r="P167" s="392"/>
      <c r="Q167" s="321"/>
      <c r="R167" s="323" t="s">
        <v>801</v>
      </c>
      <c r="S167" s="12"/>
      <c r="T167" s="269" t="e">
        <f>'Pencapaian Sales Value'!G167</f>
        <v>#DIV/0!</v>
      </c>
      <c r="U167" s="284">
        <f>'Pencapaian Sales Value'!I167</f>
        <v>0</v>
      </c>
      <c r="V167" s="304">
        <f>'Pencapaian Product Focus'!H167</f>
        <v>0</v>
      </c>
      <c r="W167" s="304">
        <f>'Pencapaian Product Focus'!L167</f>
        <v>0</v>
      </c>
      <c r="X167" s="285">
        <f>'Pencapaian Product Focus'!N167</f>
        <v>0</v>
      </c>
      <c r="Y167" s="304">
        <f>'Pencapaian Effective Call'!G167</f>
        <v>0</v>
      </c>
      <c r="Z167" s="285">
        <f>'Pencapaian Effective Call'!I167</f>
        <v>0</v>
      </c>
      <c r="AA167" s="304">
        <f>'Pencapaian New Open Outlet'!G167</f>
        <v>0</v>
      </c>
      <c r="AB167" s="285">
        <f>'Pencapaian New Open Outlet'!I167</f>
        <v>0</v>
      </c>
      <c r="AC167" s="269" t="e">
        <f>'Pencapaian Active Outlet'!G167</f>
        <v>#DIV/0!</v>
      </c>
      <c r="AD167" s="284">
        <f>'Pencapaian Active Outlet'!I167</f>
        <v>0</v>
      </c>
      <c r="AE167" s="304">
        <f>'Pencapaian Item per Outlet'!G167</f>
        <v>0</v>
      </c>
      <c r="AF167" s="285">
        <f>'Pencapaian Item per Outlet'!I167</f>
        <v>0</v>
      </c>
      <c r="AG167" s="304">
        <f>'Pencapaian Product Display'!G167</f>
        <v>0</v>
      </c>
      <c r="AH167" s="285">
        <f>'Pencapaian Product Display'!I167</f>
        <v>0</v>
      </c>
      <c r="AI167" s="304">
        <f>'Pencapaian Sales Contract'!G167</f>
        <v>0</v>
      </c>
      <c r="AJ167" s="285">
        <f>'Pencapaian Sales Contract'!I167</f>
        <v>0</v>
      </c>
      <c r="AK167" s="304">
        <f>'Pencapaian Co-Branding'!G167</f>
        <v>0</v>
      </c>
      <c r="AL167" s="285">
        <f>'Pencapaian Co-Branding'!I167</f>
        <v>0</v>
      </c>
      <c r="AM167" s="304">
        <f>'Pencapaian Join Event Activity'!G167</f>
        <v>0</v>
      </c>
      <c r="AN167" s="285">
        <f>'Pencapaian Join Event Activity'!I167</f>
        <v>0</v>
      </c>
      <c r="AO167" s="284">
        <f t="shared" si="109"/>
        <v>0</v>
      </c>
      <c r="AP167" s="322">
        <v>0</v>
      </c>
      <c r="AQ167" s="284">
        <f t="shared" si="110"/>
        <v>0</v>
      </c>
      <c r="AR167" s="322">
        <v>0</v>
      </c>
      <c r="AS167" s="284">
        <f t="shared" si="111"/>
        <v>0</v>
      </c>
      <c r="AT167" s="284">
        <f t="shared" si="107"/>
        <v>0</v>
      </c>
      <c r="AU167" s="284">
        <f t="shared" si="112"/>
        <v>0</v>
      </c>
      <c r="AV167" s="284">
        <v>0</v>
      </c>
    </row>
    <row r="168" spans="16:48" x14ac:dyDescent="0.2">
      <c r="P168" s="392"/>
      <c r="Q168" s="321"/>
      <c r="R168" s="323" t="s">
        <v>541</v>
      </c>
      <c r="S168" s="12" t="s">
        <v>675</v>
      </c>
      <c r="T168" s="269">
        <f>'Pencapaian Sales Value'!G168</f>
        <v>0.63834950000000001</v>
      </c>
      <c r="U168" s="284">
        <f>'Pencapaian Sales Value'!I168</f>
        <v>0</v>
      </c>
      <c r="V168" s="304">
        <f>'Pencapaian Product Focus'!H168</f>
        <v>0</v>
      </c>
      <c r="W168" s="304">
        <f>'Pencapaian Product Focus'!L168</f>
        <v>0</v>
      </c>
      <c r="X168" s="285">
        <f>'Pencapaian Product Focus'!N168</f>
        <v>0</v>
      </c>
      <c r="Y168" s="304">
        <f>'Pencapaian Effective Call'!G168</f>
        <v>0</v>
      </c>
      <c r="Z168" s="285">
        <f>'Pencapaian Effective Call'!I168</f>
        <v>0</v>
      </c>
      <c r="AA168" s="304">
        <f>'Pencapaian New Open Outlet'!G168</f>
        <v>0</v>
      </c>
      <c r="AB168" s="285">
        <f>'Pencapaian New Open Outlet'!I168</f>
        <v>0</v>
      </c>
      <c r="AC168" s="269">
        <f>'Pencapaian Active Outlet'!G168</f>
        <v>0.84</v>
      </c>
      <c r="AD168" s="284">
        <f>'Pencapaian Active Outlet'!I168</f>
        <v>90000</v>
      </c>
      <c r="AE168" s="304">
        <f>'Pencapaian Item per Outlet'!G168</f>
        <v>0</v>
      </c>
      <c r="AF168" s="285">
        <f>'Pencapaian Item per Outlet'!I168</f>
        <v>0</v>
      </c>
      <c r="AG168" s="304">
        <f>'Pencapaian Product Display'!G168</f>
        <v>0</v>
      </c>
      <c r="AH168" s="285">
        <f>'Pencapaian Product Display'!I168</f>
        <v>0</v>
      </c>
      <c r="AI168" s="304">
        <f>'Pencapaian Sales Contract'!G168</f>
        <v>0</v>
      </c>
      <c r="AJ168" s="285">
        <f>'Pencapaian Sales Contract'!I168</f>
        <v>0</v>
      </c>
      <c r="AK168" s="304">
        <f>'Pencapaian Co-Branding'!G168</f>
        <v>0</v>
      </c>
      <c r="AL168" s="285">
        <f>'Pencapaian Co-Branding'!I168</f>
        <v>0</v>
      </c>
      <c r="AM168" s="304">
        <f>'Pencapaian Join Event Activity'!G168</f>
        <v>0</v>
      </c>
      <c r="AN168" s="285">
        <f>'Pencapaian Join Event Activity'!I168</f>
        <v>0</v>
      </c>
      <c r="AO168" s="284">
        <f t="shared" si="109"/>
        <v>90000</v>
      </c>
      <c r="AP168" s="322">
        <v>0</v>
      </c>
      <c r="AQ168" s="284">
        <f t="shared" si="110"/>
        <v>0</v>
      </c>
      <c r="AR168" s="322">
        <v>0</v>
      </c>
      <c r="AS168" s="284">
        <f t="shared" si="111"/>
        <v>0</v>
      </c>
      <c r="AT168" s="284">
        <f t="shared" si="107"/>
        <v>90000</v>
      </c>
      <c r="AU168" s="284">
        <f t="shared" si="112"/>
        <v>90000</v>
      </c>
      <c r="AV168" s="284">
        <v>0</v>
      </c>
    </row>
    <row r="169" spans="16:48" x14ac:dyDescent="0.2">
      <c r="P169" s="392"/>
      <c r="Q169" s="321"/>
      <c r="R169" s="323" t="s">
        <v>538</v>
      </c>
      <c r="S169" s="12" t="s">
        <v>675</v>
      </c>
      <c r="T169" s="269">
        <f>'Pencapaian Sales Value'!G169</f>
        <v>0.3149483870967742</v>
      </c>
      <c r="U169" s="284">
        <f>'Pencapaian Sales Value'!I169</f>
        <v>0</v>
      </c>
      <c r="V169" s="304">
        <f>'Pencapaian Product Focus'!H169</f>
        <v>0</v>
      </c>
      <c r="W169" s="304">
        <f>'Pencapaian Product Focus'!L169</f>
        <v>0</v>
      </c>
      <c r="X169" s="285">
        <f>'Pencapaian Product Focus'!N169</f>
        <v>0</v>
      </c>
      <c r="Y169" s="304">
        <f>'Pencapaian Effective Call'!G169</f>
        <v>0</v>
      </c>
      <c r="Z169" s="285">
        <f>'Pencapaian Effective Call'!I169</f>
        <v>0</v>
      </c>
      <c r="AA169" s="304">
        <f>'Pencapaian New Open Outlet'!G169</f>
        <v>0</v>
      </c>
      <c r="AB169" s="285">
        <f>'Pencapaian New Open Outlet'!I169</f>
        <v>0</v>
      </c>
      <c r="AC169" s="269">
        <f>'Pencapaian Active Outlet'!G169</f>
        <v>0.32</v>
      </c>
      <c r="AD169" s="284">
        <f>'Pencapaian Active Outlet'!I169</f>
        <v>0</v>
      </c>
      <c r="AE169" s="304">
        <f>'Pencapaian Item per Outlet'!G169</f>
        <v>0</v>
      </c>
      <c r="AF169" s="285">
        <f>'Pencapaian Item per Outlet'!I169</f>
        <v>0</v>
      </c>
      <c r="AG169" s="304">
        <f>'Pencapaian Product Display'!G169</f>
        <v>0</v>
      </c>
      <c r="AH169" s="285">
        <f>'Pencapaian Product Display'!I169</f>
        <v>0</v>
      </c>
      <c r="AI169" s="304">
        <f>'Pencapaian Sales Contract'!G169</f>
        <v>0</v>
      </c>
      <c r="AJ169" s="285">
        <f>'Pencapaian Sales Contract'!I169</f>
        <v>0</v>
      </c>
      <c r="AK169" s="304">
        <f>'Pencapaian Co-Branding'!G169</f>
        <v>0</v>
      </c>
      <c r="AL169" s="285">
        <f>'Pencapaian Co-Branding'!I169</f>
        <v>0</v>
      </c>
      <c r="AM169" s="304">
        <f>'Pencapaian Join Event Activity'!G169</f>
        <v>0</v>
      </c>
      <c r="AN169" s="285">
        <f>'Pencapaian Join Event Activity'!I169</f>
        <v>0</v>
      </c>
      <c r="AO169" s="284">
        <f t="shared" si="109"/>
        <v>0</v>
      </c>
      <c r="AP169" s="322">
        <v>0</v>
      </c>
      <c r="AQ169" s="284">
        <f t="shared" si="110"/>
        <v>0</v>
      </c>
      <c r="AR169" s="322">
        <v>0</v>
      </c>
      <c r="AS169" s="284">
        <f t="shared" si="111"/>
        <v>0</v>
      </c>
      <c r="AT169" s="284">
        <f t="shared" si="107"/>
        <v>0</v>
      </c>
      <c r="AU169" s="284">
        <f t="shared" si="112"/>
        <v>0</v>
      </c>
      <c r="AV169" s="284">
        <v>0</v>
      </c>
    </row>
    <row r="170" spans="16:48" x14ac:dyDescent="0.2">
      <c r="P170" s="392"/>
      <c r="Q170" s="321"/>
      <c r="R170" s="323" t="s">
        <v>539</v>
      </c>
      <c r="S170" s="12" t="s">
        <v>675</v>
      </c>
      <c r="T170" s="269">
        <f>'Pencapaian Sales Value'!G170</f>
        <v>2.3625145806451613</v>
      </c>
      <c r="U170" s="284">
        <f>'Pencapaian Sales Value'!I170</f>
        <v>90000</v>
      </c>
      <c r="V170" s="304">
        <f>'Pencapaian Product Focus'!H170</f>
        <v>0</v>
      </c>
      <c r="W170" s="304">
        <f>'Pencapaian Product Focus'!L170</f>
        <v>0</v>
      </c>
      <c r="X170" s="285">
        <f>'Pencapaian Product Focus'!N170</f>
        <v>0</v>
      </c>
      <c r="Y170" s="304">
        <f>'Pencapaian Effective Call'!G170</f>
        <v>0</v>
      </c>
      <c r="Z170" s="285">
        <f>'Pencapaian Effective Call'!I170</f>
        <v>0</v>
      </c>
      <c r="AA170" s="304">
        <f>'Pencapaian New Open Outlet'!G170</f>
        <v>0</v>
      </c>
      <c r="AB170" s="285">
        <f>'Pencapaian New Open Outlet'!I170</f>
        <v>0</v>
      </c>
      <c r="AC170" s="269">
        <f>'Pencapaian Active Outlet'!G170</f>
        <v>0.2</v>
      </c>
      <c r="AD170" s="284">
        <f>'Pencapaian Active Outlet'!I170</f>
        <v>0</v>
      </c>
      <c r="AE170" s="304">
        <f>'Pencapaian Item per Outlet'!G170</f>
        <v>0</v>
      </c>
      <c r="AF170" s="285">
        <f>'Pencapaian Item per Outlet'!I170</f>
        <v>0</v>
      </c>
      <c r="AG170" s="304">
        <f>'Pencapaian Product Display'!G170</f>
        <v>0</v>
      </c>
      <c r="AH170" s="285">
        <f>'Pencapaian Product Display'!I170</f>
        <v>0</v>
      </c>
      <c r="AI170" s="304">
        <f>'Pencapaian Sales Contract'!G170</f>
        <v>0</v>
      </c>
      <c r="AJ170" s="285">
        <f>'Pencapaian Sales Contract'!I170</f>
        <v>0</v>
      </c>
      <c r="AK170" s="304">
        <f>'Pencapaian Co-Branding'!G170</f>
        <v>0</v>
      </c>
      <c r="AL170" s="285">
        <f>'Pencapaian Co-Branding'!I170</f>
        <v>0</v>
      </c>
      <c r="AM170" s="304">
        <f>'Pencapaian Join Event Activity'!G170</f>
        <v>0</v>
      </c>
      <c r="AN170" s="285">
        <f>'Pencapaian Join Event Activity'!I170</f>
        <v>0</v>
      </c>
      <c r="AO170" s="284">
        <f t="shared" si="109"/>
        <v>90000</v>
      </c>
      <c r="AP170" s="322">
        <v>0</v>
      </c>
      <c r="AQ170" s="284">
        <f t="shared" si="110"/>
        <v>0</v>
      </c>
      <c r="AR170" s="322">
        <v>0</v>
      </c>
      <c r="AS170" s="284">
        <f t="shared" si="111"/>
        <v>0</v>
      </c>
      <c r="AT170" s="284">
        <f t="shared" si="107"/>
        <v>90000</v>
      </c>
      <c r="AU170" s="284">
        <f t="shared" si="112"/>
        <v>90000</v>
      </c>
      <c r="AV170" s="284">
        <v>0</v>
      </c>
    </row>
    <row r="171" spans="16:48" x14ac:dyDescent="0.2">
      <c r="P171" s="392"/>
      <c r="Q171" s="321"/>
      <c r="R171" s="323" t="s">
        <v>537</v>
      </c>
      <c r="S171" s="12" t="s">
        <v>675</v>
      </c>
      <c r="T171" s="269">
        <f>'Pencapaian Sales Value'!G171</f>
        <v>0.83167240625000005</v>
      </c>
      <c r="U171" s="284">
        <f>'Pencapaian Sales Value'!I171</f>
        <v>60000</v>
      </c>
      <c r="V171" s="304">
        <f>'Pencapaian Product Focus'!H171</f>
        <v>0</v>
      </c>
      <c r="W171" s="304">
        <f>'Pencapaian Product Focus'!L171</f>
        <v>0</v>
      </c>
      <c r="X171" s="285">
        <f>'Pencapaian Product Focus'!N171</f>
        <v>0</v>
      </c>
      <c r="Y171" s="304">
        <f>'Pencapaian Effective Call'!G171</f>
        <v>0</v>
      </c>
      <c r="Z171" s="285">
        <f>'Pencapaian Effective Call'!I171</f>
        <v>0</v>
      </c>
      <c r="AA171" s="304">
        <f>'Pencapaian New Open Outlet'!G171</f>
        <v>0</v>
      </c>
      <c r="AB171" s="285">
        <f>'Pencapaian New Open Outlet'!I171</f>
        <v>0</v>
      </c>
      <c r="AC171" s="269">
        <f>'Pencapaian Active Outlet'!G171</f>
        <v>0.16</v>
      </c>
      <c r="AD171" s="284">
        <f>'Pencapaian Active Outlet'!I171</f>
        <v>0</v>
      </c>
      <c r="AE171" s="304">
        <f>'Pencapaian Item per Outlet'!G171</f>
        <v>0</v>
      </c>
      <c r="AF171" s="285">
        <f>'Pencapaian Item per Outlet'!I171</f>
        <v>0</v>
      </c>
      <c r="AG171" s="304">
        <f>'Pencapaian Product Display'!G171</f>
        <v>0</v>
      </c>
      <c r="AH171" s="285">
        <f>'Pencapaian Product Display'!I171</f>
        <v>0</v>
      </c>
      <c r="AI171" s="304">
        <f>'Pencapaian Sales Contract'!G171</f>
        <v>0</v>
      </c>
      <c r="AJ171" s="285">
        <f>'Pencapaian Sales Contract'!I171</f>
        <v>0</v>
      </c>
      <c r="AK171" s="304">
        <f>'Pencapaian Co-Branding'!G171</f>
        <v>0</v>
      </c>
      <c r="AL171" s="285">
        <f>'Pencapaian Co-Branding'!I171</f>
        <v>0</v>
      </c>
      <c r="AM171" s="304">
        <f>'Pencapaian Join Event Activity'!G171</f>
        <v>0</v>
      </c>
      <c r="AN171" s="285">
        <f>'Pencapaian Join Event Activity'!I171</f>
        <v>0</v>
      </c>
      <c r="AO171" s="284">
        <f t="shared" si="109"/>
        <v>60000</v>
      </c>
      <c r="AP171" s="322">
        <v>0</v>
      </c>
      <c r="AQ171" s="284">
        <f t="shared" si="110"/>
        <v>0</v>
      </c>
      <c r="AR171" s="322">
        <v>0</v>
      </c>
      <c r="AS171" s="284">
        <f t="shared" si="111"/>
        <v>0</v>
      </c>
      <c r="AT171" s="284">
        <f t="shared" si="107"/>
        <v>60000</v>
      </c>
      <c r="AU171" s="284">
        <f t="shared" si="112"/>
        <v>60000</v>
      </c>
      <c r="AV171" s="284">
        <v>0</v>
      </c>
    </row>
    <row r="172" spans="16:48" x14ac:dyDescent="0.2">
      <c r="P172" s="392"/>
      <c r="Q172" s="321"/>
      <c r="R172" s="323" t="s">
        <v>540</v>
      </c>
      <c r="S172" s="12" t="s">
        <v>675</v>
      </c>
      <c r="T172" s="269">
        <f>'Pencapaian Sales Value'!G172</f>
        <v>0.24556903225806451</v>
      </c>
      <c r="U172" s="284">
        <f>'Pencapaian Sales Value'!I172</f>
        <v>0</v>
      </c>
      <c r="V172" s="304">
        <f>'Pencapaian Product Focus'!H172</f>
        <v>0</v>
      </c>
      <c r="W172" s="304">
        <f>'Pencapaian Product Focus'!L172</f>
        <v>0</v>
      </c>
      <c r="X172" s="285">
        <f>'Pencapaian Product Focus'!N172</f>
        <v>0</v>
      </c>
      <c r="Y172" s="304">
        <f>'Pencapaian Effective Call'!G172</f>
        <v>0</v>
      </c>
      <c r="Z172" s="285">
        <f>'Pencapaian Effective Call'!I172</f>
        <v>0</v>
      </c>
      <c r="AA172" s="304">
        <f>'Pencapaian New Open Outlet'!G172</f>
        <v>0</v>
      </c>
      <c r="AB172" s="285">
        <f>'Pencapaian New Open Outlet'!I172</f>
        <v>0</v>
      </c>
      <c r="AC172" s="269">
        <f>'Pencapaian Active Outlet'!G172</f>
        <v>0.34</v>
      </c>
      <c r="AD172" s="284">
        <f>'Pencapaian Active Outlet'!I172</f>
        <v>0</v>
      </c>
      <c r="AE172" s="304">
        <f>'Pencapaian Item per Outlet'!G172</f>
        <v>0</v>
      </c>
      <c r="AF172" s="285">
        <f>'Pencapaian Item per Outlet'!I172</f>
        <v>0</v>
      </c>
      <c r="AG172" s="304">
        <f>'Pencapaian Product Display'!G172</f>
        <v>0</v>
      </c>
      <c r="AH172" s="285">
        <f>'Pencapaian Product Display'!I172</f>
        <v>0</v>
      </c>
      <c r="AI172" s="304">
        <f>'Pencapaian Sales Contract'!G172</f>
        <v>0</v>
      </c>
      <c r="AJ172" s="285">
        <f>'Pencapaian Sales Contract'!I172</f>
        <v>0</v>
      </c>
      <c r="AK172" s="304">
        <f>'Pencapaian Co-Branding'!G172</f>
        <v>0</v>
      </c>
      <c r="AL172" s="285">
        <f>'Pencapaian Co-Branding'!I172</f>
        <v>0</v>
      </c>
      <c r="AM172" s="304">
        <f>'Pencapaian Join Event Activity'!G172</f>
        <v>0</v>
      </c>
      <c r="AN172" s="285">
        <f>'Pencapaian Join Event Activity'!I172</f>
        <v>0</v>
      </c>
      <c r="AO172" s="284">
        <f t="shared" si="109"/>
        <v>0</v>
      </c>
      <c r="AP172" s="322">
        <v>0</v>
      </c>
      <c r="AQ172" s="284">
        <f t="shared" si="110"/>
        <v>0</v>
      </c>
      <c r="AR172" s="322">
        <v>0</v>
      </c>
      <c r="AS172" s="284">
        <f t="shared" si="111"/>
        <v>0</v>
      </c>
      <c r="AT172" s="284">
        <f t="shared" si="107"/>
        <v>0</v>
      </c>
      <c r="AU172" s="284">
        <f t="shared" si="112"/>
        <v>0</v>
      </c>
      <c r="AV172" s="284">
        <v>0</v>
      </c>
    </row>
    <row r="173" spans="16:48" x14ac:dyDescent="0.2">
      <c r="P173" s="392"/>
      <c r="Q173" s="324"/>
      <c r="R173" s="324" t="s">
        <v>680</v>
      </c>
      <c r="S173" s="64" t="s">
        <v>673</v>
      </c>
      <c r="T173" s="258">
        <f>'Pencapaian Sales Value'!G173</f>
        <v>0.79660769294605804</v>
      </c>
      <c r="U173" s="286">
        <f>'Pencapaian Sales Value'!I173</f>
        <v>0</v>
      </c>
      <c r="V173" s="268">
        <f>'Pencapaian Product Focus'!H173</f>
        <v>0</v>
      </c>
      <c r="W173" s="268">
        <f>'Pencapaian Product Focus'!L173</f>
        <v>0</v>
      </c>
      <c r="X173" s="189">
        <f>'Pencapaian Product Focus'!N173</f>
        <v>0</v>
      </c>
      <c r="Y173" s="268">
        <f>'Pencapaian Effective Call'!G173</f>
        <v>0</v>
      </c>
      <c r="Z173" s="189">
        <f>'Pencapaian Effective Call'!I173</f>
        <v>0</v>
      </c>
      <c r="AA173" s="268">
        <f>'Pencapaian New Open Outlet'!G173</f>
        <v>0</v>
      </c>
      <c r="AB173" s="189">
        <f>'Pencapaian New Open Outlet'!I173</f>
        <v>0</v>
      </c>
      <c r="AC173" s="258">
        <f>'Pencapaian Active Outlet'!G173</f>
        <v>0.35666666666666669</v>
      </c>
      <c r="AD173" s="286">
        <f>'Pencapaian Active Outlet'!I173</f>
        <v>0</v>
      </c>
      <c r="AE173" s="268">
        <f>'Pencapaian Item per Outlet'!G173</f>
        <v>0</v>
      </c>
      <c r="AF173" s="189">
        <f>'Pencapaian Item per Outlet'!I173</f>
        <v>0</v>
      </c>
      <c r="AG173" s="268">
        <f>'Pencapaian Product Display'!G173</f>
        <v>0</v>
      </c>
      <c r="AH173" s="189">
        <f>'Pencapaian Product Display'!I173</f>
        <v>0</v>
      </c>
      <c r="AI173" s="268">
        <f>'Pencapaian Sales Contract'!G173</f>
        <v>0</v>
      </c>
      <c r="AJ173" s="189">
        <f>'Pencapaian Sales Contract'!I173</f>
        <v>0</v>
      </c>
      <c r="AK173" s="268">
        <f>'Pencapaian Co-Branding'!G173</f>
        <v>0</v>
      </c>
      <c r="AL173" s="189">
        <f>'Pencapaian Co-Branding'!I173</f>
        <v>0</v>
      </c>
      <c r="AM173" s="268">
        <f>'Pencapaian Join Event Activity'!G173</f>
        <v>0</v>
      </c>
      <c r="AN173" s="189">
        <f>'Pencapaian Join Event Activity'!I173</f>
        <v>0</v>
      </c>
      <c r="AO173" s="286">
        <f t="shared" si="109"/>
        <v>0</v>
      </c>
      <c r="AP173" s="289">
        <v>0</v>
      </c>
      <c r="AQ173" s="286">
        <f t="shared" si="110"/>
        <v>0</v>
      </c>
      <c r="AR173" s="289">
        <v>0</v>
      </c>
      <c r="AS173" s="286">
        <f t="shared" si="111"/>
        <v>0</v>
      </c>
      <c r="AT173" s="286">
        <f t="shared" si="107"/>
        <v>0</v>
      </c>
      <c r="AU173" s="286">
        <f t="shared" si="112"/>
        <v>0</v>
      </c>
      <c r="AV173" s="286">
        <v>0</v>
      </c>
    </row>
    <row r="174" spans="16:48" x14ac:dyDescent="0.2">
      <c r="P174" s="392"/>
      <c r="Q174" s="321"/>
      <c r="R174" s="323" t="s">
        <v>617</v>
      </c>
      <c r="S174" s="12" t="s">
        <v>675</v>
      </c>
      <c r="T174" s="269">
        <f>'Pencapaian Sales Value'!G174</f>
        <v>1.627000625</v>
      </c>
      <c r="U174" s="284">
        <f>'Pencapaian Sales Value'!I174</f>
        <v>90000</v>
      </c>
      <c r="V174" s="304">
        <f>'Pencapaian Product Focus'!H174</f>
        <v>0</v>
      </c>
      <c r="W174" s="304">
        <f>'Pencapaian Product Focus'!L174</f>
        <v>0</v>
      </c>
      <c r="X174" s="285">
        <f>'Pencapaian Product Focus'!N174</f>
        <v>0</v>
      </c>
      <c r="Y174" s="304">
        <f>'Pencapaian Effective Call'!G174</f>
        <v>0</v>
      </c>
      <c r="Z174" s="285">
        <f>'Pencapaian Effective Call'!I174</f>
        <v>0</v>
      </c>
      <c r="AA174" s="304">
        <f>'Pencapaian New Open Outlet'!G174</f>
        <v>0</v>
      </c>
      <c r="AB174" s="285">
        <f>'Pencapaian New Open Outlet'!I174</f>
        <v>0</v>
      </c>
      <c r="AC174" s="269">
        <f>'Pencapaian Active Outlet'!G174</f>
        <v>0.46</v>
      </c>
      <c r="AD174" s="284">
        <f>'Pencapaian Active Outlet'!I174</f>
        <v>0</v>
      </c>
      <c r="AE174" s="304">
        <f>'Pencapaian Item per Outlet'!G174</f>
        <v>0</v>
      </c>
      <c r="AF174" s="285">
        <f>'Pencapaian Item per Outlet'!I174</f>
        <v>0</v>
      </c>
      <c r="AG174" s="304">
        <f>'Pencapaian Product Display'!G174</f>
        <v>0</v>
      </c>
      <c r="AH174" s="285">
        <f>'Pencapaian Product Display'!I174</f>
        <v>0</v>
      </c>
      <c r="AI174" s="304">
        <f>'Pencapaian Sales Contract'!G174</f>
        <v>0</v>
      </c>
      <c r="AJ174" s="285">
        <f>'Pencapaian Sales Contract'!I174</f>
        <v>0</v>
      </c>
      <c r="AK174" s="304">
        <f>'Pencapaian Co-Branding'!G174</f>
        <v>0</v>
      </c>
      <c r="AL174" s="285">
        <f>'Pencapaian Co-Branding'!I174</f>
        <v>0</v>
      </c>
      <c r="AM174" s="304">
        <f>'Pencapaian Join Event Activity'!G174</f>
        <v>0</v>
      </c>
      <c r="AN174" s="285">
        <f>'Pencapaian Join Event Activity'!I174</f>
        <v>0</v>
      </c>
      <c r="AO174" s="284">
        <f t="shared" si="109"/>
        <v>90000</v>
      </c>
      <c r="AP174" s="322">
        <v>0</v>
      </c>
      <c r="AQ174" s="284">
        <f t="shared" si="110"/>
        <v>0</v>
      </c>
      <c r="AR174" s="322">
        <v>0</v>
      </c>
      <c r="AS174" s="284">
        <f t="shared" si="111"/>
        <v>0</v>
      </c>
      <c r="AT174" s="284">
        <f t="shared" si="107"/>
        <v>90000</v>
      </c>
      <c r="AU174" s="284">
        <f t="shared" si="112"/>
        <v>90000</v>
      </c>
      <c r="AV174" s="284">
        <v>0</v>
      </c>
    </row>
    <row r="175" spans="16:48" x14ac:dyDescent="0.2">
      <c r="P175" s="392"/>
      <c r="Q175" s="321"/>
      <c r="R175" s="323" t="s">
        <v>802</v>
      </c>
      <c r="S175" s="12"/>
      <c r="T175" s="269" t="e">
        <f>'Pencapaian Sales Value'!G175</f>
        <v>#DIV/0!</v>
      </c>
      <c r="U175" s="284">
        <f>'Pencapaian Sales Value'!I175</f>
        <v>0</v>
      </c>
      <c r="V175" s="304">
        <f>'Pencapaian Product Focus'!H175</f>
        <v>0</v>
      </c>
      <c r="W175" s="304">
        <f>'Pencapaian Product Focus'!L175</f>
        <v>0</v>
      </c>
      <c r="X175" s="285">
        <f>'Pencapaian Product Focus'!N175</f>
        <v>0</v>
      </c>
      <c r="Y175" s="304">
        <f>'Pencapaian Effective Call'!G175</f>
        <v>0</v>
      </c>
      <c r="Z175" s="285">
        <f>'Pencapaian Effective Call'!I175</f>
        <v>0</v>
      </c>
      <c r="AA175" s="304">
        <f>'Pencapaian New Open Outlet'!G175</f>
        <v>0</v>
      </c>
      <c r="AB175" s="285">
        <f>'Pencapaian New Open Outlet'!I175</f>
        <v>0</v>
      </c>
      <c r="AC175" s="269" t="e">
        <f>'Pencapaian Active Outlet'!G175</f>
        <v>#DIV/0!</v>
      </c>
      <c r="AD175" s="284">
        <f>'Pencapaian Active Outlet'!I175</f>
        <v>0</v>
      </c>
      <c r="AE175" s="304">
        <f>'Pencapaian Item per Outlet'!G175</f>
        <v>0</v>
      </c>
      <c r="AF175" s="285">
        <f>'Pencapaian Item per Outlet'!I175</f>
        <v>0</v>
      </c>
      <c r="AG175" s="304">
        <f>'Pencapaian Product Display'!G175</f>
        <v>0</v>
      </c>
      <c r="AH175" s="285">
        <f>'Pencapaian Product Display'!I175</f>
        <v>0</v>
      </c>
      <c r="AI175" s="304">
        <f>'Pencapaian Sales Contract'!G175</f>
        <v>0</v>
      </c>
      <c r="AJ175" s="285">
        <f>'Pencapaian Sales Contract'!I175</f>
        <v>0</v>
      </c>
      <c r="AK175" s="304">
        <f>'Pencapaian Co-Branding'!G175</f>
        <v>0</v>
      </c>
      <c r="AL175" s="285">
        <f>'Pencapaian Co-Branding'!I175</f>
        <v>0</v>
      </c>
      <c r="AM175" s="304">
        <f>'Pencapaian Join Event Activity'!G175</f>
        <v>0</v>
      </c>
      <c r="AN175" s="285">
        <f>'Pencapaian Join Event Activity'!I175</f>
        <v>0</v>
      </c>
      <c r="AO175" s="284">
        <f t="shared" si="109"/>
        <v>0</v>
      </c>
      <c r="AP175" s="322">
        <v>0</v>
      </c>
      <c r="AQ175" s="284">
        <f t="shared" si="110"/>
        <v>0</v>
      </c>
      <c r="AR175" s="322">
        <v>0</v>
      </c>
      <c r="AS175" s="284">
        <f t="shared" si="111"/>
        <v>0</v>
      </c>
      <c r="AT175" s="284">
        <f t="shared" si="107"/>
        <v>0</v>
      </c>
      <c r="AU175" s="284">
        <f t="shared" si="112"/>
        <v>0</v>
      </c>
      <c r="AV175" s="284">
        <v>0</v>
      </c>
    </row>
    <row r="176" spans="16:48" x14ac:dyDescent="0.2">
      <c r="P176" s="392"/>
      <c r="Q176" s="321"/>
      <c r="R176" s="323" t="s">
        <v>542</v>
      </c>
      <c r="S176" s="12" t="s">
        <v>675</v>
      </c>
      <c r="T176" s="269">
        <f>'Pencapaian Sales Value'!G176</f>
        <v>0.10621312500000001</v>
      </c>
      <c r="U176" s="284">
        <f>'Pencapaian Sales Value'!I176</f>
        <v>0</v>
      </c>
      <c r="V176" s="304">
        <f>'Pencapaian Product Focus'!H176</f>
        <v>0</v>
      </c>
      <c r="W176" s="304">
        <f>'Pencapaian Product Focus'!L176</f>
        <v>0</v>
      </c>
      <c r="X176" s="285">
        <f>'Pencapaian Product Focus'!N176</f>
        <v>0</v>
      </c>
      <c r="Y176" s="304">
        <f>'Pencapaian Effective Call'!G176</f>
        <v>0</v>
      </c>
      <c r="Z176" s="285">
        <f>'Pencapaian Effective Call'!I176</f>
        <v>0</v>
      </c>
      <c r="AA176" s="304">
        <f>'Pencapaian New Open Outlet'!G176</f>
        <v>0</v>
      </c>
      <c r="AB176" s="285">
        <f>'Pencapaian New Open Outlet'!I176</f>
        <v>0</v>
      </c>
      <c r="AC176" s="269">
        <f>'Pencapaian Active Outlet'!G176</f>
        <v>0.52</v>
      </c>
      <c r="AD176" s="284">
        <f>'Pencapaian Active Outlet'!I176</f>
        <v>0</v>
      </c>
      <c r="AE176" s="304">
        <f>'Pencapaian Item per Outlet'!G176</f>
        <v>0</v>
      </c>
      <c r="AF176" s="285">
        <f>'Pencapaian Item per Outlet'!I176</f>
        <v>0</v>
      </c>
      <c r="AG176" s="304">
        <f>'Pencapaian Product Display'!G176</f>
        <v>0</v>
      </c>
      <c r="AH176" s="285">
        <f>'Pencapaian Product Display'!I176</f>
        <v>0</v>
      </c>
      <c r="AI176" s="304">
        <f>'Pencapaian Sales Contract'!G176</f>
        <v>0</v>
      </c>
      <c r="AJ176" s="285">
        <f>'Pencapaian Sales Contract'!I176</f>
        <v>0</v>
      </c>
      <c r="AK176" s="304">
        <f>'Pencapaian Co-Branding'!G176</f>
        <v>0</v>
      </c>
      <c r="AL176" s="285">
        <f>'Pencapaian Co-Branding'!I176</f>
        <v>0</v>
      </c>
      <c r="AM176" s="304">
        <f>'Pencapaian Join Event Activity'!G176</f>
        <v>0</v>
      </c>
      <c r="AN176" s="285">
        <f>'Pencapaian Join Event Activity'!I176</f>
        <v>0</v>
      </c>
      <c r="AO176" s="284">
        <f t="shared" si="109"/>
        <v>0</v>
      </c>
      <c r="AP176" s="322">
        <v>0</v>
      </c>
      <c r="AQ176" s="284">
        <f t="shared" si="110"/>
        <v>0</v>
      </c>
      <c r="AR176" s="322">
        <v>0</v>
      </c>
      <c r="AS176" s="284">
        <f t="shared" si="111"/>
        <v>0</v>
      </c>
      <c r="AT176" s="284">
        <f t="shared" si="107"/>
        <v>0</v>
      </c>
      <c r="AU176" s="284">
        <f t="shared" si="112"/>
        <v>0</v>
      </c>
      <c r="AV176" s="284">
        <v>0</v>
      </c>
    </row>
    <row r="177" spans="2:48" x14ac:dyDescent="0.2">
      <c r="P177" s="392"/>
      <c r="Q177" s="321"/>
      <c r="R177" s="323" t="s">
        <v>543</v>
      </c>
      <c r="S177" s="12" t="s">
        <v>675</v>
      </c>
      <c r="T177" s="269">
        <f>'Pencapaian Sales Value'!G177</f>
        <v>0.13805722222222222</v>
      </c>
      <c r="U177" s="284">
        <f>'Pencapaian Sales Value'!I177</f>
        <v>0</v>
      </c>
      <c r="V177" s="304">
        <f>'Pencapaian Product Focus'!H177</f>
        <v>0</v>
      </c>
      <c r="W177" s="304">
        <f>'Pencapaian Product Focus'!L177</f>
        <v>0</v>
      </c>
      <c r="X177" s="285">
        <f>'Pencapaian Product Focus'!N177</f>
        <v>0</v>
      </c>
      <c r="Y177" s="304">
        <f>'Pencapaian Effective Call'!G177</f>
        <v>0</v>
      </c>
      <c r="Z177" s="285">
        <f>'Pencapaian Effective Call'!I177</f>
        <v>0</v>
      </c>
      <c r="AA177" s="304">
        <f>'Pencapaian New Open Outlet'!G177</f>
        <v>0</v>
      </c>
      <c r="AB177" s="285">
        <f>'Pencapaian New Open Outlet'!I177</f>
        <v>0</v>
      </c>
      <c r="AC177" s="269">
        <f>'Pencapaian Active Outlet'!G177</f>
        <v>0.44</v>
      </c>
      <c r="AD177" s="284">
        <f>'Pencapaian Active Outlet'!I177</f>
        <v>0</v>
      </c>
      <c r="AE177" s="304">
        <f>'Pencapaian Item per Outlet'!G177</f>
        <v>0</v>
      </c>
      <c r="AF177" s="285">
        <f>'Pencapaian Item per Outlet'!I177</f>
        <v>0</v>
      </c>
      <c r="AG177" s="304">
        <f>'Pencapaian Product Display'!G177</f>
        <v>0</v>
      </c>
      <c r="AH177" s="285">
        <f>'Pencapaian Product Display'!I177</f>
        <v>0</v>
      </c>
      <c r="AI177" s="304">
        <f>'Pencapaian Sales Contract'!G177</f>
        <v>0</v>
      </c>
      <c r="AJ177" s="285">
        <f>'Pencapaian Sales Contract'!I177</f>
        <v>0</v>
      </c>
      <c r="AK177" s="304">
        <f>'Pencapaian Co-Branding'!G177</f>
        <v>0</v>
      </c>
      <c r="AL177" s="285">
        <f>'Pencapaian Co-Branding'!I177</f>
        <v>0</v>
      </c>
      <c r="AM177" s="304">
        <f>'Pencapaian Join Event Activity'!G177</f>
        <v>0</v>
      </c>
      <c r="AN177" s="285">
        <f>'Pencapaian Join Event Activity'!I177</f>
        <v>0</v>
      </c>
      <c r="AO177" s="284">
        <f t="shared" si="109"/>
        <v>0</v>
      </c>
      <c r="AP177" s="322">
        <v>0</v>
      </c>
      <c r="AQ177" s="284">
        <f t="shared" si="110"/>
        <v>0</v>
      </c>
      <c r="AR177" s="322">
        <v>0</v>
      </c>
      <c r="AS177" s="284">
        <f t="shared" si="111"/>
        <v>0</v>
      </c>
      <c r="AT177" s="284">
        <f t="shared" si="107"/>
        <v>0</v>
      </c>
      <c r="AU177" s="284">
        <f t="shared" si="112"/>
        <v>0</v>
      </c>
      <c r="AV177" s="284">
        <v>0</v>
      </c>
    </row>
    <row r="178" spans="2:48" x14ac:dyDescent="0.2">
      <c r="P178" s="392"/>
      <c r="Q178" s="321"/>
      <c r="R178" s="323" t="s">
        <v>618</v>
      </c>
      <c r="S178" s="12" t="s">
        <v>675</v>
      </c>
      <c r="T178" s="269">
        <f>'Pencapaian Sales Value'!G178</f>
        <v>0.47797082352941178</v>
      </c>
      <c r="U178" s="284">
        <f>'Pencapaian Sales Value'!I178</f>
        <v>0</v>
      </c>
      <c r="V178" s="304">
        <f>'Pencapaian Product Focus'!H178</f>
        <v>0</v>
      </c>
      <c r="W178" s="304">
        <f>'Pencapaian Product Focus'!L178</f>
        <v>0</v>
      </c>
      <c r="X178" s="285">
        <f>'Pencapaian Product Focus'!N178</f>
        <v>0</v>
      </c>
      <c r="Y178" s="304">
        <f>'Pencapaian Effective Call'!G178</f>
        <v>0</v>
      </c>
      <c r="Z178" s="285">
        <f>'Pencapaian Effective Call'!I178</f>
        <v>0</v>
      </c>
      <c r="AA178" s="304">
        <f>'Pencapaian New Open Outlet'!G178</f>
        <v>0</v>
      </c>
      <c r="AB178" s="285">
        <f>'Pencapaian New Open Outlet'!I178</f>
        <v>0</v>
      </c>
      <c r="AC178" s="269">
        <f>'Pencapaian Active Outlet'!G178</f>
        <v>0.5</v>
      </c>
      <c r="AD178" s="284">
        <f>'Pencapaian Active Outlet'!I178</f>
        <v>0</v>
      </c>
      <c r="AE178" s="304">
        <f>'Pencapaian Item per Outlet'!G178</f>
        <v>0</v>
      </c>
      <c r="AF178" s="285">
        <f>'Pencapaian Item per Outlet'!I178</f>
        <v>0</v>
      </c>
      <c r="AG178" s="304">
        <f>'Pencapaian Product Display'!G178</f>
        <v>0</v>
      </c>
      <c r="AH178" s="285">
        <f>'Pencapaian Product Display'!I178</f>
        <v>0</v>
      </c>
      <c r="AI178" s="304">
        <f>'Pencapaian Sales Contract'!G178</f>
        <v>0</v>
      </c>
      <c r="AJ178" s="285">
        <f>'Pencapaian Sales Contract'!I178</f>
        <v>0</v>
      </c>
      <c r="AK178" s="304">
        <f>'Pencapaian Co-Branding'!G178</f>
        <v>0</v>
      </c>
      <c r="AL178" s="285">
        <f>'Pencapaian Co-Branding'!I178</f>
        <v>0</v>
      </c>
      <c r="AM178" s="304">
        <f>'Pencapaian Join Event Activity'!G178</f>
        <v>0</v>
      </c>
      <c r="AN178" s="285">
        <f>'Pencapaian Join Event Activity'!I178</f>
        <v>0</v>
      </c>
      <c r="AO178" s="284">
        <f t="shared" si="109"/>
        <v>0</v>
      </c>
      <c r="AP178" s="322">
        <v>0</v>
      </c>
      <c r="AQ178" s="284">
        <f t="shared" si="110"/>
        <v>0</v>
      </c>
      <c r="AR178" s="322">
        <v>0</v>
      </c>
      <c r="AS178" s="284">
        <f t="shared" si="111"/>
        <v>0</v>
      </c>
      <c r="AT178" s="284">
        <f t="shared" si="107"/>
        <v>0</v>
      </c>
      <c r="AU178" s="284">
        <f t="shared" si="112"/>
        <v>0</v>
      </c>
      <c r="AV178" s="284">
        <v>0</v>
      </c>
    </row>
    <row r="179" spans="2:48" x14ac:dyDescent="0.2">
      <c r="P179" s="392"/>
      <c r="Q179" s="324"/>
      <c r="R179" s="324" t="s">
        <v>687</v>
      </c>
      <c r="S179" s="64" t="s">
        <v>673</v>
      </c>
      <c r="T179" s="258">
        <f>'Pencapaian Sales Value'!G179</f>
        <v>0.57226797014925368</v>
      </c>
      <c r="U179" s="286">
        <f>'Pencapaian Sales Value'!I179</f>
        <v>0</v>
      </c>
      <c r="V179" s="268">
        <f>'Pencapaian Product Focus'!H179</f>
        <v>0</v>
      </c>
      <c r="W179" s="268">
        <f>'Pencapaian Product Focus'!L179</f>
        <v>0</v>
      </c>
      <c r="X179" s="189">
        <f>'Pencapaian Product Focus'!N179</f>
        <v>0</v>
      </c>
      <c r="Y179" s="268">
        <f>'Pencapaian Effective Call'!G179</f>
        <v>0</v>
      </c>
      <c r="Z179" s="189">
        <f>'Pencapaian Effective Call'!I179</f>
        <v>0</v>
      </c>
      <c r="AA179" s="268">
        <f>'Pencapaian New Open Outlet'!G179</f>
        <v>0</v>
      </c>
      <c r="AB179" s="189">
        <f>'Pencapaian New Open Outlet'!I179</f>
        <v>0</v>
      </c>
      <c r="AC179" s="258">
        <f>'Pencapaian Active Outlet'!G179</f>
        <v>0.47647058823529409</v>
      </c>
      <c r="AD179" s="286">
        <f>'Pencapaian Active Outlet'!I179</f>
        <v>0</v>
      </c>
      <c r="AE179" s="268">
        <f>'Pencapaian Item per Outlet'!G179</f>
        <v>0</v>
      </c>
      <c r="AF179" s="189">
        <f>'Pencapaian Item per Outlet'!I179</f>
        <v>0</v>
      </c>
      <c r="AG179" s="268">
        <f>'Pencapaian Product Display'!G179</f>
        <v>0</v>
      </c>
      <c r="AH179" s="189">
        <f>'Pencapaian Product Display'!I179</f>
        <v>0</v>
      </c>
      <c r="AI179" s="268">
        <f>'Pencapaian Sales Contract'!G179</f>
        <v>0</v>
      </c>
      <c r="AJ179" s="189">
        <f>'Pencapaian Sales Contract'!I179</f>
        <v>0</v>
      </c>
      <c r="AK179" s="268">
        <f>'Pencapaian Co-Branding'!G179</f>
        <v>0</v>
      </c>
      <c r="AL179" s="189">
        <f>'Pencapaian Co-Branding'!I179</f>
        <v>0</v>
      </c>
      <c r="AM179" s="268">
        <f>'Pencapaian Join Event Activity'!G179</f>
        <v>0</v>
      </c>
      <c r="AN179" s="189">
        <f>'Pencapaian Join Event Activity'!I179</f>
        <v>0</v>
      </c>
      <c r="AO179" s="286">
        <f t="shared" si="109"/>
        <v>0</v>
      </c>
      <c r="AP179" s="289">
        <v>0</v>
      </c>
      <c r="AQ179" s="286">
        <f t="shared" si="110"/>
        <v>0</v>
      </c>
      <c r="AR179" s="289">
        <v>0</v>
      </c>
      <c r="AS179" s="286">
        <f t="shared" si="111"/>
        <v>0</v>
      </c>
      <c r="AT179" s="286">
        <f t="shared" si="107"/>
        <v>0</v>
      </c>
      <c r="AU179" s="286">
        <f t="shared" si="112"/>
        <v>0</v>
      </c>
      <c r="AV179" s="286">
        <v>0</v>
      </c>
    </row>
    <row r="180" spans="2:48" x14ac:dyDescent="0.2">
      <c r="P180" s="392"/>
      <c r="Q180" s="324"/>
      <c r="R180" s="324" t="s">
        <v>95</v>
      </c>
      <c r="S180" s="64" t="s">
        <v>20</v>
      </c>
      <c r="T180" s="258">
        <f>'Pencapaian Sales Value'!G180</f>
        <v>0.71644363200000005</v>
      </c>
      <c r="U180" s="286">
        <f>'Pencapaian Sales Value'!I180</f>
        <v>120000</v>
      </c>
      <c r="V180" s="268">
        <f>'Pencapaian Product Focus'!H180</f>
        <v>0</v>
      </c>
      <c r="W180" s="268">
        <f>'Pencapaian Product Focus'!L180</f>
        <v>0</v>
      </c>
      <c r="X180" s="189">
        <f>'Pencapaian Product Focus'!N180</f>
        <v>0</v>
      </c>
      <c r="Y180" s="268">
        <f>'Pencapaian Effective Call'!G180</f>
        <v>0</v>
      </c>
      <c r="Z180" s="189">
        <f>'Pencapaian Effective Call'!I180</f>
        <v>0</v>
      </c>
      <c r="AA180" s="268">
        <f>'Pencapaian New Open Outlet'!G180</f>
        <v>0</v>
      </c>
      <c r="AB180" s="189">
        <f>'Pencapaian New Open Outlet'!I180</f>
        <v>0</v>
      </c>
      <c r="AC180" s="258">
        <f>'Pencapaian Active Outlet'!G180</f>
        <v>0.4</v>
      </c>
      <c r="AD180" s="286">
        <f>'Pencapaian Active Outlet'!I180</f>
        <v>0</v>
      </c>
      <c r="AE180" s="268">
        <f>'Pencapaian Item per Outlet'!G180</f>
        <v>0</v>
      </c>
      <c r="AF180" s="189">
        <f>'Pencapaian Item per Outlet'!I180</f>
        <v>0</v>
      </c>
      <c r="AG180" s="268">
        <f>'Pencapaian Product Display'!G180</f>
        <v>0</v>
      </c>
      <c r="AH180" s="189">
        <f>'Pencapaian Product Display'!I180</f>
        <v>0</v>
      </c>
      <c r="AI180" s="268">
        <f>'Pencapaian Sales Contract'!G180</f>
        <v>0</v>
      </c>
      <c r="AJ180" s="189">
        <f>'Pencapaian Sales Contract'!I180</f>
        <v>0</v>
      </c>
      <c r="AK180" s="268">
        <f>'Pencapaian Co-Branding'!G180</f>
        <v>0</v>
      </c>
      <c r="AL180" s="189">
        <f>'Pencapaian Co-Branding'!I180</f>
        <v>0</v>
      </c>
      <c r="AM180" s="268">
        <f>'Pencapaian Join Event Activity'!G180</f>
        <v>0</v>
      </c>
      <c r="AN180" s="189">
        <f>'Pencapaian Join Event Activity'!I180</f>
        <v>0</v>
      </c>
      <c r="AO180" s="286">
        <f t="shared" si="109"/>
        <v>120000</v>
      </c>
      <c r="AP180" s="289">
        <v>0</v>
      </c>
      <c r="AQ180" s="286">
        <f t="shared" si="110"/>
        <v>0</v>
      </c>
      <c r="AR180" s="289">
        <v>0</v>
      </c>
      <c r="AS180" s="286">
        <f t="shared" si="111"/>
        <v>0</v>
      </c>
      <c r="AT180" s="286">
        <f t="shared" si="107"/>
        <v>120000</v>
      </c>
      <c r="AU180" s="286">
        <f t="shared" si="112"/>
        <v>120000</v>
      </c>
      <c r="AV180" s="286">
        <v>0</v>
      </c>
    </row>
    <row r="181" spans="2:48" ht="14.5" customHeight="1" x14ac:dyDescent="0.2">
      <c r="P181" s="393"/>
      <c r="Q181" s="325"/>
      <c r="R181" s="325" t="s">
        <v>556</v>
      </c>
      <c r="S181" s="42"/>
      <c r="T181" s="264">
        <f>'Pencapaian Sales Value'!G181</f>
        <v>0.71644363200000005</v>
      </c>
      <c r="U181" s="287">
        <f>'Pencapaian Sales Value'!I181</f>
        <v>360000</v>
      </c>
      <c r="V181" s="274">
        <f>'Pencapaian Product Focus'!H181</f>
        <v>0</v>
      </c>
      <c r="W181" s="274">
        <f>'Pencapaian Product Focus'!L181</f>
        <v>0</v>
      </c>
      <c r="X181" s="190">
        <f>'Pencapaian Product Focus'!N181</f>
        <v>0</v>
      </c>
      <c r="Y181" s="274">
        <f>'Pencapaian Effective Call'!G181</f>
        <v>0</v>
      </c>
      <c r="Z181" s="190">
        <f>'Pencapaian Effective Call'!I181</f>
        <v>0</v>
      </c>
      <c r="AA181" s="274">
        <f>'Pencapaian New Open Outlet'!G181</f>
        <v>0</v>
      </c>
      <c r="AB181" s="190">
        <f>'Pencapaian New Open Outlet'!I181</f>
        <v>0</v>
      </c>
      <c r="AC181" s="264">
        <f>'Pencapaian Active Outlet'!G181</f>
        <v>0.4</v>
      </c>
      <c r="AD181" s="287">
        <f>'Pencapaian Active Outlet'!I181</f>
        <v>90000</v>
      </c>
      <c r="AE181" s="274">
        <f>'Pencapaian Item per Outlet'!G181</f>
        <v>0</v>
      </c>
      <c r="AF181" s="190">
        <f>'Pencapaian Item per Outlet'!I181</f>
        <v>0</v>
      </c>
      <c r="AG181" s="274">
        <f>'Pencapaian Product Display'!G181</f>
        <v>0</v>
      </c>
      <c r="AH181" s="190">
        <f>'Pencapaian Product Display'!I181</f>
        <v>0</v>
      </c>
      <c r="AI181" s="274">
        <f>'Pencapaian Sales Contract'!G181</f>
        <v>0</v>
      </c>
      <c r="AJ181" s="190">
        <f>'Pencapaian Sales Contract'!I181</f>
        <v>0</v>
      </c>
      <c r="AK181" s="274">
        <f>'Pencapaian Co-Branding'!G181</f>
        <v>0</v>
      </c>
      <c r="AL181" s="190">
        <f>'Pencapaian Co-Branding'!I181</f>
        <v>0</v>
      </c>
      <c r="AM181" s="274">
        <f>'Pencapaian Join Event Activity'!G181</f>
        <v>0</v>
      </c>
      <c r="AN181" s="190">
        <f>'Pencapaian Join Event Activity'!I181</f>
        <v>0</v>
      </c>
      <c r="AO181" s="287">
        <f t="shared" si="109"/>
        <v>450000</v>
      </c>
      <c r="AP181" s="290">
        <v>0</v>
      </c>
      <c r="AQ181" s="287">
        <f>SUM(AQ166:AQ180)</f>
        <v>0</v>
      </c>
      <c r="AR181" s="290">
        <v>0</v>
      </c>
      <c r="AS181" s="287">
        <f>SUM(AS166:AS180)</f>
        <v>0</v>
      </c>
      <c r="AT181" s="287">
        <f t="shared" si="107"/>
        <v>450000</v>
      </c>
      <c r="AU181" s="287">
        <f t="shared" ref="AU181:AV181" si="113">SUM(AU166:AU180)</f>
        <v>450000</v>
      </c>
      <c r="AV181" s="287">
        <f t="shared" si="113"/>
        <v>0</v>
      </c>
    </row>
    <row r="182" spans="2:48" ht="14.5" customHeight="1" x14ac:dyDescent="0.2">
      <c r="P182" s="392" t="s">
        <v>555</v>
      </c>
      <c r="Q182" s="321" t="s">
        <v>408</v>
      </c>
      <c r="R182" s="74" t="s">
        <v>330</v>
      </c>
      <c r="S182" s="12" t="s">
        <v>571</v>
      </c>
      <c r="T182" s="269">
        <f>'Pencapaian Sales Value'!G182</f>
        <v>2.3896639999999998</v>
      </c>
      <c r="U182" s="284">
        <f>'Pencapaian Sales Value'!I182</f>
        <v>330000</v>
      </c>
      <c r="V182" s="304">
        <f>'Pencapaian Product Focus'!H182</f>
        <v>0</v>
      </c>
      <c r="W182" s="304">
        <f>'Pencapaian Product Focus'!L182</f>
        <v>0</v>
      </c>
      <c r="X182" s="285">
        <f>'Pencapaian Product Focus'!N182</f>
        <v>0</v>
      </c>
      <c r="Y182" s="304">
        <f>'Pencapaian Effective Call'!G182</f>
        <v>0</v>
      </c>
      <c r="Z182" s="285">
        <f>'Pencapaian Effective Call'!I182</f>
        <v>0</v>
      </c>
      <c r="AA182" s="304">
        <f>'Pencapaian New Open Outlet'!G182</f>
        <v>0</v>
      </c>
      <c r="AB182" s="285">
        <f>'Pencapaian New Open Outlet'!I182</f>
        <v>0</v>
      </c>
      <c r="AC182" s="269">
        <f>'Pencapaian Active Outlet'!G182</f>
        <v>0.88</v>
      </c>
      <c r="AD182" s="284">
        <f>'Pencapaian Active Outlet'!I182</f>
        <v>198000</v>
      </c>
      <c r="AE182" s="304">
        <f>'Pencapaian Item per Outlet'!G182</f>
        <v>0</v>
      </c>
      <c r="AF182" s="285">
        <f>'Pencapaian Item per Outlet'!I182</f>
        <v>0</v>
      </c>
      <c r="AG182" s="304">
        <f>'Pencapaian Product Display'!G182</f>
        <v>0</v>
      </c>
      <c r="AH182" s="285">
        <f>'Pencapaian Product Display'!I182</f>
        <v>0</v>
      </c>
      <c r="AI182" s="304">
        <f>'Pencapaian Sales Contract'!G182</f>
        <v>0</v>
      </c>
      <c r="AJ182" s="285">
        <f>'Pencapaian Sales Contract'!I182</f>
        <v>0</v>
      </c>
      <c r="AK182" s="304">
        <f>'Pencapaian Co-Branding'!G182</f>
        <v>0</v>
      </c>
      <c r="AL182" s="285">
        <f>'Pencapaian Co-Branding'!I182</f>
        <v>0</v>
      </c>
      <c r="AM182" s="304">
        <f>'Pencapaian Join Event Activity'!G182</f>
        <v>0</v>
      </c>
      <c r="AN182" s="285">
        <f>'Pencapaian Join Event Activity'!I182</f>
        <v>0</v>
      </c>
      <c r="AO182" s="284">
        <f t="shared" si="109"/>
        <v>528000</v>
      </c>
      <c r="AP182" s="322">
        <v>0</v>
      </c>
      <c r="AQ182" s="284">
        <f t="shared" ref="AQ182:AQ189" si="114">IF(AP182&gt;=0.5%,-(AO182*10%),0)</f>
        <v>0</v>
      </c>
      <c r="AR182" s="322">
        <v>0</v>
      </c>
      <c r="AS182" s="284">
        <f t="shared" ref="AS182:AS189" si="115">IF(AR182&gt;0,-(AO182+AQ182),0)</f>
        <v>0</v>
      </c>
      <c r="AT182" s="284">
        <f t="shared" si="107"/>
        <v>528000</v>
      </c>
      <c r="AU182" s="284">
        <f t="shared" ref="AU182:AU189" si="116">AT182</f>
        <v>528000</v>
      </c>
      <c r="AV182" s="284">
        <v>0</v>
      </c>
    </row>
    <row r="183" spans="2:48" x14ac:dyDescent="0.2">
      <c r="P183" s="392"/>
      <c r="Q183" s="321"/>
      <c r="R183" s="323" t="s">
        <v>560</v>
      </c>
      <c r="S183" s="12" t="s">
        <v>675</v>
      </c>
      <c r="T183" s="269">
        <f>'Pencapaian Sales Value'!G183</f>
        <v>1.4003050666666668</v>
      </c>
      <c r="U183" s="284">
        <f>'Pencapaian Sales Value'!I183</f>
        <v>90000</v>
      </c>
      <c r="V183" s="304">
        <f>'Pencapaian Product Focus'!H183</f>
        <v>0</v>
      </c>
      <c r="W183" s="304">
        <f>'Pencapaian Product Focus'!L183</f>
        <v>0</v>
      </c>
      <c r="X183" s="285">
        <f>'Pencapaian Product Focus'!N183</f>
        <v>0</v>
      </c>
      <c r="Y183" s="304">
        <f>'Pencapaian Effective Call'!G183</f>
        <v>0</v>
      </c>
      <c r="Z183" s="285">
        <f>'Pencapaian Effective Call'!I183</f>
        <v>0</v>
      </c>
      <c r="AA183" s="304">
        <f>'Pencapaian New Open Outlet'!G183</f>
        <v>0</v>
      </c>
      <c r="AB183" s="285">
        <f>'Pencapaian New Open Outlet'!I183</f>
        <v>0</v>
      </c>
      <c r="AC183" s="269">
        <f>'Pencapaian Active Outlet'!G183</f>
        <v>0.8</v>
      </c>
      <c r="AD183" s="284">
        <f>'Pencapaian Active Outlet'!I183</f>
        <v>0</v>
      </c>
      <c r="AE183" s="304">
        <f>'Pencapaian Item per Outlet'!G183</f>
        <v>0</v>
      </c>
      <c r="AF183" s="285">
        <f>'Pencapaian Item per Outlet'!I183</f>
        <v>0</v>
      </c>
      <c r="AG183" s="304">
        <f>'Pencapaian Product Display'!G183</f>
        <v>0</v>
      </c>
      <c r="AH183" s="285">
        <f>'Pencapaian Product Display'!I183</f>
        <v>0</v>
      </c>
      <c r="AI183" s="304">
        <f>'Pencapaian Sales Contract'!G183</f>
        <v>0</v>
      </c>
      <c r="AJ183" s="285">
        <f>'Pencapaian Sales Contract'!I183</f>
        <v>0</v>
      </c>
      <c r="AK183" s="304">
        <f>'Pencapaian Co-Branding'!G183</f>
        <v>0</v>
      </c>
      <c r="AL183" s="285">
        <f>'Pencapaian Co-Branding'!I183</f>
        <v>0</v>
      </c>
      <c r="AM183" s="304">
        <f>'Pencapaian Join Event Activity'!G183</f>
        <v>0</v>
      </c>
      <c r="AN183" s="285">
        <f>'Pencapaian Join Event Activity'!I183</f>
        <v>0</v>
      </c>
      <c r="AO183" s="284">
        <f t="shared" si="109"/>
        <v>90000</v>
      </c>
      <c r="AP183" s="322">
        <v>0</v>
      </c>
      <c r="AQ183" s="284">
        <f t="shared" si="114"/>
        <v>0</v>
      </c>
      <c r="AR183" s="322">
        <v>0</v>
      </c>
      <c r="AS183" s="284">
        <f t="shared" si="115"/>
        <v>0</v>
      </c>
      <c r="AT183" s="284">
        <f t="shared" si="107"/>
        <v>90000</v>
      </c>
      <c r="AU183" s="284">
        <f t="shared" si="116"/>
        <v>90000</v>
      </c>
      <c r="AV183" s="284">
        <v>0</v>
      </c>
    </row>
    <row r="184" spans="2:48" ht="14.5" customHeight="1" x14ac:dyDescent="0.2">
      <c r="P184" s="392"/>
      <c r="Q184" s="321"/>
      <c r="R184" s="323" t="s">
        <v>562</v>
      </c>
      <c r="S184" s="12" t="s">
        <v>675</v>
      </c>
      <c r="T184" s="269">
        <f>'Pencapaian Sales Value'!G184</f>
        <v>0.28433399999999998</v>
      </c>
      <c r="U184" s="284">
        <f>'Pencapaian Sales Value'!I184</f>
        <v>0</v>
      </c>
      <c r="V184" s="304">
        <f>'Pencapaian Product Focus'!H184</f>
        <v>0</v>
      </c>
      <c r="W184" s="304">
        <f>'Pencapaian Product Focus'!L184</f>
        <v>0</v>
      </c>
      <c r="X184" s="285">
        <f>'Pencapaian Product Focus'!N184</f>
        <v>0</v>
      </c>
      <c r="Y184" s="304">
        <f>'Pencapaian Effective Call'!G184</f>
        <v>0</v>
      </c>
      <c r="Z184" s="285">
        <f>'Pencapaian Effective Call'!I184</f>
        <v>0</v>
      </c>
      <c r="AA184" s="304">
        <f>'Pencapaian New Open Outlet'!G184</f>
        <v>0</v>
      </c>
      <c r="AB184" s="285">
        <f>'Pencapaian New Open Outlet'!I184</f>
        <v>0</v>
      </c>
      <c r="AC184" s="269">
        <f>'Pencapaian Active Outlet'!G184</f>
        <v>0.52</v>
      </c>
      <c r="AD184" s="284">
        <f>'Pencapaian Active Outlet'!I184</f>
        <v>0</v>
      </c>
      <c r="AE184" s="304">
        <f>'Pencapaian Item per Outlet'!G184</f>
        <v>0</v>
      </c>
      <c r="AF184" s="285">
        <f>'Pencapaian Item per Outlet'!I184</f>
        <v>0</v>
      </c>
      <c r="AG184" s="304">
        <f>'Pencapaian Product Display'!G184</f>
        <v>0</v>
      </c>
      <c r="AH184" s="285">
        <f>'Pencapaian Product Display'!I184</f>
        <v>0</v>
      </c>
      <c r="AI184" s="304">
        <f>'Pencapaian Sales Contract'!G184</f>
        <v>0</v>
      </c>
      <c r="AJ184" s="285">
        <f>'Pencapaian Sales Contract'!I184</f>
        <v>0</v>
      </c>
      <c r="AK184" s="304">
        <f>'Pencapaian Co-Branding'!G184</f>
        <v>0</v>
      </c>
      <c r="AL184" s="285">
        <f>'Pencapaian Co-Branding'!I184</f>
        <v>0</v>
      </c>
      <c r="AM184" s="304">
        <f>'Pencapaian Join Event Activity'!G184</f>
        <v>0</v>
      </c>
      <c r="AN184" s="285">
        <f>'Pencapaian Join Event Activity'!I184</f>
        <v>0</v>
      </c>
      <c r="AO184" s="284">
        <f t="shared" si="109"/>
        <v>0</v>
      </c>
      <c r="AP184" s="322">
        <v>0</v>
      </c>
      <c r="AQ184" s="284">
        <f t="shared" si="114"/>
        <v>0</v>
      </c>
      <c r="AR184" s="322">
        <v>0</v>
      </c>
      <c r="AS184" s="284">
        <f t="shared" si="115"/>
        <v>0</v>
      </c>
      <c r="AT184" s="284">
        <f t="shared" si="107"/>
        <v>0</v>
      </c>
      <c r="AU184" s="284">
        <f t="shared" si="116"/>
        <v>0</v>
      </c>
      <c r="AV184" s="284">
        <v>0</v>
      </c>
    </row>
    <row r="185" spans="2:48" ht="14.5" customHeight="1" x14ac:dyDescent="0.2">
      <c r="P185" s="392"/>
      <c r="Q185" s="321"/>
      <c r="R185" s="323" t="s">
        <v>561</v>
      </c>
      <c r="S185" s="12" t="s">
        <v>675</v>
      </c>
      <c r="T185" s="269">
        <f>'Pencapaian Sales Value'!G185</f>
        <v>8.5948666666666673E-2</v>
      </c>
      <c r="U185" s="284">
        <f>'Pencapaian Sales Value'!I185</f>
        <v>0</v>
      </c>
      <c r="V185" s="304">
        <f>'Pencapaian Product Focus'!H185</f>
        <v>0</v>
      </c>
      <c r="W185" s="304">
        <f>'Pencapaian Product Focus'!L185</f>
        <v>0</v>
      </c>
      <c r="X185" s="285">
        <f>'Pencapaian Product Focus'!N185</f>
        <v>0</v>
      </c>
      <c r="Y185" s="304">
        <f>'Pencapaian Effective Call'!G185</f>
        <v>0</v>
      </c>
      <c r="Z185" s="285">
        <f>'Pencapaian Effective Call'!I185</f>
        <v>0</v>
      </c>
      <c r="AA185" s="304">
        <f>'Pencapaian New Open Outlet'!G185</f>
        <v>0</v>
      </c>
      <c r="AB185" s="285">
        <f>'Pencapaian New Open Outlet'!I185</f>
        <v>0</v>
      </c>
      <c r="AC185" s="269">
        <f>'Pencapaian Active Outlet'!G185</f>
        <v>0.02</v>
      </c>
      <c r="AD185" s="284">
        <f>'Pencapaian Active Outlet'!I185</f>
        <v>0</v>
      </c>
      <c r="AE185" s="304">
        <f>'Pencapaian Item per Outlet'!G185</f>
        <v>0</v>
      </c>
      <c r="AF185" s="285">
        <f>'Pencapaian Item per Outlet'!I185</f>
        <v>0</v>
      </c>
      <c r="AG185" s="304">
        <f>'Pencapaian Product Display'!G185</f>
        <v>0</v>
      </c>
      <c r="AH185" s="285">
        <f>'Pencapaian Product Display'!I185</f>
        <v>0</v>
      </c>
      <c r="AI185" s="304">
        <f>'Pencapaian Sales Contract'!G185</f>
        <v>0</v>
      </c>
      <c r="AJ185" s="285">
        <f>'Pencapaian Sales Contract'!I185</f>
        <v>0</v>
      </c>
      <c r="AK185" s="304">
        <f>'Pencapaian Co-Branding'!G185</f>
        <v>0</v>
      </c>
      <c r="AL185" s="285">
        <f>'Pencapaian Co-Branding'!I185</f>
        <v>0</v>
      </c>
      <c r="AM185" s="304">
        <f>'Pencapaian Join Event Activity'!G185</f>
        <v>0</v>
      </c>
      <c r="AN185" s="285">
        <f>'Pencapaian Join Event Activity'!I185</f>
        <v>0</v>
      </c>
      <c r="AO185" s="284">
        <f t="shared" si="109"/>
        <v>0</v>
      </c>
      <c r="AP185" s="322">
        <v>0</v>
      </c>
      <c r="AQ185" s="284">
        <f t="shared" si="114"/>
        <v>0</v>
      </c>
      <c r="AR185" s="322">
        <v>0</v>
      </c>
      <c r="AS185" s="284">
        <f t="shared" si="115"/>
        <v>0</v>
      </c>
      <c r="AT185" s="284">
        <f t="shared" si="107"/>
        <v>0</v>
      </c>
      <c r="AU185" s="284">
        <f t="shared" si="116"/>
        <v>0</v>
      </c>
      <c r="AV185" s="284">
        <v>0</v>
      </c>
    </row>
    <row r="186" spans="2:48" x14ac:dyDescent="0.2">
      <c r="P186" s="392"/>
      <c r="Q186" s="321"/>
      <c r="R186" s="323" t="s">
        <v>803</v>
      </c>
      <c r="S186" s="12"/>
      <c r="T186" s="269" t="e">
        <f>'Pencapaian Sales Value'!G186</f>
        <v>#DIV/0!</v>
      </c>
      <c r="U186" s="284">
        <f>'Pencapaian Sales Value'!I186</f>
        <v>0</v>
      </c>
      <c r="V186" s="304">
        <f>'Pencapaian Product Focus'!H186</f>
        <v>0</v>
      </c>
      <c r="W186" s="304">
        <f>'Pencapaian Product Focus'!L186</f>
        <v>0</v>
      </c>
      <c r="X186" s="285">
        <f>'Pencapaian Product Focus'!N186</f>
        <v>0</v>
      </c>
      <c r="Y186" s="304">
        <f>'Pencapaian Effective Call'!G186</f>
        <v>0</v>
      </c>
      <c r="Z186" s="285">
        <f>'Pencapaian Effective Call'!I186</f>
        <v>0</v>
      </c>
      <c r="AA186" s="304">
        <f>'Pencapaian New Open Outlet'!G186</f>
        <v>0</v>
      </c>
      <c r="AB186" s="285">
        <f>'Pencapaian New Open Outlet'!I186</f>
        <v>0</v>
      </c>
      <c r="AC186" s="269" t="e">
        <f>'Pencapaian Active Outlet'!G186</f>
        <v>#DIV/0!</v>
      </c>
      <c r="AD186" s="284">
        <f>'Pencapaian Active Outlet'!I186</f>
        <v>0</v>
      </c>
      <c r="AE186" s="304">
        <f>'Pencapaian Item per Outlet'!G186</f>
        <v>0</v>
      </c>
      <c r="AF186" s="285">
        <f>'Pencapaian Item per Outlet'!I186</f>
        <v>0</v>
      </c>
      <c r="AG186" s="304">
        <f>'Pencapaian Product Display'!G186</f>
        <v>0</v>
      </c>
      <c r="AH186" s="285">
        <f>'Pencapaian Product Display'!I186</f>
        <v>0</v>
      </c>
      <c r="AI186" s="304">
        <f>'Pencapaian Sales Contract'!G186</f>
        <v>0</v>
      </c>
      <c r="AJ186" s="285">
        <f>'Pencapaian Sales Contract'!I186</f>
        <v>0</v>
      </c>
      <c r="AK186" s="304">
        <f>'Pencapaian Co-Branding'!G186</f>
        <v>0</v>
      </c>
      <c r="AL186" s="285">
        <f>'Pencapaian Co-Branding'!I186</f>
        <v>0</v>
      </c>
      <c r="AM186" s="304">
        <f>'Pencapaian Join Event Activity'!G186</f>
        <v>0</v>
      </c>
      <c r="AN186" s="285">
        <f>'Pencapaian Join Event Activity'!I186</f>
        <v>0</v>
      </c>
      <c r="AO186" s="284">
        <f t="shared" si="109"/>
        <v>0</v>
      </c>
      <c r="AP186" s="322">
        <v>0</v>
      </c>
      <c r="AQ186" s="284">
        <f t="shared" si="114"/>
        <v>0</v>
      </c>
      <c r="AR186" s="322">
        <v>0</v>
      </c>
      <c r="AS186" s="284">
        <f t="shared" si="115"/>
        <v>0</v>
      </c>
      <c r="AT186" s="284">
        <f t="shared" si="107"/>
        <v>0</v>
      </c>
      <c r="AU186" s="284">
        <f t="shared" si="116"/>
        <v>0</v>
      </c>
      <c r="AV186" s="284">
        <v>0</v>
      </c>
    </row>
    <row r="187" spans="2:48" x14ac:dyDescent="0.2">
      <c r="P187" s="392"/>
      <c r="Q187" s="321"/>
      <c r="R187" s="323" t="s">
        <v>790</v>
      </c>
      <c r="S187" s="12" t="s">
        <v>675</v>
      </c>
      <c r="T187" s="269">
        <f>'Pencapaian Sales Value'!G187</f>
        <v>0.7921904666666667</v>
      </c>
      <c r="U187" s="284">
        <f>'Pencapaian Sales Value'!I187</f>
        <v>0</v>
      </c>
      <c r="V187" s="304">
        <f>'Pencapaian Product Focus'!H187</f>
        <v>0</v>
      </c>
      <c r="W187" s="304">
        <f>'Pencapaian Product Focus'!L187</f>
        <v>0</v>
      </c>
      <c r="X187" s="285">
        <f>'Pencapaian Product Focus'!N187</f>
        <v>0</v>
      </c>
      <c r="Y187" s="304">
        <f>'Pencapaian Effective Call'!G187</f>
        <v>0</v>
      </c>
      <c r="Z187" s="285">
        <f>'Pencapaian Effective Call'!I187</f>
        <v>0</v>
      </c>
      <c r="AA187" s="304">
        <f>'Pencapaian New Open Outlet'!G187</f>
        <v>0</v>
      </c>
      <c r="AB187" s="285">
        <f>'Pencapaian New Open Outlet'!I187</f>
        <v>0</v>
      </c>
      <c r="AC187" s="269">
        <f>'Pencapaian Active Outlet'!G187</f>
        <v>2.36</v>
      </c>
      <c r="AD187" s="284">
        <f>'Pencapaian Active Outlet'!I187</f>
        <v>135000</v>
      </c>
      <c r="AE187" s="304">
        <f>'Pencapaian Item per Outlet'!G187</f>
        <v>0</v>
      </c>
      <c r="AF187" s="285">
        <f>'Pencapaian Item per Outlet'!I187</f>
        <v>0</v>
      </c>
      <c r="AG187" s="304">
        <f>'Pencapaian Product Display'!G187</f>
        <v>0</v>
      </c>
      <c r="AH187" s="285">
        <f>'Pencapaian Product Display'!I187</f>
        <v>0</v>
      </c>
      <c r="AI187" s="304">
        <f>'Pencapaian Sales Contract'!G187</f>
        <v>0</v>
      </c>
      <c r="AJ187" s="285">
        <f>'Pencapaian Sales Contract'!I187</f>
        <v>0</v>
      </c>
      <c r="AK187" s="304">
        <f>'Pencapaian Co-Branding'!G187</f>
        <v>0</v>
      </c>
      <c r="AL187" s="285">
        <f>'Pencapaian Co-Branding'!I187</f>
        <v>0</v>
      </c>
      <c r="AM187" s="304">
        <f>'Pencapaian Join Event Activity'!G187</f>
        <v>0</v>
      </c>
      <c r="AN187" s="285">
        <f>'Pencapaian Join Event Activity'!I187</f>
        <v>0</v>
      </c>
      <c r="AO187" s="284">
        <f t="shared" si="109"/>
        <v>135000</v>
      </c>
      <c r="AP187" s="322">
        <v>0</v>
      </c>
      <c r="AQ187" s="284">
        <f t="shared" si="114"/>
        <v>0</v>
      </c>
      <c r="AR187" s="322">
        <v>0</v>
      </c>
      <c r="AS187" s="284">
        <f t="shared" si="115"/>
        <v>0</v>
      </c>
      <c r="AT187" s="284">
        <f t="shared" si="107"/>
        <v>135000</v>
      </c>
      <c r="AU187" s="284">
        <f t="shared" si="116"/>
        <v>135000</v>
      </c>
      <c r="AV187" s="284">
        <v>0</v>
      </c>
    </row>
    <row r="188" spans="2:48" x14ac:dyDescent="0.2">
      <c r="P188" s="392"/>
      <c r="Q188" s="321"/>
      <c r="R188" s="323" t="s">
        <v>559</v>
      </c>
      <c r="S188" s="12" t="s">
        <v>675</v>
      </c>
      <c r="T188" s="269">
        <f>'Pencapaian Sales Value'!G188</f>
        <v>1.1663157894736842E-2</v>
      </c>
      <c r="U188" s="284">
        <f>'Pencapaian Sales Value'!I188</f>
        <v>0</v>
      </c>
      <c r="V188" s="304">
        <f>'Pencapaian Product Focus'!H188</f>
        <v>0</v>
      </c>
      <c r="W188" s="304">
        <f>'Pencapaian Product Focus'!L188</f>
        <v>0</v>
      </c>
      <c r="X188" s="285">
        <f>'Pencapaian Product Focus'!N188</f>
        <v>0</v>
      </c>
      <c r="Y188" s="304">
        <f>'Pencapaian Effective Call'!G188</f>
        <v>0</v>
      </c>
      <c r="Z188" s="285">
        <f>'Pencapaian Effective Call'!I188</f>
        <v>0</v>
      </c>
      <c r="AA188" s="304">
        <f>'Pencapaian New Open Outlet'!G188</f>
        <v>0</v>
      </c>
      <c r="AB188" s="285">
        <f>'Pencapaian New Open Outlet'!I188</f>
        <v>0</v>
      </c>
      <c r="AC188" s="269">
        <f>'Pencapaian Active Outlet'!G188</f>
        <v>6.6666666666666666E-2</v>
      </c>
      <c r="AD188" s="284">
        <f>'Pencapaian Active Outlet'!I188</f>
        <v>0</v>
      </c>
      <c r="AE188" s="304">
        <f>'Pencapaian Item per Outlet'!G188</f>
        <v>0</v>
      </c>
      <c r="AF188" s="285">
        <f>'Pencapaian Item per Outlet'!I188</f>
        <v>0</v>
      </c>
      <c r="AG188" s="304">
        <f>'Pencapaian Product Display'!G188</f>
        <v>0</v>
      </c>
      <c r="AH188" s="285">
        <f>'Pencapaian Product Display'!I188</f>
        <v>0</v>
      </c>
      <c r="AI188" s="304">
        <f>'Pencapaian Sales Contract'!G188</f>
        <v>0</v>
      </c>
      <c r="AJ188" s="285">
        <f>'Pencapaian Sales Contract'!I188</f>
        <v>0</v>
      </c>
      <c r="AK188" s="304">
        <f>'Pencapaian Co-Branding'!G188</f>
        <v>0</v>
      </c>
      <c r="AL188" s="285">
        <f>'Pencapaian Co-Branding'!I188</f>
        <v>0</v>
      </c>
      <c r="AM188" s="304">
        <f>'Pencapaian Join Event Activity'!G188</f>
        <v>0</v>
      </c>
      <c r="AN188" s="285">
        <f>'Pencapaian Join Event Activity'!I188</f>
        <v>0</v>
      </c>
      <c r="AO188" s="284">
        <f t="shared" si="109"/>
        <v>0</v>
      </c>
      <c r="AP188" s="322">
        <v>0</v>
      </c>
      <c r="AQ188" s="284">
        <f t="shared" si="114"/>
        <v>0</v>
      </c>
      <c r="AR188" s="322">
        <v>0</v>
      </c>
      <c r="AS188" s="284">
        <f t="shared" si="115"/>
        <v>0</v>
      </c>
      <c r="AT188" s="284">
        <f t="shared" si="107"/>
        <v>0</v>
      </c>
      <c r="AU188" s="284">
        <f t="shared" si="116"/>
        <v>0</v>
      </c>
      <c r="AV188" s="284">
        <v>0</v>
      </c>
    </row>
    <row r="189" spans="2:48" x14ac:dyDescent="0.2">
      <c r="B189" s="377"/>
      <c r="C189" s="370"/>
      <c r="D189" s="370"/>
      <c r="E189" s="370"/>
      <c r="F189" s="370"/>
      <c r="G189" s="370"/>
      <c r="H189" s="370"/>
      <c r="I189" s="370"/>
      <c r="J189" s="370"/>
      <c r="K189" s="370"/>
      <c r="L189" s="370"/>
      <c r="M189" s="370"/>
      <c r="N189" s="371"/>
      <c r="P189" s="393"/>
      <c r="Q189" s="324"/>
      <c r="R189" s="324" t="s">
        <v>719</v>
      </c>
      <c r="S189" s="64" t="s">
        <v>673</v>
      </c>
      <c r="T189" s="258">
        <f>'Pencapaian Sales Value'!G189</f>
        <v>0.80805114772727271</v>
      </c>
      <c r="U189" s="286">
        <f>'Pencapaian Sales Value'!I189</f>
        <v>0</v>
      </c>
      <c r="V189" s="268">
        <f>'Pencapaian Product Focus'!H189</f>
        <v>0</v>
      </c>
      <c r="W189" s="268">
        <f>'Pencapaian Product Focus'!L189</f>
        <v>0</v>
      </c>
      <c r="X189" s="189">
        <f>'Pencapaian Product Focus'!N189</f>
        <v>0</v>
      </c>
      <c r="Y189" s="268">
        <f>'Pencapaian Effective Call'!G189</f>
        <v>0</v>
      </c>
      <c r="Z189" s="189">
        <f>'Pencapaian Effective Call'!I189</f>
        <v>0</v>
      </c>
      <c r="AA189" s="268">
        <f>'Pencapaian New Open Outlet'!G189</f>
        <v>0</v>
      </c>
      <c r="AB189" s="189">
        <f>'Pencapaian New Open Outlet'!I189</f>
        <v>0</v>
      </c>
      <c r="AC189" s="258">
        <f>'Pencapaian Active Outlet'!G189</f>
        <v>0.90344827586206899</v>
      </c>
      <c r="AD189" s="286">
        <f>'Pencapaian Active Outlet'!I189</f>
        <v>150000</v>
      </c>
      <c r="AE189" s="268">
        <f>'Pencapaian Item per Outlet'!G189</f>
        <v>0</v>
      </c>
      <c r="AF189" s="189">
        <f>'Pencapaian Item per Outlet'!I189</f>
        <v>0</v>
      </c>
      <c r="AG189" s="268">
        <f>'Pencapaian Product Display'!G189</f>
        <v>0</v>
      </c>
      <c r="AH189" s="189">
        <f>'Pencapaian Product Display'!I189</f>
        <v>0</v>
      </c>
      <c r="AI189" s="268">
        <f>'Pencapaian Sales Contract'!G189</f>
        <v>0</v>
      </c>
      <c r="AJ189" s="189">
        <f>'Pencapaian Sales Contract'!I189</f>
        <v>0</v>
      </c>
      <c r="AK189" s="268">
        <f>'Pencapaian Co-Branding'!G189</f>
        <v>0</v>
      </c>
      <c r="AL189" s="189">
        <f>'Pencapaian Co-Branding'!I189</f>
        <v>0</v>
      </c>
      <c r="AM189" s="268">
        <f>'Pencapaian Join Event Activity'!G189</f>
        <v>0</v>
      </c>
      <c r="AN189" s="189">
        <f>'Pencapaian Join Event Activity'!I189</f>
        <v>0</v>
      </c>
      <c r="AO189" s="286">
        <f t="shared" si="109"/>
        <v>150000</v>
      </c>
      <c r="AP189" s="289">
        <v>0</v>
      </c>
      <c r="AQ189" s="286">
        <f t="shared" si="114"/>
        <v>0</v>
      </c>
      <c r="AR189" s="289">
        <v>0</v>
      </c>
      <c r="AS189" s="286">
        <f t="shared" si="115"/>
        <v>0</v>
      </c>
      <c r="AT189" s="286">
        <f t="shared" si="107"/>
        <v>150000</v>
      </c>
      <c r="AU189" s="286">
        <f t="shared" si="116"/>
        <v>150000</v>
      </c>
      <c r="AV189" s="286">
        <v>0</v>
      </c>
    </row>
    <row r="190" spans="2:48" s="377" customFormat="1" x14ac:dyDescent="0.2">
      <c r="B190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3"/>
      <c r="O190" s="371"/>
      <c r="P190" s="326"/>
      <c r="Q190" s="326"/>
      <c r="R190" s="326" t="s">
        <v>619</v>
      </c>
      <c r="S190" s="209"/>
      <c r="T190" s="372">
        <f>'Pencapaian Sales Value'!G190</f>
        <v>0.88680128670253655</v>
      </c>
      <c r="U190" s="373">
        <f>'Pencapaian Sales Value'!I190</f>
        <v>1166000</v>
      </c>
      <c r="V190" s="374">
        <f>'Pencapaian Product Focus'!H190</f>
        <v>0</v>
      </c>
      <c r="W190" s="374">
        <f>'Pencapaian Product Focus'!L190</f>
        <v>0</v>
      </c>
      <c r="X190" s="375">
        <f>'Pencapaian Product Focus'!N190</f>
        <v>0</v>
      </c>
      <c r="Y190" s="374">
        <f>'Pencapaian Effective Call'!G190</f>
        <v>0</v>
      </c>
      <c r="Z190" s="375">
        <f>'Pencapaian Effective Call'!I190</f>
        <v>0</v>
      </c>
      <c r="AA190" s="374">
        <f>'Pencapaian New Open Outlet'!G190</f>
        <v>0</v>
      </c>
      <c r="AB190" s="375">
        <f>'Pencapaian New Open Outlet'!I190</f>
        <v>0</v>
      </c>
      <c r="AC190" s="372">
        <f>'Pencapaian Active Outlet'!G190</f>
        <v>0.77391304347826084</v>
      </c>
      <c r="AD190" s="373">
        <f>'Pencapaian Active Outlet'!I190</f>
        <v>2253000</v>
      </c>
      <c r="AE190" s="374">
        <f>'Pencapaian Item per Outlet'!G190</f>
        <v>0</v>
      </c>
      <c r="AF190" s="375">
        <f>'Pencapaian Item per Outlet'!I190</f>
        <v>0</v>
      </c>
      <c r="AG190" s="374">
        <f>'Pencapaian Product Display'!G190</f>
        <v>0</v>
      </c>
      <c r="AH190" s="375">
        <f>'Pencapaian Product Display'!I190</f>
        <v>0</v>
      </c>
      <c r="AI190" s="374">
        <f>'Pencapaian Sales Contract'!G190</f>
        <v>0</v>
      </c>
      <c r="AJ190" s="375">
        <f>'Pencapaian Sales Contract'!I190</f>
        <v>0</v>
      </c>
      <c r="AK190" s="374">
        <f>'Pencapaian Co-Branding'!G190</f>
        <v>0</v>
      </c>
      <c r="AL190" s="375">
        <f>'Pencapaian Co-Branding'!I190</f>
        <v>0</v>
      </c>
      <c r="AM190" s="374">
        <f>'Pencapaian Join Event Activity'!G190</f>
        <v>0</v>
      </c>
      <c r="AN190" s="375">
        <f>'Pencapaian Join Event Activity'!I190</f>
        <v>0</v>
      </c>
      <c r="AO190" s="373">
        <f t="shared" si="109"/>
        <v>3419000</v>
      </c>
      <c r="AP190" s="376">
        <v>0</v>
      </c>
      <c r="AQ190" s="373">
        <f>SUM(AQ181,AQ165)</f>
        <v>0</v>
      </c>
      <c r="AR190" s="376">
        <v>0</v>
      </c>
      <c r="AS190" s="373">
        <f>SUM(AS181,AS165)</f>
        <v>0</v>
      </c>
      <c r="AT190" s="373">
        <f t="shared" si="107"/>
        <v>3419000</v>
      </c>
      <c r="AU190" s="373">
        <f t="shared" ref="AU190:AV190" si="117">SUM(AU181,AU165)</f>
        <v>3419000</v>
      </c>
      <c r="AV190" s="373">
        <f t="shared" si="117"/>
        <v>0</v>
      </c>
    </row>
    <row r="191" spans="2:48" ht="14.5" customHeight="1" x14ac:dyDescent="0.2">
      <c r="P191" s="392" t="s">
        <v>555</v>
      </c>
      <c r="Q191" s="321"/>
      <c r="R191" s="323" t="s">
        <v>842</v>
      </c>
      <c r="S191" s="12" t="s">
        <v>675</v>
      </c>
      <c r="T191" s="269" t="e">
        <f>'Pencapaian Sales Value'!G191</f>
        <v>#DIV/0!</v>
      </c>
      <c r="U191" s="284">
        <f>'Pencapaian Sales Value'!I191</f>
        <v>0</v>
      </c>
      <c r="V191" s="304">
        <f>'Pencapaian Product Focus'!H191</f>
        <v>0</v>
      </c>
      <c r="W191" s="304">
        <f>'Pencapaian Product Focus'!L191</f>
        <v>0</v>
      </c>
      <c r="X191" s="285">
        <f>'Pencapaian Product Focus'!N191</f>
        <v>0</v>
      </c>
      <c r="Y191" s="304">
        <f>'Pencapaian Effective Call'!G191</f>
        <v>0</v>
      </c>
      <c r="Z191" s="285">
        <f>'Pencapaian Effective Call'!I191</f>
        <v>0</v>
      </c>
      <c r="AA191" s="304">
        <f>'Pencapaian New Open Outlet'!G191</f>
        <v>0</v>
      </c>
      <c r="AB191" s="285">
        <f>'Pencapaian New Open Outlet'!I191</f>
        <v>0</v>
      </c>
      <c r="AC191" s="269" t="e">
        <f>'Pencapaian Active Outlet'!G191</f>
        <v>#DIV/0!</v>
      </c>
      <c r="AD191" s="284">
        <f>'Pencapaian Active Outlet'!I191</f>
        <v>0</v>
      </c>
      <c r="AE191" s="304">
        <f>'Pencapaian Item per Outlet'!G191</f>
        <v>0</v>
      </c>
      <c r="AF191" s="285">
        <f>'Pencapaian Item per Outlet'!I191</f>
        <v>0</v>
      </c>
      <c r="AG191" s="304">
        <f>'Pencapaian Product Display'!G191</f>
        <v>0</v>
      </c>
      <c r="AH191" s="285">
        <f>'Pencapaian Product Display'!I191</f>
        <v>0</v>
      </c>
      <c r="AI191" s="304">
        <f>'Pencapaian Sales Contract'!G191</f>
        <v>0</v>
      </c>
      <c r="AJ191" s="285">
        <f>'Pencapaian Sales Contract'!I191</f>
        <v>0</v>
      </c>
      <c r="AK191" s="304">
        <f>'Pencapaian Co-Branding'!G191</f>
        <v>0</v>
      </c>
      <c r="AL191" s="285">
        <f>'Pencapaian Co-Branding'!I191</f>
        <v>0</v>
      </c>
      <c r="AM191" s="304">
        <f>'Pencapaian Join Event Activity'!G191</f>
        <v>0</v>
      </c>
      <c r="AN191" s="285">
        <f>'Pencapaian Join Event Activity'!I191</f>
        <v>0</v>
      </c>
      <c r="AO191" s="284">
        <f t="shared" si="109"/>
        <v>0</v>
      </c>
      <c r="AP191" s="322">
        <v>0</v>
      </c>
      <c r="AQ191" s="284">
        <f t="shared" ref="AQ191:AQ198" si="118">IF(AP191&gt;=0.5%,-(AO191*10%),0)</f>
        <v>0</v>
      </c>
      <c r="AR191" s="322">
        <v>0</v>
      </c>
      <c r="AS191" s="284">
        <f t="shared" ref="AS191:AS198" si="119">IF(AR191&gt;0,-(AO191+AQ191),0)</f>
        <v>0</v>
      </c>
      <c r="AT191" s="284">
        <f t="shared" si="107"/>
        <v>0</v>
      </c>
      <c r="AU191" s="284">
        <f t="shared" ref="AU191:AU198" si="120">AT191</f>
        <v>0</v>
      </c>
      <c r="AV191" s="284">
        <v>0</v>
      </c>
    </row>
    <row r="192" spans="2:48" x14ac:dyDescent="0.2">
      <c r="P192" s="392"/>
      <c r="Q192" s="321"/>
      <c r="R192" s="323" t="s">
        <v>563</v>
      </c>
      <c r="S192" s="12" t="s">
        <v>675</v>
      </c>
      <c r="T192" s="269">
        <f>'Pencapaian Sales Value'!G192</f>
        <v>0.13634075000000001</v>
      </c>
      <c r="U192" s="284">
        <f>'Pencapaian Sales Value'!I192</f>
        <v>0</v>
      </c>
      <c r="V192" s="304">
        <f>'Pencapaian Product Focus'!H192</f>
        <v>0</v>
      </c>
      <c r="W192" s="304">
        <f>'Pencapaian Product Focus'!L192</f>
        <v>0</v>
      </c>
      <c r="X192" s="285">
        <f>'Pencapaian Product Focus'!N192</f>
        <v>0</v>
      </c>
      <c r="Y192" s="304">
        <f>'Pencapaian Effective Call'!G192</f>
        <v>0</v>
      </c>
      <c r="Z192" s="285">
        <f>'Pencapaian Effective Call'!I192</f>
        <v>0</v>
      </c>
      <c r="AA192" s="304">
        <f>'Pencapaian New Open Outlet'!G192</f>
        <v>0</v>
      </c>
      <c r="AB192" s="285">
        <f>'Pencapaian New Open Outlet'!I192</f>
        <v>0</v>
      </c>
      <c r="AC192" s="269">
        <f>'Pencapaian Active Outlet'!G192</f>
        <v>7.4999999999999997E-2</v>
      </c>
      <c r="AD192" s="284">
        <f>'Pencapaian Active Outlet'!I192</f>
        <v>0</v>
      </c>
      <c r="AE192" s="304">
        <f>'Pencapaian Item per Outlet'!G192</f>
        <v>0</v>
      </c>
      <c r="AF192" s="285">
        <f>'Pencapaian Item per Outlet'!I192</f>
        <v>0</v>
      </c>
      <c r="AG192" s="304">
        <f>'Pencapaian Product Display'!G192</f>
        <v>0</v>
      </c>
      <c r="AH192" s="285">
        <f>'Pencapaian Product Display'!I192</f>
        <v>0</v>
      </c>
      <c r="AI192" s="304">
        <f>'Pencapaian Sales Contract'!G192</f>
        <v>0</v>
      </c>
      <c r="AJ192" s="285">
        <f>'Pencapaian Sales Contract'!I192</f>
        <v>0</v>
      </c>
      <c r="AK192" s="304">
        <f>'Pencapaian Co-Branding'!G192</f>
        <v>0</v>
      </c>
      <c r="AL192" s="285">
        <f>'Pencapaian Co-Branding'!I192</f>
        <v>0</v>
      </c>
      <c r="AM192" s="304">
        <f>'Pencapaian Join Event Activity'!G192</f>
        <v>0</v>
      </c>
      <c r="AN192" s="285">
        <f>'Pencapaian Join Event Activity'!I192</f>
        <v>0</v>
      </c>
      <c r="AO192" s="284">
        <f t="shared" si="109"/>
        <v>0</v>
      </c>
      <c r="AP192" s="322">
        <v>0</v>
      </c>
      <c r="AQ192" s="284">
        <f t="shared" si="118"/>
        <v>0</v>
      </c>
      <c r="AR192" s="322">
        <v>0</v>
      </c>
      <c r="AS192" s="284">
        <f t="shared" si="119"/>
        <v>0</v>
      </c>
      <c r="AT192" s="284">
        <f t="shared" si="107"/>
        <v>0</v>
      </c>
      <c r="AU192" s="284">
        <f t="shared" si="120"/>
        <v>0</v>
      </c>
      <c r="AV192" s="284">
        <v>0</v>
      </c>
    </row>
    <row r="193" spans="16:48" ht="14.5" customHeight="1" x14ac:dyDescent="0.2">
      <c r="P193" s="392"/>
      <c r="Q193" s="321"/>
      <c r="R193" s="323" t="s">
        <v>804</v>
      </c>
      <c r="S193" s="12"/>
      <c r="T193" s="269" t="e">
        <f>'Pencapaian Sales Value'!G193</f>
        <v>#DIV/0!</v>
      </c>
      <c r="U193" s="284">
        <f>'Pencapaian Sales Value'!I193</f>
        <v>0</v>
      </c>
      <c r="V193" s="304">
        <f>'Pencapaian Product Focus'!H193</f>
        <v>0</v>
      </c>
      <c r="W193" s="304">
        <f>'Pencapaian Product Focus'!L193</f>
        <v>0</v>
      </c>
      <c r="X193" s="285">
        <f>'Pencapaian Product Focus'!N193</f>
        <v>0</v>
      </c>
      <c r="Y193" s="304">
        <f>'Pencapaian Effective Call'!G193</f>
        <v>0</v>
      </c>
      <c r="Z193" s="285">
        <f>'Pencapaian Effective Call'!I193</f>
        <v>0</v>
      </c>
      <c r="AA193" s="304">
        <f>'Pencapaian New Open Outlet'!G193</f>
        <v>0</v>
      </c>
      <c r="AB193" s="285">
        <f>'Pencapaian New Open Outlet'!I193</f>
        <v>0</v>
      </c>
      <c r="AC193" s="269" t="e">
        <f>'Pencapaian Active Outlet'!G193</f>
        <v>#DIV/0!</v>
      </c>
      <c r="AD193" s="284">
        <f>'Pencapaian Active Outlet'!I193</f>
        <v>0</v>
      </c>
      <c r="AE193" s="304">
        <f>'Pencapaian Item per Outlet'!G193</f>
        <v>0</v>
      </c>
      <c r="AF193" s="285">
        <f>'Pencapaian Item per Outlet'!I193</f>
        <v>0</v>
      </c>
      <c r="AG193" s="304">
        <f>'Pencapaian Product Display'!G193</f>
        <v>0</v>
      </c>
      <c r="AH193" s="285">
        <f>'Pencapaian Product Display'!I193</f>
        <v>0</v>
      </c>
      <c r="AI193" s="304">
        <f>'Pencapaian Sales Contract'!G193</f>
        <v>0</v>
      </c>
      <c r="AJ193" s="285">
        <f>'Pencapaian Sales Contract'!I193</f>
        <v>0</v>
      </c>
      <c r="AK193" s="304">
        <f>'Pencapaian Co-Branding'!G193</f>
        <v>0</v>
      </c>
      <c r="AL193" s="285">
        <f>'Pencapaian Co-Branding'!I193</f>
        <v>0</v>
      </c>
      <c r="AM193" s="304">
        <f>'Pencapaian Join Event Activity'!G193</f>
        <v>0</v>
      </c>
      <c r="AN193" s="285">
        <f>'Pencapaian Join Event Activity'!I193</f>
        <v>0</v>
      </c>
      <c r="AO193" s="284">
        <f t="shared" si="109"/>
        <v>0</v>
      </c>
      <c r="AP193" s="322">
        <v>0</v>
      </c>
      <c r="AQ193" s="284">
        <f t="shared" si="118"/>
        <v>0</v>
      </c>
      <c r="AR193" s="322">
        <v>0</v>
      </c>
      <c r="AS193" s="284">
        <f t="shared" si="119"/>
        <v>0</v>
      </c>
      <c r="AT193" s="284">
        <f t="shared" si="107"/>
        <v>0</v>
      </c>
      <c r="AU193" s="284">
        <f t="shared" si="120"/>
        <v>0</v>
      </c>
      <c r="AV193" s="284">
        <v>0</v>
      </c>
    </row>
    <row r="194" spans="16:48" ht="14.5" customHeight="1" x14ac:dyDescent="0.2">
      <c r="P194" s="392"/>
      <c r="Q194" s="321"/>
      <c r="R194" s="323" t="s">
        <v>565</v>
      </c>
      <c r="S194" s="12" t="s">
        <v>675</v>
      </c>
      <c r="T194" s="269">
        <f>'Pencapaian Sales Value'!G194</f>
        <v>2.660812</v>
      </c>
      <c r="U194" s="284">
        <f>'Pencapaian Sales Value'!I194</f>
        <v>90000</v>
      </c>
      <c r="V194" s="304">
        <f>'Pencapaian Product Focus'!H194</f>
        <v>0</v>
      </c>
      <c r="W194" s="304">
        <f>'Pencapaian Product Focus'!L194</f>
        <v>0</v>
      </c>
      <c r="X194" s="285">
        <f>'Pencapaian Product Focus'!N194</f>
        <v>0</v>
      </c>
      <c r="Y194" s="304">
        <f>'Pencapaian Effective Call'!G194</f>
        <v>0</v>
      </c>
      <c r="Z194" s="285">
        <f>'Pencapaian Effective Call'!I194</f>
        <v>0</v>
      </c>
      <c r="AA194" s="304">
        <f>'Pencapaian New Open Outlet'!G194</f>
        <v>0</v>
      </c>
      <c r="AB194" s="285">
        <f>'Pencapaian New Open Outlet'!I194</f>
        <v>0</v>
      </c>
      <c r="AC194" s="269">
        <f>'Pencapaian Active Outlet'!G194</f>
        <v>0.24</v>
      </c>
      <c r="AD194" s="284">
        <f>'Pencapaian Active Outlet'!I194</f>
        <v>0</v>
      </c>
      <c r="AE194" s="304">
        <f>'Pencapaian Item per Outlet'!G194</f>
        <v>0</v>
      </c>
      <c r="AF194" s="285">
        <f>'Pencapaian Item per Outlet'!I194</f>
        <v>0</v>
      </c>
      <c r="AG194" s="304">
        <f>'Pencapaian Product Display'!G194</f>
        <v>0</v>
      </c>
      <c r="AH194" s="285">
        <f>'Pencapaian Product Display'!I194</f>
        <v>0</v>
      </c>
      <c r="AI194" s="304">
        <f>'Pencapaian Sales Contract'!G194</f>
        <v>0</v>
      </c>
      <c r="AJ194" s="285">
        <f>'Pencapaian Sales Contract'!I194</f>
        <v>0</v>
      </c>
      <c r="AK194" s="304">
        <f>'Pencapaian Co-Branding'!G194</f>
        <v>0</v>
      </c>
      <c r="AL194" s="285">
        <f>'Pencapaian Co-Branding'!I194</f>
        <v>0</v>
      </c>
      <c r="AM194" s="304">
        <f>'Pencapaian Join Event Activity'!G194</f>
        <v>0</v>
      </c>
      <c r="AN194" s="285">
        <f>'Pencapaian Join Event Activity'!I194</f>
        <v>0</v>
      </c>
      <c r="AO194" s="284">
        <f t="shared" si="109"/>
        <v>90000</v>
      </c>
      <c r="AP194" s="322">
        <v>0</v>
      </c>
      <c r="AQ194" s="284">
        <f t="shared" si="118"/>
        <v>0</v>
      </c>
      <c r="AR194" s="322">
        <v>0</v>
      </c>
      <c r="AS194" s="284">
        <f t="shared" si="119"/>
        <v>0</v>
      </c>
      <c r="AT194" s="284">
        <f t="shared" si="107"/>
        <v>90000</v>
      </c>
      <c r="AU194" s="284">
        <f t="shared" si="120"/>
        <v>90000</v>
      </c>
      <c r="AV194" s="284">
        <v>0</v>
      </c>
    </row>
    <row r="195" spans="16:48" x14ac:dyDescent="0.2">
      <c r="P195" s="392"/>
      <c r="Q195" s="321"/>
      <c r="R195" s="323" t="s">
        <v>843</v>
      </c>
      <c r="S195" s="12" t="s">
        <v>675</v>
      </c>
      <c r="T195" s="269">
        <f>'Pencapaian Sales Value'!G195</f>
        <v>0.82181333333333328</v>
      </c>
      <c r="U195" s="284">
        <f>'Pencapaian Sales Value'!I195</f>
        <v>60000</v>
      </c>
      <c r="V195" s="304">
        <f>'Pencapaian Product Focus'!H195</f>
        <v>0</v>
      </c>
      <c r="W195" s="304">
        <f>'Pencapaian Product Focus'!L195</f>
        <v>0</v>
      </c>
      <c r="X195" s="285">
        <f>'Pencapaian Product Focus'!N195</f>
        <v>0</v>
      </c>
      <c r="Y195" s="304">
        <f>'Pencapaian Effective Call'!G195</f>
        <v>0</v>
      </c>
      <c r="Z195" s="285">
        <f>'Pencapaian Effective Call'!I195</f>
        <v>0</v>
      </c>
      <c r="AA195" s="304">
        <f>'Pencapaian New Open Outlet'!G195</f>
        <v>0</v>
      </c>
      <c r="AB195" s="285">
        <f>'Pencapaian New Open Outlet'!I195</f>
        <v>0</v>
      </c>
      <c r="AC195" s="269">
        <f>'Pencapaian Active Outlet'!G195</f>
        <v>0.13333333333333333</v>
      </c>
      <c r="AD195" s="284">
        <f>'Pencapaian Active Outlet'!I195</f>
        <v>0</v>
      </c>
      <c r="AE195" s="304">
        <f>'Pencapaian Item per Outlet'!G195</f>
        <v>0</v>
      </c>
      <c r="AF195" s="285">
        <f>'Pencapaian Item per Outlet'!I195</f>
        <v>0</v>
      </c>
      <c r="AG195" s="304">
        <f>'Pencapaian Product Display'!G195</f>
        <v>0</v>
      </c>
      <c r="AH195" s="285">
        <f>'Pencapaian Product Display'!I195</f>
        <v>0</v>
      </c>
      <c r="AI195" s="304">
        <f>'Pencapaian Sales Contract'!G195</f>
        <v>0</v>
      </c>
      <c r="AJ195" s="285">
        <f>'Pencapaian Sales Contract'!I195</f>
        <v>0</v>
      </c>
      <c r="AK195" s="304">
        <f>'Pencapaian Co-Branding'!G195</f>
        <v>0</v>
      </c>
      <c r="AL195" s="285">
        <f>'Pencapaian Co-Branding'!I195</f>
        <v>0</v>
      </c>
      <c r="AM195" s="304">
        <f>'Pencapaian Join Event Activity'!G195</f>
        <v>0</v>
      </c>
      <c r="AN195" s="285">
        <f>'Pencapaian Join Event Activity'!I195</f>
        <v>0</v>
      </c>
      <c r="AO195" s="284">
        <f t="shared" si="109"/>
        <v>60000</v>
      </c>
      <c r="AP195" s="322">
        <v>0</v>
      </c>
      <c r="AQ195" s="284">
        <f t="shared" si="118"/>
        <v>0</v>
      </c>
      <c r="AR195" s="322">
        <v>0</v>
      </c>
      <c r="AS195" s="284">
        <f t="shared" si="119"/>
        <v>0</v>
      </c>
      <c r="AT195" s="284">
        <f t="shared" si="107"/>
        <v>60000</v>
      </c>
      <c r="AU195" s="284">
        <f t="shared" si="120"/>
        <v>60000</v>
      </c>
      <c r="AV195" s="284">
        <v>0</v>
      </c>
    </row>
    <row r="196" spans="16:48" x14ac:dyDescent="0.2">
      <c r="P196" s="392"/>
      <c r="Q196" s="321"/>
      <c r="R196" s="323" t="s">
        <v>564</v>
      </c>
      <c r="S196" s="12" t="s">
        <v>675</v>
      </c>
      <c r="T196" s="269">
        <f>'Pencapaian Sales Value'!G196</f>
        <v>0.21136666666666667</v>
      </c>
      <c r="U196" s="284">
        <f>'Pencapaian Sales Value'!I196</f>
        <v>0</v>
      </c>
      <c r="V196" s="304">
        <f>'Pencapaian Product Focus'!H196</f>
        <v>0</v>
      </c>
      <c r="W196" s="304">
        <f>'Pencapaian Product Focus'!L196</f>
        <v>0</v>
      </c>
      <c r="X196" s="285">
        <f>'Pencapaian Product Focus'!N196</f>
        <v>0</v>
      </c>
      <c r="Y196" s="304">
        <f>'Pencapaian Effective Call'!G196</f>
        <v>0</v>
      </c>
      <c r="Z196" s="285">
        <f>'Pencapaian Effective Call'!I196</f>
        <v>0</v>
      </c>
      <c r="AA196" s="304">
        <f>'Pencapaian New Open Outlet'!G196</f>
        <v>0</v>
      </c>
      <c r="AB196" s="285">
        <f>'Pencapaian New Open Outlet'!I196</f>
        <v>0</v>
      </c>
      <c r="AC196" s="269">
        <f>'Pencapaian Active Outlet'!G196</f>
        <v>0.17499999999999999</v>
      </c>
      <c r="AD196" s="284">
        <f>'Pencapaian Active Outlet'!I196</f>
        <v>0</v>
      </c>
      <c r="AE196" s="304">
        <f>'Pencapaian Item per Outlet'!G196</f>
        <v>0</v>
      </c>
      <c r="AF196" s="285">
        <f>'Pencapaian Item per Outlet'!I196</f>
        <v>0</v>
      </c>
      <c r="AG196" s="304">
        <f>'Pencapaian Product Display'!G196</f>
        <v>0</v>
      </c>
      <c r="AH196" s="285">
        <f>'Pencapaian Product Display'!I196</f>
        <v>0</v>
      </c>
      <c r="AI196" s="304">
        <f>'Pencapaian Sales Contract'!G196</f>
        <v>0</v>
      </c>
      <c r="AJ196" s="285">
        <f>'Pencapaian Sales Contract'!I196</f>
        <v>0</v>
      </c>
      <c r="AK196" s="304">
        <f>'Pencapaian Co-Branding'!G196</f>
        <v>0</v>
      </c>
      <c r="AL196" s="285">
        <f>'Pencapaian Co-Branding'!I196</f>
        <v>0</v>
      </c>
      <c r="AM196" s="304">
        <f>'Pencapaian Join Event Activity'!G196</f>
        <v>0</v>
      </c>
      <c r="AN196" s="285">
        <f>'Pencapaian Join Event Activity'!I196</f>
        <v>0</v>
      </c>
      <c r="AO196" s="284">
        <f t="shared" si="109"/>
        <v>0</v>
      </c>
      <c r="AP196" s="322">
        <v>0</v>
      </c>
      <c r="AQ196" s="284">
        <f t="shared" si="118"/>
        <v>0</v>
      </c>
      <c r="AR196" s="322">
        <v>0</v>
      </c>
      <c r="AS196" s="284">
        <f t="shared" si="119"/>
        <v>0</v>
      </c>
      <c r="AT196" s="284">
        <f t="shared" si="107"/>
        <v>0</v>
      </c>
      <c r="AU196" s="284">
        <f t="shared" si="120"/>
        <v>0</v>
      </c>
      <c r="AV196" s="284">
        <v>0</v>
      </c>
    </row>
    <row r="197" spans="16:48" ht="14.5" customHeight="1" x14ac:dyDescent="0.2">
      <c r="P197" s="392"/>
      <c r="Q197" s="324"/>
      <c r="R197" s="324" t="s">
        <v>726</v>
      </c>
      <c r="S197" s="64" t="s">
        <v>673</v>
      </c>
      <c r="T197" s="258">
        <f>'Pencapaian Sales Value'!G197</f>
        <v>0.6206593777777778</v>
      </c>
      <c r="U197" s="286">
        <f>'Pencapaian Sales Value'!I197</f>
        <v>0</v>
      </c>
      <c r="V197" s="268">
        <f>'Pencapaian Product Focus'!H197</f>
        <v>0</v>
      </c>
      <c r="W197" s="268">
        <f>'Pencapaian Product Focus'!L197</f>
        <v>0</v>
      </c>
      <c r="X197" s="189">
        <f>'Pencapaian Product Focus'!N197</f>
        <v>0</v>
      </c>
      <c r="Y197" s="268">
        <f>'Pencapaian Effective Call'!G197</f>
        <v>0</v>
      </c>
      <c r="Z197" s="189">
        <f>'Pencapaian Effective Call'!I197</f>
        <v>0</v>
      </c>
      <c r="AA197" s="268">
        <f>'Pencapaian New Open Outlet'!G197</f>
        <v>0</v>
      </c>
      <c r="AB197" s="189">
        <f>'Pencapaian New Open Outlet'!I197</f>
        <v>0</v>
      </c>
      <c r="AC197" s="258">
        <f>'Pencapaian Active Outlet'!G197</f>
        <v>0.14814814814814814</v>
      </c>
      <c r="AD197" s="286">
        <f>'Pencapaian Active Outlet'!I197</f>
        <v>0</v>
      </c>
      <c r="AE197" s="268">
        <f>'Pencapaian Item per Outlet'!G197</f>
        <v>0</v>
      </c>
      <c r="AF197" s="189">
        <f>'Pencapaian Item per Outlet'!I197</f>
        <v>0</v>
      </c>
      <c r="AG197" s="268">
        <f>'Pencapaian Product Display'!G197</f>
        <v>0</v>
      </c>
      <c r="AH197" s="189">
        <f>'Pencapaian Product Display'!I197</f>
        <v>0</v>
      </c>
      <c r="AI197" s="268">
        <f>'Pencapaian Sales Contract'!G197</f>
        <v>0</v>
      </c>
      <c r="AJ197" s="189">
        <f>'Pencapaian Sales Contract'!I197</f>
        <v>0</v>
      </c>
      <c r="AK197" s="268">
        <f>'Pencapaian Co-Branding'!G197</f>
        <v>0</v>
      </c>
      <c r="AL197" s="189">
        <f>'Pencapaian Co-Branding'!I197</f>
        <v>0</v>
      </c>
      <c r="AM197" s="268">
        <f>'Pencapaian Join Event Activity'!G197</f>
        <v>0</v>
      </c>
      <c r="AN197" s="189">
        <f>'Pencapaian Join Event Activity'!I197</f>
        <v>0</v>
      </c>
      <c r="AO197" s="286">
        <f t="shared" si="109"/>
        <v>0</v>
      </c>
      <c r="AP197" s="289">
        <v>0</v>
      </c>
      <c r="AQ197" s="286">
        <f t="shared" si="118"/>
        <v>0</v>
      </c>
      <c r="AR197" s="289">
        <v>0</v>
      </c>
      <c r="AS197" s="286">
        <f t="shared" si="119"/>
        <v>0</v>
      </c>
      <c r="AT197" s="286">
        <f t="shared" si="107"/>
        <v>0</v>
      </c>
      <c r="AU197" s="286">
        <f t="shared" si="120"/>
        <v>0</v>
      </c>
      <c r="AV197" s="286">
        <v>0</v>
      </c>
    </row>
    <row r="198" spans="16:48" x14ac:dyDescent="0.2">
      <c r="P198" s="392"/>
      <c r="Q198" s="324"/>
      <c r="R198" s="324" t="s">
        <v>155</v>
      </c>
      <c r="S198" s="64" t="s">
        <v>20</v>
      </c>
      <c r="T198" s="258">
        <f>'Pencapaian Sales Value'!G198</f>
        <v>0.76989445248868782</v>
      </c>
      <c r="U198" s="286">
        <f>'Pencapaian Sales Value'!I198</f>
        <v>120000</v>
      </c>
      <c r="V198" s="268">
        <f>'Pencapaian Product Focus'!H198</f>
        <v>0</v>
      </c>
      <c r="W198" s="268">
        <f>'Pencapaian Product Focus'!L198</f>
        <v>0</v>
      </c>
      <c r="X198" s="189">
        <f>'Pencapaian Product Focus'!N198</f>
        <v>0</v>
      </c>
      <c r="Y198" s="268">
        <f>'Pencapaian Effective Call'!G198</f>
        <v>0</v>
      </c>
      <c r="Z198" s="189">
        <f>'Pencapaian Effective Call'!I198</f>
        <v>0</v>
      </c>
      <c r="AA198" s="268">
        <f>'Pencapaian New Open Outlet'!G198</f>
        <v>0</v>
      </c>
      <c r="AB198" s="189">
        <f>'Pencapaian New Open Outlet'!I198</f>
        <v>0</v>
      </c>
      <c r="AC198" s="258">
        <f>'Pencapaian Active Outlet'!G198</f>
        <v>0.66352941176470592</v>
      </c>
      <c r="AD198" s="286">
        <f>'Pencapaian Active Outlet'!I198</f>
        <v>0</v>
      </c>
      <c r="AE198" s="268">
        <f>'Pencapaian Item per Outlet'!G198</f>
        <v>0</v>
      </c>
      <c r="AF198" s="189">
        <f>'Pencapaian Item per Outlet'!I198</f>
        <v>0</v>
      </c>
      <c r="AG198" s="268">
        <f>'Pencapaian Product Display'!G198</f>
        <v>0</v>
      </c>
      <c r="AH198" s="189">
        <f>'Pencapaian Product Display'!I198</f>
        <v>0</v>
      </c>
      <c r="AI198" s="268">
        <f>'Pencapaian Sales Contract'!G198</f>
        <v>0</v>
      </c>
      <c r="AJ198" s="189">
        <f>'Pencapaian Sales Contract'!I198</f>
        <v>0</v>
      </c>
      <c r="AK198" s="268">
        <f>'Pencapaian Co-Branding'!G198</f>
        <v>0</v>
      </c>
      <c r="AL198" s="189">
        <f>'Pencapaian Co-Branding'!I198</f>
        <v>0</v>
      </c>
      <c r="AM198" s="268">
        <f>'Pencapaian Join Event Activity'!G198</f>
        <v>0</v>
      </c>
      <c r="AN198" s="189">
        <f>'Pencapaian Join Event Activity'!I198</f>
        <v>0</v>
      </c>
      <c r="AO198" s="286">
        <f t="shared" si="109"/>
        <v>120000</v>
      </c>
      <c r="AP198" s="289">
        <v>0</v>
      </c>
      <c r="AQ198" s="286">
        <f t="shared" si="118"/>
        <v>0</v>
      </c>
      <c r="AR198" s="289">
        <v>0</v>
      </c>
      <c r="AS198" s="286">
        <f t="shared" si="119"/>
        <v>0</v>
      </c>
      <c r="AT198" s="286">
        <f t="shared" si="107"/>
        <v>120000</v>
      </c>
      <c r="AU198" s="286">
        <f t="shared" si="120"/>
        <v>120000</v>
      </c>
      <c r="AV198" s="286">
        <v>0</v>
      </c>
    </row>
    <row r="199" spans="16:48" x14ac:dyDescent="0.2">
      <c r="P199" s="393"/>
      <c r="Q199" s="325"/>
      <c r="R199" s="325" t="s">
        <v>558</v>
      </c>
      <c r="S199" s="42"/>
      <c r="T199" s="264">
        <f>'Pencapaian Sales Value'!G199</f>
        <v>0.76989445248868782</v>
      </c>
      <c r="U199" s="287">
        <f>'Pencapaian Sales Value'!I199</f>
        <v>690000</v>
      </c>
      <c r="V199" s="274">
        <f>'Pencapaian Product Focus'!H199</f>
        <v>0</v>
      </c>
      <c r="W199" s="274">
        <f>'Pencapaian Product Focus'!L199</f>
        <v>0</v>
      </c>
      <c r="X199" s="190">
        <f>'Pencapaian Product Focus'!N199</f>
        <v>0</v>
      </c>
      <c r="Y199" s="274">
        <f>'Pencapaian Effective Call'!G199</f>
        <v>0</v>
      </c>
      <c r="Z199" s="190">
        <f>'Pencapaian Effective Call'!I199</f>
        <v>0</v>
      </c>
      <c r="AA199" s="274">
        <f>'Pencapaian New Open Outlet'!G199</f>
        <v>0</v>
      </c>
      <c r="AB199" s="190">
        <f>'Pencapaian New Open Outlet'!I199</f>
        <v>0</v>
      </c>
      <c r="AC199" s="264">
        <f>'Pencapaian Active Outlet'!G199</f>
        <v>0.66352941176470592</v>
      </c>
      <c r="AD199" s="287">
        <f>'Pencapaian Active Outlet'!I199</f>
        <v>483000</v>
      </c>
      <c r="AE199" s="274">
        <f>'Pencapaian Item per Outlet'!G199</f>
        <v>0</v>
      </c>
      <c r="AF199" s="190">
        <f>'Pencapaian Item per Outlet'!I199</f>
        <v>0</v>
      </c>
      <c r="AG199" s="274">
        <f>'Pencapaian Product Display'!G199</f>
        <v>0</v>
      </c>
      <c r="AH199" s="190">
        <f>'Pencapaian Product Display'!I199</f>
        <v>0</v>
      </c>
      <c r="AI199" s="274">
        <f>'Pencapaian Sales Contract'!G199</f>
        <v>0</v>
      </c>
      <c r="AJ199" s="190">
        <f>'Pencapaian Sales Contract'!I199</f>
        <v>0</v>
      </c>
      <c r="AK199" s="274">
        <f>'Pencapaian Co-Branding'!G199</f>
        <v>0</v>
      </c>
      <c r="AL199" s="190">
        <f>'Pencapaian Co-Branding'!I199</f>
        <v>0</v>
      </c>
      <c r="AM199" s="274">
        <f>'Pencapaian Join Event Activity'!G199</f>
        <v>0</v>
      </c>
      <c r="AN199" s="190">
        <f>'Pencapaian Join Event Activity'!I199</f>
        <v>0</v>
      </c>
      <c r="AO199" s="287">
        <f t="shared" si="109"/>
        <v>1173000</v>
      </c>
      <c r="AP199" s="290">
        <v>0</v>
      </c>
      <c r="AQ199" s="287">
        <f>SUM(AQ191:AQ198,AQ182:AQ189)</f>
        <v>0</v>
      </c>
      <c r="AR199" s="290">
        <v>0</v>
      </c>
      <c r="AS199" s="287">
        <f>SUM(AS191:AS198,AS182:AS189)</f>
        <v>0</v>
      </c>
      <c r="AT199" s="287">
        <f t="shared" si="107"/>
        <v>1173000</v>
      </c>
      <c r="AU199" s="287">
        <f>SUM(AU191:AU198,AU182:AU189)</f>
        <v>1173000</v>
      </c>
      <c r="AV199" s="287">
        <f>SUM(AV191:AV198,AV182:AV189)</f>
        <v>0</v>
      </c>
    </row>
    <row r="200" spans="16:48" ht="14.5" customHeight="1" x14ac:dyDescent="0.2">
      <c r="P200" s="395" t="s">
        <v>554</v>
      </c>
      <c r="Q200" s="321"/>
      <c r="R200" s="323" t="s">
        <v>550</v>
      </c>
      <c r="S200" s="12" t="s">
        <v>675</v>
      </c>
      <c r="T200" s="269">
        <f>'Pencapaian Sales Value'!G200</f>
        <v>9.6902199999999994E-2</v>
      </c>
      <c r="U200" s="284">
        <f>'Pencapaian Sales Value'!I200</f>
        <v>0</v>
      </c>
      <c r="V200" s="304">
        <f>'Pencapaian Product Focus'!H200</f>
        <v>0</v>
      </c>
      <c r="W200" s="304">
        <f>'Pencapaian Product Focus'!L200</f>
        <v>0</v>
      </c>
      <c r="X200" s="285">
        <f>'Pencapaian Product Focus'!N200</f>
        <v>0</v>
      </c>
      <c r="Y200" s="304">
        <f>'Pencapaian Effective Call'!G200</f>
        <v>0</v>
      </c>
      <c r="Z200" s="285">
        <f>'Pencapaian Effective Call'!I200</f>
        <v>0</v>
      </c>
      <c r="AA200" s="304">
        <f>'Pencapaian New Open Outlet'!G200</f>
        <v>0</v>
      </c>
      <c r="AB200" s="285">
        <f>'Pencapaian New Open Outlet'!I200</f>
        <v>0</v>
      </c>
      <c r="AC200" s="269">
        <f>'Pencapaian Active Outlet'!G200</f>
        <v>0.28000000000000003</v>
      </c>
      <c r="AD200" s="284">
        <f>'Pencapaian Active Outlet'!I200</f>
        <v>0</v>
      </c>
      <c r="AE200" s="304">
        <f>'Pencapaian Item per Outlet'!G200</f>
        <v>0</v>
      </c>
      <c r="AF200" s="285">
        <f>'Pencapaian Item per Outlet'!I200</f>
        <v>0</v>
      </c>
      <c r="AG200" s="304">
        <f>'Pencapaian Product Display'!G200</f>
        <v>0</v>
      </c>
      <c r="AH200" s="285">
        <f>'Pencapaian Product Display'!I200</f>
        <v>0</v>
      </c>
      <c r="AI200" s="304">
        <f>'Pencapaian Sales Contract'!G200</f>
        <v>0</v>
      </c>
      <c r="AJ200" s="285">
        <f>'Pencapaian Sales Contract'!I200</f>
        <v>0</v>
      </c>
      <c r="AK200" s="304">
        <f>'Pencapaian Co-Branding'!G200</f>
        <v>0</v>
      </c>
      <c r="AL200" s="285">
        <f>'Pencapaian Co-Branding'!I200</f>
        <v>0</v>
      </c>
      <c r="AM200" s="304">
        <f>'Pencapaian Join Event Activity'!G200</f>
        <v>0</v>
      </c>
      <c r="AN200" s="285">
        <f>'Pencapaian Join Event Activity'!I200</f>
        <v>0</v>
      </c>
      <c r="AO200" s="284">
        <f t="shared" si="109"/>
        <v>0</v>
      </c>
      <c r="AP200" s="322">
        <v>0</v>
      </c>
      <c r="AQ200" s="284">
        <f t="shared" ref="AQ200:AQ214" si="121">IF(AP200&gt;=0.5%,-(AO200*10%),0)</f>
        <v>0</v>
      </c>
      <c r="AR200" s="322">
        <v>0</v>
      </c>
      <c r="AS200" s="284">
        <f t="shared" ref="AS200:AS214" si="122">IF(AR200&gt;0,-(AO200+AQ200),0)</f>
        <v>0</v>
      </c>
      <c r="AT200" s="284">
        <f t="shared" si="107"/>
        <v>0</v>
      </c>
      <c r="AU200" s="284">
        <f t="shared" ref="AU200:AU214" si="123">AT200</f>
        <v>0</v>
      </c>
      <c r="AV200" s="284">
        <v>0</v>
      </c>
    </row>
    <row r="201" spans="16:48" ht="14.5" customHeight="1" x14ac:dyDescent="0.2">
      <c r="P201" s="392"/>
      <c r="Q201" s="321"/>
      <c r="R201" s="323" t="s">
        <v>900</v>
      </c>
      <c r="S201" s="12"/>
      <c r="T201" s="269" t="e">
        <f>'Pencapaian Sales Value'!G201</f>
        <v>#DIV/0!</v>
      </c>
      <c r="U201" s="284">
        <f>'Pencapaian Sales Value'!I201</f>
        <v>0</v>
      </c>
      <c r="V201" s="304">
        <f>'Pencapaian Product Focus'!H201</f>
        <v>0</v>
      </c>
      <c r="W201" s="304">
        <f>'Pencapaian Product Focus'!L201</f>
        <v>0</v>
      </c>
      <c r="X201" s="285">
        <f>'Pencapaian Product Focus'!N201</f>
        <v>0</v>
      </c>
      <c r="Y201" s="304">
        <f>'Pencapaian Effective Call'!G201</f>
        <v>0</v>
      </c>
      <c r="Z201" s="285">
        <f>'Pencapaian Effective Call'!I201</f>
        <v>0</v>
      </c>
      <c r="AA201" s="304">
        <f>'Pencapaian New Open Outlet'!G201</f>
        <v>0</v>
      </c>
      <c r="AB201" s="285">
        <f>'Pencapaian New Open Outlet'!I201</f>
        <v>0</v>
      </c>
      <c r="AC201" s="269" t="e">
        <f>'Pencapaian Active Outlet'!G201</f>
        <v>#DIV/0!</v>
      </c>
      <c r="AD201" s="284">
        <f>'Pencapaian Active Outlet'!I201</f>
        <v>0</v>
      </c>
      <c r="AE201" s="304">
        <f>'Pencapaian Item per Outlet'!G201</f>
        <v>0</v>
      </c>
      <c r="AF201" s="285">
        <f>'Pencapaian Item per Outlet'!I201</f>
        <v>0</v>
      </c>
      <c r="AG201" s="304">
        <f>'Pencapaian Product Display'!G201</f>
        <v>0</v>
      </c>
      <c r="AH201" s="285">
        <f>'Pencapaian Product Display'!I201</f>
        <v>0</v>
      </c>
      <c r="AI201" s="304">
        <f>'Pencapaian Sales Contract'!G201</f>
        <v>0</v>
      </c>
      <c r="AJ201" s="285">
        <f>'Pencapaian Sales Contract'!I201</f>
        <v>0</v>
      </c>
      <c r="AK201" s="304">
        <f>'Pencapaian Co-Branding'!G201</f>
        <v>0</v>
      </c>
      <c r="AL201" s="285">
        <f>'Pencapaian Co-Branding'!I201</f>
        <v>0</v>
      </c>
      <c r="AM201" s="304">
        <f>'Pencapaian Join Event Activity'!G201</f>
        <v>0</v>
      </c>
      <c r="AN201" s="285">
        <f>'Pencapaian Join Event Activity'!I201</f>
        <v>0</v>
      </c>
      <c r="AO201" s="284">
        <f t="shared" si="109"/>
        <v>0</v>
      </c>
      <c r="AP201" s="322">
        <v>0</v>
      </c>
      <c r="AQ201" s="284">
        <f t="shared" si="121"/>
        <v>0</v>
      </c>
      <c r="AR201" s="322">
        <v>0</v>
      </c>
      <c r="AS201" s="284">
        <f t="shared" si="122"/>
        <v>0</v>
      </c>
      <c r="AT201" s="284">
        <f t="shared" si="107"/>
        <v>0</v>
      </c>
      <c r="AU201" s="284">
        <f t="shared" si="123"/>
        <v>0</v>
      </c>
      <c r="AV201" s="284">
        <v>0</v>
      </c>
    </row>
    <row r="202" spans="16:48" ht="14.5" customHeight="1" x14ac:dyDescent="0.2">
      <c r="P202" s="392"/>
      <c r="Q202" s="321"/>
      <c r="R202" s="323" t="s">
        <v>551</v>
      </c>
      <c r="S202" s="12" t="s">
        <v>675</v>
      </c>
      <c r="T202" s="269">
        <f>'Pencapaian Sales Value'!G202</f>
        <v>0.39028000000000002</v>
      </c>
      <c r="U202" s="284">
        <f>'Pencapaian Sales Value'!I202</f>
        <v>0</v>
      </c>
      <c r="V202" s="304">
        <f>'Pencapaian Product Focus'!H202</f>
        <v>0</v>
      </c>
      <c r="W202" s="304">
        <f>'Pencapaian Product Focus'!L202</f>
        <v>0</v>
      </c>
      <c r="X202" s="285">
        <f>'Pencapaian Product Focus'!N202</f>
        <v>0</v>
      </c>
      <c r="Y202" s="304">
        <f>'Pencapaian Effective Call'!G202</f>
        <v>0</v>
      </c>
      <c r="Z202" s="285">
        <f>'Pencapaian Effective Call'!I202</f>
        <v>0</v>
      </c>
      <c r="AA202" s="304">
        <f>'Pencapaian New Open Outlet'!G202</f>
        <v>0</v>
      </c>
      <c r="AB202" s="285">
        <f>'Pencapaian New Open Outlet'!I202</f>
        <v>0</v>
      </c>
      <c r="AC202" s="269">
        <f>'Pencapaian Active Outlet'!G202</f>
        <v>0.26666666666666666</v>
      </c>
      <c r="AD202" s="284">
        <f>'Pencapaian Active Outlet'!I202</f>
        <v>0</v>
      </c>
      <c r="AE202" s="304">
        <f>'Pencapaian Item per Outlet'!G202</f>
        <v>0</v>
      </c>
      <c r="AF202" s="285">
        <f>'Pencapaian Item per Outlet'!I202</f>
        <v>0</v>
      </c>
      <c r="AG202" s="304">
        <f>'Pencapaian Product Display'!G202</f>
        <v>0</v>
      </c>
      <c r="AH202" s="285">
        <f>'Pencapaian Product Display'!I202</f>
        <v>0</v>
      </c>
      <c r="AI202" s="304">
        <f>'Pencapaian Sales Contract'!G202</f>
        <v>0</v>
      </c>
      <c r="AJ202" s="285">
        <f>'Pencapaian Sales Contract'!I202</f>
        <v>0</v>
      </c>
      <c r="AK202" s="304">
        <f>'Pencapaian Co-Branding'!G202</f>
        <v>0</v>
      </c>
      <c r="AL202" s="285">
        <f>'Pencapaian Co-Branding'!I202</f>
        <v>0</v>
      </c>
      <c r="AM202" s="304">
        <f>'Pencapaian Join Event Activity'!G202</f>
        <v>0</v>
      </c>
      <c r="AN202" s="285">
        <f>'Pencapaian Join Event Activity'!I202</f>
        <v>0</v>
      </c>
      <c r="AO202" s="284">
        <f t="shared" si="109"/>
        <v>0</v>
      </c>
      <c r="AP202" s="322">
        <v>0</v>
      </c>
      <c r="AQ202" s="284">
        <f t="shared" si="121"/>
        <v>0</v>
      </c>
      <c r="AR202" s="322">
        <v>0</v>
      </c>
      <c r="AS202" s="284">
        <f t="shared" si="122"/>
        <v>0</v>
      </c>
      <c r="AT202" s="284">
        <f t="shared" si="107"/>
        <v>0</v>
      </c>
      <c r="AU202" s="284">
        <f t="shared" si="123"/>
        <v>0</v>
      </c>
      <c r="AV202" s="284">
        <v>0</v>
      </c>
    </row>
    <row r="203" spans="16:48" x14ac:dyDescent="0.2">
      <c r="P203" s="392"/>
      <c r="Q203" s="321"/>
      <c r="R203" s="323" t="s">
        <v>548</v>
      </c>
      <c r="S203" s="12" t="s">
        <v>675</v>
      </c>
      <c r="T203" s="269">
        <f>'Pencapaian Sales Value'!G203</f>
        <v>3.3529000000000003E-2</v>
      </c>
      <c r="U203" s="284">
        <f>'Pencapaian Sales Value'!I203</f>
        <v>0</v>
      </c>
      <c r="V203" s="304">
        <f>'Pencapaian Product Focus'!H203</f>
        <v>0</v>
      </c>
      <c r="W203" s="304">
        <f>'Pencapaian Product Focus'!L203</f>
        <v>0</v>
      </c>
      <c r="X203" s="285">
        <f>'Pencapaian Product Focus'!N203</f>
        <v>0</v>
      </c>
      <c r="Y203" s="304">
        <f>'Pencapaian Effective Call'!G203</f>
        <v>0</v>
      </c>
      <c r="Z203" s="285">
        <f>'Pencapaian Effective Call'!I203</f>
        <v>0</v>
      </c>
      <c r="AA203" s="304">
        <f>'Pencapaian New Open Outlet'!G203</f>
        <v>0</v>
      </c>
      <c r="AB203" s="285">
        <f>'Pencapaian New Open Outlet'!I203</f>
        <v>0</v>
      </c>
      <c r="AC203" s="269">
        <f>'Pencapaian Active Outlet'!G203</f>
        <v>0.16666666666666666</v>
      </c>
      <c r="AD203" s="284">
        <f>'Pencapaian Active Outlet'!I203</f>
        <v>0</v>
      </c>
      <c r="AE203" s="304">
        <f>'Pencapaian Item per Outlet'!G203</f>
        <v>0</v>
      </c>
      <c r="AF203" s="285">
        <f>'Pencapaian Item per Outlet'!I203</f>
        <v>0</v>
      </c>
      <c r="AG203" s="304">
        <f>'Pencapaian Product Display'!G203</f>
        <v>0</v>
      </c>
      <c r="AH203" s="285">
        <f>'Pencapaian Product Display'!I203</f>
        <v>0</v>
      </c>
      <c r="AI203" s="304">
        <f>'Pencapaian Sales Contract'!G203</f>
        <v>0</v>
      </c>
      <c r="AJ203" s="285">
        <f>'Pencapaian Sales Contract'!I203</f>
        <v>0</v>
      </c>
      <c r="AK203" s="304">
        <f>'Pencapaian Co-Branding'!G203</f>
        <v>0</v>
      </c>
      <c r="AL203" s="285">
        <f>'Pencapaian Co-Branding'!I203</f>
        <v>0</v>
      </c>
      <c r="AM203" s="304">
        <f>'Pencapaian Join Event Activity'!G203</f>
        <v>0</v>
      </c>
      <c r="AN203" s="285">
        <f>'Pencapaian Join Event Activity'!I203</f>
        <v>0</v>
      </c>
      <c r="AO203" s="284">
        <f t="shared" si="109"/>
        <v>0</v>
      </c>
      <c r="AP203" s="322">
        <v>0</v>
      </c>
      <c r="AQ203" s="284">
        <f t="shared" si="121"/>
        <v>0</v>
      </c>
      <c r="AR203" s="322">
        <v>0</v>
      </c>
      <c r="AS203" s="284">
        <f t="shared" si="122"/>
        <v>0</v>
      </c>
      <c r="AT203" s="284">
        <f t="shared" si="107"/>
        <v>0</v>
      </c>
      <c r="AU203" s="284">
        <f t="shared" si="123"/>
        <v>0</v>
      </c>
      <c r="AV203" s="284">
        <v>0</v>
      </c>
    </row>
    <row r="204" spans="16:48" x14ac:dyDescent="0.2">
      <c r="P204" s="392"/>
      <c r="Q204" s="321"/>
      <c r="R204" s="323" t="s">
        <v>549</v>
      </c>
      <c r="S204" s="12" t="s">
        <v>675</v>
      </c>
      <c r="T204" s="269">
        <f>'Pencapaian Sales Value'!G204</f>
        <v>0.87134780000000001</v>
      </c>
      <c r="U204" s="284">
        <f>'Pencapaian Sales Value'!I204</f>
        <v>60000</v>
      </c>
      <c r="V204" s="304">
        <f>'Pencapaian Product Focus'!H204</f>
        <v>0</v>
      </c>
      <c r="W204" s="304">
        <f>'Pencapaian Product Focus'!L204</f>
        <v>0</v>
      </c>
      <c r="X204" s="285">
        <f>'Pencapaian Product Focus'!N204</f>
        <v>0</v>
      </c>
      <c r="Y204" s="304">
        <f>'Pencapaian Effective Call'!G204</f>
        <v>0</v>
      </c>
      <c r="Z204" s="285">
        <f>'Pencapaian Effective Call'!I204</f>
        <v>0</v>
      </c>
      <c r="AA204" s="304">
        <f>'Pencapaian New Open Outlet'!G204</f>
        <v>0</v>
      </c>
      <c r="AB204" s="285">
        <f>'Pencapaian New Open Outlet'!I204</f>
        <v>0</v>
      </c>
      <c r="AC204" s="269">
        <f>'Pencapaian Active Outlet'!G204</f>
        <v>0.48</v>
      </c>
      <c r="AD204" s="284">
        <f>'Pencapaian Active Outlet'!I204</f>
        <v>0</v>
      </c>
      <c r="AE204" s="304">
        <f>'Pencapaian Item per Outlet'!G204</f>
        <v>0</v>
      </c>
      <c r="AF204" s="285">
        <f>'Pencapaian Item per Outlet'!I204</f>
        <v>0</v>
      </c>
      <c r="AG204" s="304">
        <f>'Pencapaian Product Display'!G204</f>
        <v>0</v>
      </c>
      <c r="AH204" s="285">
        <f>'Pencapaian Product Display'!I204</f>
        <v>0</v>
      </c>
      <c r="AI204" s="304">
        <f>'Pencapaian Sales Contract'!G204</f>
        <v>0</v>
      </c>
      <c r="AJ204" s="285">
        <f>'Pencapaian Sales Contract'!I204</f>
        <v>0</v>
      </c>
      <c r="AK204" s="304">
        <f>'Pencapaian Co-Branding'!G204</f>
        <v>0</v>
      </c>
      <c r="AL204" s="285">
        <f>'Pencapaian Co-Branding'!I204</f>
        <v>0</v>
      </c>
      <c r="AM204" s="304">
        <f>'Pencapaian Join Event Activity'!G204</f>
        <v>0</v>
      </c>
      <c r="AN204" s="285">
        <f>'Pencapaian Join Event Activity'!I204</f>
        <v>0</v>
      </c>
      <c r="AO204" s="284">
        <f t="shared" si="109"/>
        <v>60000</v>
      </c>
      <c r="AP204" s="322">
        <v>0</v>
      </c>
      <c r="AQ204" s="284">
        <f t="shared" si="121"/>
        <v>0</v>
      </c>
      <c r="AR204" s="322">
        <v>0</v>
      </c>
      <c r="AS204" s="284">
        <f t="shared" si="122"/>
        <v>0</v>
      </c>
      <c r="AT204" s="284">
        <f t="shared" si="107"/>
        <v>60000</v>
      </c>
      <c r="AU204" s="284">
        <f t="shared" si="123"/>
        <v>60000</v>
      </c>
      <c r="AV204" s="284">
        <v>0</v>
      </c>
    </row>
    <row r="205" spans="16:48" x14ac:dyDescent="0.2">
      <c r="P205" s="392"/>
      <c r="Q205" s="324"/>
      <c r="R205" s="324" t="s">
        <v>708</v>
      </c>
      <c r="S205" s="64" t="s">
        <v>673</v>
      </c>
      <c r="T205" s="258">
        <f>'Pencapaian Sales Value'!G205</f>
        <v>0.35249914285714284</v>
      </c>
      <c r="U205" s="286">
        <f>'Pencapaian Sales Value'!I205</f>
        <v>0</v>
      </c>
      <c r="V205" s="268">
        <f>'Pencapaian Product Focus'!H205</f>
        <v>0</v>
      </c>
      <c r="W205" s="268">
        <f>'Pencapaian Product Focus'!L205</f>
        <v>0</v>
      </c>
      <c r="X205" s="189">
        <f>'Pencapaian Product Focus'!N205</f>
        <v>0</v>
      </c>
      <c r="Y205" s="268">
        <f>'Pencapaian Effective Call'!G205</f>
        <v>0</v>
      </c>
      <c r="Z205" s="189">
        <f>'Pencapaian Effective Call'!I205</f>
        <v>0</v>
      </c>
      <c r="AA205" s="268">
        <f>'Pencapaian New Open Outlet'!G205</f>
        <v>0</v>
      </c>
      <c r="AB205" s="189">
        <f>'Pencapaian New Open Outlet'!I205</f>
        <v>0</v>
      </c>
      <c r="AC205" s="258">
        <f>'Pencapaian Active Outlet'!G205</f>
        <v>0.32500000000000001</v>
      </c>
      <c r="AD205" s="286">
        <f>'Pencapaian Active Outlet'!I205</f>
        <v>0</v>
      </c>
      <c r="AE205" s="268">
        <f>'Pencapaian Item per Outlet'!G205</f>
        <v>0</v>
      </c>
      <c r="AF205" s="189">
        <f>'Pencapaian Item per Outlet'!I205</f>
        <v>0</v>
      </c>
      <c r="AG205" s="268">
        <f>'Pencapaian Product Display'!G205</f>
        <v>0</v>
      </c>
      <c r="AH205" s="189">
        <f>'Pencapaian Product Display'!I205</f>
        <v>0</v>
      </c>
      <c r="AI205" s="268">
        <f>'Pencapaian Sales Contract'!G205</f>
        <v>0</v>
      </c>
      <c r="AJ205" s="189">
        <f>'Pencapaian Sales Contract'!I205</f>
        <v>0</v>
      </c>
      <c r="AK205" s="268">
        <f>'Pencapaian Co-Branding'!G205</f>
        <v>0</v>
      </c>
      <c r="AL205" s="189">
        <f>'Pencapaian Co-Branding'!I205</f>
        <v>0</v>
      </c>
      <c r="AM205" s="268">
        <f>'Pencapaian Join Event Activity'!G205</f>
        <v>0</v>
      </c>
      <c r="AN205" s="189">
        <f>'Pencapaian Join Event Activity'!I205</f>
        <v>0</v>
      </c>
      <c r="AO205" s="286">
        <f t="shared" si="109"/>
        <v>0</v>
      </c>
      <c r="AP205" s="289">
        <v>0</v>
      </c>
      <c r="AQ205" s="286">
        <f t="shared" si="121"/>
        <v>0</v>
      </c>
      <c r="AR205" s="289">
        <v>0</v>
      </c>
      <c r="AS205" s="286">
        <f t="shared" si="122"/>
        <v>0</v>
      </c>
      <c r="AT205" s="286">
        <f t="shared" si="107"/>
        <v>0</v>
      </c>
      <c r="AU205" s="286">
        <f t="shared" si="123"/>
        <v>0</v>
      </c>
      <c r="AV205" s="286">
        <v>0</v>
      </c>
    </row>
    <row r="206" spans="16:48" ht="14.5" customHeight="1" x14ac:dyDescent="0.2">
      <c r="P206" s="392"/>
      <c r="Q206" s="321" t="s">
        <v>407</v>
      </c>
      <c r="R206" s="12" t="s">
        <v>326</v>
      </c>
      <c r="S206" s="12" t="s">
        <v>571</v>
      </c>
      <c r="T206" s="269">
        <f>'Pencapaian Sales Value'!G206</f>
        <v>3.0457728888888891</v>
      </c>
      <c r="U206" s="284">
        <f>'Pencapaian Sales Value'!I206</f>
        <v>330000</v>
      </c>
      <c r="V206" s="304">
        <f>'Pencapaian Product Focus'!H206</f>
        <v>0</v>
      </c>
      <c r="W206" s="304">
        <f>'Pencapaian Product Focus'!L206</f>
        <v>0</v>
      </c>
      <c r="X206" s="285">
        <f>'Pencapaian Product Focus'!N206</f>
        <v>0</v>
      </c>
      <c r="Y206" s="304">
        <f>'Pencapaian Effective Call'!G206</f>
        <v>0</v>
      </c>
      <c r="Z206" s="285">
        <f>'Pencapaian Effective Call'!I206</f>
        <v>0</v>
      </c>
      <c r="AA206" s="304">
        <f>'Pencapaian New Open Outlet'!G206</f>
        <v>0</v>
      </c>
      <c r="AB206" s="285">
        <f>'Pencapaian New Open Outlet'!I206</f>
        <v>0</v>
      </c>
      <c r="AC206" s="269">
        <f>'Pencapaian Active Outlet'!G206</f>
        <v>0.66</v>
      </c>
      <c r="AD206" s="284">
        <f>'Pencapaian Active Outlet'!I206</f>
        <v>0</v>
      </c>
      <c r="AE206" s="304">
        <f>'Pencapaian Item per Outlet'!G206</f>
        <v>0</v>
      </c>
      <c r="AF206" s="285">
        <f>'Pencapaian Item per Outlet'!I206</f>
        <v>0</v>
      </c>
      <c r="AG206" s="304">
        <f>'Pencapaian Product Display'!G206</f>
        <v>0</v>
      </c>
      <c r="AH206" s="285">
        <f>'Pencapaian Product Display'!I206</f>
        <v>0</v>
      </c>
      <c r="AI206" s="304">
        <f>'Pencapaian Sales Contract'!G206</f>
        <v>0</v>
      </c>
      <c r="AJ206" s="285">
        <f>'Pencapaian Sales Contract'!I206</f>
        <v>0</v>
      </c>
      <c r="AK206" s="304">
        <f>'Pencapaian Co-Branding'!G206</f>
        <v>0</v>
      </c>
      <c r="AL206" s="285">
        <f>'Pencapaian Co-Branding'!I206</f>
        <v>0</v>
      </c>
      <c r="AM206" s="304">
        <f>'Pencapaian Join Event Activity'!G206</f>
        <v>0</v>
      </c>
      <c r="AN206" s="285">
        <f>'Pencapaian Join Event Activity'!I206</f>
        <v>0</v>
      </c>
      <c r="AO206" s="284">
        <f t="shared" si="109"/>
        <v>330000</v>
      </c>
      <c r="AP206" s="322">
        <v>0</v>
      </c>
      <c r="AQ206" s="284">
        <f t="shared" si="121"/>
        <v>0</v>
      </c>
      <c r="AR206" s="322">
        <v>0</v>
      </c>
      <c r="AS206" s="284">
        <f t="shared" si="122"/>
        <v>0</v>
      </c>
      <c r="AT206" s="284">
        <f t="shared" si="107"/>
        <v>330000</v>
      </c>
      <c r="AU206" s="284">
        <f t="shared" si="123"/>
        <v>330000</v>
      </c>
      <c r="AV206" s="284">
        <v>0</v>
      </c>
    </row>
    <row r="207" spans="16:48" ht="14.5" customHeight="1" x14ac:dyDescent="0.2">
      <c r="P207" s="392"/>
      <c r="Q207" s="321"/>
      <c r="R207" s="323" t="s">
        <v>553</v>
      </c>
      <c r="S207" s="12" t="s">
        <v>675</v>
      </c>
      <c r="T207" s="269">
        <f>'Pencapaian Sales Value'!G207</f>
        <v>1.585E-3</v>
      </c>
      <c r="U207" s="284">
        <f>'Pencapaian Sales Value'!I207</f>
        <v>0</v>
      </c>
      <c r="V207" s="304">
        <f>'Pencapaian Product Focus'!H207</f>
        <v>0</v>
      </c>
      <c r="W207" s="304">
        <f>'Pencapaian Product Focus'!L207</f>
        <v>0</v>
      </c>
      <c r="X207" s="285">
        <f>'Pencapaian Product Focus'!N207</f>
        <v>0</v>
      </c>
      <c r="Y207" s="304">
        <f>'Pencapaian Effective Call'!G207</f>
        <v>0</v>
      </c>
      <c r="Z207" s="285">
        <f>'Pencapaian Effective Call'!I207</f>
        <v>0</v>
      </c>
      <c r="AA207" s="304">
        <f>'Pencapaian New Open Outlet'!G207</f>
        <v>0</v>
      </c>
      <c r="AB207" s="285">
        <f>'Pencapaian New Open Outlet'!I207</f>
        <v>0</v>
      </c>
      <c r="AC207" s="269">
        <f>'Pencapaian Active Outlet'!G207</f>
        <v>0</v>
      </c>
      <c r="AD207" s="284">
        <f>'Pencapaian Active Outlet'!I207</f>
        <v>0</v>
      </c>
      <c r="AE207" s="304">
        <f>'Pencapaian Item per Outlet'!G207</f>
        <v>0</v>
      </c>
      <c r="AF207" s="285">
        <f>'Pencapaian Item per Outlet'!I207</f>
        <v>0</v>
      </c>
      <c r="AG207" s="304">
        <f>'Pencapaian Product Display'!G207</f>
        <v>0</v>
      </c>
      <c r="AH207" s="285">
        <f>'Pencapaian Product Display'!I207</f>
        <v>0</v>
      </c>
      <c r="AI207" s="304">
        <f>'Pencapaian Sales Contract'!G207</f>
        <v>0</v>
      </c>
      <c r="AJ207" s="285">
        <f>'Pencapaian Sales Contract'!I207</f>
        <v>0</v>
      </c>
      <c r="AK207" s="304">
        <f>'Pencapaian Co-Branding'!G207</f>
        <v>0</v>
      </c>
      <c r="AL207" s="285">
        <f>'Pencapaian Co-Branding'!I207</f>
        <v>0</v>
      </c>
      <c r="AM207" s="304">
        <f>'Pencapaian Join Event Activity'!G207</f>
        <v>0</v>
      </c>
      <c r="AN207" s="285">
        <f>'Pencapaian Join Event Activity'!I207</f>
        <v>0</v>
      </c>
      <c r="AO207" s="284">
        <f t="shared" si="109"/>
        <v>0</v>
      </c>
      <c r="AP207" s="322">
        <v>0</v>
      </c>
      <c r="AQ207" s="284">
        <f t="shared" si="121"/>
        <v>0</v>
      </c>
      <c r="AR207" s="322">
        <v>0</v>
      </c>
      <c r="AS207" s="284">
        <f t="shared" si="122"/>
        <v>0</v>
      </c>
      <c r="AT207" s="284">
        <f t="shared" si="107"/>
        <v>0</v>
      </c>
      <c r="AU207" s="284">
        <f t="shared" si="123"/>
        <v>0</v>
      </c>
      <c r="AV207" s="284">
        <v>0</v>
      </c>
    </row>
    <row r="208" spans="16:48" x14ac:dyDescent="0.2">
      <c r="P208" s="392"/>
      <c r="Q208" s="321"/>
      <c r="R208" s="323" t="s">
        <v>552</v>
      </c>
      <c r="S208" s="12" t="s">
        <v>675</v>
      </c>
      <c r="T208" s="269">
        <f>'Pencapaian Sales Value'!G208</f>
        <v>-1.345E-2</v>
      </c>
      <c r="U208" s="284">
        <f>'Pencapaian Sales Value'!I208</f>
        <v>0</v>
      </c>
      <c r="V208" s="304">
        <f>'Pencapaian Product Focus'!H208</f>
        <v>0</v>
      </c>
      <c r="W208" s="304">
        <f>'Pencapaian Product Focus'!L208</f>
        <v>0</v>
      </c>
      <c r="X208" s="285">
        <f>'Pencapaian Product Focus'!N208</f>
        <v>0</v>
      </c>
      <c r="Y208" s="304">
        <f>'Pencapaian Effective Call'!G208</f>
        <v>0</v>
      </c>
      <c r="Z208" s="285">
        <f>'Pencapaian Effective Call'!I208</f>
        <v>0</v>
      </c>
      <c r="AA208" s="304">
        <f>'Pencapaian New Open Outlet'!G208</f>
        <v>0</v>
      </c>
      <c r="AB208" s="285">
        <f>'Pencapaian New Open Outlet'!I208</f>
        <v>0</v>
      </c>
      <c r="AC208" s="269">
        <f>'Pencapaian Active Outlet'!G208</f>
        <v>0</v>
      </c>
      <c r="AD208" s="284">
        <f>'Pencapaian Active Outlet'!I208</f>
        <v>0</v>
      </c>
      <c r="AE208" s="304">
        <f>'Pencapaian Item per Outlet'!G208</f>
        <v>0</v>
      </c>
      <c r="AF208" s="285">
        <f>'Pencapaian Item per Outlet'!I208</f>
        <v>0</v>
      </c>
      <c r="AG208" s="304">
        <f>'Pencapaian Product Display'!G208</f>
        <v>0</v>
      </c>
      <c r="AH208" s="285">
        <f>'Pencapaian Product Display'!I208</f>
        <v>0</v>
      </c>
      <c r="AI208" s="304">
        <f>'Pencapaian Sales Contract'!G208</f>
        <v>0</v>
      </c>
      <c r="AJ208" s="285">
        <f>'Pencapaian Sales Contract'!I208</f>
        <v>0</v>
      </c>
      <c r="AK208" s="304">
        <f>'Pencapaian Co-Branding'!G208</f>
        <v>0</v>
      </c>
      <c r="AL208" s="285">
        <f>'Pencapaian Co-Branding'!I208</f>
        <v>0</v>
      </c>
      <c r="AM208" s="304">
        <f>'Pencapaian Join Event Activity'!G208</f>
        <v>0</v>
      </c>
      <c r="AN208" s="285">
        <f>'Pencapaian Join Event Activity'!I208</f>
        <v>0</v>
      </c>
      <c r="AO208" s="284">
        <f t="shared" si="109"/>
        <v>0</v>
      </c>
      <c r="AP208" s="322">
        <v>0</v>
      </c>
      <c r="AQ208" s="284">
        <f t="shared" si="121"/>
        <v>0</v>
      </c>
      <c r="AR208" s="322">
        <v>0</v>
      </c>
      <c r="AS208" s="284">
        <f t="shared" si="122"/>
        <v>0</v>
      </c>
      <c r="AT208" s="284">
        <f t="shared" si="107"/>
        <v>0</v>
      </c>
      <c r="AU208" s="284">
        <f t="shared" si="123"/>
        <v>0</v>
      </c>
      <c r="AV208" s="284">
        <v>0</v>
      </c>
    </row>
    <row r="209" spans="16:48" x14ac:dyDescent="0.2">
      <c r="P209" s="392"/>
      <c r="Q209" s="321"/>
      <c r="R209" s="323" t="s">
        <v>620</v>
      </c>
      <c r="S209" s="12" t="s">
        <v>675</v>
      </c>
      <c r="T209" s="269">
        <f>'Pencapaian Sales Value'!G209</f>
        <v>2.7500000000000002E-4</v>
      </c>
      <c r="U209" s="284">
        <f>'Pencapaian Sales Value'!I209</f>
        <v>0</v>
      </c>
      <c r="V209" s="304">
        <f>'Pencapaian Product Focus'!H209</f>
        <v>0</v>
      </c>
      <c r="W209" s="304">
        <f>'Pencapaian Product Focus'!L209</f>
        <v>0</v>
      </c>
      <c r="X209" s="285">
        <f>'Pencapaian Product Focus'!N209</f>
        <v>0</v>
      </c>
      <c r="Y209" s="304">
        <f>'Pencapaian Effective Call'!G209</f>
        <v>0</v>
      </c>
      <c r="Z209" s="285">
        <f>'Pencapaian Effective Call'!I209</f>
        <v>0</v>
      </c>
      <c r="AA209" s="304">
        <f>'Pencapaian New Open Outlet'!G209</f>
        <v>0</v>
      </c>
      <c r="AB209" s="285">
        <f>'Pencapaian New Open Outlet'!I209</f>
        <v>0</v>
      </c>
      <c r="AC209" s="269">
        <f>'Pencapaian Active Outlet'!G209</f>
        <v>0</v>
      </c>
      <c r="AD209" s="284">
        <f>'Pencapaian Active Outlet'!I209</f>
        <v>0</v>
      </c>
      <c r="AE209" s="304">
        <f>'Pencapaian Item per Outlet'!G209</f>
        <v>0</v>
      </c>
      <c r="AF209" s="285">
        <f>'Pencapaian Item per Outlet'!I209</f>
        <v>0</v>
      </c>
      <c r="AG209" s="304">
        <f>'Pencapaian Product Display'!G209</f>
        <v>0</v>
      </c>
      <c r="AH209" s="285">
        <f>'Pencapaian Product Display'!I209</f>
        <v>0</v>
      </c>
      <c r="AI209" s="304">
        <f>'Pencapaian Sales Contract'!G209</f>
        <v>0</v>
      </c>
      <c r="AJ209" s="285">
        <f>'Pencapaian Sales Contract'!I209</f>
        <v>0</v>
      </c>
      <c r="AK209" s="304">
        <f>'Pencapaian Co-Branding'!G209</f>
        <v>0</v>
      </c>
      <c r="AL209" s="285">
        <f>'Pencapaian Co-Branding'!I209</f>
        <v>0</v>
      </c>
      <c r="AM209" s="304">
        <f>'Pencapaian Join Event Activity'!G209</f>
        <v>0</v>
      </c>
      <c r="AN209" s="285">
        <f>'Pencapaian Join Event Activity'!I209</f>
        <v>0</v>
      </c>
      <c r="AO209" s="284">
        <f t="shared" si="109"/>
        <v>0</v>
      </c>
      <c r="AP209" s="322">
        <v>0</v>
      </c>
      <c r="AQ209" s="284">
        <f t="shared" si="121"/>
        <v>0</v>
      </c>
      <c r="AR209" s="322">
        <v>0</v>
      </c>
      <c r="AS209" s="284">
        <f t="shared" si="122"/>
        <v>0</v>
      </c>
      <c r="AT209" s="284">
        <f t="shared" si="107"/>
        <v>0</v>
      </c>
      <c r="AU209" s="284">
        <f t="shared" si="123"/>
        <v>0</v>
      </c>
      <c r="AV209" s="284">
        <v>0</v>
      </c>
    </row>
    <row r="210" spans="16:48" x14ac:dyDescent="0.2">
      <c r="P210" s="392"/>
      <c r="Q210" s="321"/>
      <c r="R210" s="323" t="s">
        <v>216</v>
      </c>
      <c r="S210" s="12" t="s">
        <v>675</v>
      </c>
      <c r="T210" s="269">
        <f>'Pencapaian Sales Value'!G210</f>
        <v>9.0179999999999996E-2</v>
      </c>
      <c r="U210" s="284">
        <f>'Pencapaian Sales Value'!I210</f>
        <v>0</v>
      </c>
      <c r="V210" s="304">
        <f>'Pencapaian Product Focus'!H210</f>
        <v>0</v>
      </c>
      <c r="W210" s="304">
        <f>'Pencapaian Product Focus'!L210</f>
        <v>0</v>
      </c>
      <c r="X210" s="285">
        <f>'Pencapaian Product Focus'!N210</f>
        <v>0</v>
      </c>
      <c r="Y210" s="304">
        <f>'Pencapaian Effective Call'!G210</f>
        <v>0</v>
      </c>
      <c r="Z210" s="285">
        <f>'Pencapaian Effective Call'!I210</f>
        <v>0</v>
      </c>
      <c r="AA210" s="304">
        <f>'Pencapaian New Open Outlet'!G210</f>
        <v>0</v>
      </c>
      <c r="AB210" s="285">
        <f>'Pencapaian New Open Outlet'!I210</f>
        <v>0</v>
      </c>
      <c r="AC210" s="269">
        <f>'Pencapaian Active Outlet'!G210</f>
        <v>0.13333333333333333</v>
      </c>
      <c r="AD210" s="284">
        <f>'Pencapaian Active Outlet'!I210</f>
        <v>0</v>
      </c>
      <c r="AE210" s="304">
        <f>'Pencapaian Item per Outlet'!G210</f>
        <v>0</v>
      </c>
      <c r="AF210" s="285">
        <f>'Pencapaian Item per Outlet'!I210</f>
        <v>0</v>
      </c>
      <c r="AG210" s="304">
        <f>'Pencapaian Product Display'!G210</f>
        <v>0</v>
      </c>
      <c r="AH210" s="285">
        <f>'Pencapaian Product Display'!I210</f>
        <v>0</v>
      </c>
      <c r="AI210" s="304">
        <f>'Pencapaian Sales Contract'!G210</f>
        <v>0</v>
      </c>
      <c r="AJ210" s="285">
        <f>'Pencapaian Sales Contract'!I210</f>
        <v>0</v>
      </c>
      <c r="AK210" s="304">
        <f>'Pencapaian Co-Branding'!G210</f>
        <v>0</v>
      </c>
      <c r="AL210" s="285">
        <f>'Pencapaian Co-Branding'!I210</f>
        <v>0</v>
      </c>
      <c r="AM210" s="304">
        <f>'Pencapaian Join Event Activity'!G210</f>
        <v>0</v>
      </c>
      <c r="AN210" s="285">
        <f>'Pencapaian Join Event Activity'!I210</f>
        <v>0</v>
      </c>
      <c r="AO210" s="284">
        <f t="shared" si="109"/>
        <v>0</v>
      </c>
      <c r="AP210" s="322">
        <v>0</v>
      </c>
      <c r="AQ210" s="284">
        <f t="shared" si="121"/>
        <v>0</v>
      </c>
      <c r="AR210" s="322">
        <v>0</v>
      </c>
      <c r="AS210" s="284">
        <f t="shared" si="122"/>
        <v>0</v>
      </c>
      <c r="AT210" s="284">
        <f t="shared" si="107"/>
        <v>0</v>
      </c>
      <c r="AU210" s="284">
        <f t="shared" si="123"/>
        <v>0</v>
      </c>
      <c r="AV210" s="284">
        <v>0</v>
      </c>
    </row>
    <row r="211" spans="16:48" x14ac:dyDescent="0.2">
      <c r="P211" s="392"/>
      <c r="Q211" s="321"/>
      <c r="R211" s="323" t="s">
        <v>805</v>
      </c>
      <c r="S211" s="12"/>
      <c r="T211" s="269" t="e">
        <f>'Pencapaian Sales Value'!G211</f>
        <v>#DIV/0!</v>
      </c>
      <c r="U211" s="284">
        <f>'Pencapaian Sales Value'!I211</f>
        <v>0</v>
      </c>
      <c r="V211" s="304">
        <f>'Pencapaian Product Focus'!H211</f>
        <v>0</v>
      </c>
      <c r="W211" s="304">
        <f>'Pencapaian Product Focus'!L211</f>
        <v>0</v>
      </c>
      <c r="X211" s="285">
        <f>'Pencapaian Product Focus'!N211</f>
        <v>0</v>
      </c>
      <c r="Y211" s="304">
        <f>'Pencapaian Effective Call'!G211</f>
        <v>0</v>
      </c>
      <c r="Z211" s="285">
        <f>'Pencapaian Effective Call'!I211</f>
        <v>0</v>
      </c>
      <c r="AA211" s="304">
        <f>'Pencapaian New Open Outlet'!G211</f>
        <v>0</v>
      </c>
      <c r="AB211" s="285">
        <f>'Pencapaian New Open Outlet'!I211</f>
        <v>0</v>
      </c>
      <c r="AC211" s="269" t="e">
        <f>'Pencapaian Active Outlet'!G211</f>
        <v>#DIV/0!</v>
      </c>
      <c r="AD211" s="284">
        <f>'Pencapaian Active Outlet'!I211</f>
        <v>0</v>
      </c>
      <c r="AE211" s="304">
        <f>'Pencapaian Item per Outlet'!G211</f>
        <v>0</v>
      </c>
      <c r="AF211" s="285">
        <f>'Pencapaian Item per Outlet'!I211</f>
        <v>0</v>
      </c>
      <c r="AG211" s="304">
        <f>'Pencapaian Product Display'!G211</f>
        <v>0</v>
      </c>
      <c r="AH211" s="285">
        <f>'Pencapaian Product Display'!I211</f>
        <v>0</v>
      </c>
      <c r="AI211" s="304">
        <f>'Pencapaian Sales Contract'!G211</f>
        <v>0</v>
      </c>
      <c r="AJ211" s="285">
        <f>'Pencapaian Sales Contract'!I211</f>
        <v>0</v>
      </c>
      <c r="AK211" s="304">
        <f>'Pencapaian Co-Branding'!G211</f>
        <v>0</v>
      </c>
      <c r="AL211" s="285">
        <f>'Pencapaian Co-Branding'!I211</f>
        <v>0</v>
      </c>
      <c r="AM211" s="304">
        <f>'Pencapaian Join Event Activity'!G211</f>
        <v>0</v>
      </c>
      <c r="AN211" s="285">
        <f>'Pencapaian Join Event Activity'!I211</f>
        <v>0</v>
      </c>
      <c r="AO211" s="284">
        <f t="shared" si="109"/>
        <v>0</v>
      </c>
      <c r="AP211" s="322">
        <v>0</v>
      </c>
      <c r="AQ211" s="284">
        <f t="shared" si="121"/>
        <v>0</v>
      </c>
      <c r="AR211" s="322">
        <v>0</v>
      </c>
      <c r="AS211" s="284">
        <f t="shared" si="122"/>
        <v>0</v>
      </c>
      <c r="AT211" s="284">
        <f t="shared" si="107"/>
        <v>0</v>
      </c>
      <c r="AU211" s="284">
        <f t="shared" si="123"/>
        <v>0</v>
      </c>
      <c r="AV211" s="284">
        <v>0</v>
      </c>
    </row>
    <row r="212" spans="16:48" x14ac:dyDescent="0.2">
      <c r="P212" s="392"/>
      <c r="Q212" s="321"/>
      <c r="R212" s="323" t="s">
        <v>844</v>
      </c>
      <c r="S212" s="12" t="s">
        <v>675</v>
      </c>
      <c r="T212" s="269">
        <f>'Pencapaian Sales Value'!G212</f>
        <v>2.5000000000000001E-3</v>
      </c>
      <c r="U212" s="284">
        <f>'Pencapaian Sales Value'!I212</f>
        <v>0</v>
      </c>
      <c r="V212" s="304">
        <f>'Pencapaian Product Focus'!H212</f>
        <v>0</v>
      </c>
      <c r="W212" s="304">
        <f>'Pencapaian Product Focus'!L212</f>
        <v>0</v>
      </c>
      <c r="X212" s="285">
        <f>'Pencapaian Product Focus'!N212</f>
        <v>0</v>
      </c>
      <c r="Y212" s="304">
        <f>'Pencapaian Effective Call'!G212</f>
        <v>0</v>
      </c>
      <c r="Z212" s="285">
        <f>'Pencapaian Effective Call'!I212</f>
        <v>0</v>
      </c>
      <c r="AA212" s="304">
        <f>'Pencapaian New Open Outlet'!G212</f>
        <v>0</v>
      </c>
      <c r="AB212" s="285">
        <f>'Pencapaian New Open Outlet'!I212</f>
        <v>0</v>
      </c>
      <c r="AC212" s="269">
        <f>'Pencapaian Active Outlet'!G212</f>
        <v>0</v>
      </c>
      <c r="AD212" s="284">
        <f>'Pencapaian Active Outlet'!I212</f>
        <v>0</v>
      </c>
      <c r="AE212" s="304">
        <f>'Pencapaian Item per Outlet'!G212</f>
        <v>0</v>
      </c>
      <c r="AF212" s="285">
        <f>'Pencapaian Item per Outlet'!I212</f>
        <v>0</v>
      </c>
      <c r="AG212" s="304">
        <f>'Pencapaian Product Display'!G212</f>
        <v>0</v>
      </c>
      <c r="AH212" s="285">
        <f>'Pencapaian Product Display'!I212</f>
        <v>0</v>
      </c>
      <c r="AI212" s="304">
        <f>'Pencapaian Sales Contract'!G212</f>
        <v>0</v>
      </c>
      <c r="AJ212" s="285">
        <f>'Pencapaian Sales Contract'!I212</f>
        <v>0</v>
      </c>
      <c r="AK212" s="304">
        <f>'Pencapaian Co-Branding'!G212</f>
        <v>0</v>
      </c>
      <c r="AL212" s="285">
        <f>'Pencapaian Co-Branding'!I212</f>
        <v>0</v>
      </c>
      <c r="AM212" s="304">
        <f>'Pencapaian Join Event Activity'!G212</f>
        <v>0</v>
      </c>
      <c r="AN212" s="285">
        <f>'Pencapaian Join Event Activity'!I212</f>
        <v>0</v>
      </c>
      <c r="AO212" s="284">
        <f t="shared" si="109"/>
        <v>0</v>
      </c>
      <c r="AP212" s="322">
        <v>0</v>
      </c>
      <c r="AQ212" s="284">
        <f t="shared" si="121"/>
        <v>0</v>
      </c>
      <c r="AR212" s="322">
        <v>0</v>
      </c>
      <c r="AS212" s="284">
        <f t="shared" si="122"/>
        <v>0</v>
      </c>
      <c r="AT212" s="284">
        <f t="shared" si="107"/>
        <v>0</v>
      </c>
      <c r="AU212" s="284">
        <f t="shared" si="123"/>
        <v>0</v>
      </c>
      <c r="AV212" s="284">
        <v>0</v>
      </c>
    </row>
    <row r="213" spans="16:48" x14ac:dyDescent="0.2">
      <c r="P213" s="392"/>
      <c r="Q213" s="324"/>
      <c r="R213" s="324" t="s">
        <v>715</v>
      </c>
      <c r="S213" s="64" t="s">
        <v>673</v>
      </c>
      <c r="T213" s="258">
        <f>'Pencapaian Sales Value'!G213</f>
        <v>0.56049388679245282</v>
      </c>
      <c r="U213" s="286">
        <f>'Pencapaian Sales Value'!I213</f>
        <v>0</v>
      </c>
      <c r="V213" s="268">
        <f>'Pencapaian Product Focus'!H213</f>
        <v>0</v>
      </c>
      <c r="W213" s="268">
        <f>'Pencapaian Product Focus'!L213</f>
        <v>0</v>
      </c>
      <c r="X213" s="189">
        <f>'Pencapaian Product Focus'!N213</f>
        <v>0</v>
      </c>
      <c r="Y213" s="268">
        <f>'Pencapaian Effective Call'!G213</f>
        <v>0</v>
      </c>
      <c r="Z213" s="189">
        <f>'Pencapaian Effective Call'!I213</f>
        <v>0</v>
      </c>
      <c r="AA213" s="268">
        <f>'Pencapaian New Open Outlet'!G213</f>
        <v>0</v>
      </c>
      <c r="AB213" s="189">
        <f>'Pencapaian New Open Outlet'!I213</f>
        <v>0</v>
      </c>
      <c r="AC213" s="258">
        <f>'Pencapaian Active Outlet'!G213</f>
        <v>0.28979591836734692</v>
      </c>
      <c r="AD213" s="286">
        <f>'Pencapaian Active Outlet'!I213</f>
        <v>0</v>
      </c>
      <c r="AE213" s="268">
        <f>'Pencapaian Item per Outlet'!G213</f>
        <v>0</v>
      </c>
      <c r="AF213" s="189">
        <f>'Pencapaian Item per Outlet'!I213</f>
        <v>0</v>
      </c>
      <c r="AG213" s="268">
        <f>'Pencapaian Product Display'!G213</f>
        <v>0</v>
      </c>
      <c r="AH213" s="189">
        <f>'Pencapaian Product Display'!I213</f>
        <v>0</v>
      </c>
      <c r="AI213" s="268">
        <f>'Pencapaian Sales Contract'!G213</f>
        <v>0</v>
      </c>
      <c r="AJ213" s="189">
        <f>'Pencapaian Sales Contract'!I213</f>
        <v>0</v>
      </c>
      <c r="AK213" s="268">
        <f>'Pencapaian Co-Branding'!G213</f>
        <v>0</v>
      </c>
      <c r="AL213" s="189">
        <f>'Pencapaian Co-Branding'!I213</f>
        <v>0</v>
      </c>
      <c r="AM213" s="268">
        <f>'Pencapaian Join Event Activity'!G213</f>
        <v>0</v>
      </c>
      <c r="AN213" s="189">
        <f>'Pencapaian Join Event Activity'!I213</f>
        <v>0</v>
      </c>
      <c r="AO213" s="286">
        <f t="shared" si="109"/>
        <v>0</v>
      </c>
      <c r="AP213" s="289">
        <v>0</v>
      </c>
      <c r="AQ213" s="286">
        <f t="shared" si="121"/>
        <v>0</v>
      </c>
      <c r="AR213" s="289">
        <v>0</v>
      </c>
      <c r="AS213" s="286">
        <f t="shared" si="122"/>
        <v>0</v>
      </c>
      <c r="AT213" s="286">
        <f t="shared" si="107"/>
        <v>0</v>
      </c>
      <c r="AU213" s="286">
        <f t="shared" si="123"/>
        <v>0</v>
      </c>
      <c r="AV213" s="286">
        <v>0</v>
      </c>
    </row>
    <row r="214" spans="16:48" x14ac:dyDescent="0.2">
      <c r="P214" s="392"/>
      <c r="Q214" s="324"/>
      <c r="R214" s="324" t="s">
        <v>74</v>
      </c>
      <c r="S214" s="64" t="s">
        <v>20</v>
      </c>
      <c r="T214" s="258">
        <f>'Pencapaian Sales Value'!G214</f>
        <v>0.47776870454545456</v>
      </c>
      <c r="U214" s="286">
        <f>'Pencapaian Sales Value'!I214</f>
        <v>0</v>
      </c>
      <c r="V214" s="268">
        <f>'Pencapaian Product Focus'!H214</f>
        <v>0</v>
      </c>
      <c r="W214" s="268">
        <f>'Pencapaian Product Focus'!L214</f>
        <v>0</v>
      </c>
      <c r="X214" s="189">
        <f>'Pencapaian Product Focus'!N214</f>
        <v>0</v>
      </c>
      <c r="Y214" s="268">
        <f>'Pencapaian Effective Call'!G214</f>
        <v>0</v>
      </c>
      <c r="Z214" s="189">
        <f>'Pencapaian Effective Call'!I214</f>
        <v>0</v>
      </c>
      <c r="AA214" s="268">
        <f>'Pencapaian New Open Outlet'!G214</f>
        <v>0</v>
      </c>
      <c r="AB214" s="189">
        <f>'Pencapaian New Open Outlet'!I214</f>
        <v>0</v>
      </c>
      <c r="AC214" s="258">
        <f>'Pencapaian Active Outlet'!G214</f>
        <v>0.3037037037037037</v>
      </c>
      <c r="AD214" s="286">
        <f>'Pencapaian Active Outlet'!I214</f>
        <v>0</v>
      </c>
      <c r="AE214" s="268">
        <f>'Pencapaian Item per Outlet'!G214</f>
        <v>0</v>
      </c>
      <c r="AF214" s="189">
        <f>'Pencapaian Item per Outlet'!I214</f>
        <v>0</v>
      </c>
      <c r="AG214" s="268">
        <f>'Pencapaian Product Display'!G214</f>
        <v>0</v>
      </c>
      <c r="AH214" s="189">
        <f>'Pencapaian Product Display'!I214</f>
        <v>0</v>
      </c>
      <c r="AI214" s="268">
        <f>'Pencapaian Sales Contract'!G214</f>
        <v>0</v>
      </c>
      <c r="AJ214" s="189">
        <f>'Pencapaian Sales Contract'!I214</f>
        <v>0</v>
      </c>
      <c r="AK214" s="268">
        <f>'Pencapaian Co-Branding'!G214</f>
        <v>0</v>
      </c>
      <c r="AL214" s="189">
        <f>'Pencapaian Co-Branding'!I214</f>
        <v>0</v>
      </c>
      <c r="AM214" s="268">
        <f>'Pencapaian Join Event Activity'!G214</f>
        <v>0</v>
      </c>
      <c r="AN214" s="189">
        <f>'Pencapaian Join Event Activity'!I214</f>
        <v>0</v>
      </c>
      <c r="AO214" s="286">
        <f t="shared" si="109"/>
        <v>0</v>
      </c>
      <c r="AP214" s="289">
        <v>0</v>
      </c>
      <c r="AQ214" s="286">
        <f t="shared" si="121"/>
        <v>0</v>
      </c>
      <c r="AR214" s="289">
        <v>0</v>
      </c>
      <c r="AS214" s="286">
        <f t="shared" si="122"/>
        <v>0</v>
      </c>
      <c r="AT214" s="286">
        <f t="shared" si="107"/>
        <v>0</v>
      </c>
      <c r="AU214" s="286">
        <f t="shared" si="123"/>
        <v>0</v>
      </c>
      <c r="AV214" s="286">
        <v>0</v>
      </c>
    </row>
    <row r="215" spans="16:48" x14ac:dyDescent="0.2">
      <c r="P215" s="393"/>
      <c r="Q215" s="325"/>
      <c r="R215" s="325" t="s">
        <v>557</v>
      </c>
      <c r="S215" s="42"/>
      <c r="T215" s="264">
        <f>'Pencapaian Sales Value'!G215</f>
        <v>0.47776870454545456</v>
      </c>
      <c r="U215" s="287">
        <f>'Pencapaian Sales Value'!I215</f>
        <v>390000</v>
      </c>
      <c r="V215" s="274">
        <f>'Pencapaian Product Focus'!H215</f>
        <v>0</v>
      </c>
      <c r="W215" s="274">
        <f>'Pencapaian Product Focus'!L215</f>
        <v>0</v>
      </c>
      <c r="X215" s="190">
        <f>'Pencapaian Product Focus'!N215</f>
        <v>0</v>
      </c>
      <c r="Y215" s="274">
        <f>'Pencapaian Effective Call'!G215</f>
        <v>0</v>
      </c>
      <c r="Z215" s="190">
        <f>'Pencapaian Effective Call'!I215</f>
        <v>0</v>
      </c>
      <c r="AA215" s="274">
        <f>'Pencapaian New Open Outlet'!G215</f>
        <v>0</v>
      </c>
      <c r="AB215" s="190">
        <f>'Pencapaian New Open Outlet'!I215</f>
        <v>0</v>
      </c>
      <c r="AC215" s="264">
        <f>'Pencapaian Active Outlet'!G215</f>
        <v>0.3037037037037037</v>
      </c>
      <c r="AD215" s="287">
        <f>'Pencapaian Active Outlet'!I215</f>
        <v>0</v>
      </c>
      <c r="AE215" s="274">
        <f>'Pencapaian Item per Outlet'!G215</f>
        <v>0</v>
      </c>
      <c r="AF215" s="190">
        <f>'Pencapaian Item per Outlet'!I215</f>
        <v>0</v>
      </c>
      <c r="AG215" s="274">
        <f>'Pencapaian Product Display'!G215</f>
        <v>0</v>
      </c>
      <c r="AH215" s="190">
        <f>'Pencapaian Product Display'!I215</f>
        <v>0</v>
      </c>
      <c r="AI215" s="274">
        <f>'Pencapaian Sales Contract'!G215</f>
        <v>0</v>
      </c>
      <c r="AJ215" s="190">
        <f>'Pencapaian Sales Contract'!I215</f>
        <v>0</v>
      </c>
      <c r="AK215" s="274">
        <f>'Pencapaian Co-Branding'!G215</f>
        <v>0</v>
      </c>
      <c r="AL215" s="190">
        <f>'Pencapaian Co-Branding'!I215</f>
        <v>0</v>
      </c>
      <c r="AM215" s="274">
        <f>'Pencapaian Join Event Activity'!G215</f>
        <v>0</v>
      </c>
      <c r="AN215" s="190">
        <f>'Pencapaian Join Event Activity'!I215</f>
        <v>0</v>
      </c>
      <c r="AO215" s="287">
        <f t="shared" si="109"/>
        <v>390000</v>
      </c>
      <c r="AP215" s="290">
        <v>0</v>
      </c>
      <c r="AQ215" s="287">
        <f>SUM(AQ200:AQ214)</f>
        <v>0</v>
      </c>
      <c r="AR215" s="290">
        <v>0</v>
      </c>
      <c r="AS215" s="287">
        <f>SUM(AS200:AS214)</f>
        <v>0</v>
      </c>
      <c r="AT215" s="287">
        <f t="shared" si="107"/>
        <v>390000</v>
      </c>
      <c r="AU215" s="287">
        <f>SUM(AU200:AU214)</f>
        <v>390000</v>
      </c>
      <c r="AV215" s="287">
        <f>SUM(AV200:AV214)</f>
        <v>0</v>
      </c>
    </row>
    <row r="216" spans="16:48" x14ac:dyDescent="0.2">
      <c r="P216" s="395" t="s">
        <v>621</v>
      </c>
      <c r="Q216" s="321"/>
      <c r="R216" s="323" t="s">
        <v>623</v>
      </c>
      <c r="S216" s="12" t="s">
        <v>675</v>
      </c>
      <c r="T216" s="269">
        <f>'Pencapaian Sales Value'!G216</f>
        <v>0</v>
      </c>
      <c r="U216" s="284">
        <f>'Pencapaian Sales Value'!I216</f>
        <v>0</v>
      </c>
      <c r="V216" s="304">
        <f>'Pencapaian Product Focus'!H216</f>
        <v>0</v>
      </c>
      <c r="W216" s="304">
        <f>'Pencapaian Product Focus'!L216</f>
        <v>0</v>
      </c>
      <c r="X216" s="285">
        <f>'Pencapaian Product Focus'!N216</f>
        <v>0</v>
      </c>
      <c r="Y216" s="304">
        <f>'Pencapaian Effective Call'!G216</f>
        <v>0</v>
      </c>
      <c r="Z216" s="285">
        <f>'Pencapaian Effective Call'!I216</f>
        <v>0</v>
      </c>
      <c r="AA216" s="304">
        <f>'Pencapaian New Open Outlet'!G216</f>
        <v>0</v>
      </c>
      <c r="AB216" s="285">
        <f>'Pencapaian New Open Outlet'!I216</f>
        <v>0</v>
      </c>
      <c r="AC216" s="269">
        <f>'Pencapaian Active Outlet'!G216</f>
        <v>0</v>
      </c>
      <c r="AD216" s="284">
        <f>'Pencapaian Active Outlet'!I216</f>
        <v>0</v>
      </c>
      <c r="AE216" s="304">
        <f>'Pencapaian Item per Outlet'!G216</f>
        <v>0</v>
      </c>
      <c r="AF216" s="285">
        <f>'Pencapaian Item per Outlet'!I216</f>
        <v>0</v>
      </c>
      <c r="AG216" s="304">
        <f>'Pencapaian Product Display'!G216</f>
        <v>0</v>
      </c>
      <c r="AH216" s="285">
        <f>'Pencapaian Product Display'!I216</f>
        <v>0</v>
      </c>
      <c r="AI216" s="304">
        <f>'Pencapaian Sales Contract'!G216</f>
        <v>0</v>
      </c>
      <c r="AJ216" s="285">
        <f>'Pencapaian Sales Contract'!I216</f>
        <v>0</v>
      </c>
      <c r="AK216" s="304">
        <f>'Pencapaian Co-Branding'!G216</f>
        <v>0</v>
      </c>
      <c r="AL216" s="285">
        <f>'Pencapaian Co-Branding'!I216</f>
        <v>0</v>
      </c>
      <c r="AM216" s="304">
        <f>'Pencapaian Join Event Activity'!G216</f>
        <v>0</v>
      </c>
      <c r="AN216" s="285">
        <f>'Pencapaian Join Event Activity'!I216</f>
        <v>0</v>
      </c>
      <c r="AO216" s="284">
        <f t="shared" si="109"/>
        <v>0</v>
      </c>
      <c r="AP216" s="322">
        <v>0</v>
      </c>
      <c r="AQ216" s="284">
        <f t="shared" ref="AQ216:AQ219" si="124">IF(AP216&gt;=0.5%,-(AO216*10%),0)</f>
        <v>0</v>
      </c>
      <c r="AR216" s="322">
        <v>0</v>
      </c>
      <c r="AS216" s="284">
        <f t="shared" ref="AS216:AS219" si="125">IF(AR216&gt;0,-(AO216+AQ216),0)</f>
        <v>0</v>
      </c>
      <c r="AT216" s="284">
        <f t="shared" si="107"/>
        <v>0</v>
      </c>
      <c r="AU216" s="284">
        <f t="shared" ref="AU216:AU219" si="126">AT216</f>
        <v>0</v>
      </c>
      <c r="AV216" s="284">
        <v>0</v>
      </c>
    </row>
    <row r="217" spans="16:48" x14ac:dyDescent="0.2">
      <c r="P217" s="392"/>
      <c r="Q217" s="321"/>
      <c r="R217" s="323" t="s">
        <v>624</v>
      </c>
      <c r="S217" s="12" t="s">
        <v>675</v>
      </c>
      <c r="T217" s="269">
        <f>'Pencapaian Sales Value'!G217</f>
        <v>0.68788533333333335</v>
      </c>
      <c r="U217" s="284">
        <f>'Pencapaian Sales Value'!I217</f>
        <v>0</v>
      </c>
      <c r="V217" s="304">
        <f>'Pencapaian Product Focus'!H217</f>
        <v>0</v>
      </c>
      <c r="W217" s="304">
        <f>'Pencapaian Product Focus'!L217</f>
        <v>0</v>
      </c>
      <c r="X217" s="285">
        <f>'Pencapaian Product Focus'!N217</f>
        <v>0</v>
      </c>
      <c r="Y217" s="304">
        <f>'Pencapaian Effective Call'!G217</f>
        <v>0</v>
      </c>
      <c r="Z217" s="285">
        <f>'Pencapaian Effective Call'!I217</f>
        <v>0</v>
      </c>
      <c r="AA217" s="304">
        <f>'Pencapaian New Open Outlet'!G217</f>
        <v>0</v>
      </c>
      <c r="AB217" s="285">
        <f>'Pencapaian New Open Outlet'!I217</f>
        <v>0</v>
      </c>
      <c r="AC217" s="269">
        <f>'Pencapaian Active Outlet'!G217</f>
        <v>0.72</v>
      </c>
      <c r="AD217" s="284">
        <f>'Pencapaian Active Outlet'!I217</f>
        <v>0</v>
      </c>
      <c r="AE217" s="304">
        <f>'Pencapaian Item per Outlet'!G217</f>
        <v>0</v>
      </c>
      <c r="AF217" s="285">
        <f>'Pencapaian Item per Outlet'!I217</f>
        <v>0</v>
      </c>
      <c r="AG217" s="304">
        <f>'Pencapaian Product Display'!G217</f>
        <v>0</v>
      </c>
      <c r="AH217" s="285">
        <f>'Pencapaian Product Display'!I217</f>
        <v>0</v>
      </c>
      <c r="AI217" s="304">
        <f>'Pencapaian Sales Contract'!G217</f>
        <v>0</v>
      </c>
      <c r="AJ217" s="285">
        <f>'Pencapaian Sales Contract'!I217</f>
        <v>0</v>
      </c>
      <c r="AK217" s="304">
        <f>'Pencapaian Co-Branding'!G217</f>
        <v>0</v>
      </c>
      <c r="AL217" s="285">
        <f>'Pencapaian Co-Branding'!I217</f>
        <v>0</v>
      </c>
      <c r="AM217" s="304">
        <f>'Pencapaian Join Event Activity'!G217</f>
        <v>0</v>
      </c>
      <c r="AN217" s="285">
        <f>'Pencapaian Join Event Activity'!I217</f>
        <v>0</v>
      </c>
      <c r="AO217" s="284">
        <f t="shared" si="109"/>
        <v>0</v>
      </c>
      <c r="AP217" s="322">
        <v>0</v>
      </c>
      <c r="AQ217" s="284">
        <f t="shared" si="124"/>
        <v>0</v>
      </c>
      <c r="AR217" s="322">
        <v>0</v>
      </c>
      <c r="AS217" s="284">
        <f t="shared" si="125"/>
        <v>0</v>
      </c>
      <c r="AT217" s="284">
        <f t="shared" si="107"/>
        <v>0</v>
      </c>
      <c r="AU217" s="284">
        <f t="shared" si="126"/>
        <v>0</v>
      </c>
      <c r="AV217" s="284">
        <v>0</v>
      </c>
    </row>
    <row r="218" spans="16:48" x14ac:dyDescent="0.2">
      <c r="P218" s="392"/>
      <c r="Q218" s="321"/>
      <c r="R218" s="323" t="s">
        <v>845</v>
      </c>
      <c r="S218" s="12" t="s">
        <v>675</v>
      </c>
      <c r="T218" s="269">
        <f>'Pencapaian Sales Value'!G218</f>
        <v>-4.2349999999999999E-2</v>
      </c>
      <c r="U218" s="284">
        <f>'Pencapaian Sales Value'!I218</f>
        <v>0</v>
      </c>
      <c r="V218" s="304">
        <f>'Pencapaian Product Focus'!H218</f>
        <v>0</v>
      </c>
      <c r="W218" s="304">
        <f>'Pencapaian Product Focus'!L218</f>
        <v>0</v>
      </c>
      <c r="X218" s="285">
        <f>'Pencapaian Product Focus'!N218</f>
        <v>0</v>
      </c>
      <c r="Y218" s="304">
        <f>'Pencapaian Effective Call'!G218</f>
        <v>0</v>
      </c>
      <c r="Z218" s="285">
        <f>'Pencapaian Effective Call'!I218</f>
        <v>0</v>
      </c>
      <c r="AA218" s="304">
        <f>'Pencapaian New Open Outlet'!G218</f>
        <v>0</v>
      </c>
      <c r="AB218" s="285">
        <f>'Pencapaian New Open Outlet'!I218</f>
        <v>0</v>
      </c>
      <c r="AC218" s="269">
        <f>'Pencapaian Active Outlet'!G218</f>
        <v>0.16</v>
      </c>
      <c r="AD218" s="284">
        <f>'Pencapaian Active Outlet'!I218</f>
        <v>0</v>
      </c>
      <c r="AE218" s="304">
        <f>'Pencapaian Item per Outlet'!G218</f>
        <v>0</v>
      </c>
      <c r="AF218" s="285">
        <f>'Pencapaian Item per Outlet'!I218</f>
        <v>0</v>
      </c>
      <c r="AG218" s="304">
        <f>'Pencapaian Product Display'!G218</f>
        <v>0</v>
      </c>
      <c r="AH218" s="285">
        <f>'Pencapaian Product Display'!I218</f>
        <v>0</v>
      </c>
      <c r="AI218" s="304">
        <f>'Pencapaian Sales Contract'!G218</f>
        <v>0</v>
      </c>
      <c r="AJ218" s="285">
        <f>'Pencapaian Sales Contract'!I218</f>
        <v>0</v>
      </c>
      <c r="AK218" s="304">
        <f>'Pencapaian Co-Branding'!G218</f>
        <v>0</v>
      </c>
      <c r="AL218" s="285">
        <f>'Pencapaian Co-Branding'!I218</f>
        <v>0</v>
      </c>
      <c r="AM218" s="304">
        <f>'Pencapaian Join Event Activity'!G218</f>
        <v>0</v>
      </c>
      <c r="AN218" s="285">
        <f>'Pencapaian Join Event Activity'!I218</f>
        <v>0</v>
      </c>
      <c r="AO218" s="284">
        <f t="shared" si="109"/>
        <v>0</v>
      </c>
      <c r="AP218" s="322">
        <v>0</v>
      </c>
      <c r="AQ218" s="284">
        <f t="shared" si="124"/>
        <v>0</v>
      </c>
      <c r="AR218" s="322">
        <v>0</v>
      </c>
      <c r="AS218" s="284">
        <f t="shared" si="125"/>
        <v>0</v>
      </c>
      <c r="AT218" s="284">
        <f t="shared" si="107"/>
        <v>0</v>
      </c>
      <c r="AU218" s="284">
        <f t="shared" si="126"/>
        <v>0</v>
      </c>
      <c r="AV218" s="284">
        <v>0</v>
      </c>
    </row>
    <row r="219" spans="16:48" x14ac:dyDescent="0.2">
      <c r="P219" s="392"/>
      <c r="Q219" s="324"/>
      <c r="R219" s="324" t="s">
        <v>730</v>
      </c>
      <c r="S219" s="64" t="s">
        <v>673</v>
      </c>
      <c r="T219" s="258">
        <f>'Pencapaian Sales Value'!G219</f>
        <v>0.24207575000000001</v>
      </c>
      <c r="U219" s="286">
        <f>'Pencapaian Sales Value'!I219</f>
        <v>0</v>
      </c>
      <c r="V219" s="268">
        <f>'Pencapaian Product Focus'!H219</f>
        <v>0</v>
      </c>
      <c r="W219" s="268">
        <f>'Pencapaian Product Focus'!L219</f>
        <v>0</v>
      </c>
      <c r="X219" s="189">
        <f>'Pencapaian Product Focus'!N219</f>
        <v>0</v>
      </c>
      <c r="Y219" s="268">
        <f>'Pencapaian Effective Call'!G219</f>
        <v>0</v>
      </c>
      <c r="Z219" s="189">
        <f>'Pencapaian Effective Call'!I219</f>
        <v>0</v>
      </c>
      <c r="AA219" s="268">
        <f>'Pencapaian New Open Outlet'!G219</f>
        <v>0</v>
      </c>
      <c r="AB219" s="189">
        <f>'Pencapaian New Open Outlet'!I219</f>
        <v>0</v>
      </c>
      <c r="AC219" s="258">
        <f>'Pencapaian Active Outlet'!G219</f>
        <v>0.29333333333333333</v>
      </c>
      <c r="AD219" s="286">
        <f>'Pencapaian Active Outlet'!I219</f>
        <v>0</v>
      </c>
      <c r="AE219" s="268">
        <f>'Pencapaian Item per Outlet'!G219</f>
        <v>0</v>
      </c>
      <c r="AF219" s="189">
        <f>'Pencapaian Item per Outlet'!I219</f>
        <v>0</v>
      </c>
      <c r="AG219" s="268">
        <f>'Pencapaian Product Display'!G219</f>
        <v>0</v>
      </c>
      <c r="AH219" s="189">
        <f>'Pencapaian Product Display'!I219</f>
        <v>0</v>
      </c>
      <c r="AI219" s="268">
        <f>'Pencapaian Sales Contract'!G219</f>
        <v>0</v>
      </c>
      <c r="AJ219" s="189">
        <f>'Pencapaian Sales Contract'!I219</f>
        <v>0</v>
      </c>
      <c r="AK219" s="268">
        <f>'Pencapaian Co-Branding'!G219</f>
        <v>0</v>
      </c>
      <c r="AL219" s="189">
        <f>'Pencapaian Co-Branding'!I219</f>
        <v>0</v>
      </c>
      <c r="AM219" s="268">
        <f>'Pencapaian Join Event Activity'!G219</f>
        <v>0</v>
      </c>
      <c r="AN219" s="189">
        <f>'Pencapaian Join Event Activity'!I219</f>
        <v>0</v>
      </c>
      <c r="AO219" s="286">
        <f t="shared" si="109"/>
        <v>0</v>
      </c>
      <c r="AP219" s="289">
        <v>0</v>
      </c>
      <c r="AQ219" s="286">
        <f t="shared" si="124"/>
        <v>0</v>
      </c>
      <c r="AR219" s="289">
        <v>0</v>
      </c>
      <c r="AS219" s="286">
        <f t="shared" si="125"/>
        <v>0</v>
      </c>
      <c r="AT219" s="286">
        <f t="shared" si="107"/>
        <v>0</v>
      </c>
      <c r="AU219" s="286">
        <f t="shared" si="126"/>
        <v>0</v>
      </c>
      <c r="AV219" s="286">
        <v>0</v>
      </c>
    </row>
    <row r="220" spans="16:48" x14ac:dyDescent="0.2">
      <c r="P220" s="393"/>
      <c r="Q220" s="325"/>
      <c r="R220" s="325" t="s">
        <v>622</v>
      </c>
      <c r="S220" s="42"/>
      <c r="T220" s="264">
        <f>'Pencapaian Sales Value'!G220</f>
        <v>0.24207575000000001</v>
      </c>
      <c r="U220" s="287">
        <f>'Pencapaian Sales Value'!I220</f>
        <v>0</v>
      </c>
      <c r="V220" s="274">
        <f>'Pencapaian Product Focus'!H220</f>
        <v>0</v>
      </c>
      <c r="W220" s="274">
        <f>'Pencapaian Product Focus'!L220</f>
        <v>0</v>
      </c>
      <c r="X220" s="190">
        <f>'Pencapaian Product Focus'!N220</f>
        <v>0</v>
      </c>
      <c r="Y220" s="274">
        <f>'Pencapaian Effective Call'!G220</f>
        <v>0</v>
      </c>
      <c r="Z220" s="190">
        <f>'Pencapaian Effective Call'!I220</f>
        <v>0</v>
      </c>
      <c r="AA220" s="274">
        <f>'Pencapaian New Open Outlet'!G220</f>
        <v>0</v>
      </c>
      <c r="AB220" s="190">
        <f>'Pencapaian New Open Outlet'!I220</f>
        <v>0</v>
      </c>
      <c r="AC220" s="264">
        <f>'Pencapaian Active Outlet'!G220</f>
        <v>0.29333333333333333</v>
      </c>
      <c r="AD220" s="287">
        <f>'Pencapaian Active Outlet'!I220</f>
        <v>0</v>
      </c>
      <c r="AE220" s="274">
        <f>'Pencapaian Item per Outlet'!G220</f>
        <v>0</v>
      </c>
      <c r="AF220" s="190">
        <f>'Pencapaian Item per Outlet'!I220</f>
        <v>0</v>
      </c>
      <c r="AG220" s="274">
        <f>'Pencapaian Product Display'!G220</f>
        <v>0</v>
      </c>
      <c r="AH220" s="190">
        <f>'Pencapaian Product Display'!I220</f>
        <v>0</v>
      </c>
      <c r="AI220" s="274">
        <f>'Pencapaian Sales Contract'!G220</f>
        <v>0</v>
      </c>
      <c r="AJ220" s="190">
        <f>'Pencapaian Sales Contract'!I220</f>
        <v>0</v>
      </c>
      <c r="AK220" s="274">
        <f>'Pencapaian Co-Branding'!G220</f>
        <v>0</v>
      </c>
      <c r="AL220" s="190">
        <f>'Pencapaian Co-Branding'!I220</f>
        <v>0</v>
      </c>
      <c r="AM220" s="274">
        <f>'Pencapaian Join Event Activity'!G220</f>
        <v>0</v>
      </c>
      <c r="AN220" s="190">
        <f>'Pencapaian Join Event Activity'!I220</f>
        <v>0</v>
      </c>
      <c r="AO220" s="287">
        <f t="shared" si="109"/>
        <v>0</v>
      </c>
      <c r="AP220" s="290">
        <v>0</v>
      </c>
      <c r="AQ220" s="287">
        <f>SUM(AQ216:AQ219)</f>
        <v>0</v>
      </c>
      <c r="AR220" s="290">
        <v>0</v>
      </c>
      <c r="AS220" s="287">
        <f>SUM(AS216:AS219)</f>
        <v>0</v>
      </c>
      <c r="AT220" s="287">
        <f t="shared" si="107"/>
        <v>0</v>
      </c>
      <c r="AU220" s="287">
        <f>SUM(AU216:AU219)</f>
        <v>0</v>
      </c>
      <c r="AV220" s="287">
        <f>SUM(AV216:AV219)</f>
        <v>0</v>
      </c>
    </row>
    <row r="221" spans="16:48" x14ac:dyDescent="0.2">
      <c r="P221" s="395" t="s">
        <v>625</v>
      </c>
      <c r="Q221" s="321"/>
      <c r="R221" s="323" t="s">
        <v>626</v>
      </c>
      <c r="S221" s="12" t="s">
        <v>675</v>
      </c>
      <c r="T221" s="269">
        <f>'Pencapaian Sales Value'!G221</f>
        <v>-4.1139333333333333E-2</v>
      </c>
      <c r="U221" s="284">
        <f>'Pencapaian Sales Value'!I221</f>
        <v>0</v>
      </c>
      <c r="V221" s="304">
        <f>'Pencapaian Product Focus'!H221</f>
        <v>0</v>
      </c>
      <c r="W221" s="304">
        <f>'Pencapaian Product Focus'!L221</f>
        <v>0</v>
      </c>
      <c r="X221" s="285">
        <f>'Pencapaian Product Focus'!N221</f>
        <v>0</v>
      </c>
      <c r="Y221" s="304">
        <f>'Pencapaian Effective Call'!G221</f>
        <v>0</v>
      </c>
      <c r="Z221" s="285">
        <f>'Pencapaian Effective Call'!I221</f>
        <v>0</v>
      </c>
      <c r="AA221" s="304">
        <f>'Pencapaian New Open Outlet'!G221</f>
        <v>0</v>
      </c>
      <c r="AB221" s="285">
        <f>'Pencapaian New Open Outlet'!I221</f>
        <v>0</v>
      </c>
      <c r="AC221" s="269">
        <f>'Pencapaian Active Outlet'!G221</f>
        <v>0</v>
      </c>
      <c r="AD221" s="284">
        <f>'Pencapaian Active Outlet'!I221</f>
        <v>0</v>
      </c>
      <c r="AE221" s="304">
        <f>'Pencapaian Item per Outlet'!G221</f>
        <v>0</v>
      </c>
      <c r="AF221" s="285">
        <f>'Pencapaian Item per Outlet'!I221</f>
        <v>0</v>
      </c>
      <c r="AG221" s="304">
        <f>'Pencapaian Product Display'!G221</f>
        <v>0</v>
      </c>
      <c r="AH221" s="285">
        <f>'Pencapaian Product Display'!I221</f>
        <v>0</v>
      </c>
      <c r="AI221" s="304">
        <f>'Pencapaian Sales Contract'!G221</f>
        <v>0</v>
      </c>
      <c r="AJ221" s="285">
        <f>'Pencapaian Sales Contract'!I221</f>
        <v>0</v>
      </c>
      <c r="AK221" s="304">
        <f>'Pencapaian Co-Branding'!G221</f>
        <v>0</v>
      </c>
      <c r="AL221" s="285">
        <f>'Pencapaian Co-Branding'!I221</f>
        <v>0</v>
      </c>
      <c r="AM221" s="304">
        <f>'Pencapaian Join Event Activity'!G221</f>
        <v>0</v>
      </c>
      <c r="AN221" s="285">
        <f>'Pencapaian Join Event Activity'!I221</f>
        <v>0</v>
      </c>
      <c r="AO221" s="284">
        <f t="shared" si="109"/>
        <v>0</v>
      </c>
      <c r="AP221" s="322">
        <v>0</v>
      </c>
      <c r="AQ221" s="284">
        <f t="shared" ref="AQ221:AQ224" si="127">IF(AP221&gt;=0.5%,-(AO221*10%),0)</f>
        <v>0</v>
      </c>
      <c r="AR221" s="322">
        <v>0</v>
      </c>
      <c r="AS221" s="284">
        <f t="shared" ref="AS221:AS224" si="128">IF(AR221&gt;0,-(AO221+AQ221),0)</f>
        <v>0</v>
      </c>
      <c r="AT221" s="284">
        <f t="shared" ref="AT221:AT284" si="129">SUM(AS221,AQ221,AO221)</f>
        <v>0</v>
      </c>
      <c r="AU221" s="284">
        <f t="shared" ref="AU221:AU224" si="130">AT221</f>
        <v>0</v>
      </c>
      <c r="AV221" s="284">
        <v>0</v>
      </c>
    </row>
    <row r="222" spans="16:48" x14ac:dyDescent="0.2">
      <c r="P222" s="392"/>
      <c r="Q222" s="321"/>
      <c r="R222" s="323" t="s">
        <v>627</v>
      </c>
      <c r="S222" s="12" t="s">
        <v>675</v>
      </c>
      <c r="T222" s="269">
        <f>'Pencapaian Sales Value'!G222</f>
        <v>6.54E-2</v>
      </c>
      <c r="U222" s="284">
        <f>'Pencapaian Sales Value'!I222</f>
        <v>0</v>
      </c>
      <c r="V222" s="304">
        <f>'Pencapaian Product Focus'!H222</f>
        <v>0</v>
      </c>
      <c r="W222" s="304">
        <f>'Pencapaian Product Focus'!L222</f>
        <v>0</v>
      </c>
      <c r="X222" s="285">
        <f>'Pencapaian Product Focus'!N222</f>
        <v>0</v>
      </c>
      <c r="Y222" s="304">
        <f>'Pencapaian Effective Call'!G222</f>
        <v>0</v>
      </c>
      <c r="Z222" s="285">
        <f>'Pencapaian Effective Call'!I222</f>
        <v>0</v>
      </c>
      <c r="AA222" s="304">
        <f>'Pencapaian New Open Outlet'!G222</f>
        <v>0</v>
      </c>
      <c r="AB222" s="285">
        <f>'Pencapaian New Open Outlet'!I222</f>
        <v>0</v>
      </c>
      <c r="AC222" s="269">
        <f>'Pencapaian Active Outlet'!G222</f>
        <v>0.04</v>
      </c>
      <c r="AD222" s="284">
        <f>'Pencapaian Active Outlet'!I222</f>
        <v>0</v>
      </c>
      <c r="AE222" s="304">
        <f>'Pencapaian Item per Outlet'!G222</f>
        <v>0</v>
      </c>
      <c r="AF222" s="285">
        <f>'Pencapaian Item per Outlet'!I222</f>
        <v>0</v>
      </c>
      <c r="AG222" s="304">
        <f>'Pencapaian Product Display'!G222</f>
        <v>0</v>
      </c>
      <c r="AH222" s="285">
        <f>'Pencapaian Product Display'!I222</f>
        <v>0</v>
      </c>
      <c r="AI222" s="304">
        <f>'Pencapaian Sales Contract'!G222</f>
        <v>0</v>
      </c>
      <c r="AJ222" s="285">
        <f>'Pencapaian Sales Contract'!I222</f>
        <v>0</v>
      </c>
      <c r="AK222" s="304">
        <f>'Pencapaian Co-Branding'!G222</f>
        <v>0</v>
      </c>
      <c r="AL222" s="285">
        <f>'Pencapaian Co-Branding'!I222</f>
        <v>0</v>
      </c>
      <c r="AM222" s="304">
        <f>'Pencapaian Join Event Activity'!G222</f>
        <v>0</v>
      </c>
      <c r="AN222" s="285">
        <f>'Pencapaian Join Event Activity'!I222</f>
        <v>0</v>
      </c>
      <c r="AO222" s="284">
        <f t="shared" ref="AO222:AO285" si="131">SUM(AN222,AL222,AJ222,AH222,AF222,AD222,AB222,Z222,X222,U222)</f>
        <v>0</v>
      </c>
      <c r="AP222" s="322">
        <v>0</v>
      </c>
      <c r="AQ222" s="284">
        <f t="shared" si="127"/>
        <v>0</v>
      </c>
      <c r="AR222" s="322">
        <v>0</v>
      </c>
      <c r="AS222" s="284">
        <f t="shared" si="128"/>
        <v>0</v>
      </c>
      <c r="AT222" s="284">
        <f t="shared" si="129"/>
        <v>0</v>
      </c>
      <c r="AU222" s="284">
        <f t="shared" si="130"/>
        <v>0</v>
      </c>
      <c r="AV222" s="284">
        <v>0</v>
      </c>
    </row>
    <row r="223" spans="16:48" x14ac:dyDescent="0.2">
      <c r="P223" s="392"/>
      <c r="Q223" s="321"/>
      <c r="R223" s="323" t="s">
        <v>846</v>
      </c>
      <c r="S223" s="12" t="s">
        <v>675</v>
      </c>
      <c r="T223" s="269">
        <f>'Pencapaian Sales Value'!G223</f>
        <v>-5.1666666666666666E-3</v>
      </c>
      <c r="U223" s="284">
        <f>'Pencapaian Sales Value'!I223</f>
        <v>0</v>
      </c>
      <c r="V223" s="304">
        <f>'Pencapaian Product Focus'!H223</f>
        <v>0</v>
      </c>
      <c r="W223" s="304">
        <f>'Pencapaian Product Focus'!L223</f>
        <v>0</v>
      </c>
      <c r="X223" s="285">
        <f>'Pencapaian Product Focus'!N223</f>
        <v>0</v>
      </c>
      <c r="Y223" s="304">
        <f>'Pencapaian Effective Call'!G223</f>
        <v>0</v>
      </c>
      <c r="Z223" s="285">
        <f>'Pencapaian Effective Call'!I223</f>
        <v>0</v>
      </c>
      <c r="AA223" s="304">
        <f>'Pencapaian New Open Outlet'!G223</f>
        <v>0</v>
      </c>
      <c r="AB223" s="285">
        <f>'Pencapaian New Open Outlet'!I223</f>
        <v>0</v>
      </c>
      <c r="AC223" s="269">
        <f>'Pencapaian Active Outlet'!G223</f>
        <v>0</v>
      </c>
      <c r="AD223" s="284">
        <f>'Pencapaian Active Outlet'!I223</f>
        <v>0</v>
      </c>
      <c r="AE223" s="304">
        <f>'Pencapaian Item per Outlet'!G223</f>
        <v>0</v>
      </c>
      <c r="AF223" s="285">
        <f>'Pencapaian Item per Outlet'!I223</f>
        <v>0</v>
      </c>
      <c r="AG223" s="304">
        <f>'Pencapaian Product Display'!G223</f>
        <v>0</v>
      </c>
      <c r="AH223" s="285">
        <f>'Pencapaian Product Display'!I223</f>
        <v>0</v>
      </c>
      <c r="AI223" s="304">
        <f>'Pencapaian Sales Contract'!G223</f>
        <v>0</v>
      </c>
      <c r="AJ223" s="285">
        <f>'Pencapaian Sales Contract'!I223</f>
        <v>0</v>
      </c>
      <c r="AK223" s="304">
        <f>'Pencapaian Co-Branding'!G223</f>
        <v>0</v>
      </c>
      <c r="AL223" s="285">
        <f>'Pencapaian Co-Branding'!I223</f>
        <v>0</v>
      </c>
      <c r="AM223" s="304">
        <f>'Pencapaian Join Event Activity'!G223</f>
        <v>0</v>
      </c>
      <c r="AN223" s="285">
        <f>'Pencapaian Join Event Activity'!I223</f>
        <v>0</v>
      </c>
      <c r="AO223" s="284">
        <f t="shared" si="131"/>
        <v>0</v>
      </c>
      <c r="AP223" s="322">
        <v>0</v>
      </c>
      <c r="AQ223" s="284">
        <f t="shared" si="127"/>
        <v>0</v>
      </c>
      <c r="AR223" s="322">
        <v>0</v>
      </c>
      <c r="AS223" s="284">
        <f t="shared" si="128"/>
        <v>0</v>
      </c>
      <c r="AT223" s="284">
        <f t="shared" si="129"/>
        <v>0</v>
      </c>
      <c r="AU223" s="284">
        <f t="shared" si="130"/>
        <v>0</v>
      </c>
      <c r="AV223" s="284">
        <v>0</v>
      </c>
    </row>
    <row r="224" spans="16:48" x14ac:dyDescent="0.2">
      <c r="P224" s="392"/>
      <c r="Q224" s="324"/>
      <c r="R224" s="324" t="s">
        <v>732</v>
      </c>
      <c r="S224" s="64" t="s">
        <v>673</v>
      </c>
      <c r="T224" s="258">
        <f>'Pencapaian Sales Value'!G224</f>
        <v>-1.01475E-3</v>
      </c>
      <c r="U224" s="286">
        <f>'Pencapaian Sales Value'!I224</f>
        <v>0</v>
      </c>
      <c r="V224" s="268">
        <f>'Pencapaian Product Focus'!H224</f>
        <v>0</v>
      </c>
      <c r="W224" s="268">
        <f>'Pencapaian Product Focus'!L224</f>
        <v>0</v>
      </c>
      <c r="X224" s="189">
        <f>'Pencapaian Product Focus'!N224</f>
        <v>0</v>
      </c>
      <c r="Y224" s="268">
        <f>'Pencapaian Effective Call'!G224</f>
        <v>0</v>
      </c>
      <c r="Z224" s="189">
        <f>'Pencapaian Effective Call'!I224</f>
        <v>0</v>
      </c>
      <c r="AA224" s="268">
        <f>'Pencapaian New Open Outlet'!G224</f>
        <v>0</v>
      </c>
      <c r="AB224" s="189">
        <f>'Pencapaian New Open Outlet'!I224</f>
        <v>0</v>
      </c>
      <c r="AC224" s="258">
        <f>'Pencapaian Active Outlet'!G224</f>
        <v>1.3333333333333334E-2</v>
      </c>
      <c r="AD224" s="286">
        <f>'Pencapaian Active Outlet'!I224</f>
        <v>0</v>
      </c>
      <c r="AE224" s="268">
        <f>'Pencapaian Item per Outlet'!G224</f>
        <v>0</v>
      </c>
      <c r="AF224" s="189">
        <f>'Pencapaian Item per Outlet'!I224</f>
        <v>0</v>
      </c>
      <c r="AG224" s="268">
        <f>'Pencapaian Product Display'!G224</f>
        <v>0</v>
      </c>
      <c r="AH224" s="189">
        <f>'Pencapaian Product Display'!I224</f>
        <v>0</v>
      </c>
      <c r="AI224" s="268">
        <f>'Pencapaian Sales Contract'!G224</f>
        <v>0</v>
      </c>
      <c r="AJ224" s="189">
        <f>'Pencapaian Sales Contract'!I224</f>
        <v>0</v>
      </c>
      <c r="AK224" s="268">
        <f>'Pencapaian Co-Branding'!G224</f>
        <v>0</v>
      </c>
      <c r="AL224" s="189">
        <f>'Pencapaian Co-Branding'!I224</f>
        <v>0</v>
      </c>
      <c r="AM224" s="268">
        <f>'Pencapaian Join Event Activity'!G224</f>
        <v>0</v>
      </c>
      <c r="AN224" s="189">
        <f>'Pencapaian Join Event Activity'!I224</f>
        <v>0</v>
      </c>
      <c r="AO224" s="286">
        <f t="shared" si="131"/>
        <v>0</v>
      </c>
      <c r="AP224" s="289">
        <v>0</v>
      </c>
      <c r="AQ224" s="286">
        <f t="shared" si="127"/>
        <v>0</v>
      </c>
      <c r="AR224" s="289">
        <v>0</v>
      </c>
      <c r="AS224" s="286">
        <f t="shared" si="128"/>
        <v>0</v>
      </c>
      <c r="AT224" s="286">
        <f t="shared" si="129"/>
        <v>0</v>
      </c>
      <c r="AU224" s="286">
        <f t="shared" si="130"/>
        <v>0</v>
      </c>
      <c r="AV224" s="286">
        <v>0</v>
      </c>
    </row>
    <row r="225" spans="16:48" x14ac:dyDescent="0.2">
      <c r="P225" s="393"/>
      <c r="Q225" s="325"/>
      <c r="R225" s="325" t="s">
        <v>628</v>
      </c>
      <c r="S225" s="42"/>
      <c r="T225" s="264">
        <f>'Pencapaian Sales Value'!G225</f>
        <v>-1.01475E-3</v>
      </c>
      <c r="U225" s="287">
        <f>'Pencapaian Sales Value'!I225</f>
        <v>0</v>
      </c>
      <c r="V225" s="274">
        <f>'Pencapaian Product Focus'!H225</f>
        <v>0</v>
      </c>
      <c r="W225" s="274">
        <f>'Pencapaian Product Focus'!L225</f>
        <v>0</v>
      </c>
      <c r="X225" s="190">
        <f>'Pencapaian Product Focus'!N225</f>
        <v>0</v>
      </c>
      <c r="Y225" s="274">
        <f>'Pencapaian Effective Call'!G225</f>
        <v>0</v>
      </c>
      <c r="Z225" s="190">
        <f>'Pencapaian Effective Call'!I225</f>
        <v>0</v>
      </c>
      <c r="AA225" s="274">
        <f>'Pencapaian New Open Outlet'!G225</f>
        <v>0</v>
      </c>
      <c r="AB225" s="190">
        <f>'Pencapaian New Open Outlet'!I225</f>
        <v>0</v>
      </c>
      <c r="AC225" s="264">
        <f>'Pencapaian Active Outlet'!G225</f>
        <v>1.3333333333333334E-2</v>
      </c>
      <c r="AD225" s="287">
        <f>'Pencapaian Active Outlet'!I225</f>
        <v>0</v>
      </c>
      <c r="AE225" s="274">
        <f>'Pencapaian Item per Outlet'!G225</f>
        <v>0</v>
      </c>
      <c r="AF225" s="190">
        <f>'Pencapaian Item per Outlet'!I225</f>
        <v>0</v>
      </c>
      <c r="AG225" s="274">
        <f>'Pencapaian Product Display'!G225</f>
        <v>0</v>
      </c>
      <c r="AH225" s="190">
        <f>'Pencapaian Product Display'!I225</f>
        <v>0</v>
      </c>
      <c r="AI225" s="274">
        <f>'Pencapaian Sales Contract'!G225</f>
        <v>0</v>
      </c>
      <c r="AJ225" s="190">
        <f>'Pencapaian Sales Contract'!I225</f>
        <v>0</v>
      </c>
      <c r="AK225" s="274">
        <f>'Pencapaian Co-Branding'!G225</f>
        <v>0</v>
      </c>
      <c r="AL225" s="190">
        <f>'Pencapaian Co-Branding'!I225</f>
        <v>0</v>
      </c>
      <c r="AM225" s="274">
        <f>'Pencapaian Join Event Activity'!G225</f>
        <v>0</v>
      </c>
      <c r="AN225" s="190">
        <f>'Pencapaian Join Event Activity'!I225</f>
        <v>0</v>
      </c>
      <c r="AO225" s="287">
        <f t="shared" si="131"/>
        <v>0</v>
      </c>
      <c r="AP225" s="290">
        <v>0</v>
      </c>
      <c r="AQ225" s="287">
        <f>SUM(AQ221:AQ224)</f>
        <v>0</v>
      </c>
      <c r="AR225" s="290">
        <v>0</v>
      </c>
      <c r="AS225" s="287">
        <f>SUM(AS221:AS224)</f>
        <v>0</v>
      </c>
      <c r="AT225" s="287">
        <f t="shared" si="129"/>
        <v>0</v>
      </c>
      <c r="AU225" s="287">
        <f>SUM(AU221:AU224)</f>
        <v>0</v>
      </c>
      <c r="AV225" s="287">
        <f>SUM(AV221:AV224)</f>
        <v>0</v>
      </c>
    </row>
    <row r="226" spans="16:48" x14ac:dyDescent="0.2">
      <c r="P226" s="326"/>
      <c r="Q226" s="326"/>
      <c r="R226" s="326" t="s">
        <v>629</v>
      </c>
      <c r="S226" s="209"/>
      <c r="T226" s="305">
        <f>'Pencapaian Sales Value'!G226</f>
        <v>0.45799976284584981</v>
      </c>
      <c r="U226" s="288">
        <f>'Pencapaian Sales Value'!I226</f>
        <v>1080000</v>
      </c>
      <c r="V226" s="274">
        <f>'Pencapaian Product Focus'!H226</f>
        <v>0</v>
      </c>
      <c r="W226" s="274">
        <f>'Pencapaian Product Focus'!L226</f>
        <v>0</v>
      </c>
      <c r="X226" s="190">
        <f>'Pencapaian Product Focus'!N226</f>
        <v>0</v>
      </c>
      <c r="Y226" s="274">
        <f>'Pencapaian Effective Call'!G226</f>
        <v>0</v>
      </c>
      <c r="Z226" s="190">
        <f>'Pencapaian Effective Call'!I226</f>
        <v>0</v>
      </c>
      <c r="AA226" s="274">
        <f>'Pencapaian New Open Outlet'!G226</f>
        <v>0</v>
      </c>
      <c r="AB226" s="190">
        <f>'Pencapaian New Open Outlet'!I226</f>
        <v>0</v>
      </c>
      <c r="AC226" s="305">
        <f>'Pencapaian Active Outlet'!G226</f>
        <v>0.24057971014492754</v>
      </c>
      <c r="AD226" s="288">
        <f>'Pencapaian Active Outlet'!I226</f>
        <v>483000</v>
      </c>
      <c r="AE226" s="274">
        <f>'Pencapaian Item per Outlet'!G226</f>
        <v>0</v>
      </c>
      <c r="AF226" s="190">
        <f>'Pencapaian Item per Outlet'!I226</f>
        <v>0</v>
      </c>
      <c r="AG226" s="274">
        <f>'Pencapaian Product Display'!G226</f>
        <v>0</v>
      </c>
      <c r="AH226" s="190">
        <f>'Pencapaian Product Display'!I226</f>
        <v>0</v>
      </c>
      <c r="AI226" s="274">
        <f>'Pencapaian Sales Contract'!G226</f>
        <v>0</v>
      </c>
      <c r="AJ226" s="190">
        <f>'Pencapaian Sales Contract'!I226</f>
        <v>0</v>
      </c>
      <c r="AK226" s="274">
        <f>'Pencapaian Co-Branding'!G226</f>
        <v>0</v>
      </c>
      <c r="AL226" s="190">
        <f>'Pencapaian Co-Branding'!I226</f>
        <v>0</v>
      </c>
      <c r="AM226" s="274">
        <f>'Pencapaian Join Event Activity'!G226</f>
        <v>0</v>
      </c>
      <c r="AN226" s="190">
        <f>'Pencapaian Join Event Activity'!I226</f>
        <v>0</v>
      </c>
      <c r="AO226" s="288">
        <f t="shared" si="131"/>
        <v>1563000</v>
      </c>
      <c r="AP226" s="291">
        <v>0</v>
      </c>
      <c r="AQ226" s="288">
        <f>SUM(AQ225,AQ220,AQ215,AQ199)</f>
        <v>0</v>
      </c>
      <c r="AR226" s="291">
        <v>0</v>
      </c>
      <c r="AS226" s="288">
        <f>SUM(AS225,AS220,AS215,AS199)</f>
        <v>0</v>
      </c>
      <c r="AT226" s="288">
        <f t="shared" si="129"/>
        <v>1563000</v>
      </c>
      <c r="AU226" s="288">
        <f>SUM(AU225,AU220,AU215,AU199)</f>
        <v>1563000</v>
      </c>
      <c r="AV226" s="288">
        <f>SUM(AV225,AV220,AV215,AV199)</f>
        <v>0</v>
      </c>
    </row>
    <row r="227" spans="16:48" x14ac:dyDescent="0.2">
      <c r="P227" s="395" t="s">
        <v>603</v>
      </c>
      <c r="Q227" s="321" t="s">
        <v>406</v>
      </c>
      <c r="R227" s="321" t="s">
        <v>895</v>
      </c>
      <c r="S227" s="12" t="s">
        <v>571</v>
      </c>
      <c r="T227" s="269" t="e">
        <f>'Pencapaian Sales Value'!G227</f>
        <v>#DIV/0!</v>
      </c>
      <c r="U227" s="284">
        <f>'Pencapaian Sales Value'!I227</f>
        <v>0</v>
      </c>
      <c r="V227" s="304">
        <f>'Pencapaian Product Focus'!H227</f>
        <v>0</v>
      </c>
      <c r="W227" s="304">
        <f>'Pencapaian Product Focus'!L227</f>
        <v>0</v>
      </c>
      <c r="X227" s="285">
        <f>'Pencapaian Product Focus'!N227</f>
        <v>0</v>
      </c>
      <c r="Y227" s="304">
        <f>'Pencapaian Effective Call'!G227</f>
        <v>0</v>
      </c>
      <c r="Z227" s="285">
        <f>'Pencapaian Effective Call'!I227</f>
        <v>0</v>
      </c>
      <c r="AA227" s="304">
        <f>'Pencapaian New Open Outlet'!G227</f>
        <v>0</v>
      </c>
      <c r="AB227" s="285">
        <f>'Pencapaian New Open Outlet'!I227</f>
        <v>0</v>
      </c>
      <c r="AC227" s="269" t="e">
        <f>'Pencapaian Active Outlet'!G227</f>
        <v>#DIV/0!</v>
      </c>
      <c r="AD227" s="284">
        <f>'Pencapaian Active Outlet'!I227</f>
        <v>0</v>
      </c>
      <c r="AE227" s="304">
        <f>'Pencapaian Item per Outlet'!G227</f>
        <v>0</v>
      </c>
      <c r="AF227" s="285">
        <f>'Pencapaian Item per Outlet'!I227</f>
        <v>0</v>
      </c>
      <c r="AG227" s="304">
        <f>'Pencapaian Product Display'!G227</f>
        <v>0</v>
      </c>
      <c r="AH227" s="285">
        <f>'Pencapaian Product Display'!I227</f>
        <v>0</v>
      </c>
      <c r="AI227" s="304">
        <f>'Pencapaian Sales Contract'!G227</f>
        <v>0</v>
      </c>
      <c r="AJ227" s="285">
        <f>'Pencapaian Sales Contract'!I227</f>
        <v>0</v>
      </c>
      <c r="AK227" s="304">
        <f>'Pencapaian Co-Branding'!G227</f>
        <v>0</v>
      </c>
      <c r="AL227" s="285">
        <f>'Pencapaian Co-Branding'!I227</f>
        <v>0</v>
      </c>
      <c r="AM227" s="304">
        <f>'Pencapaian Join Event Activity'!G227</f>
        <v>0</v>
      </c>
      <c r="AN227" s="285">
        <f>'Pencapaian Join Event Activity'!I227</f>
        <v>0</v>
      </c>
      <c r="AO227" s="284">
        <f t="shared" si="131"/>
        <v>0</v>
      </c>
      <c r="AP227" s="322">
        <v>0</v>
      </c>
      <c r="AQ227" s="284">
        <f t="shared" ref="AQ227:AQ241" si="132">IF(AP227&gt;=0.5%,-(AO227*10%),0)</f>
        <v>0</v>
      </c>
      <c r="AR227" s="322">
        <v>0</v>
      </c>
      <c r="AS227" s="284">
        <f t="shared" ref="AS227:AS241" si="133">IF(AR227&gt;0,-(AO227+AQ227),0)</f>
        <v>0</v>
      </c>
      <c r="AT227" s="284">
        <f t="shared" si="129"/>
        <v>0</v>
      </c>
      <c r="AU227" s="284">
        <f t="shared" ref="AU227:AU241" si="134">AT227</f>
        <v>0</v>
      </c>
      <c r="AV227" s="284">
        <v>0</v>
      </c>
    </row>
    <row r="228" spans="16:48" x14ac:dyDescent="0.2">
      <c r="P228" s="392"/>
      <c r="Q228" s="321"/>
      <c r="R228" s="323" t="s">
        <v>544</v>
      </c>
      <c r="S228" s="12" t="s">
        <v>675</v>
      </c>
      <c r="T228" s="269">
        <f>'Pencapaian Sales Value'!G228</f>
        <v>0.54140975000000002</v>
      </c>
      <c r="U228" s="284">
        <f>'Pencapaian Sales Value'!I228</f>
        <v>0</v>
      </c>
      <c r="V228" s="304">
        <f>'Pencapaian Product Focus'!H228</f>
        <v>0</v>
      </c>
      <c r="W228" s="304">
        <f>'Pencapaian Product Focus'!L228</f>
        <v>0</v>
      </c>
      <c r="X228" s="285">
        <f>'Pencapaian Product Focus'!N228</f>
        <v>0</v>
      </c>
      <c r="Y228" s="304">
        <f>'Pencapaian Effective Call'!G228</f>
        <v>0</v>
      </c>
      <c r="Z228" s="285">
        <f>'Pencapaian Effective Call'!I228</f>
        <v>0</v>
      </c>
      <c r="AA228" s="304">
        <f>'Pencapaian New Open Outlet'!G228</f>
        <v>0</v>
      </c>
      <c r="AB228" s="285">
        <f>'Pencapaian New Open Outlet'!I228</f>
        <v>0</v>
      </c>
      <c r="AC228" s="269">
        <f>'Pencapaian Active Outlet'!G228</f>
        <v>0.7</v>
      </c>
      <c r="AD228" s="284">
        <f>'Pencapaian Active Outlet'!I228</f>
        <v>0</v>
      </c>
      <c r="AE228" s="304">
        <f>'Pencapaian Item per Outlet'!G228</f>
        <v>0</v>
      </c>
      <c r="AF228" s="285">
        <f>'Pencapaian Item per Outlet'!I228</f>
        <v>0</v>
      </c>
      <c r="AG228" s="304">
        <f>'Pencapaian Product Display'!G228</f>
        <v>0</v>
      </c>
      <c r="AH228" s="285">
        <f>'Pencapaian Product Display'!I228</f>
        <v>0</v>
      </c>
      <c r="AI228" s="304">
        <f>'Pencapaian Sales Contract'!G228</f>
        <v>0</v>
      </c>
      <c r="AJ228" s="285">
        <f>'Pencapaian Sales Contract'!I228</f>
        <v>0</v>
      </c>
      <c r="AK228" s="304">
        <f>'Pencapaian Co-Branding'!G228</f>
        <v>0</v>
      </c>
      <c r="AL228" s="285">
        <f>'Pencapaian Co-Branding'!I228</f>
        <v>0</v>
      </c>
      <c r="AM228" s="304">
        <f>'Pencapaian Join Event Activity'!G228</f>
        <v>0</v>
      </c>
      <c r="AN228" s="285">
        <f>'Pencapaian Join Event Activity'!I228</f>
        <v>0</v>
      </c>
      <c r="AO228" s="284">
        <f t="shared" si="131"/>
        <v>0</v>
      </c>
      <c r="AP228" s="322">
        <v>0</v>
      </c>
      <c r="AQ228" s="284">
        <f t="shared" si="132"/>
        <v>0</v>
      </c>
      <c r="AR228" s="322">
        <v>0</v>
      </c>
      <c r="AS228" s="284">
        <f t="shared" si="133"/>
        <v>0</v>
      </c>
      <c r="AT228" s="284">
        <f t="shared" si="129"/>
        <v>0</v>
      </c>
      <c r="AU228" s="284">
        <f t="shared" si="134"/>
        <v>0</v>
      </c>
      <c r="AV228" s="284">
        <v>0</v>
      </c>
    </row>
    <row r="229" spans="16:48" x14ac:dyDescent="0.2">
      <c r="P229" s="392"/>
      <c r="Q229" s="321"/>
      <c r="R229" s="323" t="s">
        <v>545</v>
      </c>
      <c r="S229" s="12" t="s">
        <v>675</v>
      </c>
      <c r="T229" s="269">
        <f>'Pencapaian Sales Value'!G229</f>
        <v>0.17270750000000001</v>
      </c>
      <c r="U229" s="284">
        <f>'Pencapaian Sales Value'!I229</f>
        <v>0</v>
      </c>
      <c r="V229" s="304">
        <f>'Pencapaian Product Focus'!H229</f>
        <v>0</v>
      </c>
      <c r="W229" s="304">
        <f>'Pencapaian Product Focus'!L229</f>
        <v>0</v>
      </c>
      <c r="X229" s="285">
        <f>'Pencapaian Product Focus'!N229</f>
        <v>0</v>
      </c>
      <c r="Y229" s="304">
        <f>'Pencapaian Effective Call'!G229</f>
        <v>0</v>
      </c>
      <c r="Z229" s="285">
        <f>'Pencapaian Effective Call'!I229</f>
        <v>0</v>
      </c>
      <c r="AA229" s="304">
        <f>'Pencapaian New Open Outlet'!G229</f>
        <v>0</v>
      </c>
      <c r="AB229" s="285">
        <f>'Pencapaian New Open Outlet'!I229</f>
        <v>0</v>
      </c>
      <c r="AC229" s="269">
        <f>'Pencapaian Active Outlet'!G229</f>
        <v>0.26</v>
      </c>
      <c r="AD229" s="284">
        <f>'Pencapaian Active Outlet'!I229</f>
        <v>0</v>
      </c>
      <c r="AE229" s="304">
        <f>'Pencapaian Item per Outlet'!G229</f>
        <v>0</v>
      </c>
      <c r="AF229" s="285">
        <f>'Pencapaian Item per Outlet'!I229</f>
        <v>0</v>
      </c>
      <c r="AG229" s="304">
        <f>'Pencapaian Product Display'!G229</f>
        <v>0</v>
      </c>
      <c r="AH229" s="285">
        <f>'Pencapaian Product Display'!I229</f>
        <v>0</v>
      </c>
      <c r="AI229" s="304">
        <f>'Pencapaian Sales Contract'!G229</f>
        <v>0</v>
      </c>
      <c r="AJ229" s="285">
        <f>'Pencapaian Sales Contract'!I229</f>
        <v>0</v>
      </c>
      <c r="AK229" s="304">
        <f>'Pencapaian Co-Branding'!G229</f>
        <v>0</v>
      </c>
      <c r="AL229" s="285">
        <f>'Pencapaian Co-Branding'!I229</f>
        <v>0</v>
      </c>
      <c r="AM229" s="304">
        <f>'Pencapaian Join Event Activity'!G229</f>
        <v>0</v>
      </c>
      <c r="AN229" s="285">
        <f>'Pencapaian Join Event Activity'!I229</f>
        <v>0</v>
      </c>
      <c r="AO229" s="284">
        <f t="shared" si="131"/>
        <v>0</v>
      </c>
      <c r="AP229" s="322">
        <v>0</v>
      </c>
      <c r="AQ229" s="284">
        <f t="shared" si="132"/>
        <v>0</v>
      </c>
      <c r="AR229" s="322">
        <v>0</v>
      </c>
      <c r="AS229" s="284">
        <f t="shared" si="133"/>
        <v>0</v>
      </c>
      <c r="AT229" s="284">
        <f t="shared" si="129"/>
        <v>0</v>
      </c>
      <c r="AU229" s="284">
        <f t="shared" si="134"/>
        <v>0</v>
      </c>
      <c r="AV229" s="284">
        <v>0</v>
      </c>
    </row>
    <row r="230" spans="16:48" x14ac:dyDescent="0.2">
      <c r="P230" s="392"/>
      <c r="Q230" s="321"/>
      <c r="R230" s="323" t="s">
        <v>806</v>
      </c>
      <c r="S230" s="12"/>
      <c r="T230" s="269" t="e">
        <f>'Pencapaian Sales Value'!G230</f>
        <v>#DIV/0!</v>
      </c>
      <c r="U230" s="284">
        <f>'Pencapaian Sales Value'!I230</f>
        <v>0</v>
      </c>
      <c r="V230" s="304">
        <f>'Pencapaian Product Focus'!H230</f>
        <v>0</v>
      </c>
      <c r="W230" s="304">
        <f>'Pencapaian Product Focus'!L230</f>
        <v>0</v>
      </c>
      <c r="X230" s="285">
        <f>'Pencapaian Product Focus'!N230</f>
        <v>0</v>
      </c>
      <c r="Y230" s="304">
        <f>'Pencapaian Effective Call'!G230</f>
        <v>0</v>
      </c>
      <c r="Z230" s="285">
        <f>'Pencapaian Effective Call'!I230</f>
        <v>0</v>
      </c>
      <c r="AA230" s="304">
        <f>'Pencapaian New Open Outlet'!G230</f>
        <v>0</v>
      </c>
      <c r="AB230" s="285">
        <f>'Pencapaian New Open Outlet'!I230</f>
        <v>0</v>
      </c>
      <c r="AC230" s="269" t="e">
        <f>'Pencapaian Active Outlet'!G230</f>
        <v>#DIV/0!</v>
      </c>
      <c r="AD230" s="284">
        <f>'Pencapaian Active Outlet'!I230</f>
        <v>0</v>
      </c>
      <c r="AE230" s="304">
        <f>'Pencapaian Item per Outlet'!G230</f>
        <v>0</v>
      </c>
      <c r="AF230" s="285">
        <f>'Pencapaian Item per Outlet'!I230</f>
        <v>0</v>
      </c>
      <c r="AG230" s="304">
        <f>'Pencapaian Product Display'!G230</f>
        <v>0</v>
      </c>
      <c r="AH230" s="285">
        <f>'Pencapaian Product Display'!I230</f>
        <v>0</v>
      </c>
      <c r="AI230" s="304">
        <f>'Pencapaian Sales Contract'!G230</f>
        <v>0</v>
      </c>
      <c r="AJ230" s="285">
        <f>'Pencapaian Sales Contract'!I230</f>
        <v>0</v>
      </c>
      <c r="AK230" s="304">
        <f>'Pencapaian Co-Branding'!G230</f>
        <v>0</v>
      </c>
      <c r="AL230" s="285">
        <f>'Pencapaian Co-Branding'!I230</f>
        <v>0</v>
      </c>
      <c r="AM230" s="304">
        <f>'Pencapaian Join Event Activity'!G230</f>
        <v>0</v>
      </c>
      <c r="AN230" s="285">
        <f>'Pencapaian Join Event Activity'!I230</f>
        <v>0</v>
      </c>
      <c r="AO230" s="284">
        <f t="shared" si="131"/>
        <v>0</v>
      </c>
      <c r="AP230" s="322">
        <v>0</v>
      </c>
      <c r="AQ230" s="284">
        <f t="shared" si="132"/>
        <v>0</v>
      </c>
      <c r="AR230" s="322">
        <v>0</v>
      </c>
      <c r="AS230" s="284">
        <f t="shared" si="133"/>
        <v>0</v>
      </c>
      <c r="AT230" s="284">
        <f t="shared" si="129"/>
        <v>0</v>
      </c>
      <c r="AU230" s="284">
        <f t="shared" si="134"/>
        <v>0</v>
      </c>
      <c r="AV230" s="284">
        <v>0</v>
      </c>
    </row>
    <row r="231" spans="16:48" x14ac:dyDescent="0.2">
      <c r="P231" s="392"/>
      <c r="Q231" s="321"/>
      <c r="R231" s="323" t="s">
        <v>630</v>
      </c>
      <c r="S231" s="12" t="s">
        <v>675</v>
      </c>
      <c r="T231" s="269">
        <f>'Pencapaian Sales Value'!G231</f>
        <v>0.23880812500000001</v>
      </c>
      <c r="U231" s="284">
        <f>'Pencapaian Sales Value'!I231</f>
        <v>0</v>
      </c>
      <c r="V231" s="304">
        <f>'Pencapaian Product Focus'!H231</f>
        <v>0</v>
      </c>
      <c r="W231" s="304">
        <f>'Pencapaian Product Focus'!L231</f>
        <v>0</v>
      </c>
      <c r="X231" s="285">
        <f>'Pencapaian Product Focus'!N231</f>
        <v>0</v>
      </c>
      <c r="Y231" s="304">
        <f>'Pencapaian Effective Call'!G231</f>
        <v>0</v>
      </c>
      <c r="Z231" s="285">
        <f>'Pencapaian Effective Call'!I231</f>
        <v>0</v>
      </c>
      <c r="AA231" s="304">
        <f>'Pencapaian New Open Outlet'!G231</f>
        <v>0</v>
      </c>
      <c r="AB231" s="285">
        <f>'Pencapaian New Open Outlet'!I231</f>
        <v>0</v>
      </c>
      <c r="AC231" s="269">
        <f>'Pencapaian Active Outlet'!G231</f>
        <v>0.47499999999999998</v>
      </c>
      <c r="AD231" s="284">
        <f>'Pencapaian Active Outlet'!I231</f>
        <v>0</v>
      </c>
      <c r="AE231" s="304">
        <f>'Pencapaian Item per Outlet'!G231</f>
        <v>0</v>
      </c>
      <c r="AF231" s="285">
        <f>'Pencapaian Item per Outlet'!I231</f>
        <v>0</v>
      </c>
      <c r="AG231" s="304">
        <f>'Pencapaian Product Display'!G231</f>
        <v>0</v>
      </c>
      <c r="AH231" s="285">
        <f>'Pencapaian Product Display'!I231</f>
        <v>0</v>
      </c>
      <c r="AI231" s="304">
        <f>'Pencapaian Sales Contract'!G231</f>
        <v>0</v>
      </c>
      <c r="AJ231" s="285">
        <f>'Pencapaian Sales Contract'!I231</f>
        <v>0</v>
      </c>
      <c r="AK231" s="304">
        <f>'Pencapaian Co-Branding'!G231</f>
        <v>0</v>
      </c>
      <c r="AL231" s="285">
        <f>'Pencapaian Co-Branding'!I231</f>
        <v>0</v>
      </c>
      <c r="AM231" s="304">
        <f>'Pencapaian Join Event Activity'!G231</f>
        <v>0</v>
      </c>
      <c r="AN231" s="285">
        <f>'Pencapaian Join Event Activity'!I231</f>
        <v>0</v>
      </c>
      <c r="AO231" s="284">
        <f t="shared" si="131"/>
        <v>0</v>
      </c>
      <c r="AP231" s="322">
        <v>0</v>
      </c>
      <c r="AQ231" s="284">
        <f t="shared" si="132"/>
        <v>0</v>
      </c>
      <c r="AR231" s="322">
        <v>0</v>
      </c>
      <c r="AS231" s="284">
        <f t="shared" si="133"/>
        <v>0</v>
      </c>
      <c r="AT231" s="284">
        <f t="shared" si="129"/>
        <v>0</v>
      </c>
      <c r="AU231" s="284">
        <f t="shared" si="134"/>
        <v>0</v>
      </c>
      <c r="AV231" s="284">
        <v>0</v>
      </c>
    </row>
    <row r="232" spans="16:48" x14ac:dyDescent="0.2">
      <c r="P232" s="392"/>
      <c r="Q232" s="321"/>
      <c r="R232" s="323" t="s">
        <v>546</v>
      </c>
      <c r="S232" s="12" t="s">
        <v>675</v>
      </c>
      <c r="T232" s="269">
        <f>'Pencapaian Sales Value'!G232</f>
        <v>0.47309600000000002</v>
      </c>
      <c r="U232" s="284">
        <f>'Pencapaian Sales Value'!I232</f>
        <v>0</v>
      </c>
      <c r="V232" s="304">
        <f>'Pencapaian Product Focus'!H232</f>
        <v>0</v>
      </c>
      <c r="W232" s="304">
        <f>'Pencapaian Product Focus'!L232</f>
        <v>0</v>
      </c>
      <c r="X232" s="285">
        <f>'Pencapaian Product Focus'!N232</f>
        <v>0</v>
      </c>
      <c r="Y232" s="304">
        <f>'Pencapaian Effective Call'!G232</f>
        <v>0</v>
      </c>
      <c r="Z232" s="285">
        <f>'Pencapaian Effective Call'!I232</f>
        <v>0</v>
      </c>
      <c r="AA232" s="304">
        <f>'Pencapaian New Open Outlet'!G232</f>
        <v>0</v>
      </c>
      <c r="AB232" s="285">
        <f>'Pencapaian New Open Outlet'!I232</f>
        <v>0</v>
      </c>
      <c r="AC232" s="269">
        <f>'Pencapaian Active Outlet'!G232</f>
        <v>0.44</v>
      </c>
      <c r="AD232" s="284">
        <f>'Pencapaian Active Outlet'!I232</f>
        <v>0</v>
      </c>
      <c r="AE232" s="304">
        <f>'Pencapaian Item per Outlet'!G232</f>
        <v>0</v>
      </c>
      <c r="AF232" s="285">
        <f>'Pencapaian Item per Outlet'!I232</f>
        <v>0</v>
      </c>
      <c r="AG232" s="304">
        <f>'Pencapaian Product Display'!G232</f>
        <v>0</v>
      </c>
      <c r="AH232" s="285">
        <f>'Pencapaian Product Display'!I232</f>
        <v>0</v>
      </c>
      <c r="AI232" s="304">
        <f>'Pencapaian Sales Contract'!G232</f>
        <v>0</v>
      </c>
      <c r="AJ232" s="285">
        <f>'Pencapaian Sales Contract'!I232</f>
        <v>0</v>
      </c>
      <c r="AK232" s="304">
        <f>'Pencapaian Co-Branding'!G232</f>
        <v>0</v>
      </c>
      <c r="AL232" s="285">
        <f>'Pencapaian Co-Branding'!I232</f>
        <v>0</v>
      </c>
      <c r="AM232" s="304">
        <f>'Pencapaian Join Event Activity'!G232</f>
        <v>0</v>
      </c>
      <c r="AN232" s="285">
        <f>'Pencapaian Join Event Activity'!I232</f>
        <v>0</v>
      </c>
      <c r="AO232" s="284">
        <f t="shared" si="131"/>
        <v>0</v>
      </c>
      <c r="AP232" s="322">
        <v>0</v>
      </c>
      <c r="AQ232" s="284">
        <f t="shared" si="132"/>
        <v>0</v>
      </c>
      <c r="AR232" s="322">
        <v>0</v>
      </c>
      <c r="AS232" s="284">
        <f t="shared" si="133"/>
        <v>0</v>
      </c>
      <c r="AT232" s="284">
        <f t="shared" si="129"/>
        <v>0</v>
      </c>
      <c r="AU232" s="284">
        <f t="shared" si="134"/>
        <v>0</v>
      </c>
      <c r="AV232" s="284">
        <v>0</v>
      </c>
    </row>
    <row r="233" spans="16:48" x14ac:dyDescent="0.2">
      <c r="P233" s="392"/>
      <c r="Q233" s="321"/>
      <c r="R233" s="323" t="s">
        <v>547</v>
      </c>
      <c r="S233" s="12" t="s">
        <v>675</v>
      </c>
      <c r="T233" s="269">
        <f>'Pencapaian Sales Value'!G233</f>
        <v>1.0115588235294117</v>
      </c>
      <c r="U233" s="284">
        <f>'Pencapaian Sales Value'!I233</f>
        <v>90000</v>
      </c>
      <c r="V233" s="304">
        <f>'Pencapaian Product Focus'!H233</f>
        <v>0</v>
      </c>
      <c r="W233" s="304">
        <f>'Pencapaian Product Focus'!L233</f>
        <v>0</v>
      </c>
      <c r="X233" s="285">
        <f>'Pencapaian Product Focus'!N233</f>
        <v>0</v>
      </c>
      <c r="Y233" s="304">
        <f>'Pencapaian Effective Call'!G233</f>
        <v>0</v>
      </c>
      <c r="Z233" s="285">
        <f>'Pencapaian Effective Call'!I233</f>
        <v>0</v>
      </c>
      <c r="AA233" s="304">
        <f>'Pencapaian New Open Outlet'!G233</f>
        <v>0</v>
      </c>
      <c r="AB233" s="285">
        <f>'Pencapaian New Open Outlet'!I233</f>
        <v>0</v>
      </c>
      <c r="AC233" s="269">
        <f>'Pencapaian Active Outlet'!G233</f>
        <v>0.88</v>
      </c>
      <c r="AD233" s="284">
        <f>'Pencapaian Active Outlet'!I233</f>
        <v>90000</v>
      </c>
      <c r="AE233" s="304">
        <f>'Pencapaian Item per Outlet'!G233</f>
        <v>0</v>
      </c>
      <c r="AF233" s="285">
        <f>'Pencapaian Item per Outlet'!I233</f>
        <v>0</v>
      </c>
      <c r="AG233" s="304">
        <f>'Pencapaian Product Display'!G233</f>
        <v>0</v>
      </c>
      <c r="AH233" s="285">
        <f>'Pencapaian Product Display'!I233</f>
        <v>0</v>
      </c>
      <c r="AI233" s="304">
        <f>'Pencapaian Sales Contract'!G233</f>
        <v>0</v>
      </c>
      <c r="AJ233" s="285">
        <f>'Pencapaian Sales Contract'!I233</f>
        <v>0</v>
      </c>
      <c r="AK233" s="304">
        <f>'Pencapaian Co-Branding'!G233</f>
        <v>0</v>
      </c>
      <c r="AL233" s="285">
        <f>'Pencapaian Co-Branding'!I233</f>
        <v>0</v>
      </c>
      <c r="AM233" s="304">
        <f>'Pencapaian Join Event Activity'!G233</f>
        <v>0</v>
      </c>
      <c r="AN233" s="285">
        <f>'Pencapaian Join Event Activity'!I233</f>
        <v>0</v>
      </c>
      <c r="AO233" s="284">
        <f t="shared" si="131"/>
        <v>180000</v>
      </c>
      <c r="AP233" s="322">
        <v>0</v>
      </c>
      <c r="AQ233" s="284">
        <f t="shared" si="132"/>
        <v>0</v>
      </c>
      <c r="AR233" s="322">
        <v>0</v>
      </c>
      <c r="AS233" s="284">
        <f t="shared" si="133"/>
        <v>0</v>
      </c>
      <c r="AT233" s="284">
        <f t="shared" si="129"/>
        <v>180000</v>
      </c>
      <c r="AU233" s="284">
        <f t="shared" si="134"/>
        <v>180000</v>
      </c>
      <c r="AV233" s="284">
        <v>0</v>
      </c>
    </row>
    <row r="234" spans="16:48" x14ac:dyDescent="0.2">
      <c r="P234" s="392"/>
      <c r="Q234" s="324"/>
      <c r="R234" s="324" t="s">
        <v>694</v>
      </c>
      <c r="S234" s="64" t="s">
        <v>673</v>
      </c>
      <c r="T234" s="258">
        <f>'Pencapaian Sales Value'!G234</f>
        <v>0.52667844444444445</v>
      </c>
      <c r="U234" s="286">
        <f>'Pencapaian Sales Value'!I234</f>
        <v>0</v>
      </c>
      <c r="V234" s="268">
        <f>'Pencapaian Product Focus'!H234</f>
        <v>0</v>
      </c>
      <c r="W234" s="268">
        <f>'Pencapaian Product Focus'!L234</f>
        <v>0</v>
      </c>
      <c r="X234" s="189">
        <f>'Pencapaian Product Focus'!N234</f>
        <v>0</v>
      </c>
      <c r="Y234" s="268">
        <f>'Pencapaian Effective Call'!G234</f>
        <v>0</v>
      </c>
      <c r="Z234" s="189">
        <f>'Pencapaian Effective Call'!I234</f>
        <v>0</v>
      </c>
      <c r="AA234" s="268">
        <f>'Pencapaian New Open Outlet'!G234</f>
        <v>0</v>
      </c>
      <c r="AB234" s="189">
        <f>'Pencapaian New Open Outlet'!I234</f>
        <v>0</v>
      </c>
      <c r="AC234" s="258">
        <f>'Pencapaian Active Outlet'!G234</f>
        <v>0.5117647058823529</v>
      </c>
      <c r="AD234" s="286">
        <f>'Pencapaian Active Outlet'!I234</f>
        <v>0</v>
      </c>
      <c r="AE234" s="268">
        <f>'Pencapaian Item per Outlet'!G234</f>
        <v>0</v>
      </c>
      <c r="AF234" s="189">
        <f>'Pencapaian Item per Outlet'!I234</f>
        <v>0</v>
      </c>
      <c r="AG234" s="268">
        <f>'Pencapaian Product Display'!G234</f>
        <v>0</v>
      </c>
      <c r="AH234" s="189">
        <f>'Pencapaian Product Display'!I234</f>
        <v>0</v>
      </c>
      <c r="AI234" s="268">
        <f>'Pencapaian Sales Contract'!G234</f>
        <v>0</v>
      </c>
      <c r="AJ234" s="189">
        <f>'Pencapaian Sales Contract'!I234</f>
        <v>0</v>
      </c>
      <c r="AK234" s="268">
        <f>'Pencapaian Co-Branding'!G234</f>
        <v>0</v>
      </c>
      <c r="AL234" s="189">
        <f>'Pencapaian Co-Branding'!I234</f>
        <v>0</v>
      </c>
      <c r="AM234" s="268">
        <f>'Pencapaian Join Event Activity'!G234</f>
        <v>0</v>
      </c>
      <c r="AN234" s="189">
        <f>'Pencapaian Join Event Activity'!I234</f>
        <v>0</v>
      </c>
      <c r="AO234" s="286">
        <f t="shared" si="131"/>
        <v>0</v>
      </c>
      <c r="AP234" s="289">
        <v>0</v>
      </c>
      <c r="AQ234" s="286">
        <f t="shared" si="132"/>
        <v>0</v>
      </c>
      <c r="AR234" s="289">
        <v>0</v>
      </c>
      <c r="AS234" s="286">
        <f t="shared" si="133"/>
        <v>0</v>
      </c>
      <c r="AT234" s="286">
        <f t="shared" si="129"/>
        <v>0</v>
      </c>
      <c r="AU234" s="286">
        <f t="shared" si="134"/>
        <v>0</v>
      </c>
      <c r="AV234" s="286">
        <v>0</v>
      </c>
    </row>
    <row r="235" spans="16:48" x14ac:dyDescent="0.2">
      <c r="P235" s="392"/>
      <c r="Q235" s="321"/>
      <c r="R235" s="323" t="s">
        <v>631</v>
      </c>
      <c r="S235" s="12" t="s">
        <v>675</v>
      </c>
      <c r="T235" s="269">
        <f>'Pencapaian Sales Value'!G235</f>
        <v>-9.6939999999999998E-2</v>
      </c>
      <c r="U235" s="284">
        <f>'Pencapaian Sales Value'!I235</f>
        <v>0</v>
      </c>
      <c r="V235" s="304">
        <f>'Pencapaian Product Focus'!H235</f>
        <v>0</v>
      </c>
      <c r="W235" s="304">
        <f>'Pencapaian Product Focus'!L235</f>
        <v>0</v>
      </c>
      <c r="X235" s="285">
        <f>'Pencapaian Product Focus'!N235</f>
        <v>0</v>
      </c>
      <c r="Y235" s="304">
        <f>'Pencapaian Effective Call'!G235</f>
        <v>0</v>
      </c>
      <c r="Z235" s="285">
        <f>'Pencapaian Effective Call'!I235</f>
        <v>0</v>
      </c>
      <c r="AA235" s="304">
        <f>'Pencapaian New Open Outlet'!G235</f>
        <v>0</v>
      </c>
      <c r="AB235" s="285">
        <f>'Pencapaian New Open Outlet'!I235</f>
        <v>0</v>
      </c>
      <c r="AC235" s="269">
        <f>'Pencapaian Active Outlet'!G235</f>
        <v>0.08</v>
      </c>
      <c r="AD235" s="284">
        <f>'Pencapaian Active Outlet'!I235</f>
        <v>0</v>
      </c>
      <c r="AE235" s="304">
        <f>'Pencapaian Item per Outlet'!G235</f>
        <v>0</v>
      </c>
      <c r="AF235" s="285">
        <f>'Pencapaian Item per Outlet'!I235</f>
        <v>0</v>
      </c>
      <c r="AG235" s="304">
        <f>'Pencapaian Product Display'!G235</f>
        <v>0</v>
      </c>
      <c r="AH235" s="285">
        <f>'Pencapaian Product Display'!I235</f>
        <v>0</v>
      </c>
      <c r="AI235" s="304">
        <f>'Pencapaian Sales Contract'!G235</f>
        <v>0</v>
      </c>
      <c r="AJ235" s="285">
        <f>'Pencapaian Sales Contract'!I235</f>
        <v>0</v>
      </c>
      <c r="AK235" s="304">
        <f>'Pencapaian Co-Branding'!G235</f>
        <v>0</v>
      </c>
      <c r="AL235" s="285">
        <f>'Pencapaian Co-Branding'!I235</f>
        <v>0</v>
      </c>
      <c r="AM235" s="304">
        <f>'Pencapaian Join Event Activity'!G235</f>
        <v>0</v>
      </c>
      <c r="AN235" s="285">
        <f>'Pencapaian Join Event Activity'!I235</f>
        <v>0</v>
      </c>
      <c r="AO235" s="284">
        <f t="shared" si="131"/>
        <v>0</v>
      </c>
      <c r="AP235" s="322">
        <v>0</v>
      </c>
      <c r="AQ235" s="284">
        <f t="shared" si="132"/>
        <v>0</v>
      </c>
      <c r="AR235" s="322">
        <v>0</v>
      </c>
      <c r="AS235" s="284">
        <f t="shared" si="133"/>
        <v>0</v>
      </c>
      <c r="AT235" s="284">
        <f t="shared" si="129"/>
        <v>0</v>
      </c>
      <c r="AU235" s="284">
        <f t="shared" si="134"/>
        <v>0</v>
      </c>
      <c r="AV235" s="284">
        <v>0</v>
      </c>
    </row>
    <row r="236" spans="16:48" x14ac:dyDescent="0.2">
      <c r="P236" s="392"/>
      <c r="Q236" s="321"/>
      <c r="R236" s="323" t="s">
        <v>847</v>
      </c>
      <c r="S236" s="12" t="s">
        <v>675</v>
      </c>
      <c r="T236" s="269">
        <f>'Pencapaian Sales Value'!G236</f>
        <v>-0.03</v>
      </c>
      <c r="U236" s="284">
        <f>'Pencapaian Sales Value'!I236</f>
        <v>0</v>
      </c>
      <c r="V236" s="304">
        <f>'Pencapaian Product Focus'!H236</f>
        <v>0</v>
      </c>
      <c r="W236" s="304">
        <f>'Pencapaian Product Focus'!L236</f>
        <v>0</v>
      </c>
      <c r="X236" s="285">
        <f>'Pencapaian Product Focus'!N236</f>
        <v>0</v>
      </c>
      <c r="Y236" s="304">
        <f>'Pencapaian Effective Call'!G236</f>
        <v>0</v>
      </c>
      <c r="Z236" s="285">
        <f>'Pencapaian Effective Call'!I236</f>
        <v>0</v>
      </c>
      <c r="AA236" s="304">
        <f>'Pencapaian New Open Outlet'!G236</f>
        <v>0</v>
      </c>
      <c r="AB236" s="285">
        <f>'Pencapaian New Open Outlet'!I236</f>
        <v>0</v>
      </c>
      <c r="AC236" s="269">
        <f>'Pencapaian Active Outlet'!G236</f>
        <v>0</v>
      </c>
      <c r="AD236" s="284">
        <f>'Pencapaian Active Outlet'!I236</f>
        <v>0</v>
      </c>
      <c r="AE236" s="304">
        <f>'Pencapaian Item per Outlet'!G236</f>
        <v>0</v>
      </c>
      <c r="AF236" s="285">
        <f>'Pencapaian Item per Outlet'!I236</f>
        <v>0</v>
      </c>
      <c r="AG236" s="304">
        <f>'Pencapaian Product Display'!G236</f>
        <v>0</v>
      </c>
      <c r="AH236" s="285">
        <f>'Pencapaian Product Display'!I236</f>
        <v>0</v>
      </c>
      <c r="AI236" s="304">
        <f>'Pencapaian Sales Contract'!G236</f>
        <v>0</v>
      </c>
      <c r="AJ236" s="285">
        <f>'Pencapaian Sales Contract'!I236</f>
        <v>0</v>
      </c>
      <c r="AK236" s="304">
        <f>'Pencapaian Co-Branding'!G236</f>
        <v>0</v>
      </c>
      <c r="AL236" s="285">
        <f>'Pencapaian Co-Branding'!I236</f>
        <v>0</v>
      </c>
      <c r="AM236" s="304">
        <f>'Pencapaian Join Event Activity'!G236</f>
        <v>0</v>
      </c>
      <c r="AN236" s="285">
        <f>'Pencapaian Join Event Activity'!I236</f>
        <v>0</v>
      </c>
      <c r="AO236" s="284">
        <f t="shared" si="131"/>
        <v>0</v>
      </c>
      <c r="AP236" s="322">
        <v>0</v>
      </c>
      <c r="AQ236" s="284">
        <f t="shared" si="132"/>
        <v>0</v>
      </c>
      <c r="AR236" s="322">
        <v>0</v>
      </c>
      <c r="AS236" s="284">
        <f t="shared" si="133"/>
        <v>0</v>
      </c>
      <c r="AT236" s="284">
        <f t="shared" si="129"/>
        <v>0</v>
      </c>
      <c r="AU236" s="284">
        <f t="shared" si="134"/>
        <v>0</v>
      </c>
      <c r="AV236" s="284">
        <v>0</v>
      </c>
    </row>
    <row r="237" spans="16:48" x14ac:dyDescent="0.2">
      <c r="P237" s="392"/>
      <c r="Q237" s="321"/>
      <c r="R237" s="323" t="s">
        <v>848</v>
      </c>
      <c r="S237" s="12" t="s">
        <v>675</v>
      </c>
      <c r="T237" s="269">
        <f>'Pencapaian Sales Value'!G237</f>
        <v>0.32075999999999999</v>
      </c>
      <c r="U237" s="284">
        <f>'Pencapaian Sales Value'!I237</f>
        <v>0</v>
      </c>
      <c r="V237" s="304">
        <f>'Pencapaian Product Focus'!H237</f>
        <v>0</v>
      </c>
      <c r="W237" s="304">
        <f>'Pencapaian Product Focus'!L237</f>
        <v>0</v>
      </c>
      <c r="X237" s="285">
        <f>'Pencapaian Product Focus'!N237</f>
        <v>0</v>
      </c>
      <c r="Y237" s="304">
        <f>'Pencapaian Effective Call'!G237</f>
        <v>0</v>
      </c>
      <c r="Z237" s="285">
        <f>'Pencapaian Effective Call'!I237</f>
        <v>0</v>
      </c>
      <c r="AA237" s="304">
        <f>'Pencapaian New Open Outlet'!G237</f>
        <v>0</v>
      </c>
      <c r="AB237" s="285">
        <f>'Pencapaian New Open Outlet'!I237</f>
        <v>0</v>
      </c>
      <c r="AC237" s="269">
        <f>'Pencapaian Active Outlet'!G237</f>
        <v>0.05</v>
      </c>
      <c r="AD237" s="284">
        <f>'Pencapaian Active Outlet'!I237</f>
        <v>0</v>
      </c>
      <c r="AE237" s="304">
        <f>'Pencapaian Item per Outlet'!G237</f>
        <v>0</v>
      </c>
      <c r="AF237" s="285">
        <f>'Pencapaian Item per Outlet'!I237</f>
        <v>0</v>
      </c>
      <c r="AG237" s="304">
        <f>'Pencapaian Product Display'!G237</f>
        <v>0</v>
      </c>
      <c r="AH237" s="285">
        <f>'Pencapaian Product Display'!I237</f>
        <v>0</v>
      </c>
      <c r="AI237" s="304">
        <f>'Pencapaian Sales Contract'!G237</f>
        <v>0</v>
      </c>
      <c r="AJ237" s="285">
        <f>'Pencapaian Sales Contract'!I237</f>
        <v>0</v>
      </c>
      <c r="AK237" s="304">
        <f>'Pencapaian Co-Branding'!G237</f>
        <v>0</v>
      </c>
      <c r="AL237" s="285">
        <f>'Pencapaian Co-Branding'!I237</f>
        <v>0</v>
      </c>
      <c r="AM237" s="304">
        <f>'Pencapaian Join Event Activity'!G237</f>
        <v>0</v>
      </c>
      <c r="AN237" s="285">
        <f>'Pencapaian Join Event Activity'!I237</f>
        <v>0</v>
      </c>
      <c r="AO237" s="284">
        <f t="shared" si="131"/>
        <v>0</v>
      </c>
      <c r="AP237" s="322">
        <v>0</v>
      </c>
      <c r="AQ237" s="284">
        <f t="shared" si="132"/>
        <v>0</v>
      </c>
      <c r="AR237" s="322">
        <v>0</v>
      </c>
      <c r="AS237" s="284">
        <f t="shared" si="133"/>
        <v>0</v>
      </c>
      <c r="AT237" s="284">
        <f t="shared" si="129"/>
        <v>0</v>
      </c>
      <c r="AU237" s="284">
        <f t="shared" si="134"/>
        <v>0</v>
      </c>
      <c r="AV237" s="284">
        <v>0</v>
      </c>
    </row>
    <row r="238" spans="16:48" x14ac:dyDescent="0.2">
      <c r="P238" s="392"/>
      <c r="Q238" s="321"/>
      <c r="R238" s="323" t="s">
        <v>849</v>
      </c>
      <c r="S238" s="12" t="s">
        <v>675</v>
      </c>
      <c r="T238" s="269">
        <f>'Pencapaian Sales Value'!G238</f>
        <v>-2.691E-2</v>
      </c>
      <c r="U238" s="284">
        <f>'Pencapaian Sales Value'!I238</f>
        <v>0</v>
      </c>
      <c r="V238" s="304">
        <f>'Pencapaian Product Focus'!H238</f>
        <v>0</v>
      </c>
      <c r="W238" s="304">
        <f>'Pencapaian Product Focus'!L238</f>
        <v>0</v>
      </c>
      <c r="X238" s="285">
        <f>'Pencapaian Product Focus'!N238</f>
        <v>0</v>
      </c>
      <c r="Y238" s="304">
        <f>'Pencapaian Effective Call'!G238</f>
        <v>0</v>
      </c>
      <c r="Z238" s="285">
        <f>'Pencapaian Effective Call'!I238</f>
        <v>0</v>
      </c>
      <c r="AA238" s="304">
        <f>'Pencapaian New Open Outlet'!G238</f>
        <v>0</v>
      </c>
      <c r="AB238" s="285">
        <f>'Pencapaian New Open Outlet'!I238</f>
        <v>0</v>
      </c>
      <c r="AC238" s="269">
        <f>'Pencapaian Active Outlet'!G238</f>
        <v>0</v>
      </c>
      <c r="AD238" s="284">
        <f>'Pencapaian Active Outlet'!I238</f>
        <v>0</v>
      </c>
      <c r="AE238" s="304">
        <f>'Pencapaian Item per Outlet'!G238</f>
        <v>0</v>
      </c>
      <c r="AF238" s="285">
        <f>'Pencapaian Item per Outlet'!I238</f>
        <v>0</v>
      </c>
      <c r="AG238" s="304">
        <f>'Pencapaian Product Display'!G238</f>
        <v>0</v>
      </c>
      <c r="AH238" s="285">
        <f>'Pencapaian Product Display'!I238</f>
        <v>0</v>
      </c>
      <c r="AI238" s="304">
        <f>'Pencapaian Sales Contract'!G238</f>
        <v>0</v>
      </c>
      <c r="AJ238" s="285">
        <f>'Pencapaian Sales Contract'!I238</f>
        <v>0</v>
      </c>
      <c r="AK238" s="304">
        <f>'Pencapaian Co-Branding'!G238</f>
        <v>0</v>
      </c>
      <c r="AL238" s="285">
        <f>'Pencapaian Co-Branding'!I238</f>
        <v>0</v>
      </c>
      <c r="AM238" s="304">
        <f>'Pencapaian Join Event Activity'!G238</f>
        <v>0</v>
      </c>
      <c r="AN238" s="285">
        <f>'Pencapaian Join Event Activity'!I238</f>
        <v>0</v>
      </c>
      <c r="AO238" s="284">
        <f t="shared" si="131"/>
        <v>0</v>
      </c>
      <c r="AP238" s="322">
        <v>0</v>
      </c>
      <c r="AQ238" s="284">
        <f t="shared" si="132"/>
        <v>0</v>
      </c>
      <c r="AR238" s="322">
        <v>0</v>
      </c>
      <c r="AS238" s="284">
        <f t="shared" si="133"/>
        <v>0</v>
      </c>
      <c r="AT238" s="284">
        <f t="shared" si="129"/>
        <v>0</v>
      </c>
      <c r="AU238" s="284">
        <f t="shared" si="134"/>
        <v>0</v>
      </c>
      <c r="AV238" s="284">
        <v>0</v>
      </c>
    </row>
    <row r="239" spans="16:48" x14ac:dyDescent="0.2">
      <c r="P239" s="392"/>
      <c r="Q239" s="321"/>
      <c r="R239" s="323" t="s">
        <v>605</v>
      </c>
      <c r="S239" s="12" t="s">
        <v>675</v>
      </c>
      <c r="T239" s="269">
        <f>'Pencapaian Sales Value'!G239</f>
        <v>-5.5717999999999997E-2</v>
      </c>
      <c r="U239" s="284">
        <f>'Pencapaian Sales Value'!I239</f>
        <v>0</v>
      </c>
      <c r="V239" s="304">
        <f>'Pencapaian Product Focus'!H239</f>
        <v>0</v>
      </c>
      <c r="W239" s="304">
        <f>'Pencapaian Product Focus'!L239</f>
        <v>0</v>
      </c>
      <c r="X239" s="285">
        <f>'Pencapaian Product Focus'!N239</f>
        <v>0</v>
      </c>
      <c r="Y239" s="304">
        <f>'Pencapaian Effective Call'!G239</f>
        <v>0</v>
      </c>
      <c r="Z239" s="285">
        <f>'Pencapaian Effective Call'!I239</f>
        <v>0</v>
      </c>
      <c r="AA239" s="304">
        <f>'Pencapaian New Open Outlet'!G239</f>
        <v>0</v>
      </c>
      <c r="AB239" s="285">
        <f>'Pencapaian New Open Outlet'!I239</f>
        <v>0</v>
      </c>
      <c r="AC239" s="269">
        <f>'Pencapaian Active Outlet'!G239</f>
        <v>0.04</v>
      </c>
      <c r="AD239" s="284">
        <f>'Pencapaian Active Outlet'!I239</f>
        <v>0</v>
      </c>
      <c r="AE239" s="304">
        <f>'Pencapaian Item per Outlet'!G239</f>
        <v>0</v>
      </c>
      <c r="AF239" s="285">
        <f>'Pencapaian Item per Outlet'!I239</f>
        <v>0</v>
      </c>
      <c r="AG239" s="304">
        <f>'Pencapaian Product Display'!G239</f>
        <v>0</v>
      </c>
      <c r="AH239" s="285">
        <f>'Pencapaian Product Display'!I239</f>
        <v>0</v>
      </c>
      <c r="AI239" s="304">
        <f>'Pencapaian Sales Contract'!G239</f>
        <v>0</v>
      </c>
      <c r="AJ239" s="285">
        <f>'Pencapaian Sales Contract'!I239</f>
        <v>0</v>
      </c>
      <c r="AK239" s="304">
        <f>'Pencapaian Co-Branding'!G239</f>
        <v>0</v>
      </c>
      <c r="AL239" s="285">
        <f>'Pencapaian Co-Branding'!I239</f>
        <v>0</v>
      </c>
      <c r="AM239" s="304">
        <f>'Pencapaian Join Event Activity'!G239</f>
        <v>0</v>
      </c>
      <c r="AN239" s="285">
        <f>'Pencapaian Join Event Activity'!I239</f>
        <v>0</v>
      </c>
      <c r="AO239" s="284">
        <f t="shared" si="131"/>
        <v>0</v>
      </c>
      <c r="AP239" s="322">
        <v>0</v>
      </c>
      <c r="AQ239" s="284">
        <f t="shared" si="132"/>
        <v>0</v>
      </c>
      <c r="AR239" s="322">
        <v>0</v>
      </c>
      <c r="AS239" s="284">
        <f t="shared" si="133"/>
        <v>0</v>
      </c>
      <c r="AT239" s="284">
        <f t="shared" si="129"/>
        <v>0</v>
      </c>
      <c r="AU239" s="284">
        <f t="shared" si="134"/>
        <v>0</v>
      </c>
      <c r="AV239" s="284">
        <v>0</v>
      </c>
    </row>
    <row r="240" spans="16:48" x14ac:dyDescent="0.2">
      <c r="P240" s="392"/>
      <c r="Q240" s="324"/>
      <c r="R240" s="324" t="s">
        <v>896</v>
      </c>
      <c r="S240" s="64" t="s">
        <v>673</v>
      </c>
      <c r="T240" s="258">
        <f>'Pencapaian Sales Value'!G240</f>
        <v>-3.7200000000000002E-3</v>
      </c>
      <c r="U240" s="286">
        <f>'Pencapaian Sales Value'!I240</f>
        <v>0</v>
      </c>
      <c r="V240" s="268">
        <f>'Pencapaian Product Focus'!H240</f>
        <v>0</v>
      </c>
      <c r="W240" s="268">
        <f>'Pencapaian Product Focus'!L240</f>
        <v>0</v>
      </c>
      <c r="X240" s="189">
        <f>'Pencapaian Product Focus'!N240</f>
        <v>0</v>
      </c>
      <c r="Y240" s="268">
        <f>'Pencapaian Effective Call'!G240</f>
        <v>0</v>
      </c>
      <c r="Z240" s="189">
        <f>'Pencapaian Effective Call'!I240</f>
        <v>0</v>
      </c>
      <c r="AA240" s="268">
        <f>'Pencapaian New Open Outlet'!G240</f>
        <v>0</v>
      </c>
      <c r="AB240" s="189">
        <f>'Pencapaian New Open Outlet'!I240</f>
        <v>0</v>
      </c>
      <c r="AC240" s="258">
        <f>'Pencapaian Active Outlet'!G240</f>
        <v>3.2000000000000001E-2</v>
      </c>
      <c r="AD240" s="286">
        <f>'Pencapaian Active Outlet'!I240</f>
        <v>0</v>
      </c>
      <c r="AE240" s="268">
        <f>'Pencapaian Item per Outlet'!G240</f>
        <v>0</v>
      </c>
      <c r="AF240" s="189">
        <f>'Pencapaian Item per Outlet'!I240</f>
        <v>0</v>
      </c>
      <c r="AG240" s="268">
        <f>'Pencapaian Product Display'!G240</f>
        <v>0</v>
      </c>
      <c r="AH240" s="189">
        <f>'Pencapaian Product Display'!I240</f>
        <v>0</v>
      </c>
      <c r="AI240" s="268">
        <f>'Pencapaian Sales Contract'!G240</f>
        <v>0</v>
      </c>
      <c r="AJ240" s="189">
        <f>'Pencapaian Sales Contract'!I240</f>
        <v>0</v>
      </c>
      <c r="AK240" s="268">
        <f>'Pencapaian Co-Branding'!G240</f>
        <v>0</v>
      </c>
      <c r="AL240" s="189">
        <f>'Pencapaian Co-Branding'!I240</f>
        <v>0</v>
      </c>
      <c r="AM240" s="268">
        <f>'Pencapaian Join Event Activity'!G240</f>
        <v>0</v>
      </c>
      <c r="AN240" s="189">
        <f>'Pencapaian Join Event Activity'!I240</f>
        <v>0</v>
      </c>
      <c r="AO240" s="286">
        <f t="shared" si="131"/>
        <v>0</v>
      </c>
      <c r="AP240" s="289">
        <v>0</v>
      </c>
      <c r="AQ240" s="286">
        <f t="shared" si="132"/>
        <v>0</v>
      </c>
      <c r="AR240" s="289">
        <v>0</v>
      </c>
      <c r="AS240" s="286">
        <f t="shared" si="133"/>
        <v>0</v>
      </c>
      <c r="AT240" s="286">
        <f t="shared" si="129"/>
        <v>0</v>
      </c>
      <c r="AU240" s="286">
        <f t="shared" si="134"/>
        <v>0</v>
      </c>
      <c r="AV240" s="286">
        <v>0</v>
      </c>
    </row>
    <row r="241" spans="16:48" x14ac:dyDescent="0.2">
      <c r="P241" s="392"/>
      <c r="Q241" s="324"/>
      <c r="R241" s="324" t="s">
        <v>73</v>
      </c>
      <c r="S241" s="64" t="s">
        <v>20</v>
      </c>
      <c r="T241" s="258">
        <f>'Pencapaian Sales Value'!G241</f>
        <v>0.40937878846153847</v>
      </c>
      <c r="U241" s="286">
        <f>'Pencapaian Sales Value'!I241</f>
        <v>0</v>
      </c>
      <c r="V241" s="268">
        <f>'Pencapaian Product Focus'!H241</f>
        <v>0</v>
      </c>
      <c r="W241" s="268">
        <f>'Pencapaian Product Focus'!L241</f>
        <v>0</v>
      </c>
      <c r="X241" s="189">
        <f>'Pencapaian Product Focus'!N241</f>
        <v>0</v>
      </c>
      <c r="Y241" s="268">
        <f>'Pencapaian Effective Call'!G241</f>
        <v>0</v>
      </c>
      <c r="Z241" s="189">
        <f>'Pencapaian Effective Call'!I241</f>
        <v>0</v>
      </c>
      <c r="AA241" s="268">
        <f>'Pencapaian New Open Outlet'!G241</f>
        <v>0</v>
      </c>
      <c r="AB241" s="189">
        <f>'Pencapaian New Open Outlet'!I241</f>
        <v>0</v>
      </c>
      <c r="AC241" s="258">
        <f>'Pencapaian Active Outlet'!G241</f>
        <v>0.30847457627118646</v>
      </c>
      <c r="AD241" s="286">
        <f>'Pencapaian Active Outlet'!I241</f>
        <v>0</v>
      </c>
      <c r="AE241" s="268">
        <f>'Pencapaian Item per Outlet'!G241</f>
        <v>0</v>
      </c>
      <c r="AF241" s="189">
        <f>'Pencapaian Item per Outlet'!I241</f>
        <v>0</v>
      </c>
      <c r="AG241" s="268">
        <f>'Pencapaian Product Display'!G241</f>
        <v>0</v>
      </c>
      <c r="AH241" s="189">
        <f>'Pencapaian Product Display'!I241</f>
        <v>0</v>
      </c>
      <c r="AI241" s="268">
        <f>'Pencapaian Sales Contract'!G241</f>
        <v>0</v>
      </c>
      <c r="AJ241" s="189">
        <f>'Pencapaian Sales Contract'!I241</f>
        <v>0</v>
      </c>
      <c r="AK241" s="268">
        <f>'Pencapaian Co-Branding'!G241</f>
        <v>0</v>
      </c>
      <c r="AL241" s="189">
        <f>'Pencapaian Co-Branding'!I241</f>
        <v>0</v>
      </c>
      <c r="AM241" s="268">
        <f>'Pencapaian Join Event Activity'!G241</f>
        <v>0</v>
      </c>
      <c r="AN241" s="189">
        <f>'Pencapaian Join Event Activity'!I241</f>
        <v>0</v>
      </c>
      <c r="AO241" s="286">
        <f t="shared" si="131"/>
        <v>0</v>
      </c>
      <c r="AP241" s="289">
        <v>0</v>
      </c>
      <c r="AQ241" s="286">
        <f t="shared" si="132"/>
        <v>0</v>
      </c>
      <c r="AR241" s="289">
        <v>0</v>
      </c>
      <c r="AS241" s="286">
        <f t="shared" si="133"/>
        <v>0</v>
      </c>
      <c r="AT241" s="286">
        <f t="shared" si="129"/>
        <v>0</v>
      </c>
      <c r="AU241" s="286">
        <f t="shared" si="134"/>
        <v>0</v>
      </c>
      <c r="AV241" s="286">
        <v>0</v>
      </c>
    </row>
    <row r="242" spans="16:48" x14ac:dyDescent="0.2">
      <c r="P242" s="393"/>
      <c r="Q242" s="325"/>
      <c r="R242" s="325" t="s">
        <v>604</v>
      </c>
      <c r="S242" s="42"/>
      <c r="T242" s="264">
        <f>'Pencapaian Sales Value'!G242</f>
        <v>0.40937878846153847</v>
      </c>
      <c r="U242" s="287">
        <f>'Pencapaian Sales Value'!I242</f>
        <v>90000</v>
      </c>
      <c r="V242" s="274">
        <f>'Pencapaian Product Focus'!H242</f>
        <v>0</v>
      </c>
      <c r="W242" s="274">
        <f>'Pencapaian Product Focus'!L242</f>
        <v>0</v>
      </c>
      <c r="X242" s="190">
        <f>'Pencapaian Product Focus'!N242</f>
        <v>0</v>
      </c>
      <c r="Y242" s="274">
        <f>'Pencapaian Effective Call'!G242</f>
        <v>0</v>
      </c>
      <c r="Z242" s="190">
        <f>'Pencapaian Effective Call'!I242</f>
        <v>0</v>
      </c>
      <c r="AA242" s="274">
        <f>'Pencapaian New Open Outlet'!G242</f>
        <v>0</v>
      </c>
      <c r="AB242" s="190">
        <f>'Pencapaian New Open Outlet'!I242</f>
        <v>0</v>
      </c>
      <c r="AC242" s="264">
        <f>'Pencapaian Active Outlet'!G242</f>
        <v>0.30847457627118646</v>
      </c>
      <c r="AD242" s="287">
        <f>'Pencapaian Active Outlet'!I242</f>
        <v>90000</v>
      </c>
      <c r="AE242" s="274">
        <f>'Pencapaian Item per Outlet'!G242</f>
        <v>0</v>
      </c>
      <c r="AF242" s="190">
        <f>'Pencapaian Item per Outlet'!I242</f>
        <v>0</v>
      </c>
      <c r="AG242" s="274">
        <f>'Pencapaian Product Display'!G242</f>
        <v>0</v>
      </c>
      <c r="AH242" s="190">
        <f>'Pencapaian Product Display'!I242</f>
        <v>0</v>
      </c>
      <c r="AI242" s="274">
        <f>'Pencapaian Sales Contract'!G242</f>
        <v>0</v>
      </c>
      <c r="AJ242" s="190">
        <f>'Pencapaian Sales Contract'!I242</f>
        <v>0</v>
      </c>
      <c r="AK242" s="274">
        <f>'Pencapaian Co-Branding'!G242</f>
        <v>0</v>
      </c>
      <c r="AL242" s="190">
        <f>'Pencapaian Co-Branding'!I242</f>
        <v>0</v>
      </c>
      <c r="AM242" s="274">
        <f>'Pencapaian Join Event Activity'!G242</f>
        <v>0</v>
      </c>
      <c r="AN242" s="190">
        <f>'Pencapaian Join Event Activity'!I242</f>
        <v>0</v>
      </c>
      <c r="AO242" s="287">
        <f t="shared" si="131"/>
        <v>180000</v>
      </c>
      <c r="AP242" s="290">
        <v>0</v>
      </c>
      <c r="AQ242" s="287">
        <f>SUM(AQ227:AQ241)</f>
        <v>0</v>
      </c>
      <c r="AR242" s="290">
        <v>0</v>
      </c>
      <c r="AS242" s="287">
        <f>SUM(AS227:AS241)</f>
        <v>0</v>
      </c>
      <c r="AT242" s="287">
        <f t="shared" si="129"/>
        <v>180000</v>
      </c>
      <c r="AU242" s="287">
        <f>SUM(AU227:AU241)</f>
        <v>180000</v>
      </c>
      <c r="AV242" s="287">
        <f>SUM(AV227:AV241)</f>
        <v>0</v>
      </c>
    </row>
    <row r="243" spans="16:48" x14ac:dyDescent="0.2">
      <c r="P243" s="395" t="s">
        <v>632</v>
      </c>
      <c r="Q243" s="321"/>
      <c r="R243" s="323" t="s">
        <v>634</v>
      </c>
      <c r="S243" s="12" t="s">
        <v>675</v>
      </c>
      <c r="T243" s="269">
        <f>'Pencapaian Sales Value'!G243</f>
        <v>1.8583333333333334E-2</v>
      </c>
      <c r="U243" s="284">
        <f>'Pencapaian Sales Value'!I243</f>
        <v>0</v>
      </c>
      <c r="V243" s="304">
        <f>'Pencapaian Product Focus'!H243</f>
        <v>0</v>
      </c>
      <c r="W243" s="304">
        <f>'Pencapaian Product Focus'!L243</f>
        <v>0</v>
      </c>
      <c r="X243" s="285">
        <f>'Pencapaian Product Focus'!N243</f>
        <v>0</v>
      </c>
      <c r="Y243" s="304">
        <f>'Pencapaian Effective Call'!G243</f>
        <v>0</v>
      </c>
      <c r="Z243" s="285">
        <f>'Pencapaian Effective Call'!I243</f>
        <v>0</v>
      </c>
      <c r="AA243" s="304">
        <f>'Pencapaian New Open Outlet'!G243</f>
        <v>0</v>
      </c>
      <c r="AB243" s="285">
        <f>'Pencapaian New Open Outlet'!I243</f>
        <v>0</v>
      </c>
      <c r="AC243" s="269">
        <f>'Pencapaian Active Outlet'!G243</f>
        <v>6.6666666666666666E-2</v>
      </c>
      <c r="AD243" s="284">
        <f>'Pencapaian Active Outlet'!I243</f>
        <v>0</v>
      </c>
      <c r="AE243" s="304">
        <f>'Pencapaian Item per Outlet'!G243</f>
        <v>0</v>
      </c>
      <c r="AF243" s="285">
        <f>'Pencapaian Item per Outlet'!I243</f>
        <v>0</v>
      </c>
      <c r="AG243" s="304">
        <f>'Pencapaian Product Display'!G243</f>
        <v>0</v>
      </c>
      <c r="AH243" s="285">
        <f>'Pencapaian Product Display'!I243</f>
        <v>0</v>
      </c>
      <c r="AI243" s="304">
        <f>'Pencapaian Sales Contract'!G243</f>
        <v>0</v>
      </c>
      <c r="AJ243" s="285">
        <f>'Pencapaian Sales Contract'!I243</f>
        <v>0</v>
      </c>
      <c r="AK243" s="304">
        <f>'Pencapaian Co-Branding'!G243</f>
        <v>0</v>
      </c>
      <c r="AL243" s="285">
        <f>'Pencapaian Co-Branding'!I243</f>
        <v>0</v>
      </c>
      <c r="AM243" s="304">
        <f>'Pencapaian Join Event Activity'!G243</f>
        <v>0</v>
      </c>
      <c r="AN243" s="285">
        <f>'Pencapaian Join Event Activity'!I243</f>
        <v>0</v>
      </c>
      <c r="AO243" s="284">
        <f t="shared" si="131"/>
        <v>0</v>
      </c>
      <c r="AP243" s="322">
        <v>0</v>
      </c>
      <c r="AQ243" s="284">
        <f t="shared" ref="AQ243:AQ248" si="135">IF(AP243&gt;=0.5%,-(AO243*10%),0)</f>
        <v>0</v>
      </c>
      <c r="AR243" s="322">
        <v>0</v>
      </c>
      <c r="AS243" s="284">
        <f t="shared" ref="AS243:AS248" si="136">IF(AR243&gt;0,-(AO243+AQ243),0)</f>
        <v>0</v>
      </c>
      <c r="AT243" s="284">
        <f t="shared" si="129"/>
        <v>0</v>
      </c>
      <c r="AU243" s="284">
        <f t="shared" ref="AU243:AU248" si="137">AT243</f>
        <v>0</v>
      </c>
      <c r="AV243" s="284">
        <v>0</v>
      </c>
    </row>
    <row r="244" spans="16:48" x14ac:dyDescent="0.2">
      <c r="P244" s="392"/>
      <c r="Q244" s="321"/>
      <c r="R244" s="323" t="s">
        <v>635</v>
      </c>
      <c r="S244" s="12" t="s">
        <v>675</v>
      </c>
      <c r="T244" s="269">
        <f>'Pencapaian Sales Value'!G244</f>
        <v>2.9960000000000001E-2</v>
      </c>
      <c r="U244" s="284">
        <f>'Pencapaian Sales Value'!I244</f>
        <v>0</v>
      </c>
      <c r="V244" s="304">
        <f>'Pencapaian Product Focus'!H244</f>
        <v>0</v>
      </c>
      <c r="W244" s="304">
        <f>'Pencapaian Product Focus'!L244</f>
        <v>0</v>
      </c>
      <c r="X244" s="285">
        <f>'Pencapaian Product Focus'!N244</f>
        <v>0</v>
      </c>
      <c r="Y244" s="304">
        <f>'Pencapaian Effective Call'!G244</f>
        <v>0</v>
      </c>
      <c r="Z244" s="285">
        <f>'Pencapaian Effective Call'!I244</f>
        <v>0</v>
      </c>
      <c r="AA244" s="304">
        <f>'Pencapaian New Open Outlet'!G244</f>
        <v>0</v>
      </c>
      <c r="AB244" s="285">
        <f>'Pencapaian New Open Outlet'!I244</f>
        <v>0</v>
      </c>
      <c r="AC244" s="269">
        <f>'Pencapaian Active Outlet'!G244</f>
        <v>8.5714285714285715E-2</v>
      </c>
      <c r="AD244" s="284">
        <f>'Pencapaian Active Outlet'!I244</f>
        <v>0</v>
      </c>
      <c r="AE244" s="304">
        <f>'Pencapaian Item per Outlet'!G244</f>
        <v>0</v>
      </c>
      <c r="AF244" s="285">
        <f>'Pencapaian Item per Outlet'!I244</f>
        <v>0</v>
      </c>
      <c r="AG244" s="304">
        <f>'Pencapaian Product Display'!G244</f>
        <v>0</v>
      </c>
      <c r="AH244" s="285">
        <f>'Pencapaian Product Display'!I244</f>
        <v>0</v>
      </c>
      <c r="AI244" s="304">
        <f>'Pencapaian Sales Contract'!G244</f>
        <v>0</v>
      </c>
      <c r="AJ244" s="285">
        <f>'Pencapaian Sales Contract'!I244</f>
        <v>0</v>
      </c>
      <c r="AK244" s="304">
        <f>'Pencapaian Co-Branding'!G244</f>
        <v>0</v>
      </c>
      <c r="AL244" s="285">
        <f>'Pencapaian Co-Branding'!I244</f>
        <v>0</v>
      </c>
      <c r="AM244" s="304">
        <f>'Pencapaian Join Event Activity'!G244</f>
        <v>0</v>
      </c>
      <c r="AN244" s="285">
        <f>'Pencapaian Join Event Activity'!I244</f>
        <v>0</v>
      </c>
      <c r="AO244" s="284">
        <f t="shared" si="131"/>
        <v>0</v>
      </c>
      <c r="AP244" s="322">
        <v>0</v>
      </c>
      <c r="AQ244" s="284">
        <f t="shared" si="135"/>
        <v>0</v>
      </c>
      <c r="AR244" s="322">
        <v>0</v>
      </c>
      <c r="AS244" s="284">
        <f t="shared" si="136"/>
        <v>0</v>
      </c>
      <c r="AT244" s="284">
        <f t="shared" si="129"/>
        <v>0</v>
      </c>
      <c r="AU244" s="284">
        <f t="shared" si="137"/>
        <v>0</v>
      </c>
      <c r="AV244" s="284">
        <v>0</v>
      </c>
    </row>
    <row r="245" spans="16:48" x14ac:dyDescent="0.2">
      <c r="P245" s="392"/>
      <c r="Q245" s="321"/>
      <c r="R245" s="323" t="s">
        <v>636</v>
      </c>
      <c r="S245" s="12" t="s">
        <v>675</v>
      </c>
      <c r="T245" s="269">
        <f>'Pencapaian Sales Value'!G245</f>
        <v>0.83777999999999997</v>
      </c>
      <c r="U245" s="284">
        <f>'Pencapaian Sales Value'!I245</f>
        <v>60000</v>
      </c>
      <c r="V245" s="304">
        <f>'Pencapaian Product Focus'!H245</f>
        <v>0</v>
      </c>
      <c r="W245" s="304">
        <f>'Pencapaian Product Focus'!L245</f>
        <v>0</v>
      </c>
      <c r="X245" s="285">
        <f>'Pencapaian Product Focus'!N245</f>
        <v>0</v>
      </c>
      <c r="Y245" s="304">
        <f>'Pencapaian Effective Call'!G245</f>
        <v>0</v>
      </c>
      <c r="Z245" s="285">
        <f>'Pencapaian Effective Call'!I245</f>
        <v>0</v>
      </c>
      <c r="AA245" s="304">
        <f>'Pencapaian New Open Outlet'!G245</f>
        <v>0</v>
      </c>
      <c r="AB245" s="285">
        <f>'Pencapaian New Open Outlet'!I245</f>
        <v>0</v>
      </c>
      <c r="AC245" s="269">
        <f>'Pencapaian Active Outlet'!G245</f>
        <v>2.8571428571428571E-2</v>
      </c>
      <c r="AD245" s="284">
        <f>'Pencapaian Active Outlet'!I245</f>
        <v>0</v>
      </c>
      <c r="AE245" s="304">
        <f>'Pencapaian Item per Outlet'!G245</f>
        <v>0</v>
      </c>
      <c r="AF245" s="285">
        <f>'Pencapaian Item per Outlet'!I245</f>
        <v>0</v>
      </c>
      <c r="AG245" s="304">
        <f>'Pencapaian Product Display'!G245</f>
        <v>0</v>
      </c>
      <c r="AH245" s="285">
        <f>'Pencapaian Product Display'!I245</f>
        <v>0</v>
      </c>
      <c r="AI245" s="304">
        <f>'Pencapaian Sales Contract'!G245</f>
        <v>0</v>
      </c>
      <c r="AJ245" s="285">
        <f>'Pencapaian Sales Contract'!I245</f>
        <v>0</v>
      </c>
      <c r="AK245" s="304">
        <f>'Pencapaian Co-Branding'!G245</f>
        <v>0</v>
      </c>
      <c r="AL245" s="285">
        <f>'Pencapaian Co-Branding'!I245</f>
        <v>0</v>
      </c>
      <c r="AM245" s="304">
        <f>'Pencapaian Join Event Activity'!G245</f>
        <v>0</v>
      </c>
      <c r="AN245" s="285">
        <f>'Pencapaian Join Event Activity'!I245</f>
        <v>0</v>
      </c>
      <c r="AO245" s="284">
        <f t="shared" si="131"/>
        <v>60000</v>
      </c>
      <c r="AP245" s="322">
        <v>0</v>
      </c>
      <c r="AQ245" s="284">
        <f t="shared" si="135"/>
        <v>0</v>
      </c>
      <c r="AR245" s="322">
        <v>0</v>
      </c>
      <c r="AS245" s="284">
        <f t="shared" si="136"/>
        <v>0</v>
      </c>
      <c r="AT245" s="284">
        <f t="shared" si="129"/>
        <v>60000</v>
      </c>
      <c r="AU245" s="284">
        <f t="shared" si="137"/>
        <v>60000</v>
      </c>
      <c r="AV245" s="284">
        <v>0</v>
      </c>
    </row>
    <row r="246" spans="16:48" x14ac:dyDescent="0.2">
      <c r="P246" s="392"/>
      <c r="Q246" s="321"/>
      <c r="R246" s="323" t="s">
        <v>807</v>
      </c>
      <c r="S246" s="12"/>
      <c r="T246" s="269" t="e">
        <f>'Pencapaian Sales Value'!G246</f>
        <v>#DIV/0!</v>
      </c>
      <c r="U246" s="284">
        <f>'Pencapaian Sales Value'!I246</f>
        <v>0</v>
      </c>
      <c r="V246" s="304">
        <f>'Pencapaian Product Focus'!H246</f>
        <v>0</v>
      </c>
      <c r="W246" s="304">
        <f>'Pencapaian Product Focus'!L246</f>
        <v>0</v>
      </c>
      <c r="X246" s="285">
        <f>'Pencapaian Product Focus'!N246</f>
        <v>0</v>
      </c>
      <c r="Y246" s="304">
        <f>'Pencapaian Effective Call'!G246</f>
        <v>0</v>
      </c>
      <c r="Z246" s="285">
        <f>'Pencapaian Effective Call'!I246</f>
        <v>0</v>
      </c>
      <c r="AA246" s="304">
        <f>'Pencapaian New Open Outlet'!G246</f>
        <v>0</v>
      </c>
      <c r="AB246" s="285">
        <f>'Pencapaian New Open Outlet'!I246</f>
        <v>0</v>
      </c>
      <c r="AC246" s="269" t="e">
        <f>'Pencapaian Active Outlet'!G246</f>
        <v>#DIV/0!</v>
      </c>
      <c r="AD246" s="284">
        <f>'Pencapaian Active Outlet'!I246</f>
        <v>0</v>
      </c>
      <c r="AE246" s="304">
        <f>'Pencapaian Item per Outlet'!G246</f>
        <v>0</v>
      </c>
      <c r="AF246" s="285">
        <f>'Pencapaian Item per Outlet'!I246</f>
        <v>0</v>
      </c>
      <c r="AG246" s="304">
        <f>'Pencapaian Product Display'!G246</f>
        <v>0</v>
      </c>
      <c r="AH246" s="285">
        <f>'Pencapaian Product Display'!I246</f>
        <v>0</v>
      </c>
      <c r="AI246" s="304">
        <f>'Pencapaian Sales Contract'!G246</f>
        <v>0</v>
      </c>
      <c r="AJ246" s="285">
        <f>'Pencapaian Sales Contract'!I246</f>
        <v>0</v>
      </c>
      <c r="AK246" s="304">
        <f>'Pencapaian Co-Branding'!G246</f>
        <v>0</v>
      </c>
      <c r="AL246" s="285">
        <f>'Pencapaian Co-Branding'!I246</f>
        <v>0</v>
      </c>
      <c r="AM246" s="304">
        <f>'Pencapaian Join Event Activity'!G246</f>
        <v>0</v>
      </c>
      <c r="AN246" s="285">
        <f>'Pencapaian Join Event Activity'!I246</f>
        <v>0</v>
      </c>
      <c r="AO246" s="284">
        <f t="shared" si="131"/>
        <v>0</v>
      </c>
      <c r="AP246" s="322">
        <v>0</v>
      </c>
      <c r="AQ246" s="284">
        <f t="shared" si="135"/>
        <v>0</v>
      </c>
      <c r="AR246" s="322">
        <v>0</v>
      </c>
      <c r="AS246" s="284">
        <f t="shared" si="136"/>
        <v>0</v>
      </c>
      <c r="AT246" s="284">
        <f t="shared" si="129"/>
        <v>0</v>
      </c>
      <c r="AU246" s="284">
        <f t="shared" si="137"/>
        <v>0</v>
      </c>
      <c r="AV246" s="284">
        <v>0</v>
      </c>
    </row>
    <row r="247" spans="16:48" x14ac:dyDescent="0.2">
      <c r="P247" s="392"/>
      <c r="Q247" s="321"/>
      <c r="R247" s="323" t="s">
        <v>637</v>
      </c>
      <c r="S247" s="12" t="s">
        <v>675</v>
      </c>
      <c r="T247" s="269">
        <f>'Pencapaian Sales Value'!G247</f>
        <v>-6.7999999999999996E-3</v>
      </c>
      <c r="U247" s="284">
        <f>'Pencapaian Sales Value'!I247</f>
        <v>0</v>
      </c>
      <c r="V247" s="304">
        <f>'Pencapaian Product Focus'!H247</f>
        <v>0</v>
      </c>
      <c r="W247" s="304">
        <f>'Pencapaian Product Focus'!L247</f>
        <v>0</v>
      </c>
      <c r="X247" s="285">
        <f>'Pencapaian Product Focus'!N247</f>
        <v>0</v>
      </c>
      <c r="Y247" s="304">
        <f>'Pencapaian Effective Call'!G247</f>
        <v>0</v>
      </c>
      <c r="Z247" s="285">
        <f>'Pencapaian Effective Call'!I247</f>
        <v>0</v>
      </c>
      <c r="AA247" s="304">
        <f>'Pencapaian New Open Outlet'!G247</f>
        <v>0</v>
      </c>
      <c r="AB247" s="285">
        <f>'Pencapaian New Open Outlet'!I247</f>
        <v>0</v>
      </c>
      <c r="AC247" s="269">
        <f>'Pencapaian Active Outlet'!G247</f>
        <v>0</v>
      </c>
      <c r="AD247" s="284">
        <f>'Pencapaian Active Outlet'!I247</f>
        <v>0</v>
      </c>
      <c r="AE247" s="304">
        <f>'Pencapaian Item per Outlet'!G247</f>
        <v>0</v>
      </c>
      <c r="AF247" s="285">
        <f>'Pencapaian Item per Outlet'!I247</f>
        <v>0</v>
      </c>
      <c r="AG247" s="304">
        <f>'Pencapaian Product Display'!G247</f>
        <v>0</v>
      </c>
      <c r="AH247" s="285">
        <f>'Pencapaian Product Display'!I247</f>
        <v>0</v>
      </c>
      <c r="AI247" s="304">
        <f>'Pencapaian Sales Contract'!G247</f>
        <v>0</v>
      </c>
      <c r="AJ247" s="285">
        <f>'Pencapaian Sales Contract'!I247</f>
        <v>0</v>
      </c>
      <c r="AK247" s="304">
        <f>'Pencapaian Co-Branding'!G247</f>
        <v>0</v>
      </c>
      <c r="AL247" s="285">
        <f>'Pencapaian Co-Branding'!I247</f>
        <v>0</v>
      </c>
      <c r="AM247" s="304">
        <f>'Pencapaian Join Event Activity'!G247</f>
        <v>0</v>
      </c>
      <c r="AN247" s="285">
        <f>'Pencapaian Join Event Activity'!I247</f>
        <v>0</v>
      </c>
      <c r="AO247" s="284">
        <f t="shared" si="131"/>
        <v>0</v>
      </c>
      <c r="AP247" s="322">
        <v>0</v>
      </c>
      <c r="AQ247" s="284">
        <f t="shared" si="135"/>
        <v>0</v>
      </c>
      <c r="AR247" s="322">
        <v>0</v>
      </c>
      <c r="AS247" s="284">
        <f t="shared" si="136"/>
        <v>0</v>
      </c>
      <c r="AT247" s="284">
        <f t="shared" si="129"/>
        <v>0</v>
      </c>
      <c r="AU247" s="284">
        <f t="shared" si="137"/>
        <v>0</v>
      </c>
      <c r="AV247" s="284">
        <v>0</v>
      </c>
    </row>
    <row r="248" spans="16:48" x14ac:dyDescent="0.2">
      <c r="P248" s="392"/>
      <c r="Q248" s="324"/>
      <c r="R248" s="324" t="s">
        <v>702</v>
      </c>
      <c r="S248" s="64" t="s">
        <v>673</v>
      </c>
      <c r="T248" s="258">
        <f>'Pencapaian Sales Value'!G248</f>
        <v>0.24224722222222222</v>
      </c>
      <c r="U248" s="286">
        <f>'Pencapaian Sales Value'!I248</f>
        <v>0</v>
      </c>
      <c r="V248" s="268">
        <f>'Pencapaian Product Focus'!H248</f>
        <v>0</v>
      </c>
      <c r="W248" s="268">
        <f>'Pencapaian Product Focus'!L248</f>
        <v>0</v>
      </c>
      <c r="X248" s="189">
        <f>'Pencapaian Product Focus'!N248</f>
        <v>0</v>
      </c>
      <c r="Y248" s="268">
        <f>'Pencapaian Effective Call'!G248</f>
        <v>0</v>
      </c>
      <c r="Z248" s="189">
        <f>'Pencapaian Effective Call'!I248</f>
        <v>0</v>
      </c>
      <c r="AA248" s="268">
        <f>'Pencapaian New Open Outlet'!G248</f>
        <v>0</v>
      </c>
      <c r="AB248" s="189">
        <f>'Pencapaian New Open Outlet'!I248</f>
        <v>0</v>
      </c>
      <c r="AC248" s="258">
        <f>'Pencapaian Active Outlet'!G248</f>
        <v>4.4444444444444446E-2</v>
      </c>
      <c r="AD248" s="286">
        <f>'Pencapaian Active Outlet'!I248</f>
        <v>0</v>
      </c>
      <c r="AE248" s="268">
        <f>'Pencapaian Item per Outlet'!G248</f>
        <v>0</v>
      </c>
      <c r="AF248" s="189">
        <f>'Pencapaian Item per Outlet'!I248</f>
        <v>0</v>
      </c>
      <c r="AG248" s="268">
        <f>'Pencapaian Product Display'!G248</f>
        <v>0</v>
      </c>
      <c r="AH248" s="189">
        <f>'Pencapaian Product Display'!I248</f>
        <v>0</v>
      </c>
      <c r="AI248" s="268">
        <f>'Pencapaian Sales Contract'!G248</f>
        <v>0</v>
      </c>
      <c r="AJ248" s="189">
        <f>'Pencapaian Sales Contract'!I248</f>
        <v>0</v>
      </c>
      <c r="AK248" s="268">
        <f>'Pencapaian Co-Branding'!G248</f>
        <v>0</v>
      </c>
      <c r="AL248" s="189">
        <f>'Pencapaian Co-Branding'!I248</f>
        <v>0</v>
      </c>
      <c r="AM248" s="268">
        <f>'Pencapaian Join Event Activity'!G248</f>
        <v>0</v>
      </c>
      <c r="AN248" s="189">
        <f>'Pencapaian Join Event Activity'!I248</f>
        <v>0</v>
      </c>
      <c r="AO248" s="286">
        <f t="shared" si="131"/>
        <v>0</v>
      </c>
      <c r="AP248" s="289">
        <v>0</v>
      </c>
      <c r="AQ248" s="286">
        <f t="shared" si="135"/>
        <v>0</v>
      </c>
      <c r="AR248" s="289">
        <v>0</v>
      </c>
      <c r="AS248" s="286">
        <f t="shared" si="136"/>
        <v>0</v>
      </c>
      <c r="AT248" s="286">
        <f t="shared" si="129"/>
        <v>0</v>
      </c>
      <c r="AU248" s="286">
        <f t="shared" si="137"/>
        <v>0</v>
      </c>
      <c r="AV248" s="286">
        <v>0</v>
      </c>
    </row>
    <row r="249" spans="16:48" x14ac:dyDescent="0.2">
      <c r="P249" s="393"/>
      <c r="Q249" s="325"/>
      <c r="R249" s="325" t="s">
        <v>633</v>
      </c>
      <c r="S249" s="42"/>
      <c r="T249" s="264">
        <f>'Pencapaian Sales Value'!G249</f>
        <v>0.24224722222222222</v>
      </c>
      <c r="U249" s="287">
        <f>'Pencapaian Sales Value'!I249</f>
        <v>60000</v>
      </c>
      <c r="V249" s="274">
        <f>'Pencapaian Product Focus'!H249</f>
        <v>0</v>
      </c>
      <c r="W249" s="274">
        <f>'Pencapaian Product Focus'!L249</f>
        <v>0</v>
      </c>
      <c r="X249" s="190">
        <f>'Pencapaian Product Focus'!N249</f>
        <v>0</v>
      </c>
      <c r="Y249" s="274">
        <f>'Pencapaian Effective Call'!G249</f>
        <v>0</v>
      </c>
      <c r="Z249" s="190">
        <f>'Pencapaian Effective Call'!I249</f>
        <v>0</v>
      </c>
      <c r="AA249" s="274">
        <f>'Pencapaian New Open Outlet'!G249</f>
        <v>0</v>
      </c>
      <c r="AB249" s="190">
        <f>'Pencapaian New Open Outlet'!I249</f>
        <v>0</v>
      </c>
      <c r="AC249" s="264">
        <f>'Pencapaian Active Outlet'!G249</f>
        <v>4.4444444444444446E-2</v>
      </c>
      <c r="AD249" s="287">
        <f>'Pencapaian Active Outlet'!I249</f>
        <v>0</v>
      </c>
      <c r="AE249" s="274">
        <f>'Pencapaian Item per Outlet'!G249</f>
        <v>0</v>
      </c>
      <c r="AF249" s="190">
        <f>'Pencapaian Item per Outlet'!I249</f>
        <v>0</v>
      </c>
      <c r="AG249" s="274">
        <f>'Pencapaian Product Display'!G249</f>
        <v>0</v>
      </c>
      <c r="AH249" s="190">
        <f>'Pencapaian Product Display'!I249</f>
        <v>0</v>
      </c>
      <c r="AI249" s="274">
        <f>'Pencapaian Sales Contract'!G249</f>
        <v>0</v>
      </c>
      <c r="AJ249" s="190">
        <f>'Pencapaian Sales Contract'!I249</f>
        <v>0</v>
      </c>
      <c r="AK249" s="274">
        <f>'Pencapaian Co-Branding'!G249</f>
        <v>0</v>
      </c>
      <c r="AL249" s="190">
        <f>'Pencapaian Co-Branding'!I249</f>
        <v>0</v>
      </c>
      <c r="AM249" s="274">
        <f>'Pencapaian Join Event Activity'!G249</f>
        <v>0</v>
      </c>
      <c r="AN249" s="190">
        <f>'Pencapaian Join Event Activity'!I249</f>
        <v>0</v>
      </c>
      <c r="AO249" s="287">
        <f t="shared" si="131"/>
        <v>60000</v>
      </c>
      <c r="AP249" s="290">
        <v>0</v>
      </c>
      <c r="AQ249" s="287">
        <f>SUM(AQ243:AQ248)</f>
        <v>0</v>
      </c>
      <c r="AR249" s="290">
        <v>0</v>
      </c>
      <c r="AS249" s="287">
        <f>SUM(AS243:AS248)</f>
        <v>0</v>
      </c>
      <c r="AT249" s="287">
        <f t="shared" si="129"/>
        <v>60000</v>
      </c>
      <c r="AU249" s="287">
        <f>SUM(AU243:AU248)</f>
        <v>60000</v>
      </c>
      <c r="AV249" s="287">
        <f>SUM(AV243:AV248)</f>
        <v>0</v>
      </c>
    </row>
    <row r="250" spans="16:48" ht="14.5" customHeight="1" x14ac:dyDescent="0.2">
      <c r="P250" s="395" t="s">
        <v>787</v>
      </c>
      <c r="Q250" s="321" t="s">
        <v>409</v>
      </c>
      <c r="R250" s="321" t="s">
        <v>117</v>
      </c>
      <c r="S250" s="12" t="s">
        <v>571</v>
      </c>
      <c r="T250" s="269" t="e">
        <f>'Pencapaian Sales Value'!G250</f>
        <v>#DIV/0!</v>
      </c>
      <c r="U250" s="284">
        <f>'Pencapaian Sales Value'!I250</f>
        <v>0</v>
      </c>
      <c r="V250" s="304">
        <f>'Pencapaian Product Focus'!H250</f>
        <v>0</v>
      </c>
      <c r="W250" s="304">
        <f>'Pencapaian Product Focus'!L250</f>
        <v>0</v>
      </c>
      <c r="X250" s="285">
        <f>'Pencapaian Product Focus'!N250</f>
        <v>0</v>
      </c>
      <c r="Y250" s="304">
        <f>'Pencapaian Effective Call'!G250</f>
        <v>0</v>
      </c>
      <c r="Z250" s="285">
        <f>'Pencapaian Effective Call'!I250</f>
        <v>0</v>
      </c>
      <c r="AA250" s="304">
        <f>'Pencapaian New Open Outlet'!G250</f>
        <v>0</v>
      </c>
      <c r="AB250" s="285">
        <f>'Pencapaian New Open Outlet'!I250</f>
        <v>0</v>
      </c>
      <c r="AC250" s="269" t="e">
        <f>'Pencapaian Active Outlet'!G250</f>
        <v>#DIV/0!</v>
      </c>
      <c r="AD250" s="284">
        <f>'Pencapaian Active Outlet'!I250</f>
        <v>0</v>
      </c>
      <c r="AE250" s="304">
        <f>'Pencapaian Item per Outlet'!G250</f>
        <v>0</v>
      </c>
      <c r="AF250" s="285">
        <f>'Pencapaian Item per Outlet'!I250</f>
        <v>0</v>
      </c>
      <c r="AG250" s="304">
        <f>'Pencapaian Product Display'!G250</f>
        <v>0</v>
      </c>
      <c r="AH250" s="285">
        <f>'Pencapaian Product Display'!I250</f>
        <v>0</v>
      </c>
      <c r="AI250" s="304">
        <f>'Pencapaian Sales Contract'!G250</f>
        <v>0</v>
      </c>
      <c r="AJ250" s="285">
        <f>'Pencapaian Sales Contract'!I250</f>
        <v>0</v>
      </c>
      <c r="AK250" s="304">
        <f>'Pencapaian Co-Branding'!G250</f>
        <v>0</v>
      </c>
      <c r="AL250" s="285">
        <f>'Pencapaian Co-Branding'!I250</f>
        <v>0</v>
      </c>
      <c r="AM250" s="304">
        <f>'Pencapaian Join Event Activity'!G250</f>
        <v>0</v>
      </c>
      <c r="AN250" s="285">
        <f>'Pencapaian Join Event Activity'!I250</f>
        <v>0</v>
      </c>
      <c r="AO250" s="284">
        <f t="shared" si="131"/>
        <v>0</v>
      </c>
      <c r="AP250" s="322">
        <v>0</v>
      </c>
      <c r="AQ250" s="284">
        <f t="shared" ref="AQ250:AQ284" si="138">IF(AP250&gt;=0.5%,-(AO250*10%),0)</f>
        <v>0</v>
      </c>
      <c r="AR250" s="322">
        <v>0</v>
      </c>
      <c r="AS250" s="284">
        <f t="shared" ref="AS250:AS284" si="139">IF(AR250&gt;0,-(AO250+AQ250),0)</f>
        <v>0</v>
      </c>
      <c r="AT250" s="284">
        <f t="shared" si="129"/>
        <v>0</v>
      </c>
      <c r="AU250" s="284">
        <f t="shared" ref="AU250:AU257" si="140">AT250</f>
        <v>0</v>
      </c>
      <c r="AV250" s="284">
        <v>0</v>
      </c>
    </row>
    <row r="251" spans="16:48" x14ac:dyDescent="0.2">
      <c r="P251" s="392"/>
      <c r="Q251" s="321"/>
      <c r="R251" s="323" t="s">
        <v>567</v>
      </c>
      <c r="S251" s="12" t="s">
        <v>675</v>
      </c>
      <c r="T251" s="269">
        <f>'Pencapaian Sales Value'!G251</f>
        <v>0.47336268041237112</v>
      </c>
      <c r="U251" s="284">
        <f>'Pencapaian Sales Value'!I251</f>
        <v>0</v>
      </c>
      <c r="V251" s="304">
        <f>'Pencapaian Product Focus'!H251</f>
        <v>0</v>
      </c>
      <c r="W251" s="304">
        <f>'Pencapaian Product Focus'!L251</f>
        <v>0</v>
      </c>
      <c r="X251" s="285">
        <f>'Pencapaian Product Focus'!N251</f>
        <v>0</v>
      </c>
      <c r="Y251" s="304">
        <f>'Pencapaian Effective Call'!G251</f>
        <v>0</v>
      </c>
      <c r="Z251" s="285">
        <f>'Pencapaian Effective Call'!I251</f>
        <v>0</v>
      </c>
      <c r="AA251" s="304">
        <f>'Pencapaian New Open Outlet'!G251</f>
        <v>0</v>
      </c>
      <c r="AB251" s="285">
        <f>'Pencapaian New Open Outlet'!I251</f>
        <v>0</v>
      </c>
      <c r="AC251" s="269">
        <f>'Pencapaian Active Outlet'!G251</f>
        <v>0.56000000000000005</v>
      </c>
      <c r="AD251" s="284">
        <f>'Pencapaian Active Outlet'!I251</f>
        <v>0</v>
      </c>
      <c r="AE251" s="304">
        <f>'Pencapaian Item per Outlet'!G251</f>
        <v>0</v>
      </c>
      <c r="AF251" s="285">
        <f>'Pencapaian Item per Outlet'!I251</f>
        <v>0</v>
      </c>
      <c r="AG251" s="304">
        <f>'Pencapaian Product Display'!G251</f>
        <v>0</v>
      </c>
      <c r="AH251" s="285">
        <f>'Pencapaian Product Display'!I251</f>
        <v>0</v>
      </c>
      <c r="AI251" s="304">
        <f>'Pencapaian Sales Contract'!G251</f>
        <v>0</v>
      </c>
      <c r="AJ251" s="285">
        <f>'Pencapaian Sales Contract'!I251</f>
        <v>0</v>
      </c>
      <c r="AK251" s="304">
        <f>'Pencapaian Co-Branding'!G251</f>
        <v>0</v>
      </c>
      <c r="AL251" s="285">
        <f>'Pencapaian Co-Branding'!I251</f>
        <v>0</v>
      </c>
      <c r="AM251" s="304">
        <f>'Pencapaian Join Event Activity'!G251</f>
        <v>0</v>
      </c>
      <c r="AN251" s="285">
        <f>'Pencapaian Join Event Activity'!I251</f>
        <v>0</v>
      </c>
      <c r="AO251" s="284">
        <f t="shared" si="131"/>
        <v>0</v>
      </c>
      <c r="AP251" s="322">
        <v>0</v>
      </c>
      <c r="AQ251" s="284">
        <f t="shared" si="138"/>
        <v>0</v>
      </c>
      <c r="AR251" s="322">
        <v>0</v>
      </c>
      <c r="AS251" s="284">
        <f t="shared" si="139"/>
        <v>0</v>
      </c>
      <c r="AT251" s="284">
        <f t="shared" si="129"/>
        <v>0</v>
      </c>
      <c r="AU251" s="284">
        <f t="shared" si="140"/>
        <v>0</v>
      </c>
      <c r="AV251" s="284">
        <v>0</v>
      </c>
    </row>
    <row r="252" spans="16:48" ht="14.5" customHeight="1" x14ac:dyDescent="0.2">
      <c r="P252" s="392"/>
      <c r="Q252" s="321"/>
      <c r="R252" s="323" t="s">
        <v>569</v>
      </c>
      <c r="S252" s="12" t="s">
        <v>675</v>
      </c>
      <c r="T252" s="269">
        <f>'Pencapaian Sales Value'!G252</f>
        <v>0.68436391752577319</v>
      </c>
      <c r="U252" s="284">
        <f>'Pencapaian Sales Value'!I252</f>
        <v>0</v>
      </c>
      <c r="V252" s="304">
        <f>'Pencapaian Product Focus'!H252</f>
        <v>0</v>
      </c>
      <c r="W252" s="304">
        <f>'Pencapaian Product Focus'!L252</f>
        <v>0</v>
      </c>
      <c r="X252" s="285">
        <f>'Pencapaian Product Focus'!N252</f>
        <v>0</v>
      </c>
      <c r="Y252" s="304">
        <f>'Pencapaian Effective Call'!G252</f>
        <v>0</v>
      </c>
      <c r="Z252" s="285">
        <f>'Pencapaian Effective Call'!I252</f>
        <v>0</v>
      </c>
      <c r="AA252" s="304">
        <f>'Pencapaian New Open Outlet'!G252</f>
        <v>0</v>
      </c>
      <c r="AB252" s="285">
        <f>'Pencapaian New Open Outlet'!I252</f>
        <v>0</v>
      </c>
      <c r="AC252" s="269">
        <f>'Pencapaian Active Outlet'!G252</f>
        <v>0.38</v>
      </c>
      <c r="AD252" s="284">
        <f>'Pencapaian Active Outlet'!I252</f>
        <v>0</v>
      </c>
      <c r="AE252" s="304">
        <f>'Pencapaian Item per Outlet'!G252</f>
        <v>0</v>
      </c>
      <c r="AF252" s="285">
        <f>'Pencapaian Item per Outlet'!I252</f>
        <v>0</v>
      </c>
      <c r="AG252" s="304">
        <f>'Pencapaian Product Display'!G252</f>
        <v>0</v>
      </c>
      <c r="AH252" s="285">
        <f>'Pencapaian Product Display'!I252</f>
        <v>0</v>
      </c>
      <c r="AI252" s="304">
        <f>'Pencapaian Sales Contract'!G252</f>
        <v>0</v>
      </c>
      <c r="AJ252" s="285">
        <f>'Pencapaian Sales Contract'!I252</f>
        <v>0</v>
      </c>
      <c r="AK252" s="304">
        <f>'Pencapaian Co-Branding'!G252</f>
        <v>0</v>
      </c>
      <c r="AL252" s="285">
        <f>'Pencapaian Co-Branding'!I252</f>
        <v>0</v>
      </c>
      <c r="AM252" s="304">
        <f>'Pencapaian Join Event Activity'!G252</f>
        <v>0</v>
      </c>
      <c r="AN252" s="285">
        <f>'Pencapaian Join Event Activity'!I252</f>
        <v>0</v>
      </c>
      <c r="AO252" s="284">
        <f t="shared" si="131"/>
        <v>0</v>
      </c>
      <c r="AP252" s="322">
        <v>0</v>
      </c>
      <c r="AQ252" s="284">
        <f t="shared" si="138"/>
        <v>0</v>
      </c>
      <c r="AR252" s="322">
        <v>0</v>
      </c>
      <c r="AS252" s="284">
        <f t="shared" si="139"/>
        <v>0</v>
      </c>
      <c r="AT252" s="284">
        <f t="shared" si="129"/>
        <v>0</v>
      </c>
      <c r="AU252" s="284">
        <f t="shared" si="140"/>
        <v>0</v>
      </c>
      <c r="AV252" s="284">
        <v>0</v>
      </c>
    </row>
    <row r="253" spans="16:48" x14ac:dyDescent="0.2">
      <c r="P253" s="392"/>
      <c r="Q253" s="321"/>
      <c r="R253" s="323" t="s">
        <v>808</v>
      </c>
      <c r="S253" s="12"/>
      <c r="T253" s="269" t="e">
        <f>'Pencapaian Sales Value'!G253</f>
        <v>#DIV/0!</v>
      </c>
      <c r="U253" s="284">
        <f>'Pencapaian Sales Value'!I253</f>
        <v>0</v>
      </c>
      <c r="V253" s="304">
        <f>'Pencapaian Product Focus'!H253</f>
        <v>0</v>
      </c>
      <c r="W253" s="304">
        <f>'Pencapaian Product Focus'!L253</f>
        <v>0</v>
      </c>
      <c r="X253" s="285">
        <f>'Pencapaian Product Focus'!N253</f>
        <v>0</v>
      </c>
      <c r="Y253" s="304">
        <f>'Pencapaian Effective Call'!G253</f>
        <v>0</v>
      </c>
      <c r="Z253" s="285">
        <f>'Pencapaian Effective Call'!I253</f>
        <v>0</v>
      </c>
      <c r="AA253" s="304">
        <f>'Pencapaian New Open Outlet'!G253</f>
        <v>0</v>
      </c>
      <c r="AB253" s="285">
        <f>'Pencapaian New Open Outlet'!I253</f>
        <v>0</v>
      </c>
      <c r="AC253" s="269" t="e">
        <f>'Pencapaian Active Outlet'!G253</f>
        <v>#DIV/0!</v>
      </c>
      <c r="AD253" s="284">
        <f>'Pencapaian Active Outlet'!I253</f>
        <v>0</v>
      </c>
      <c r="AE253" s="304">
        <f>'Pencapaian Item per Outlet'!G253</f>
        <v>0</v>
      </c>
      <c r="AF253" s="285">
        <f>'Pencapaian Item per Outlet'!I253</f>
        <v>0</v>
      </c>
      <c r="AG253" s="304">
        <f>'Pencapaian Product Display'!G253</f>
        <v>0</v>
      </c>
      <c r="AH253" s="285">
        <f>'Pencapaian Product Display'!I253</f>
        <v>0</v>
      </c>
      <c r="AI253" s="304">
        <f>'Pencapaian Sales Contract'!G253</f>
        <v>0</v>
      </c>
      <c r="AJ253" s="285">
        <f>'Pencapaian Sales Contract'!I253</f>
        <v>0</v>
      </c>
      <c r="AK253" s="304">
        <f>'Pencapaian Co-Branding'!G253</f>
        <v>0</v>
      </c>
      <c r="AL253" s="285">
        <f>'Pencapaian Co-Branding'!I253</f>
        <v>0</v>
      </c>
      <c r="AM253" s="304">
        <f>'Pencapaian Join Event Activity'!G253</f>
        <v>0</v>
      </c>
      <c r="AN253" s="285">
        <f>'Pencapaian Join Event Activity'!I253</f>
        <v>0</v>
      </c>
      <c r="AO253" s="284">
        <f t="shared" si="131"/>
        <v>0</v>
      </c>
      <c r="AP253" s="322">
        <v>0</v>
      </c>
      <c r="AQ253" s="284">
        <f t="shared" si="138"/>
        <v>0</v>
      </c>
      <c r="AR253" s="322">
        <v>0</v>
      </c>
      <c r="AS253" s="284">
        <f t="shared" si="139"/>
        <v>0</v>
      </c>
      <c r="AT253" s="284">
        <f t="shared" si="129"/>
        <v>0</v>
      </c>
      <c r="AU253" s="284">
        <f t="shared" si="140"/>
        <v>0</v>
      </c>
      <c r="AV253" s="284">
        <v>0</v>
      </c>
    </row>
    <row r="254" spans="16:48" x14ac:dyDescent="0.2">
      <c r="P254" s="392"/>
      <c r="Q254" s="321"/>
      <c r="R254" s="323" t="s">
        <v>568</v>
      </c>
      <c r="S254" s="12" t="s">
        <v>675</v>
      </c>
      <c r="T254" s="269">
        <f>'Pencapaian Sales Value'!G254</f>
        <v>0.63697876288659794</v>
      </c>
      <c r="U254" s="284">
        <f>'Pencapaian Sales Value'!I254</f>
        <v>0</v>
      </c>
      <c r="V254" s="304">
        <f>'Pencapaian Product Focus'!H254</f>
        <v>0</v>
      </c>
      <c r="W254" s="304">
        <f>'Pencapaian Product Focus'!L254</f>
        <v>0</v>
      </c>
      <c r="X254" s="285">
        <f>'Pencapaian Product Focus'!N254</f>
        <v>0</v>
      </c>
      <c r="Y254" s="304">
        <f>'Pencapaian Effective Call'!G254</f>
        <v>0</v>
      </c>
      <c r="Z254" s="285">
        <f>'Pencapaian Effective Call'!I254</f>
        <v>0</v>
      </c>
      <c r="AA254" s="304">
        <f>'Pencapaian New Open Outlet'!G254</f>
        <v>0</v>
      </c>
      <c r="AB254" s="285">
        <f>'Pencapaian New Open Outlet'!I254</f>
        <v>0</v>
      </c>
      <c r="AC254" s="269">
        <f>'Pencapaian Active Outlet'!G254</f>
        <v>0.42</v>
      </c>
      <c r="AD254" s="284">
        <f>'Pencapaian Active Outlet'!I254</f>
        <v>0</v>
      </c>
      <c r="AE254" s="304">
        <f>'Pencapaian Item per Outlet'!G254</f>
        <v>0</v>
      </c>
      <c r="AF254" s="285">
        <f>'Pencapaian Item per Outlet'!I254</f>
        <v>0</v>
      </c>
      <c r="AG254" s="304">
        <f>'Pencapaian Product Display'!G254</f>
        <v>0</v>
      </c>
      <c r="AH254" s="285">
        <f>'Pencapaian Product Display'!I254</f>
        <v>0</v>
      </c>
      <c r="AI254" s="304">
        <f>'Pencapaian Sales Contract'!G254</f>
        <v>0</v>
      </c>
      <c r="AJ254" s="285">
        <f>'Pencapaian Sales Contract'!I254</f>
        <v>0</v>
      </c>
      <c r="AK254" s="304">
        <f>'Pencapaian Co-Branding'!G254</f>
        <v>0</v>
      </c>
      <c r="AL254" s="285">
        <f>'Pencapaian Co-Branding'!I254</f>
        <v>0</v>
      </c>
      <c r="AM254" s="304">
        <f>'Pencapaian Join Event Activity'!G254</f>
        <v>0</v>
      </c>
      <c r="AN254" s="285">
        <f>'Pencapaian Join Event Activity'!I254</f>
        <v>0</v>
      </c>
      <c r="AO254" s="284">
        <f t="shared" si="131"/>
        <v>0</v>
      </c>
      <c r="AP254" s="322">
        <v>0</v>
      </c>
      <c r="AQ254" s="284">
        <f t="shared" si="138"/>
        <v>0</v>
      </c>
      <c r="AR254" s="322">
        <v>0</v>
      </c>
      <c r="AS254" s="284">
        <f t="shared" si="139"/>
        <v>0</v>
      </c>
      <c r="AT254" s="284">
        <f t="shared" si="129"/>
        <v>0</v>
      </c>
      <c r="AU254" s="284">
        <f t="shared" si="140"/>
        <v>0</v>
      </c>
      <c r="AV254" s="284">
        <v>0</v>
      </c>
    </row>
    <row r="255" spans="16:48" x14ac:dyDescent="0.2">
      <c r="P255" s="392"/>
      <c r="Q255" s="321"/>
      <c r="R255" s="323" t="s">
        <v>566</v>
      </c>
      <c r="S255" s="12" t="s">
        <v>675</v>
      </c>
      <c r="T255" s="269">
        <f>'Pencapaian Sales Value'!G255</f>
        <v>6.9002753846153841E-2</v>
      </c>
      <c r="U255" s="284">
        <f>'Pencapaian Sales Value'!I255</f>
        <v>0</v>
      </c>
      <c r="V255" s="304">
        <f>'Pencapaian Product Focus'!H255</f>
        <v>0</v>
      </c>
      <c r="W255" s="304">
        <f>'Pencapaian Product Focus'!L255</f>
        <v>0</v>
      </c>
      <c r="X255" s="285">
        <f>'Pencapaian Product Focus'!N255</f>
        <v>0</v>
      </c>
      <c r="Y255" s="304">
        <f>'Pencapaian Effective Call'!G255</f>
        <v>0</v>
      </c>
      <c r="Z255" s="285">
        <f>'Pencapaian Effective Call'!I255</f>
        <v>0</v>
      </c>
      <c r="AA255" s="304">
        <f>'Pencapaian New Open Outlet'!G255</f>
        <v>0</v>
      </c>
      <c r="AB255" s="285">
        <f>'Pencapaian New Open Outlet'!I255</f>
        <v>0</v>
      </c>
      <c r="AC255" s="269">
        <f>'Pencapaian Active Outlet'!G255</f>
        <v>0.1</v>
      </c>
      <c r="AD255" s="284">
        <f>'Pencapaian Active Outlet'!I255</f>
        <v>0</v>
      </c>
      <c r="AE255" s="304">
        <f>'Pencapaian Item per Outlet'!G255</f>
        <v>0</v>
      </c>
      <c r="AF255" s="285">
        <f>'Pencapaian Item per Outlet'!I255</f>
        <v>0</v>
      </c>
      <c r="AG255" s="304">
        <f>'Pencapaian Product Display'!G255</f>
        <v>0</v>
      </c>
      <c r="AH255" s="285">
        <f>'Pencapaian Product Display'!I255</f>
        <v>0</v>
      </c>
      <c r="AI255" s="304">
        <f>'Pencapaian Sales Contract'!G255</f>
        <v>0</v>
      </c>
      <c r="AJ255" s="285">
        <f>'Pencapaian Sales Contract'!I255</f>
        <v>0</v>
      </c>
      <c r="AK255" s="304">
        <f>'Pencapaian Co-Branding'!G255</f>
        <v>0</v>
      </c>
      <c r="AL255" s="285">
        <f>'Pencapaian Co-Branding'!I255</f>
        <v>0</v>
      </c>
      <c r="AM255" s="304">
        <f>'Pencapaian Join Event Activity'!G255</f>
        <v>0</v>
      </c>
      <c r="AN255" s="285">
        <f>'Pencapaian Join Event Activity'!I255</f>
        <v>0</v>
      </c>
      <c r="AO255" s="284">
        <f t="shared" si="131"/>
        <v>0</v>
      </c>
      <c r="AP255" s="322">
        <v>0</v>
      </c>
      <c r="AQ255" s="284">
        <f t="shared" si="138"/>
        <v>0</v>
      </c>
      <c r="AR255" s="322">
        <v>0</v>
      </c>
      <c r="AS255" s="284">
        <f t="shared" si="139"/>
        <v>0</v>
      </c>
      <c r="AT255" s="284">
        <f t="shared" si="129"/>
        <v>0</v>
      </c>
      <c r="AU255" s="284">
        <f t="shared" si="140"/>
        <v>0</v>
      </c>
      <c r="AV255" s="284">
        <v>0</v>
      </c>
    </row>
    <row r="256" spans="16:48" x14ac:dyDescent="0.2">
      <c r="P256" s="392"/>
      <c r="Q256" s="321"/>
      <c r="R256" s="323" t="s">
        <v>570</v>
      </c>
      <c r="S256" s="12" t="s">
        <v>675</v>
      </c>
      <c r="T256" s="269">
        <f>'Pencapaian Sales Value'!G256</f>
        <v>0.697763795620438</v>
      </c>
      <c r="U256" s="284">
        <f>'Pencapaian Sales Value'!I256</f>
        <v>0</v>
      </c>
      <c r="V256" s="304">
        <f>'Pencapaian Product Focus'!H256</f>
        <v>0</v>
      </c>
      <c r="W256" s="304">
        <f>'Pencapaian Product Focus'!L256</f>
        <v>0</v>
      </c>
      <c r="X256" s="285">
        <f>'Pencapaian Product Focus'!N256</f>
        <v>0</v>
      </c>
      <c r="Y256" s="304">
        <f>'Pencapaian Effective Call'!G256</f>
        <v>0</v>
      </c>
      <c r="Z256" s="285">
        <f>'Pencapaian Effective Call'!I256</f>
        <v>0</v>
      </c>
      <c r="AA256" s="304">
        <f>'Pencapaian New Open Outlet'!G256</f>
        <v>0</v>
      </c>
      <c r="AB256" s="285">
        <f>'Pencapaian New Open Outlet'!I256</f>
        <v>0</v>
      </c>
      <c r="AC256" s="269">
        <f>'Pencapaian Active Outlet'!G256</f>
        <v>0.68</v>
      </c>
      <c r="AD256" s="284">
        <f>'Pencapaian Active Outlet'!I256</f>
        <v>0</v>
      </c>
      <c r="AE256" s="304">
        <f>'Pencapaian Item per Outlet'!G256</f>
        <v>0</v>
      </c>
      <c r="AF256" s="285">
        <f>'Pencapaian Item per Outlet'!I256</f>
        <v>0</v>
      </c>
      <c r="AG256" s="304">
        <f>'Pencapaian Product Display'!G256</f>
        <v>0</v>
      </c>
      <c r="AH256" s="285">
        <f>'Pencapaian Product Display'!I256</f>
        <v>0</v>
      </c>
      <c r="AI256" s="304">
        <f>'Pencapaian Sales Contract'!G256</f>
        <v>0</v>
      </c>
      <c r="AJ256" s="285">
        <f>'Pencapaian Sales Contract'!I256</f>
        <v>0</v>
      </c>
      <c r="AK256" s="304">
        <f>'Pencapaian Co-Branding'!G256</f>
        <v>0</v>
      </c>
      <c r="AL256" s="285">
        <f>'Pencapaian Co-Branding'!I256</f>
        <v>0</v>
      </c>
      <c r="AM256" s="304">
        <f>'Pencapaian Join Event Activity'!G256</f>
        <v>0</v>
      </c>
      <c r="AN256" s="285">
        <f>'Pencapaian Join Event Activity'!I256</f>
        <v>0</v>
      </c>
      <c r="AO256" s="284">
        <f t="shared" si="131"/>
        <v>0</v>
      </c>
      <c r="AP256" s="322">
        <v>0</v>
      </c>
      <c r="AQ256" s="284">
        <f t="shared" si="138"/>
        <v>0</v>
      </c>
      <c r="AR256" s="322">
        <v>0</v>
      </c>
      <c r="AS256" s="284">
        <f t="shared" si="139"/>
        <v>0</v>
      </c>
      <c r="AT256" s="284">
        <f t="shared" si="129"/>
        <v>0</v>
      </c>
      <c r="AU256" s="284">
        <f t="shared" si="140"/>
        <v>0</v>
      </c>
      <c r="AV256" s="284">
        <v>0</v>
      </c>
    </row>
    <row r="257" spans="16:48" x14ac:dyDescent="0.2">
      <c r="P257" s="392"/>
      <c r="Q257" s="324"/>
      <c r="R257" s="324" t="s">
        <v>734</v>
      </c>
      <c r="S257" s="64" t="s">
        <v>673</v>
      </c>
      <c r="T257" s="258">
        <f>'Pencapaian Sales Value'!G257</f>
        <v>0.53519257109915452</v>
      </c>
      <c r="U257" s="286">
        <f>'Pencapaian Sales Value'!I257</f>
        <v>0</v>
      </c>
      <c r="V257" s="268">
        <f>'Pencapaian Product Focus'!H257</f>
        <v>0</v>
      </c>
      <c r="W257" s="268">
        <f>'Pencapaian Product Focus'!L257</f>
        <v>0</v>
      </c>
      <c r="X257" s="189">
        <f>'Pencapaian Product Focus'!N257</f>
        <v>0</v>
      </c>
      <c r="Y257" s="268">
        <f>'Pencapaian Effective Call'!G257</f>
        <v>0</v>
      </c>
      <c r="Z257" s="189">
        <f>'Pencapaian Effective Call'!I257</f>
        <v>0</v>
      </c>
      <c r="AA257" s="268">
        <f>'Pencapaian New Open Outlet'!G257</f>
        <v>0</v>
      </c>
      <c r="AB257" s="189">
        <f>'Pencapaian New Open Outlet'!I257</f>
        <v>0</v>
      </c>
      <c r="AC257" s="258">
        <f>'Pencapaian Active Outlet'!G257</f>
        <v>0.4702702702702703</v>
      </c>
      <c r="AD257" s="286">
        <f>'Pencapaian Active Outlet'!I257</f>
        <v>0</v>
      </c>
      <c r="AE257" s="268">
        <f>'Pencapaian Item per Outlet'!G257</f>
        <v>0</v>
      </c>
      <c r="AF257" s="189">
        <f>'Pencapaian Item per Outlet'!I257</f>
        <v>0</v>
      </c>
      <c r="AG257" s="268">
        <f>'Pencapaian Product Display'!G257</f>
        <v>0</v>
      </c>
      <c r="AH257" s="189">
        <f>'Pencapaian Product Display'!I257</f>
        <v>0</v>
      </c>
      <c r="AI257" s="268">
        <f>'Pencapaian Sales Contract'!G257</f>
        <v>0</v>
      </c>
      <c r="AJ257" s="189">
        <f>'Pencapaian Sales Contract'!I257</f>
        <v>0</v>
      </c>
      <c r="AK257" s="268">
        <f>'Pencapaian Co-Branding'!G257</f>
        <v>0</v>
      </c>
      <c r="AL257" s="189">
        <f>'Pencapaian Co-Branding'!I257</f>
        <v>0</v>
      </c>
      <c r="AM257" s="268">
        <f>'Pencapaian Join Event Activity'!G257</f>
        <v>0</v>
      </c>
      <c r="AN257" s="189">
        <f>'Pencapaian Join Event Activity'!I257</f>
        <v>0</v>
      </c>
      <c r="AO257" s="286">
        <f t="shared" si="131"/>
        <v>0</v>
      </c>
      <c r="AP257" s="289">
        <v>0</v>
      </c>
      <c r="AQ257" s="286">
        <f t="shared" si="138"/>
        <v>0</v>
      </c>
      <c r="AR257" s="289">
        <v>0</v>
      </c>
      <c r="AS257" s="286">
        <f t="shared" si="139"/>
        <v>0</v>
      </c>
      <c r="AT257" s="286">
        <f t="shared" si="129"/>
        <v>0</v>
      </c>
      <c r="AU257" s="286">
        <f t="shared" si="140"/>
        <v>0</v>
      </c>
      <c r="AV257" s="286">
        <v>0</v>
      </c>
    </row>
    <row r="258" spans="16:48" x14ac:dyDescent="0.2">
      <c r="P258" s="393"/>
      <c r="Q258" s="325"/>
      <c r="R258" s="325" t="s">
        <v>51</v>
      </c>
      <c r="S258" s="42"/>
      <c r="T258" s="264">
        <f>'Pencapaian Sales Value'!G258</f>
        <v>0.53519257109915452</v>
      </c>
      <c r="U258" s="287">
        <f>'Pencapaian Sales Value'!I258</f>
        <v>0</v>
      </c>
      <c r="V258" s="274">
        <f>'Pencapaian Product Focus'!H258</f>
        <v>0</v>
      </c>
      <c r="W258" s="274">
        <f>'Pencapaian Product Focus'!L258</f>
        <v>0</v>
      </c>
      <c r="X258" s="190">
        <f>'Pencapaian Product Focus'!N258</f>
        <v>0</v>
      </c>
      <c r="Y258" s="274">
        <f>'Pencapaian Effective Call'!G258</f>
        <v>0</v>
      </c>
      <c r="Z258" s="190">
        <f>'Pencapaian Effective Call'!I258</f>
        <v>0</v>
      </c>
      <c r="AA258" s="274">
        <f>'Pencapaian New Open Outlet'!G258</f>
        <v>0</v>
      </c>
      <c r="AB258" s="190">
        <f>'Pencapaian New Open Outlet'!I258</f>
        <v>0</v>
      </c>
      <c r="AC258" s="264">
        <f>'Pencapaian Active Outlet'!G258</f>
        <v>0.4702702702702703</v>
      </c>
      <c r="AD258" s="287">
        <f>'Pencapaian Active Outlet'!I258</f>
        <v>0</v>
      </c>
      <c r="AE258" s="274">
        <f>'Pencapaian Item per Outlet'!G258</f>
        <v>0</v>
      </c>
      <c r="AF258" s="190">
        <f>'Pencapaian Item per Outlet'!I258</f>
        <v>0</v>
      </c>
      <c r="AG258" s="274">
        <f>'Pencapaian Product Display'!G258</f>
        <v>0</v>
      </c>
      <c r="AH258" s="190">
        <f>'Pencapaian Product Display'!I258</f>
        <v>0</v>
      </c>
      <c r="AI258" s="274">
        <f>'Pencapaian Sales Contract'!G258</f>
        <v>0</v>
      </c>
      <c r="AJ258" s="190">
        <f>'Pencapaian Sales Contract'!I258</f>
        <v>0</v>
      </c>
      <c r="AK258" s="274">
        <f>'Pencapaian Co-Branding'!G258</f>
        <v>0</v>
      </c>
      <c r="AL258" s="190">
        <f>'Pencapaian Co-Branding'!I258</f>
        <v>0</v>
      </c>
      <c r="AM258" s="274">
        <f>'Pencapaian Join Event Activity'!G258</f>
        <v>0</v>
      </c>
      <c r="AN258" s="190">
        <f>'Pencapaian Join Event Activity'!I258</f>
        <v>0</v>
      </c>
      <c r="AO258" s="287">
        <f t="shared" si="131"/>
        <v>0</v>
      </c>
      <c r="AP258" s="290">
        <v>0</v>
      </c>
      <c r="AQ258" s="287">
        <f>SUM(AQ250:AQ257)</f>
        <v>0</v>
      </c>
      <c r="AR258" s="290">
        <v>0</v>
      </c>
      <c r="AS258" s="287">
        <f>SUM(AS250:AS257)</f>
        <v>0</v>
      </c>
      <c r="AT258" s="287">
        <f t="shared" si="129"/>
        <v>0</v>
      </c>
      <c r="AU258" s="287">
        <f>SUM(AU250:AU257)</f>
        <v>0</v>
      </c>
      <c r="AV258" s="287">
        <f>SUM(AV250:AV257)</f>
        <v>0</v>
      </c>
    </row>
    <row r="259" spans="16:48" ht="14.5" customHeight="1" x14ac:dyDescent="0.2">
      <c r="P259" s="326"/>
      <c r="Q259" s="326"/>
      <c r="R259" s="326" t="s">
        <v>638</v>
      </c>
      <c r="S259" s="209"/>
      <c r="T259" s="305">
        <f>'Pencapaian Sales Value'!G259</f>
        <v>0.48716104395604398</v>
      </c>
      <c r="U259" s="288">
        <f>'Pencapaian Sales Value'!I259</f>
        <v>150000</v>
      </c>
      <c r="V259" s="274">
        <f>'Pencapaian Product Focus'!H259</f>
        <v>0</v>
      </c>
      <c r="W259" s="274">
        <f>'Pencapaian Product Focus'!L259</f>
        <v>0</v>
      </c>
      <c r="X259" s="190">
        <f>'Pencapaian Product Focus'!N259</f>
        <v>0</v>
      </c>
      <c r="Y259" s="274">
        <f>'Pencapaian Effective Call'!G259</f>
        <v>0</v>
      </c>
      <c r="Z259" s="190">
        <f>'Pencapaian Effective Call'!I259</f>
        <v>0</v>
      </c>
      <c r="AA259" s="274">
        <f>'Pencapaian New Open Outlet'!G259</f>
        <v>0</v>
      </c>
      <c r="AB259" s="190">
        <f>'Pencapaian New Open Outlet'!I259</f>
        <v>0</v>
      </c>
      <c r="AC259" s="305">
        <f>'Pencapaian Active Outlet'!G259</f>
        <v>0.29918699186991871</v>
      </c>
      <c r="AD259" s="288">
        <f>'Pencapaian Active Outlet'!I259</f>
        <v>90000</v>
      </c>
      <c r="AE259" s="274">
        <f>'Pencapaian Item per Outlet'!G259</f>
        <v>0</v>
      </c>
      <c r="AF259" s="190">
        <f>'Pencapaian Item per Outlet'!I259</f>
        <v>0</v>
      </c>
      <c r="AG259" s="274">
        <f>'Pencapaian Product Display'!G259</f>
        <v>0</v>
      </c>
      <c r="AH259" s="190">
        <f>'Pencapaian Product Display'!I259</f>
        <v>0</v>
      </c>
      <c r="AI259" s="274">
        <f>'Pencapaian Sales Contract'!G259</f>
        <v>0</v>
      </c>
      <c r="AJ259" s="190">
        <f>'Pencapaian Sales Contract'!I259</f>
        <v>0</v>
      </c>
      <c r="AK259" s="274">
        <f>'Pencapaian Co-Branding'!G259</f>
        <v>0</v>
      </c>
      <c r="AL259" s="190">
        <f>'Pencapaian Co-Branding'!I259</f>
        <v>0</v>
      </c>
      <c r="AM259" s="274">
        <f>'Pencapaian Join Event Activity'!G259</f>
        <v>0</v>
      </c>
      <c r="AN259" s="190">
        <f>'Pencapaian Join Event Activity'!I259</f>
        <v>0</v>
      </c>
      <c r="AO259" s="288">
        <f t="shared" si="131"/>
        <v>240000</v>
      </c>
      <c r="AP259" s="291">
        <v>0</v>
      </c>
      <c r="AQ259" s="288">
        <f>SUM(AQ258,AQ249,AQ242)</f>
        <v>0</v>
      </c>
      <c r="AR259" s="291">
        <v>0</v>
      </c>
      <c r="AS259" s="288">
        <f>SUM(AS258,AS249,AS242)</f>
        <v>0</v>
      </c>
      <c r="AT259" s="288">
        <f t="shared" si="129"/>
        <v>240000</v>
      </c>
      <c r="AU259" s="288">
        <f>SUM(AU249,AU242,AU258)</f>
        <v>240000</v>
      </c>
      <c r="AV259" s="288">
        <f>SUM(AV249,AV242,AV258)</f>
        <v>0</v>
      </c>
    </row>
    <row r="260" spans="16:48" ht="14.5" customHeight="1" x14ac:dyDescent="0.2">
      <c r="P260" s="392" t="s">
        <v>787</v>
      </c>
      <c r="Q260" s="321"/>
      <c r="R260" s="323" t="s">
        <v>612</v>
      </c>
      <c r="S260" s="12" t="s">
        <v>675</v>
      </c>
      <c r="T260" s="269">
        <f>'Pencapaian Sales Value'!G260</f>
        <v>0.18298</v>
      </c>
      <c r="U260" s="284">
        <f>'Pencapaian Sales Value'!I260</f>
        <v>0</v>
      </c>
      <c r="V260" s="304">
        <f>'Pencapaian Product Focus'!H260</f>
        <v>0</v>
      </c>
      <c r="W260" s="304">
        <f>'Pencapaian Product Focus'!L260</f>
        <v>0</v>
      </c>
      <c r="X260" s="285">
        <f>'Pencapaian Product Focus'!N260</f>
        <v>0</v>
      </c>
      <c r="Y260" s="304">
        <f>'Pencapaian Effective Call'!G260</f>
        <v>0</v>
      </c>
      <c r="Z260" s="285">
        <f>'Pencapaian Effective Call'!I260</f>
        <v>0</v>
      </c>
      <c r="AA260" s="304">
        <f>'Pencapaian New Open Outlet'!G260</f>
        <v>0</v>
      </c>
      <c r="AB260" s="285">
        <f>'Pencapaian New Open Outlet'!I260</f>
        <v>0</v>
      </c>
      <c r="AC260" s="269">
        <f>'Pencapaian Active Outlet'!G260</f>
        <v>0.16</v>
      </c>
      <c r="AD260" s="284">
        <f>'Pencapaian Active Outlet'!I260</f>
        <v>0</v>
      </c>
      <c r="AE260" s="304">
        <f>'Pencapaian Item per Outlet'!G260</f>
        <v>0</v>
      </c>
      <c r="AF260" s="285">
        <f>'Pencapaian Item per Outlet'!I260</f>
        <v>0</v>
      </c>
      <c r="AG260" s="304">
        <f>'Pencapaian Product Display'!G260</f>
        <v>0</v>
      </c>
      <c r="AH260" s="285">
        <f>'Pencapaian Product Display'!I260</f>
        <v>0</v>
      </c>
      <c r="AI260" s="304">
        <f>'Pencapaian Sales Contract'!G260</f>
        <v>0</v>
      </c>
      <c r="AJ260" s="285">
        <f>'Pencapaian Sales Contract'!I260</f>
        <v>0</v>
      </c>
      <c r="AK260" s="304">
        <f>'Pencapaian Co-Branding'!G260</f>
        <v>0</v>
      </c>
      <c r="AL260" s="285">
        <f>'Pencapaian Co-Branding'!I260</f>
        <v>0</v>
      </c>
      <c r="AM260" s="304">
        <f>'Pencapaian Join Event Activity'!G260</f>
        <v>0</v>
      </c>
      <c r="AN260" s="285">
        <f>'Pencapaian Join Event Activity'!I260</f>
        <v>0</v>
      </c>
      <c r="AO260" s="284">
        <f t="shared" si="131"/>
        <v>0</v>
      </c>
      <c r="AP260" s="322">
        <v>0</v>
      </c>
      <c r="AQ260" s="284">
        <f t="shared" si="138"/>
        <v>0</v>
      </c>
      <c r="AR260" s="322">
        <v>0</v>
      </c>
      <c r="AS260" s="284">
        <f t="shared" si="139"/>
        <v>0</v>
      </c>
      <c r="AT260" s="284">
        <f t="shared" si="129"/>
        <v>0</v>
      </c>
      <c r="AU260" s="284">
        <f t="shared" ref="AU260:AU273" si="141">AT260</f>
        <v>0</v>
      </c>
      <c r="AV260" s="284">
        <v>0</v>
      </c>
    </row>
    <row r="261" spans="16:48" x14ac:dyDescent="0.2">
      <c r="P261" s="392"/>
      <c r="Q261" s="321"/>
      <c r="R261" s="323" t="s">
        <v>609</v>
      </c>
      <c r="S261" s="12" t="s">
        <v>675</v>
      </c>
      <c r="T261" s="269">
        <f>'Pencapaian Sales Value'!G261</f>
        <v>0.50340600000000002</v>
      </c>
      <c r="U261" s="284">
        <f>'Pencapaian Sales Value'!I261</f>
        <v>0</v>
      </c>
      <c r="V261" s="304">
        <f>'Pencapaian Product Focus'!H261</f>
        <v>0</v>
      </c>
      <c r="W261" s="304">
        <f>'Pencapaian Product Focus'!L261</f>
        <v>0</v>
      </c>
      <c r="X261" s="285">
        <f>'Pencapaian Product Focus'!N261</f>
        <v>0</v>
      </c>
      <c r="Y261" s="304">
        <f>'Pencapaian Effective Call'!G261</f>
        <v>0</v>
      </c>
      <c r="Z261" s="285">
        <f>'Pencapaian Effective Call'!I261</f>
        <v>0</v>
      </c>
      <c r="AA261" s="304">
        <f>'Pencapaian New Open Outlet'!G261</f>
        <v>0</v>
      </c>
      <c r="AB261" s="285">
        <f>'Pencapaian New Open Outlet'!I261</f>
        <v>0</v>
      </c>
      <c r="AC261" s="269">
        <f>'Pencapaian Active Outlet'!G261</f>
        <v>0.3</v>
      </c>
      <c r="AD261" s="284">
        <f>'Pencapaian Active Outlet'!I261</f>
        <v>0</v>
      </c>
      <c r="AE261" s="304">
        <f>'Pencapaian Item per Outlet'!G261</f>
        <v>0</v>
      </c>
      <c r="AF261" s="285">
        <f>'Pencapaian Item per Outlet'!I261</f>
        <v>0</v>
      </c>
      <c r="AG261" s="304">
        <f>'Pencapaian Product Display'!G261</f>
        <v>0</v>
      </c>
      <c r="AH261" s="285">
        <f>'Pencapaian Product Display'!I261</f>
        <v>0</v>
      </c>
      <c r="AI261" s="304">
        <f>'Pencapaian Sales Contract'!G261</f>
        <v>0</v>
      </c>
      <c r="AJ261" s="285">
        <f>'Pencapaian Sales Contract'!I261</f>
        <v>0</v>
      </c>
      <c r="AK261" s="304">
        <f>'Pencapaian Co-Branding'!G261</f>
        <v>0</v>
      </c>
      <c r="AL261" s="285">
        <f>'Pencapaian Co-Branding'!I261</f>
        <v>0</v>
      </c>
      <c r="AM261" s="304">
        <f>'Pencapaian Join Event Activity'!G261</f>
        <v>0</v>
      </c>
      <c r="AN261" s="285">
        <f>'Pencapaian Join Event Activity'!I261</f>
        <v>0</v>
      </c>
      <c r="AO261" s="284">
        <f t="shared" si="131"/>
        <v>0</v>
      </c>
      <c r="AP261" s="322">
        <v>0</v>
      </c>
      <c r="AQ261" s="284">
        <f t="shared" si="138"/>
        <v>0</v>
      </c>
      <c r="AR261" s="322">
        <v>0</v>
      </c>
      <c r="AS261" s="284">
        <f t="shared" si="139"/>
        <v>0</v>
      </c>
      <c r="AT261" s="284">
        <f t="shared" si="129"/>
        <v>0</v>
      </c>
      <c r="AU261" s="284">
        <f t="shared" si="141"/>
        <v>0</v>
      </c>
      <c r="AV261" s="284">
        <v>0</v>
      </c>
    </row>
    <row r="262" spans="16:48" ht="14.5" customHeight="1" x14ac:dyDescent="0.2">
      <c r="P262" s="392"/>
      <c r="Q262" s="321"/>
      <c r="R262" s="323" t="s">
        <v>610</v>
      </c>
      <c r="S262" s="12" t="s">
        <v>675</v>
      </c>
      <c r="T262" s="269">
        <f>'Pencapaian Sales Value'!G262</f>
        <v>1.3170672000000001</v>
      </c>
      <c r="U262" s="284">
        <f>'Pencapaian Sales Value'!I262</f>
        <v>90000</v>
      </c>
      <c r="V262" s="304">
        <f>'Pencapaian Product Focus'!H262</f>
        <v>0</v>
      </c>
      <c r="W262" s="304">
        <f>'Pencapaian Product Focus'!L262</f>
        <v>0</v>
      </c>
      <c r="X262" s="285">
        <f>'Pencapaian Product Focus'!N262</f>
        <v>0</v>
      </c>
      <c r="Y262" s="304">
        <f>'Pencapaian Effective Call'!G262</f>
        <v>0</v>
      </c>
      <c r="Z262" s="285">
        <f>'Pencapaian Effective Call'!I262</f>
        <v>0</v>
      </c>
      <c r="AA262" s="304">
        <f>'Pencapaian New Open Outlet'!G262</f>
        <v>0</v>
      </c>
      <c r="AB262" s="285">
        <f>'Pencapaian New Open Outlet'!I262</f>
        <v>0</v>
      </c>
      <c r="AC262" s="269">
        <f>'Pencapaian Active Outlet'!G262</f>
        <v>0.1</v>
      </c>
      <c r="AD262" s="284">
        <f>'Pencapaian Active Outlet'!I262</f>
        <v>0</v>
      </c>
      <c r="AE262" s="304">
        <f>'Pencapaian Item per Outlet'!G262</f>
        <v>0</v>
      </c>
      <c r="AF262" s="285">
        <f>'Pencapaian Item per Outlet'!I262</f>
        <v>0</v>
      </c>
      <c r="AG262" s="304">
        <f>'Pencapaian Product Display'!G262</f>
        <v>0</v>
      </c>
      <c r="AH262" s="285">
        <f>'Pencapaian Product Display'!I262</f>
        <v>0</v>
      </c>
      <c r="AI262" s="304">
        <f>'Pencapaian Sales Contract'!G262</f>
        <v>0</v>
      </c>
      <c r="AJ262" s="285">
        <f>'Pencapaian Sales Contract'!I262</f>
        <v>0</v>
      </c>
      <c r="AK262" s="304">
        <f>'Pencapaian Co-Branding'!G262</f>
        <v>0</v>
      </c>
      <c r="AL262" s="285">
        <f>'Pencapaian Co-Branding'!I262</f>
        <v>0</v>
      </c>
      <c r="AM262" s="304">
        <f>'Pencapaian Join Event Activity'!G262</f>
        <v>0</v>
      </c>
      <c r="AN262" s="285">
        <f>'Pencapaian Join Event Activity'!I262</f>
        <v>0</v>
      </c>
      <c r="AO262" s="284">
        <f t="shared" si="131"/>
        <v>90000</v>
      </c>
      <c r="AP262" s="322">
        <v>0</v>
      </c>
      <c r="AQ262" s="284">
        <f t="shared" si="138"/>
        <v>0</v>
      </c>
      <c r="AR262" s="322">
        <v>0</v>
      </c>
      <c r="AS262" s="284">
        <f t="shared" si="139"/>
        <v>0</v>
      </c>
      <c r="AT262" s="284">
        <f t="shared" si="129"/>
        <v>90000</v>
      </c>
      <c r="AU262" s="284">
        <f t="shared" si="141"/>
        <v>90000</v>
      </c>
      <c r="AV262" s="284">
        <v>0</v>
      </c>
    </row>
    <row r="263" spans="16:48" x14ac:dyDescent="0.2">
      <c r="P263" s="392"/>
      <c r="Q263" s="321"/>
      <c r="R263" s="323" t="s">
        <v>611</v>
      </c>
      <c r="S263" s="12" t="s">
        <v>675</v>
      </c>
      <c r="T263" s="269">
        <f>'Pencapaian Sales Value'!G263</f>
        <v>1.2E-2</v>
      </c>
      <c r="U263" s="284">
        <f>'Pencapaian Sales Value'!I263</f>
        <v>0</v>
      </c>
      <c r="V263" s="304">
        <f>'Pencapaian Product Focus'!H263</f>
        <v>0</v>
      </c>
      <c r="W263" s="304">
        <f>'Pencapaian Product Focus'!L263</f>
        <v>0</v>
      </c>
      <c r="X263" s="285">
        <f>'Pencapaian Product Focus'!N263</f>
        <v>0</v>
      </c>
      <c r="Y263" s="304">
        <f>'Pencapaian Effective Call'!G263</f>
        <v>0</v>
      </c>
      <c r="Z263" s="285">
        <f>'Pencapaian Effective Call'!I263</f>
        <v>0</v>
      </c>
      <c r="AA263" s="304">
        <f>'Pencapaian New Open Outlet'!G263</f>
        <v>0</v>
      </c>
      <c r="AB263" s="285">
        <f>'Pencapaian New Open Outlet'!I263</f>
        <v>0</v>
      </c>
      <c r="AC263" s="269">
        <f>'Pencapaian Active Outlet'!G263</f>
        <v>0.05</v>
      </c>
      <c r="AD263" s="284">
        <f>'Pencapaian Active Outlet'!I263</f>
        <v>0</v>
      </c>
      <c r="AE263" s="304">
        <f>'Pencapaian Item per Outlet'!G263</f>
        <v>0</v>
      </c>
      <c r="AF263" s="285">
        <f>'Pencapaian Item per Outlet'!I263</f>
        <v>0</v>
      </c>
      <c r="AG263" s="304">
        <f>'Pencapaian Product Display'!G263</f>
        <v>0</v>
      </c>
      <c r="AH263" s="285">
        <f>'Pencapaian Product Display'!I263</f>
        <v>0</v>
      </c>
      <c r="AI263" s="304">
        <f>'Pencapaian Sales Contract'!G263</f>
        <v>0</v>
      </c>
      <c r="AJ263" s="285">
        <f>'Pencapaian Sales Contract'!I263</f>
        <v>0</v>
      </c>
      <c r="AK263" s="304">
        <f>'Pencapaian Co-Branding'!G263</f>
        <v>0</v>
      </c>
      <c r="AL263" s="285">
        <f>'Pencapaian Co-Branding'!I263</f>
        <v>0</v>
      </c>
      <c r="AM263" s="304">
        <f>'Pencapaian Join Event Activity'!G263</f>
        <v>0</v>
      </c>
      <c r="AN263" s="285">
        <f>'Pencapaian Join Event Activity'!I263</f>
        <v>0</v>
      </c>
      <c r="AO263" s="284">
        <f t="shared" si="131"/>
        <v>0</v>
      </c>
      <c r="AP263" s="322">
        <v>0</v>
      </c>
      <c r="AQ263" s="284">
        <f t="shared" si="138"/>
        <v>0</v>
      </c>
      <c r="AR263" s="322">
        <v>0</v>
      </c>
      <c r="AS263" s="284">
        <f t="shared" si="139"/>
        <v>0</v>
      </c>
      <c r="AT263" s="284">
        <f t="shared" si="129"/>
        <v>0</v>
      </c>
      <c r="AU263" s="284">
        <f t="shared" si="141"/>
        <v>0</v>
      </c>
      <c r="AV263" s="284">
        <v>0</v>
      </c>
    </row>
    <row r="264" spans="16:48" ht="14.5" customHeight="1" x14ac:dyDescent="0.2">
      <c r="P264" s="392"/>
      <c r="Q264" s="321"/>
      <c r="R264" s="323" t="s">
        <v>850</v>
      </c>
      <c r="S264" s="12" t="s">
        <v>675</v>
      </c>
      <c r="T264" s="269">
        <f>'Pencapaian Sales Value'!G264</f>
        <v>4.6460000000000001E-2</v>
      </c>
      <c r="U264" s="284">
        <f>'Pencapaian Sales Value'!I264</f>
        <v>0</v>
      </c>
      <c r="V264" s="304">
        <f>'Pencapaian Product Focus'!H264</f>
        <v>0</v>
      </c>
      <c r="W264" s="304">
        <f>'Pencapaian Product Focus'!L264</f>
        <v>0</v>
      </c>
      <c r="X264" s="285">
        <f>'Pencapaian Product Focus'!N264</f>
        <v>0</v>
      </c>
      <c r="Y264" s="304">
        <f>'Pencapaian Effective Call'!G264</f>
        <v>0</v>
      </c>
      <c r="Z264" s="285">
        <f>'Pencapaian Effective Call'!I264</f>
        <v>0</v>
      </c>
      <c r="AA264" s="304">
        <f>'Pencapaian New Open Outlet'!G264</f>
        <v>0</v>
      </c>
      <c r="AB264" s="285">
        <f>'Pencapaian New Open Outlet'!I264</f>
        <v>0</v>
      </c>
      <c r="AC264" s="269">
        <f>'Pencapaian Active Outlet'!G264</f>
        <v>3.3333333333333333E-2</v>
      </c>
      <c r="AD264" s="284">
        <f>'Pencapaian Active Outlet'!I264</f>
        <v>0</v>
      </c>
      <c r="AE264" s="304">
        <f>'Pencapaian Item per Outlet'!G264</f>
        <v>0</v>
      </c>
      <c r="AF264" s="285">
        <f>'Pencapaian Item per Outlet'!I264</f>
        <v>0</v>
      </c>
      <c r="AG264" s="304">
        <f>'Pencapaian Product Display'!G264</f>
        <v>0</v>
      </c>
      <c r="AH264" s="285">
        <f>'Pencapaian Product Display'!I264</f>
        <v>0</v>
      </c>
      <c r="AI264" s="304">
        <f>'Pencapaian Sales Contract'!G264</f>
        <v>0</v>
      </c>
      <c r="AJ264" s="285">
        <f>'Pencapaian Sales Contract'!I264</f>
        <v>0</v>
      </c>
      <c r="AK264" s="304">
        <f>'Pencapaian Co-Branding'!G264</f>
        <v>0</v>
      </c>
      <c r="AL264" s="285">
        <f>'Pencapaian Co-Branding'!I264</f>
        <v>0</v>
      </c>
      <c r="AM264" s="304">
        <f>'Pencapaian Join Event Activity'!G264</f>
        <v>0</v>
      </c>
      <c r="AN264" s="285">
        <f>'Pencapaian Join Event Activity'!I264</f>
        <v>0</v>
      </c>
      <c r="AO264" s="284">
        <f t="shared" si="131"/>
        <v>0</v>
      </c>
      <c r="AP264" s="322">
        <v>0</v>
      </c>
      <c r="AQ264" s="284">
        <f t="shared" si="138"/>
        <v>0</v>
      </c>
      <c r="AR264" s="322">
        <v>0</v>
      </c>
      <c r="AS264" s="284">
        <f t="shared" si="139"/>
        <v>0</v>
      </c>
      <c r="AT264" s="284">
        <f t="shared" si="129"/>
        <v>0</v>
      </c>
      <c r="AU264" s="284">
        <f t="shared" si="141"/>
        <v>0</v>
      </c>
      <c r="AV264" s="284">
        <v>0</v>
      </c>
    </row>
    <row r="265" spans="16:48" ht="14.5" customHeight="1" x14ac:dyDescent="0.2">
      <c r="P265" s="392"/>
      <c r="Q265" s="324"/>
      <c r="R265" s="324" t="s">
        <v>743</v>
      </c>
      <c r="S265" s="64" t="s">
        <v>673</v>
      </c>
      <c r="T265" s="258">
        <f>'Pencapaian Sales Value'!G265</f>
        <v>0.42906525000000001</v>
      </c>
      <c r="U265" s="286">
        <f>'Pencapaian Sales Value'!I265</f>
        <v>0</v>
      </c>
      <c r="V265" s="268">
        <f>'Pencapaian Product Focus'!H265</f>
        <v>0</v>
      </c>
      <c r="W265" s="268">
        <f>'Pencapaian Product Focus'!L265</f>
        <v>0</v>
      </c>
      <c r="X265" s="189">
        <f>'Pencapaian Product Focus'!N265</f>
        <v>0</v>
      </c>
      <c r="Y265" s="268">
        <f>'Pencapaian Effective Call'!G265</f>
        <v>0</v>
      </c>
      <c r="Z265" s="189">
        <f>'Pencapaian Effective Call'!I265</f>
        <v>0</v>
      </c>
      <c r="AA265" s="268">
        <f>'Pencapaian New Open Outlet'!G265</f>
        <v>0</v>
      </c>
      <c r="AB265" s="189">
        <f>'Pencapaian New Open Outlet'!I265</f>
        <v>0</v>
      </c>
      <c r="AC265" s="258">
        <f>'Pencapaian Active Outlet'!G265</f>
        <v>0.13333333333333333</v>
      </c>
      <c r="AD265" s="286">
        <f>'Pencapaian Active Outlet'!I265</f>
        <v>0</v>
      </c>
      <c r="AE265" s="268">
        <f>'Pencapaian Item per Outlet'!G265</f>
        <v>0</v>
      </c>
      <c r="AF265" s="189">
        <f>'Pencapaian Item per Outlet'!I265</f>
        <v>0</v>
      </c>
      <c r="AG265" s="268">
        <f>'Pencapaian Product Display'!G265</f>
        <v>0</v>
      </c>
      <c r="AH265" s="189">
        <f>'Pencapaian Product Display'!I265</f>
        <v>0</v>
      </c>
      <c r="AI265" s="268">
        <f>'Pencapaian Sales Contract'!G265</f>
        <v>0</v>
      </c>
      <c r="AJ265" s="189">
        <f>'Pencapaian Sales Contract'!I265</f>
        <v>0</v>
      </c>
      <c r="AK265" s="268">
        <f>'Pencapaian Co-Branding'!G265</f>
        <v>0</v>
      </c>
      <c r="AL265" s="189">
        <f>'Pencapaian Co-Branding'!I265</f>
        <v>0</v>
      </c>
      <c r="AM265" s="268">
        <f>'Pencapaian Join Event Activity'!G265</f>
        <v>0</v>
      </c>
      <c r="AN265" s="189">
        <f>'Pencapaian Join Event Activity'!I265</f>
        <v>0</v>
      </c>
      <c r="AO265" s="286">
        <f t="shared" si="131"/>
        <v>0</v>
      </c>
      <c r="AP265" s="289">
        <v>0</v>
      </c>
      <c r="AQ265" s="286">
        <f t="shared" si="138"/>
        <v>0</v>
      </c>
      <c r="AR265" s="289">
        <v>0</v>
      </c>
      <c r="AS265" s="286">
        <f t="shared" si="139"/>
        <v>0</v>
      </c>
      <c r="AT265" s="286">
        <f t="shared" si="129"/>
        <v>0</v>
      </c>
      <c r="AU265" s="286">
        <f t="shared" si="141"/>
        <v>0</v>
      </c>
      <c r="AV265" s="286">
        <v>0</v>
      </c>
    </row>
    <row r="266" spans="16:48" ht="14.5" customHeight="1" x14ac:dyDescent="0.2">
      <c r="P266" s="392"/>
      <c r="Q266" s="321"/>
      <c r="R266" s="323" t="s">
        <v>606</v>
      </c>
      <c r="S266" s="12" t="s">
        <v>675</v>
      </c>
      <c r="T266" s="269">
        <f>'Pencapaian Sales Value'!G266</f>
        <v>1.3119555555555555</v>
      </c>
      <c r="U266" s="284">
        <f>'Pencapaian Sales Value'!I266</f>
        <v>90000</v>
      </c>
      <c r="V266" s="304">
        <f>'Pencapaian Product Focus'!H266</f>
        <v>0</v>
      </c>
      <c r="W266" s="304">
        <f>'Pencapaian Product Focus'!L266</f>
        <v>0</v>
      </c>
      <c r="X266" s="285">
        <f>'Pencapaian Product Focus'!N266</f>
        <v>0</v>
      </c>
      <c r="Y266" s="304">
        <f>'Pencapaian Effective Call'!G266</f>
        <v>0</v>
      </c>
      <c r="Z266" s="285">
        <f>'Pencapaian Effective Call'!I266</f>
        <v>0</v>
      </c>
      <c r="AA266" s="304">
        <f>'Pencapaian New Open Outlet'!G266</f>
        <v>0</v>
      </c>
      <c r="AB266" s="285">
        <f>'Pencapaian New Open Outlet'!I266</f>
        <v>0</v>
      </c>
      <c r="AC266" s="269">
        <f>'Pencapaian Active Outlet'!G266</f>
        <v>0.12</v>
      </c>
      <c r="AD266" s="284">
        <f>'Pencapaian Active Outlet'!I266</f>
        <v>0</v>
      </c>
      <c r="AE266" s="304">
        <f>'Pencapaian Item per Outlet'!G266</f>
        <v>0</v>
      </c>
      <c r="AF266" s="285">
        <f>'Pencapaian Item per Outlet'!I266</f>
        <v>0</v>
      </c>
      <c r="AG266" s="304">
        <f>'Pencapaian Product Display'!G266</f>
        <v>0</v>
      </c>
      <c r="AH266" s="285">
        <f>'Pencapaian Product Display'!I266</f>
        <v>0</v>
      </c>
      <c r="AI266" s="304">
        <f>'Pencapaian Sales Contract'!G266</f>
        <v>0</v>
      </c>
      <c r="AJ266" s="285">
        <f>'Pencapaian Sales Contract'!I266</f>
        <v>0</v>
      </c>
      <c r="AK266" s="304">
        <f>'Pencapaian Co-Branding'!G266</f>
        <v>0</v>
      </c>
      <c r="AL266" s="285">
        <f>'Pencapaian Co-Branding'!I266</f>
        <v>0</v>
      </c>
      <c r="AM266" s="304">
        <f>'Pencapaian Join Event Activity'!G266</f>
        <v>0</v>
      </c>
      <c r="AN266" s="285">
        <f>'Pencapaian Join Event Activity'!I266</f>
        <v>0</v>
      </c>
      <c r="AO266" s="284">
        <f t="shared" si="131"/>
        <v>90000</v>
      </c>
      <c r="AP266" s="322">
        <v>0</v>
      </c>
      <c r="AQ266" s="284">
        <f t="shared" si="138"/>
        <v>0</v>
      </c>
      <c r="AR266" s="322">
        <v>0</v>
      </c>
      <c r="AS266" s="284">
        <f t="shared" si="139"/>
        <v>0</v>
      </c>
      <c r="AT266" s="284">
        <f t="shared" si="129"/>
        <v>90000</v>
      </c>
      <c r="AU266" s="284">
        <f t="shared" si="141"/>
        <v>90000</v>
      </c>
      <c r="AV266" s="284">
        <v>0</v>
      </c>
    </row>
    <row r="267" spans="16:48" x14ac:dyDescent="0.2">
      <c r="P267" s="392"/>
      <c r="Q267" s="321"/>
      <c r="R267" s="323" t="s">
        <v>901</v>
      </c>
      <c r="S267" s="12"/>
      <c r="T267" s="269" t="e">
        <f>'Pencapaian Sales Value'!G267</f>
        <v>#DIV/0!</v>
      </c>
      <c r="U267" s="284">
        <f>'Pencapaian Sales Value'!I267</f>
        <v>0</v>
      </c>
      <c r="V267" s="304">
        <f>'Pencapaian Product Focus'!H267</f>
        <v>0</v>
      </c>
      <c r="W267" s="304">
        <f>'Pencapaian Product Focus'!L267</f>
        <v>0</v>
      </c>
      <c r="X267" s="285">
        <f>'Pencapaian Product Focus'!N267</f>
        <v>0</v>
      </c>
      <c r="Y267" s="304">
        <f>'Pencapaian Effective Call'!G267</f>
        <v>0</v>
      </c>
      <c r="Z267" s="285">
        <f>'Pencapaian Effective Call'!I267</f>
        <v>0</v>
      </c>
      <c r="AA267" s="304">
        <f>'Pencapaian New Open Outlet'!G267</f>
        <v>0</v>
      </c>
      <c r="AB267" s="285">
        <f>'Pencapaian New Open Outlet'!I267</f>
        <v>0</v>
      </c>
      <c r="AC267" s="269" t="e">
        <f>'Pencapaian Active Outlet'!G267</f>
        <v>#DIV/0!</v>
      </c>
      <c r="AD267" s="284">
        <f>'Pencapaian Active Outlet'!I267</f>
        <v>0</v>
      </c>
      <c r="AE267" s="304">
        <f>'Pencapaian Item per Outlet'!G267</f>
        <v>0</v>
      </c>
      <c r="AF267" s="285">
        <f>'Pencapaian Item per Outlet'!I267</f>
        <v>0</v>
      </c>
      <c r="AG267" s="304">
        <f>'Pencapaian Product Display'!G267</f>
        <v>0</v>
      </c>
      <c r="AH267" s="285">
        <f>'Pencapaian Product Display'!I267</f>
        <v>0</v>
      </c>
      <c r="AI267" s="304">
        <f>'Pencapaian Sales Contract'!G267</f>
        <v>0</v>
      </c>
      <c r="AJ267" s="285">
        <f>'Pencapaian Sales Contract'!I267</f>
        <v>0</v>
      </c>
      <c r="AK267" s="304">
        <f>'Pencapaian Co-Branding'!G267</f>
        <v>0</v>
      </c>
      <c r="AL267" s="285">
        <f>'Pencapaian Co-Branding'!I267</f>
        <v>0</v>
      </c>
      <c r="AM267" s="304">
        <f>'Pencapaian Join Event Activity'!G267</f>
        <v>0</v>
      </c>
      <c r="AN267" s="285">
        <f>'Pencapaian Join Event Activity'!I267</f>
        <v>0</v>
      </c>
      <c r="AO267" s="284">
        <f t="shared" si="131"/>
        <v>0</v>
      </c>
      <c r="AP267" s="322">
        <v>0</v>
      </c>
      <c r="AQ267" s="284">
        <f t="shared" si="138"/>
        <v>0</v>
      </c>
      <c r="AR267" s="322">
        <v>0</v>
      </c>
      <c r="AS267" s="284">
        <f t="shared" si="139"/>
        <v>0</v>
      </c>
      <c r="AT267" s="284">
        <f t="shared" si="129"/>
        <v>0</v>
      </c>
      <c r="AU267" s="284">
        <f t="shared" si="141"/>
        <v>0</v>
      </c>
      <c r="AV267" s="284">
        <v>0</v>
      </c>
    </row>
    <row r="268" spans="16:48" x14ac:dyDescent="0.2">
      <c r="P268" s="392"/>
      <c r="Q268" s="321"/>
      <c r="R268" s="323" t="s">
        <v>607</v>
      </c>
      <c r="S268" s="12" t="s">
        <v>675</v>
      </c>
      <c r="T268" s="269">
        <f>'Pencapaian Sales Value'!G268</f>
        <v>0.48789399999999999</v>
      </c>
      <c r="U268" s="284">
        <f>'Pencapaian Sales Value'!I268</f>
        <v>0</v>
      </c>
      <c r="V268" s="304">
        <f>'Pencapaian Product Focus'!H268</f>
        <v>0</v>
      </c>
      <c r="W268" s="304">
        <f>'Pencapaian Product Focus'!L268</f>
        <v>0</v>
      </c>
      <c r="X268" s="285">
        <f>'Pencapaian Product Focus'!N268</f>
        <v>0</v>
      </c>
      <c r="Y268" s="304">
        <f>'Pencapaian Effective Call'!G268</f>
        <v>0</v>
      </c>
      <c r="Z268" s="285">
        <f>'Pencapaian Effective Call'!I268</f>
        <v>0</v>
      </c>
      <c r="AA268" s="304">
        <f>'Pencapaian New Open Outlet'!G268</f>
        <v>0</v>
      </c>
      <c r="AB268" s="285">
        <f>'Pencapaian New Open Outlet'!I268</f>
        <v>0</v>
      </c>
      <c r="AC268" s="269">
        <f>'Pencapaian Active Outlet'!G268</f>
        <v>0.4</v>
      </c>
      <c r="AD268" s="284">
        <f>'Pencapaian Active Outlet'!I268</f>
        <v>0</v>
      </c>
      <c r="AE268" s="304">
        <f>'Pencapaian Item per Outlet'!G268</f>
        <v>0</v>
      </c>
      <c r="AF268" s="285">
        <f>'Pencapaian Item per Outlet'!I268</f>
        <v>0</v>
      </c>
      <c r="AG268" s="304">
        <f>'Pencapaian Product Display'!G268</f>
        <v>0</v>
      </c>
      <c r="AH268" s="285">
        <f>'Pencapaian Product Display'!I268</f>
        <v>0</v>
      </c>
      <c r="AI268" s="304">
        <f>'Pencapaian Sales Contract'!G268</f>
        <v>0</v>
      </c>
      <c r="AJ268" s="285">
        <f>'Pencapaian Sales Contract'!I268</f>
        <v>0</v>
      </c>
      <c r="AK268" s="304">
        <f>'Pencapaian Co-Branding'!G268</f>
        <v>0</v>
      </c>
      <c r="AL268" s="285">
        <f>'Pencapaian Co-Branding'!I268</f>
        <v>0</v>
      </c>
      <c r="AM268" s="304">
        <f>'Pencapaian Join Event Activity'!G268</f>
        <v>0</v>
      </c>
      <c r="AN268" s="285">
        <f>'Pencapaian Join Event Activity'!I268</f>
        <v>0</v>
      </c>
      <c r="AO268" s="284">
        <f t="shared" si="131"/>
        <v>0</v>
      </c>
      <c r="AP268" s="322">
        <v>0</v>
      </c>
      <c r="AQ268" s="284">
        <f t="shared" si="138"/>
        <v>0</v>
      </c>
      <c r="AR268" s="322">
        <v>0</v>
      </c>
      <c r="AS268" s="284">
        <f t="shared" si="139"/>
        <v>0</v>
      </c>
      <c r="AT268" s="284">
        <f t="shared" si="129"/>
        <v>0</v>
      </c>
      <c r="AU268" s="284">
        <f t="shared" si="141"/>
        <v>0</v>
      </c>
      <c r="AV268" s="284">
        <v>0</v>
      </c>
    </row>
    <row r="269" spans="16:48" x14ac:dyDescent="0.2">
      <c r="P269" s="392"/>
      <c r="Q269" s="321"/>
      <c r="R269" s="323" t="s">
        <v>608</v>
      </c>
      <c r="S269" s="12" t="s">
        <v>675</v>
      </c>
      <c r="T269" s="269">
        <f>'Pencapaian Sales Value'!G269</f>
        <v>0.52934599999999998</v>
      </c>
      <c r="U269" s="284">
        <f>'Pencapaian Sales Value'!I269</f>
        <v>0</v>
      </c>
      <c r="V269" s="304">
        <f>'Pencapaian Product Focus'!H269</f>
        <v>0</v>
      </c>
      <c r="W269" s="304">
        <f>'Pencapaian Product Focus'!L269</f>
        <v>0</v>
      </c>
      <c r="X269" s="285">
        <f>'Pencapaian Product Focus'!N269</f>
        <v>0</v>
      </c>
      <c r="Y269" s="304">
        <f>'Pencapaian Effective Call'!G269</f>
        <v>0</v>
      </c>
      <c r="Z269" s="285">
        <f>'Pencapaian Effective Call'!I269</f>
        <v>0</v>
      </c>
      <c r="AA269" s="304">
        <f>'Pencapaian New Open Outlet'!G269</f>
        <v>0</v>
      </c>
      <c r="AB269" s="285">
        <f>'Pencapaian New Open Outlet'!I269</f>
        <v>0</v>
      </c>
      <c r="AC269" s="269">
        <f>'Pencapaian Active Outlet'!G269</f>
        <v>0.24</v>
      </c>
      <c r="AD269" s="284">
        <f>'Pencapaian Active Outlet'!I269</f>
        <v>0</v>
      </c>
      <c r="AE269" s="304">
        <f>'Pencapaian Item per Outlet'!G269</f>
        <v>0</v>
      </c>
      <c r="AF269" s="285">
        <f>'Pencapaian Item per Outlet'!I269</f>
        <v>0</v>
      </c>
      <c r="AG269" s="304">
        <f>'Pencapaian Product Display'!G269</f>
        <v>0</v>
      </c>
      <c r="AH269" s="285">
        <f>'Pencapaian Product Display'!I269</f>
        <v>0</v>
      </c>
      <c r="AI269" s="304">
        <f>'Pencapaian Sales Contract'!G269</f>
        <v>0</v>
      </c>
      <c r="AJ269" s="285">
        <f>'Pencapaian Sales Contract'!I269</f>
        <v>0</v>
      </c>
      <c r="AK269" s="304">
        <f>'Pencapaian Co-Branding'!G269</f>
        <v>0</v>
      </c>
      <c r="AL269" s="285">
        <f>'Pencapaian Co-Branding'!I269</f>
        <v>0</v>
      </c>
      <c r="AM269" s="304">
        <f>'Pencapaian Join Event Activity'!G269</f>
        <v>0</v>
      </c>
      <c r="AN269" s="285">
        <f>'Pencapaian Join Event Activity'!I269</f>
        <v>0</v>
      </c>
      <c r="AO269" s="284">
        <f t="shared" si="131"/>
        <v>0</v>
      </c>
      <c r="AP269" s="322">
        <v>0</v>
      </c>
      <c r="AQ269" s="284">
        <f t="shared" si="138"/>
        <v>0</v>
      </c>
      <c r="AR269" s="322">
        <v>0</v>
      </c>
      <c r="AS269" s="284">
        <f t="shared" si="139"/>
        <v>0</v>
      </c>
      <c r="AT269" s="284">
        <f t="shared" si="129"/>
        <v>0</v>
      </c>
      <c r="AU269" s="284">
        <f t="shared" si="141"/>
        <v>0</v>
      </c>
      <c r="AV269" s="284">
        <v>0</v>
      </c>
    </row>
    <row r="270" spans="16:48" x14ac:dyDescent="0.2">
      <c r="P270" s="392"/>
      <c r="Q270" s="321"/>
      <c r="R270" s="323" t="s">
        <v>640</v>
      </c>
      <c r="S270" s="12" t="s">
        <v>675</v>
      </c>
      <c r="T270" s="269">
        <f>'Pencapaian Sales Value'!G270</f>
        <v>7.4618000000000004E-2</v>
      </c>
      <c r="U270" s="284">
        <f>'Pencapaian Sales Value'!I270</f>
        <v>0</v>
      </c>
      <c r="V270" s="304">
        <f>'Pencapaian Product Focus'!H270</f>
        <v>0</v>
      </c>
      <c r="W270" s="304">
        <f>'Pencapaian Product Focus'!L270</f>
        <v>0</v>
      </c>
      <c r="X270" s="285">
        <f>'Pencapaian Product Focus'!N270</f>
        <v>0</v>
      </c>
      <c r="Y270" s="304">
        <f>'Pencapaian Effective Call'!G270</f>
        <v>0</v>
      </c>
      <c r="Z270" s="285">
        <f>'Pencapaian Effective Call'!I270</f>
        <v>0</v>
      </c>
      <c r="AA270" s="304">
        <f>'Pencapaian New Open Outlet'!G270</f>
        <v>0</v>
      </c>
      <c r="AB270" s="285">
        <f>'Pencapaian New Open Outlet'!I270</f>
        <v>0</v>
      </c>
      <c r="AC270" s="269">
        <f>'Pencapaian Active Outlet'!G270</f>
        <v>0.2</v>
      </c>
      <c r="AD270" s="284">
        <f>'Pencapaian Active Outlet'!I270</f>
        <v>0</v>
      </c>
      <c r="AE270" s="304">
        <f>'Pencapaian Item per Outlet'!G270</f>
        <v>0</v>
      </c>
      <c r="AF270" s="285">
        <f>'Pencapaian Item per Outlet'!I270</f>
        <v>0</v>
      </c>
      <c r="AG270" s="304">
        <f>'Pencapaian Product Display'!G270</f>
        <v>0</v>
      </c>
      <c r="AH270" s="285">
        <f>'Pencapaian Product Display'!I270</f>
        <v>0</v>
      </c>
      <c r="AI270" s="304">
        <f>'Pencapaian Sales Contract'!G270</f>
        <v>0</v>
      </c>
      <c r="AJ270" s="285">
        <f>'Pencapaian Sales Contract'!I270</f>
        <v>0</v>
      </c>
      <c r="AK270" s="304">
        <f>'Pencapaian Co-Branding'!G270</f>
        <v>0</v>
      </c>
      <c r="AL270" s="285">
        <f>'Pencapaian Co-Branding'!I270</f>
        <v>0</v>
      </c>
      <c r="AM270" s="304">
        <f>'Pencapaian Join Event Activity'!G270</f>
        <v>0</v>
      </c>
      <c r="AN270" s="285">
        <f>'Pencapaian Join Event Activity'!I270</f>
        <v>0</v>
      </c>
      <c r="AO270" s="284">
        <f t="shared" si="131"/>
        <v>0</v>
      </c>
      <c r="AP270" s="322">
        <v>0</v>
      </c>
      <c r="AQ270" s="284">
        <f t="shared" si="138"/>
        <v>0</v>
      </c>
      <c r="AR270" s="322">
        <v>0</v>
      </c>
      <c r="AS270" s="284">
        <f t="shared" si="139"/>
        <v>0</v>
      </c>
      <c r="AT270" s="284">
        <f t="shared" si="129"/>
        <v>0</v>
      </c>
      <c r="AU270" s="284">
        <f t="shared" si="141"/>
        <v>0</v>
      </c>
      <c r="AV270" s="284">
        <v>0</v>
      </c>
    </row>
    <row r="271" spans="16:48" x14ac:dyDescent="0.2">
      <c r="P271" s="392"/>
      <c r="Q271" s="321"/>
      <c r="R271" s="323" t="s">
        <v>851</v>
      </c>
      <c r="S271" s="12" t="s">
        <v>675</v>
      </c>
      <c r="T271" s="269">
        <f>'Pencapaian Sales Value'!G271</f>
        <v>0.26938119999999999</v>
      </c>
      <c r="U271" s="284">
        <f>'Pencapaian Sales Value'!I271</f>
        <v>0</v>
      </c>
      <c r="V271" s="304">
        <f>'Pencapaian Product Focus'!H271</f>
        <v>0</v>
      </c>
      <c r="W271" s="304">
        <f>'Pencapaian Product Focus'!L271</f>
        <v>0</v>
      </c>
      <c r="X271" s="285">
        <f>'Pencapaian Product Focus'!N271</f>
        <v>0</v>
      </c>
      <c r="Y271" s="304">
        <f>'Pencapaian Effective Call'!G271</f>
        <v>0</v>
      </c>
      <c r="Z271" s="285">
        <f>'Pencapaian Effective Call'!I271</f>
        <v>0</v>
      </c>
      <c r="AA271" s="304">
        <f>'Pencapaian New Open Outlet'!G271</f>
        <v>0</v>
      </c>
      <c r="AB271" s="285">
        <f>'Pencapaian New Open Outlet'!I271</f>
        <v>0</v>
      </c>
      <c r="AC271" s="269">
        <f>'Pencapaian Active Outlet'!G271</f>
        <v>0.2</v>
      </c>
      <c r="AD271" s="284">
        <f>'Pencapaian Active Outlet'!I271</f>
        <v>0</v>
      </c>
      <c r="AE271" s="304">
        <f>'Pencapaian Item per Outlet'!G271</f>
        <v>0</v>
      </c>
      <c r="AF271" s="285">
        <f>'Pencapaian Item per Outlet'!I271</f>
        <v>0</v>
      </c>
      <c r="AG271" s="304">
        <f>'Pencapaian Product Display'!G271</f>
        <v>0</v>
      </c>
      <c r="AH271" s="285">
        <f>'Pencapaian Product Display'!I271</f>
        <v>0</v>
      </c>
      <c r="AI271" s="304">
        <f>'Pencapaian Sales Contract'!G271</f>
        <v>0</v>
      </c>
      <c r="AJ271" s="285">
        <f>'Pencapaian Sales Contract'!I271</f>
        <v>0</v>
      </c>
      <c r="AK271" s="304">
        <f>'Pencapaian Co-Branding'!G271</f>
        <v>0</v>
      </c>
      <c r="AL271" s="285">
        <f>'Pencapaian Co-Branding'!I271</f>
        <v>0</v>
      </c>
      <c r="AM271" s="304">
        <f>'Pencapaian Join Event Activity'!G271</f>
        <v>0</v>
      </c>
      <c r="AN271" s="285">
        <f>'Pencapaian Join Event Activity'!I271</f>
        <v>0</v>
      </c>
      <c r="AO271" s="284">
        <f t="shared" si="131"/>
        <v>0</v>
      </c>
      <c r="AP271" s="322">
        <v>0</v>
      </c>
      <c r="AQ271" s="284">
        <f t="shared" si="138"/>
        <v>0</v>
      </c>
      <c r="AR271" s="322">
        <v>0</v>
      </c>
      <c r="AS271" s="284">
        <f t="shared" si="139"/>
        <v>0</v>
      </c>
      <c r="AT271" s="284">
        <f t="shared" si="129"/>
        <v>0</v>
      </c>
      <c r="AU271" s="284">
        <f t="shared" si="141"/>
        <v>0</v>
      </c>
      <c r="AV271" s="284">
        <v>0</v>
      </c>
    </row>
    <row r="272" spans="16:48" ht="14.5" customHeight="1" x14ac:dyDescent="0.2">
      <c r="P272" s="392"/>
      <c r="Q272" s="324"/>
      <c r="R272" s="324" t="s">
        <v>898</v>
      </c>
      <c r="S272" s="64" t="s">
        <v>673</v>
      </c>
      <c r="T272" s="258">
        <f>'Pencapaian Sales Value'!G272</f>
        <v>0.72916592592592588</v>
      </c>
      <c r="U272" s="286">
        <f>'Pencapaian Sales Value'!I272</f>
        <v>0</v>
      </c>
      <c r="V272" s="268">
        <f>'Pencapaian Product Focus'!H272</f>
        <v>0</v>
      </c>
      <c r="W272" s="268">
        <f>'Pencapaian Product Focus'!L272</f>
        <v>0</v>
      </c>
      <c r="X272" s="189">
        <f>'Pencapaian Product Focus'!N272</f>
        <v>0</v>
      </c>
      <c r="Y272" s="268">
        <f>'Pencapaian Effective Call'!G272</f>
        <v>0</v>
      </c>
      <c r="Z272" s="189">
        <f>'Pencapaian Effective Call'!I272</f>
        <v>0</v>
      </c>
      <c r="AA272" s="268">
        <f>'Pencapaian New Open Outlet'!G272</f>
        <v>0</v>
      </c>
      <c r="AB272" s="189">
        <f>'Pencapaian New Open Outlet'!I272</f>
        <v>0</v>
      </c>
      <c r="AC272" s="258">
        <f>'Pencapaian Active Outlet'!G272</f>
        <v>0.24</v>
      </c>
      <c r="AD272" s="286">
        <f>'Pencapaian Active Outlet'!I272</f>
        <v>0</v>
      </c>
      <c r="AE272" s="268">
        <f>'Pencapaian Item per Outlet'!G272</f>
        <v>0</v>
      </c>
      <c r="AF272" s="189">
        <f>'Pencapaian Item per Outlet'!I272</f>
        <v>0</v>
      </c>
      <c r="AG272" s="268">
        <f>'Pencapaian Product Display'!G272</f>
        <v>0</v>
      </c>
      <c r="AH272" s="189">
        <f>'Pencapaian Product Display'!I272</f>
        <v>0</v>
      </c>
      <c r="AI272" s="268">
        <f>'Pencapaian Sales Contract'!G272</f>
        <v>0</v>
      </c>
      <c r="AJ272" s="189">
        <f>'Pencapaian Sales Contract'!I272</f>
        <v>0</v>
      </c>
      <c r="AK272" s="268">
        <f>'Pencapaian Co-Branding'!G272</f>
        <v>0</v>
      </c>
      <c r="AL272" s="189">
        <f>'Pencapaian Co-Branding'!I272</f>
        <v>0</v>
      </c>
      <c r="AM272" s="268">
        <f>'Pencapaian Join Event Activity'!G272</f>
        <v>0</v>
      </c>
      <c r="AN272" s="189">
        <f>'Pencapaian Join Event Activity'!I272</f>
        <v>0</v>
      </c>
      <c r="AO272" s="286">
        <f t="shared" si="131"/>
        <v>0</v>
      </c>
      <c r="AP272" s="289">
        <v>0</v>
      </c>
      <c r="AQ272" s="286">
        <f t="shared" si="138"/>
        <v>0</v>
      </c>
      <c r="AR272" s="289">
        <v>0</v>
      </c>
      <c r="AS272" s="286">
        <f t="shared" si="139"/>
        <v>0</v>
      </c>
      <c r="AT272" s="286">
        <f t="shared" si="129"/>
        <v>0</v>
      </c>
      <c r="AU272" s="286">
        <f t="shared" si="141"/>
        <v>0</v>
      </c>
      <c r="AV272" s="286">
        <v>0</v>
      </c>
    </row>
    <row r="273" spans="16:48" ht="14.5" customHeight="1" x14ac:dyDescent="0.2">
      <c r="P273" s="392"/>
      <c r="Q273" s="324"/>
      <c r="R273" s="324" t="s">
        <v>897</v>
      </c>
      <c r="S273" s="64" t="s">
        <v>20</v>
      </c>
      <c r="T273" s="258">
        <f>'Pencapaian Sales Value'!G273</f>
        <v>0.54383725257069404</v>
      </c>
      <c r="U273" s="286">
        <f>'Pencapaian Sales Value'!I273</f>
        <v>0</v>
      </c>
      <c r="V273" s="268">
        <f>'Pencapaian Product Focus'!H273</f>
        <v>0</v>
      </c>
      <c r="W273" s="268">
        <f>'Pencapaian Product Focus'!L273</f>
        <v>0</v>
      </c>
      <c r="X273" s="189">
        <f>'Pencapaian Product Focus'!N273</f>
        <v>0</v>
      </c>
      <c r="Y273" s="268">
        <f>'Pencapaian Effective Call'!G273</f>
        <v>0</v>
      </c>
      <c r="Z273" s="189">
        <f>'Pencapaian Effective Call'!I273</f>
        <v>0</v>
      </c>
      <c r="AA273" s="268">
        <f>'Pencapaian New Open Outlet'!G273</f>
        <v>0</v>
      </c>
      <c r="AB273" s="189">
        <f>'Pencapaian New Open Outlet'!I273</f>
        <v>0</v>
      </c>
      <c r="AC273" s="258">
        <f>'Pencapaian Active Outlet'!G273</f>
        <v>0.30337078651685395</v>
      </c>
      <c r="AD273" s="286">
        <f>'Pencapaian Active Outlet'!I273</f>
        <v>0</v>
      </c>
      <c r="AE273" s="268">
        <f>'Pencapaian Item per Outlet'!G273</f>
        <v>0</v>
      </c>
      <c r="AF273" s="189">
        <f>'Pencapaian Item per Outlet'!I273</f>
        <v>0</v>
      </c>
      <c r="AG273" s="268">
        <f>'Pencapaian Product Display'!G273</f>
        <v>0</v>
      </c>
      <c r="AH273" s="189">
        <f>'Pencapaian Product Display'!I273</f>
        <v>0</v>
      </c>
      <c r="AI273" s="268">
        <f>'Pencapaian Sales Contract'!G273</f>
        <v>0</v>
      </c>
      <c r="AJ273" s="189">
        <f>'Pencapaian Sales Contract'!I273</f>
        <v>0</v>
      </c>
      <c r="AK273" s="268">
        <f>'Pencapaian Co-Branding'!G273</f>
        <v>0</v>
      </c>
      <c r="AL273" s="189">
        <f>'Pencapaian Co-Branding'!I273</f>
        <v>0</v>
      </c>
      <c r="AM273" s="268">
        <f>'Pencapaian Join Event Activity'!G273</f>
        <v>0</v>
      </c>
      <c r="AN273" s="189">
        <f>'Pencapaian Join Event Activity'!I273</f>
        <v>0</v>
      </c>
      <c r="AO273" s="286">
        <f t="shared" si="131"/>
        <v>0</v>
      </c>
      <c r="AP273" s="289">
        <v>0</v>
      </c>
      <c r="AQ273" s="286">
        <f t="shared" si="138"/>
        <v>0</v>
      </c>
      <c r="AR273" s="289">
        <v>0</v>
      </c>
      <c r="AS273" s="286">
        <f t="shared" si="139"/>
        <v>0</v>
      </c>
      <c r="AT273" s="286">
        <f t="shared" si="129"/>
        <v>0</v>
      </c>
      <c r="AU273" s="286">
        <f t="shared" si="141"/>
        <v>0</v>
      </c>
      <c r="AV273" s="286">
        <v>0</v>
      </c>
    </row>
    <row r="274" spans="16:48" x14ac:dyDescent="0.2">
      <c r="P274" s="393"/>
      <c r="Q274" s="325"/>
      <c r="R274" s="325" t="s">
        <v>639</v>
      </c>
      <c r="S274" s="42"/>
      <c r="T274" s="264">
        <f>'Pencapaian Sales Value'!G274</f>
        <v>0.58794207843137258</v>
      </c>
      <c r="U274" s="287">
        <f>'Pencapaian Sales Value'!I274</f>
        <v>180000</v>
      </c>
      <c r="V274" s="274">
        <f>'Pencapaian Product Focus'!H274</f>
        <v>0</v>
      </c>
      <c r="W274" s="274">
        <f>'Pencapaian Product Focus'!L274</f>
        <v>0</v>
      </c>
      <c r="X274" s="190">
        <f>'Pencapaian Product Focus'!N274</f>
        <v>0</v>
      </c>
      <c r="Y274" s="274">
        <f>'Pencapaian Effective Call'!G274</f>
        <v>0</v>
      </c>
      <c r="Z274" s="190">
        <f>'Pencapaian Effective Call'!I274</f>
        <v>0</v>
      </c>
      <c r="AA274" s="274">
        <f>'Pencapaian New Open Outlet'!G274</f>
        <v>0</v>
      </c>
      <c r="AB274" s="190">
        <f>'Pencapaian New Open Outlet'!I274</f>
        <v>0</v>
      </c>
      <c r="AC274" s="264">
        <f>'Pencapaian Active Outlet'!G274</f>
        <v>0.18461538461538463</v>
      </c>
      <c r="AD274" s="287">
        <f>'Pencapaian Active Outlet'!I274</f>
        <v>0</v>
      </c>
      <c r="AE274" s="274">
        <f>'Pencapaian Item per Outlet'!G274</f>
        <v>0</v>
      </c>
      <c r="AF274" s="190">
        <f>'Pencapaian Item per Outlet'!I274</f>
        <v>0</v>
      </c>
      <c r="AG274" s="274">
        <f>'Pencapaian Product Display'!G274</f>
        <v>0</v>
      </c>
      <c r="AH274" s="190">
        <f>'Pencapaian Product Display'!I274</f>
        <v>0</v>
      </c>
      <c r="AI274" s="274">
        <f>'Pencapaian Sales Contract'!G274</f>
        <v>0</v>
      </c>
      <c r="AJ274" s="190">
        <f>'Pencapaian Sales Contract'!I274</f>
        <v>0</v>
      </c>
      <c r="AK274" s="274">
        <f>'Pencapaian Co-Branding'!G274</f>
        <v>0</v>
      </c>
      <c r="AL274" s="190">
        <f>'Pencapaian Co-Branding'!I274</f>
        <v>0</v>
      </c>
      <c r="AM274" s="274">
        <f>'Pencapaian Join Event Activity'!G274</f>
        <v>0</v>
      </c>
      <c r="AN274" s="190">
        <f>'Pencapaian Join Event Activity'!I274</f>
        <v>0</v>
      </c>
      <c r="AO274" s="287">
        <f t="shared" si="131"/>
        <v>180000</v>
      </c>
      <c r="AP274" s="290">
        <v>0</v>
      </c>
      <c r="AQ274" s="287">
        <f>SUM(AQ260:AQ273)</f>
        <v>0</v>
      </c>
      <c r="AR274" s="290">
        <v>0</v>
      </c>
      <c r="AS274" s="287">
        <f>SUM(AS260:AS273)</f>
        <v>0</v>
      </c>
      <c r="AT274" s="287">
        <f t="shared" si="129"/>
        <v>180000</v>
      </c>
      <c r="AU274" s="287">
        <f>SUM(AU260:AU273)</f>
        <v>180000</v>
      </c>
      <c r="AV274" s="287">
        <f>SUM(AV260:AV273)</f>
        <v>0</v>
      </c>
    </row>
    <row r="275" spans="16:48" x14ac:dyDescent="0.2">
      <c r="P275" s="395" t="s">
        <v>641</v>
      </c>
      <c r="Q275" s="321"/>
      <c r="R275" s="323" t="s">
        <v>902</v>
      </c>
      <c r="S275" s="12"/>
      <c r="T275" s="269" t="e">
        <f>'Pencapaian Sales Value'!G275</f>
        <v>#DIV/0!</v>
      </c>
      <c r="U275" s="284">
        <f>'Pencapaian Sales Value'!I275</f>
        <v>0</v>
      </c>
      <c r="V275" s="304">
        <f>'Pencapaian Product Focus'!H275</f>
        <v>0</v>
      </c>
      <c r="W275" s="304">
        <f>'Pencapaian Product Focus'!L275</f>
        <v>0</v>
      </c>
      <c r="X275" s="285">
        <f>'Pencapaian Product Focus'!N275</f>
        <v>0</v>
      </c>
      <c r="Y275" s="304">
        <f>'Pencapaian Effective Call'!G275</f>
        <v>0</v>
      </c>
      <c r="Z275" s="285">
        <f>'Pencapaian Effective Call'!I275</f>
        <v>0</v>
      </c>
      <c r="AA275" s="304">
        <f>'Pencapaian New Open Outlet'!G275</f>
        <v>0</v>
      </c>
      <c r="AB275" s="285">
        <f>'Pencapaian New Open Outlet'!I275</f>
        <v>0</v>
      </c>
      <c r="AC275" s="269" t="e">
        <f>'Pencapaian Active Outlet'!G275</f>
        <v>#DIV/0!</v>
      </c>
      <c r="AD275" s="284">
        <f>'Pencapaian Active Outlet'!I275</f>
        <v>0</v>
      </c>
      <c r="AE275" s="304">
        <f>'Pencapaian Item per Outlet'!G275</f>
        <v>0</v>
      </c>
      <c r="AF275" s="285">
        <f>'Pencapaian Item per Outlet'!I275</f>
        <v>0</v>
      </c>
      <c r="AG275" s="304">
        <f>'Pencapaian Product Display'!G275</f>
        <v>0</v>
      </c>
      <c r="AH275" s="285">
        <f>'Pencapaian Product Display'!I275</f>
        <v>0</v>
      </c>
      <c r="AI275" s="304">
        <f>'Pencapaian Sales Contract'!G275</f>
        <v>0</v>
      </c>
      <c r="AJ275" s="285">
        <f>'Pencapaian Sales Contract'!I275</f>
        <v>0</v>
      </c>
      <c r="AK275" s="304">
        <f>'Pencapaian Co-Branding'!G275</f>
        <v>0</v>
      </c>
      <c r="AL275" s="285">
        <f>'Pencapaian Co-Branding'!I275</f>
        <v>0</v>
      </c>
      <c r="AM275" s="304">
        <f>'Pencapaian Join Event Activity'!G275</f>
        <v>0</v>
      </c>
      <c r="AN275" s="285">
        <f>'Pencapaian Join Event Activity'!I275</f>
        <v>0</v>
      </c>
      <c r="AO275" s="284">
        <f t="shared" si="131"/>
        <v>0</v>
      </c>
      <c r="AP275" s="322">
        <v>0</v>
      </c>
      <c r="AQ275" s="284">
        <f t="shared" si="138"/>
        <v>0</v>
      </c>
      <c r="AR275" s="322">
        <v>0</v>
      </c>
      <c r="AS275" s="284">
        <f t="shared" si="139"/>
        <v>0</v>
      </c>
      <c r="AT275" s="284">
        <f t="shared" si="129"/>
        <v>0</v>
      </c>
      <c r="AU275" s="284">
        <f t="shared" ref="AU275:AU279" si="142">AT275</f>
        <v>0</v>
      </c>
      <c r="AV275" s="284">
        <v>0</v>
      </c>
    </row>
    <row r="276" spans="16:48" x14ac:dyDescent="0.2">
      <c r="P276" s="392"/>
      <c r="Q276" s="321"/>
      <c r="R276" s="323" t="s">
        <v>852</v>
      </c>
      <c r="S276" s="12" t="s">
        <v>675</v>
      </c>
      <c r="T276" s="269">
        <f>'Pencapaian Sales Value'!G276</f>
        <v>0.33029533333333333</v>
      </c>
      <c r="U276" s="284">
        <f>'Pencapaian Sales Value'!I276</f>
        <v>0</v>
      </c>
      <c r="V276" s="304">
        <f>'Pencapaian Product Focus'!H276</f>
        <v>0</v>
      </c>
      <c r="W276" s="304">
        <f>'Pencapaian Product Focus'!L276</f>
        <v>0</v>
      </c>
      <c r="X276" s="285">
        <f>'Pencapaian Product Focus'!N276</f>
        <v>0</v>
      </c>
      <c r="Y276" s="304">
        <f>'Pencapaian Effective Call'!G276</f>
        <v>0</v>
      </c>
      <c r="Z276" s="285">
        <f>'Pencapaian Effective Call'!I276</f>
        <v>0</v>
      </c>
      <c r="AA276" s="304">
        <f>'Pencapaian New Open Outlet'!G276</f>
        <v>0</v>
      </c>
      <c r="AB276" s="285">
        <f>'Pencapaian New Open Outlet'!I276</f>
        <v>0</v>
      </c>
      <c r="AC276" s="269">
        <f>'Pencapaian Active Outlet'!G276</f>
        <v>0.36</v>
      </c>
      <c r="AD276" s="284">
        <f>'Pencapaian Active Outlet'!I276</f>
        <v>0</v>
      </c>
      <c r="AE276" s="304">
        <f>'Pencapaian Item per Outlet'!G276</f>
        <v>0</v>
      </c>
      <c r="AF276" s="285">
        <f>'Pencapaian Item per Outlet'!I276</f>
        <v>0</v>
      </c>
      <c r="AG276" s="304">
        <f>'Pencapaian Product Display'!G276</f>
        <v>0</v>
      </c>
      <c r="AH276" s="285">
        <f>'Pencapaian Product Display'!I276</f>
        <v>0</v>
      </c>
      <c r="AI276" s="304">
        <f>'Pencapaian Sales Contract'!G276</f>
        <v>0</v>
      </c>
      <c r="AJ276" s="285">
        <f>'Pencapaian Sales Contract'!I276</f>
        <v>0</v>
      </c>
      <c r="AK276" s="304">
        <f>'Pencapaian Co-Branding'!G276</f>
        <v>0</v>
      </c>
      <c r="AL276" s="285">
        <f>'Pencapaian Co-Branding'!I276</f>
        <v>0</v>
      </c>
      <c r="AM276" s="304">
        <f>'Pencapaian Join Event Activity'!G276</f>
        <v>0</v>
      </c>
      <c r="AN276" s="285">
        <f>'Pencapaian Join Event Activity'!I276</f>
        <v>0</v>
      </c>
      <c r="AO276" s="284">
        <f t="shared" si="131"/>
        <v>0</v>
      </c>
      <c r="AP276" s="322">
        <v>0</v>
      </c>
      <c r="AQ276" s="284">
        <f t="shared" si="138"/>
        <v>0</v>
      </c>
      <c r="AR276" s="322">
        <v>0</v>
      </c>
      <c r="AS276" s="284">
        <f t="shared" si="139"/>
        <v>0</v>
      </c>
      <c r="AT276" s="284">
        <f t="shared" si="129"/>
        <v>0</v>
      </c>
      <c r="AU276" s="284">
        <f t="shared" si="142"/>
        <v>0</v>
      </c>
      <c r="AV276" s="284">
        <v>0</v>
      </c>
    </row>
    <row r="277" spans="16:48" x14ac:dyDescent="0.2">
      <c r="P277" s="392"/>
      <c r="Q277" s="321"/>
      <c r="R277" s="323" t="s">
        <v>853</v>
      </c>
      <c r="S277" s="12" t="s">
        <v>675</v>
      </c>
      <c r="T277" s="269">
        <f>'Pencapaian Sales Value'!G277</f>
        <v>0.20923</v>
      </c>
      <c r="U277" s="284">
        <f>'Pencapaian Sales Value'!I277</f>
        <v>0</v>
      </c>
      <c r="V277" s="304">
        <f>'Pencapaian Product Focus'!H277</f>
        <v>0</v>
      </c>
      <c r="W277" s="304">
        <f>'Pencapaian Product Focus'!L277</f>
        <v>0</v>
      </c>
      <c r="X277" s="285">
        <f>'Pencapaian Product Focus'!N277</f>
        <v>0</v>
      </c>
      <c r="Y277" s="304">
        <f>'Pencapaian Effective Call'!G277</f>
        <v>0</v>
      </c>
      <c r="Z277" s="285">
        <f>'Pencapaian Effective Call'!I277</f>
        <v>0</v>
      </c>
      <c r="AA277" s="304">
        <f>'Pencapaian New Open Outlet'!G277</f>
        <v>0</v>
      </c>
      <c r="AB277" s="285">
        <f>'Pencapaian New Open Outlet'!I277</f>
        <v>0</v>
      </c>
      <c r="AC277" s="269">
        <f>'Pencapaian Active Outlet'!G277</f>
        <v>0.16</v>
      </c>
      <c r="AD277" s="284">
        <f>'Pencapaian Active Outlet'!I277</f>
        <v>0</v>
      </c>
      <c r="AE277" s="304">
        <f>'Pencapaian Item per Outlet'!G277</f>
        <v>0</v>
      </c>
      <c r="AF277" s="285">
        <f>'Pencapaian Item per Outlet'!I277</f>
        <v>0</v>
      </c>
      <c r="AG277" s="304">
        <f>'Pencapaian Product Display'!G277</f>
        <v>0</v>
      </c>
      <c r="AH277" s="285">
        <f>'Pencapaian Product Display'!I277</f>
        <v>0</v>
      </c>
      <c r="AI277" s="304">
        <f>'Pencapaian Sales Contract'!G277</f>
        <v>0</v>
      </c>
      <c r="AJ277" s="285">
        <f>'Pencapaian Sales Contract'!I277</f>
        <v>0</v>
      </c>
      <c r="AK277" s="304">
        <f>'Pencapaian Co-Branding'!G277</f>
        <v>0</v>
      </c>
      <c r="AL277" s="285">
        <f>'Pencapaian Co-Branding'!I277</f>
        <v>0</v>
      </c>
      <c r="AM277" s="304">
        <f>'Pencapaian Join Event Activity'!G277</f>
        <v>0</v>
      </c>
      <c r="AN277" s="285">
        <f>'Pencapaian Join Event Activity'!I277</f>
        <v>0</v>
      </c>
      <c r="AO277" s="284">
        <f t="shared" si="131"/>
        <v>0</v>
      </c>
      <c r="AP277" s="322">
        <v>0</v>
      </c>
      <c r="AQ277" s="284">
        <f t="shared" si="138"/>
        <v>0</v>
      </c>
      <c r="AR277" s="322">
        <v>0</v>
      </c>
      <c r="AS277" s="284">
        <f t="shared" si="139"/>
        <v>0</v>
      </c>
      <c r="AT277" s="284">
        <f t="shared" si="129"/>
        <v>0</v>
      </c>
      <c r="AU277" s="284">
        <f t="shared" si="142"/>
        <v>0</v>
      </c>
      <c r="AV277" s="284">
        <v>0</v>
      </c>
    </row>
    <row r="278" spans="16:48" ht="14.5" customHeight="1" x14ac:dyDescent="0.2">
      <c r="P278" s="392"/>
      <c r="Q278" s="321"/>
      <c r="R278" s="323" t="s">
        <v>854</v>
      </c>
      <c r="S278" s="12" t="s">
        <v>675</v>
      </c>
      <c r="T278" s="269" t="e">
        <f>'Pencapaian Sales Value'!G278</f>
        <v>#DIV/0!</v>
      </c>
      <c r="U278" s="284">
        <f>'Pencapaian Sales Value'!I278</f>
        <v>0</v>
      </c>
      <c r="V278" s="304">
        <f>'Pencapaian Product Focus'!H278</f>
        <v>0</v>
      </c>
      <c r="W278" s="304">
        <f>'Pencapaian Product Focus'!L278</f>
        <v>0</v>
      </c>
      <c r="X278" s="285">
        <f>'Pencapaian Product Focus'!N278</f>
        <v>0</v>
      </c>
      <c r="Y278" s="304">
        <f>'Pencapaian Effective Call'!G278</f>
        <v>0</v>
      </c>
      <c r="Z278" s="285">
        <f>'Pencapaian Effective Call'!I278</f>
        <v>0</v>
      </c>
      <c r="AA278" s="304">
        <f>'Pencapaian New Open Outlet'!G278</f>
        <v>0</v>
      </c>
      <c r="AB278" s="285">
        <f>'Pencapaian New Open Outlet'!I278</f>
        <v>0</v>
      </c>
      <c r="AC278" s="269" t="e">
        <f>'Pencapaian Active Outlet'!G278</f>
        <v>#DIV/0!</v>
      </c>
      <c r="AD278" s="284">
        <f>'Pencapaian Active Outlet'!I278</f>
        <v>0</v>
      </c>
      <c r="AE278" s="304">
        <f>'Pencapaian Item per Outlet'!G278</f>
        <v>0</v>
      </c>
      <c r="AF278" s="285">
        <f>'Pencapaian Item per Outlet'!I278</f>
        <v>0</v>
      </c>
      <c r="AG278" s="304">
        <f>'Pencapaian Product Display'!G278</f>
        <v>0</v>
      </c>
      <c r="AH278" s="285">
        <f>'Pencapaian Product Display'!I278</f>
        <v>0</v>
      </c>
      <c r="AI278" s="304">
        <f>'Pencapaian Sales Contract'!G278</f>
        <v>0</v>
      </c>
      <c r="AJ278" s="285">
        <f>'Pencapaian Sales Contract'!I278</f>
        <v>0</v>
      </c>
      <c r="AK278" s="304">
        <f>'Pencapaian Co-Branding'!G278</f>
        <v>0</v>
      </c>
      <c r="AL278" s="285">
        <f>'Pencapaian Co-Branding'!I278</f>
        <v>0</v>
      </c>
      <c r="AM278" s="304">
        <f>'Pencapaian Join Event Activity'!G278</f>
        <v>0</v>
      </c>
      <c r="AN278" s="285">
        <f>'Pencapaian Join Event Activity'!I278</f>
        <v>0</v>
      </c>
      <c r="AO278" s="284">
        <f t="shared" si="131"/>
        <v>0</v>
      </c>
      <c r="AP278" s="322">
        <v>0</v>
      </c>
      <c r="AQ278" s="284">
        <f t="shared" si="138"/>
        <v>0</v>
      </c>
      <c r="AR278" s="322">
        <v>0</v>
      </c>
      <c r="AS278" s="284">
        <f t="shared" si="139"/>
        <v>0</v>
      </c>
      <c r="AT278" s="284">
        <f t="shared" si="129"/>
        <v>0</v>
      </c>
      <c r="AU278" s="284">
        <f t="shared" si="142"/>
        <v>0</v>
      </c>
      <c r="AV278" s="284">
        <v>0</v>
      </c>
    </row>
    <row r="279" spans="16:48" ht="14.5" customHeight="1" x14ac:dyDescent="0.2">
      <c r="P279" s="392"/>
      <c r="Q279" s="324"/>
      <c r="R279" s="324" t="s">
        <v>746</v>
      </c>
      <c r="S279" s="64" t="s">
        <v>673</v>
      </c>
      <c r="T279" s="258">
        <f>'Pencapaian Sales Value'!G279</f>
        <v>0.29983033333333331</v>
      </c>
      <c r="U279" s="286">
        <f>'Pencapaian Sales Value'!I279</f>
        <v>0</v>
      </c>
      <c r="V279" s="268">
        <f>'Pencapaian Product Focus'!H279</f>
        <v>0</v>
      </c>
      <c r="W279" s="268">
        <f>'Pencapaian Product Focus'!L279</f>
        <v>0</v>
      </c>
      <c r="X279" s="189">
        <f>'Pencapaian Product Focus'!N279</f>
        <v>0</v>
      </c>
      <c r="Y279" s="268">
        <f>'Pencapaian Effective Call'!G279</f>
        <v>0</v>
      </c>
      <c r="Z279" s="189">
        <f>'Pencapaian Effective Call'!I279</f>
        <v>0</v>
      </c>
      <c r="AA279" s="268">
        <f>'Pencapaian New Open Outlet'!G279</f>
        <v>0</v>
      </c>
      <c r="AB279" s="189">
        <f>'Pencapaian New Open Outlet'!I279</f>
        <v>0</v>
      </c>
      <c r="AC279" s="258">
        <f>'Pencapaian Active Outlet'!G279</f>
        <v>0.3</v>
      </c>
      <c r="AD279" s="286">
        <f>'Pencapaian Active Outlet'!I279</f>
        <v>0</v>
      </c>
      <c r="AE279" s="268">
        <f>'Pencapaian Item per Outlet'!G279</f>
        <v>0</v>
      </c>
      <c r="AF279" s="189">
        <f>'Pencapaian Item per Outlet'!I279</f>
        <v>0</v>
      </c>
      <c r="AG279" s="268">
        <f>'Pencapaian Product Display'!G279</f>
        <v>0</v>
      </c>
      <c r="AH279" s="189">
        <f>'Pencapaian Product Display'!I279</f>
        <v>0</v>
      </c>
      <c r="AI279" s="268">
        <f>'Pencapaian Sales Contract'!G279</f>
        <v>0</v>
      </c>
      <c r="AJ279" s="189">
        <f>'Pencapaian Sales Contract'!I279</f>
        <v>0</v>
      </c>
      <c r="AK279" s="268">
        <f>'Pencapaian Co-Branding'!G279</f>
        <v>0</v>
      </c>
      <c r="AL279" s="189">
        <f>'Pencapaian Co-Branding'!I279</f>
        <v>0</v>
      </c>
      <c r="AM279" s="268">
        <f>'Pencapaian Join Event Activity'!G279</f>
        <v>0</v>
      </c>
      <c r="AN279" s="189">
        <f>'Pencapaian Join Event Activity'!I279</f>
        <v>0</v>
      </c>
      <c r="AO279" s="286">
        <f t="shared" si="131"/>
        <v>0</v>
      </c>
      <c r="AP279" s="289">
        <v>0</v>
      </c>
      <c r="AQ279" s="286">
        <f t="shared" si="138"/>
        <v>0</v>
      </c>
      <c r="AR279" s="289">
        <v>0</v>
      </c>
      <c r="AS279" s="286">
        <f t="shared" si="139"/>
        <v>0</v>
      </c>
      <c r="AT279" s="286">
        <f t="shared" si="129"/>
        <v>0</v>
      </c>
      <c r="AU279" s="286">
        <f t="shared" si="142"/>
        <v>0</v>
      </c>
      <c r="AV279" s="286">
        <v>0</v>
      </c>
    </row>
    <row r="280" spans="16:48" x14ac:dyDescent="0.2">
      <c r="P280" s="393"/>
      <c r="Q280" s="325"/>
      <c r="R280" s="325" t="s">
        <v>642</v>
      </c>
      <c r="S280" s="42"/>
      <c r="T280" s="264">
        <f>'Pencapaian Sales Value'!G280</f>
        <v>0.29983033333333331</v>
      </c>
      <c r="U280" s="287">
        <f>'Pencapaian Sales Value'!I280</f>
        <v>0</v>
      </c>
      <c r="V280" s="274">
        <f>'Pencapaian Product Focus'!H280</f>
        <v>0</v>
      </c>
      <c r="W280" s="274">
        <f>'Pencapaian Product Focus'!L280</f>
        <v>0</v>
      </c>
      <c r="X280" s="190">
        <f>'Pencapaian Product Focus'!N280</f>
        <v>0</v>
      </c>
      <c r="Y280" s="274">
        <f>'Pencapaian Effective Call'!G280</f>
        <v>0</v>
      </c>
      <c r="Z280" s="190">
        <f>'Pencapaian Effective Call'!I280</f>
        <v>0</v>
      </c>
      <c r="AA280" s="274">
        <f>'Pencapaian New Open Outlet'!G280</f>
        <v>0</v>
      </c>
      <c r="AB280" s="190">
        <f>'Pencapaian New Open Outlet'!I280</f>
        <v>0</v>
      </c>
      <c r="AC280" s="264">
        <f>'Pencapaian Active Outlet'!G280</f>
        <v>0.3</v>
      </c>
      <c r="AD280" s="287">
        <f>'Pencapaian Active Outlet'!I280</f>
        <v>0</v>
      </c>
      <c r="AE280" s="274">
        <f>'Pencapaian Item per Outlet'!G280</f>
        <v>0</v>
      </c>
      <c r="AF280" s="190">
        <f>'Pencapaian Item per Outlet'!I280</f>
        <v>0</v>
      </c>
      <c r="AG280" s="274">
        <f>'Pencapaian Product Display'!G280</f>
        <v>0</v>
      </c>
      <c r="AH280" s="190">
        <f>'Pencapaian Product Display'!I280</f>
        <v>0</v>
      </c>
      <c r="AI280" s="274">
        <f>'Pencapaian Sales Contract'!G280</f>
        <v>0</v>
      </c>
      <c r="AJ280" s="190">
        <f>'Pencapaian Sales Contract'!I280</f>
        <v>0</v>
      </c>
      <c r="AK280" s="274">
        <f>'Pencapaian Co-Branding'!G280</f>
        <v>0</v>
      </c>
      <c r="AL280" s="190">
        <f>'Pencapaian Co-Branding'!I280</f>
        <v>0</v>
      </c>
      <c r="AM280" s="274">
        <f>'Pencapaian Join Event Activity'!G280</f>
        <v>0</v>
      </c>
      <c r="AN280" s="190">
        <f>'Pencapaian Join Event Activity'!I280</f>
        <v>0</v>
      </c>
      <c r="AO280" s="287">
        <f t="shared" si="131"/>
        <v>0</v>
      </c>
      <c r="AP280" s="290">
        <v>0</v>
      </c>
      <c r="AQ280" s="287">
        <f>SUM(AQ275:AQ279)</f>
        <v>0</v>
      </c>
      <c r="AR280" s="290">
        <v>0</v>
      </c>
      <c r="AS280" s="287">
        <f>SUM(AS275:AS279)</f>
        <v>0</v>
      </c>
      <c r="AT280" s="287">
        <f t="shared" si="129"/>
        <v>0</v>
      </c>
      <c r="AU280" s="287">
        <f>SUM(AU275:AU279)</f>
        <v>0</v>
      </c>
      <c r="AV280" s="287">
        <f>SUM(AV275:AV279)</f>
        <v>0</v>
      </c>
    </row>
    <row r="281" spans="16:48" x14ac:dyDescent="0.2">
      <c r="P281" s="326"/>
      <c r="Q281" s="326"/>
      <c r="R281" s="326" t="s">
        <v>643</v>
      </c>
      <c r="S281" s="209"/>
      <c r="T281" s="305">
        <f>'Pencapaian Sales Value'!G281</f>
        <v>0.55761452631578945</v>
      </c>
      <c r="U281" s="288">
        <f>'Pencapaian Sales Value'!I281</f>
        <v>180000</v>
      </c>
      <c r="V281" s="274">
        <f>'Pencapaian Product Focus'!H281</f>
        <v>0</v>
      </c>
      <c r="W281" s="274">
        <f>'Pencapaian Product Focus'!L281</f>
        <v>0</v>
      </c>
      <c r="X281" s="190">
        <f>'Pencapaian Product Focus'!N281</f>
        <v>0</v>
      </c>
      <c r="Y281" s="274">
        <f>'Pencapaian Effective Call'!G281</f>
        <v>0</v>
      </c>
      <c r="Z281" s="190">
        <f>'Pencapaian Effective Call'!I281</f>
        <v>0</v>
      </c>
      <c r="AA281" s="274">
        <f>'Pencapaian New Open Outlet'!G281</f>
        <v>0</v>
      </c>
      <c r="AB281" s="190">
        <f>'Pencapaian New Open Outlet'!I281</f>
        <v>0</v>
      </c>
      <c r="AC281" s="305">
        <f>'Pencapaian Active Outlet'!G281</f>
        <v>0.20322580645161289</v>
      </c>
      <c r="AD281" s="288">
        <f>'Pencapaian Active Outlet'!I281</f>
        <v>0</v>
      </c>
      <c r="AE281" s="274">
        <f>'Pencapaian Item per Outlet'!G281</f>
        <v>0</v>
      </c>
      <c r="AF281" s="190">
        <f>'Pencapaian Item per Outlet'!I281</f>
        <v>0</v>
      </c>
      <c r="AG281" s="274">
        <f>'Pencapaian Product Display'!G281</f>
        <v>0</v>
      </c>
      <c r="AH281" s="190">
        <f>'Pencapaian Product Display'!I281</f>
        <v>0</v>
      </c>
      <c r="AI281" s="274">
        <f>'Pencapaian Sales Contract'!G281</f>
        <v>0</v>
      </c>
      <c r="AJ281" s="190">
        <f>'Pencapaian Sales Contract'!I281</f>
        <v>0</v>
      </c>
      <c r="AK281" s="274">
        <f>'Pencapaian Co-Branding'!G281</f>
        <v>0</v>
      </c>
      <c r="AL281" s="190">
        <f>'Pencapaian Co-Branding'!I281</f>
        <v>0</v>
      </c>
      <c r="AM281" s="274">
        <f>'Pencapaian Join Event Activity'!G281</f>
        <v>0</v>
      </c>
      <c r="AN281" s="190">
        <f>'Pencapaian Join Event Activity'!I281</f>
        <v>0</v>
      </c>
      <c r="AO281" s="288">
        <f t="shared" si="131"/>
        <v>180000</v>
      </c>
      <c r="AP281" s="291">
        <v>0</v>
      </c>
      <c r="AQ281" s="288">
        <f>SUM(AQ280,AQ274)</f>
        <v>0</v>
      </c>
      <c r="AR281" s="291">
        <v>0</v>
      </c>
      <c r="AS281" s="288">
        <f>SUM(AS280,AS274)</f>
        <v>0</v>
      </c>
      <c r="AT281" s="288">
        <f t="shared" si="129"/>
        <v>180000</v>
      </c>
      <c r="AU281" s="288">
        <f>SUM(AU280,AU274)</f>
        <v>180000</v>
      </c>
      <c r="AV281" s="288">
        <f>SUM(AV280,AV274)</f>
        <v>0</v>
      </c>
    </row>
    <row r="282" spans="16:48" x14ac:dyDescent="0.2">
      <c r="P282" s="395" t="s">
        <v>644</v>
      </c>
      <c r="Q282" s="321"/>
      <c r="R282" s="323" t="s">
        <v>646</v>
      </c>
      <c r="S282" s="12" t="s">
        <v>675</v>
      </c>
      <c r="T282" s="269">
        <f>'Pencapaian Sales Value'!G282</f>
        <v>7.2900000000000006E-2</v>
      </c>
      <c r="U282" s="284">
        <f>'Pencapaian Sales Value'!I282</f>
        <v>0</v>
      </c>
      <c r="V282" s="304">
        <f>'Pencapaian Product Focus'!H282</f>
        <v>0</v>
      </c>
      <c r="W282" s="304">
        <f>'Pencapaian Product Focus'!L282</f>
        <v>0</v>
      </c>
      <c r="X282" s="285">
        <f>'Pencapaian Product Focus'!N282</f>
        <v>0</v>
      </c>
      <c r="Y282" s="304">
        <f>'Pencapaian Effective Call'!G282</f>
        <v>0</v>
      </c>
      <c r="Z282" s="285">
        <f>'Pencapaian Effective Call'!I282</f>
        <v>0</v>
      </c>
      <c r="AA282" s="304">
        <f>'Pencapaian New Open Outlet'!G282</f>
        <v>0</v>
      </c>
      <c r="AB282" s="285">
        <f>'Pencapaian New Open Outlet'!I282</f>
        <v>0</v>
      </c>
      <c r="AC282" s="269">
        <f>'Pencapaian Active Outlet'!G282</f>
        <v>3.3333333333333333E-2</v>
      </c>
      <c r="AD282" s="284">
        <f>'Pencapaian Active Outlet'!I282</f>
        <v>0</v>
      </c>
      <c r="AE282" s="304">
        <f>'Pencapaian Item per Outlet'!G282</f>
        <v>0</v>
      </c>
      <c r="AF282" s="285">
        <f>'Pencapaian Item per Outlet'!I282</f>
        <v>0</v>
      </c>
      <c r="AG282" s="304">
        <f>'Pencapaian Product Display'!G282</f>
        <v>0</v>
      </c>
      <c r="AH282" s="285">
        <f>'Pencapaian Product Display'!I282</f>
        <v>0</v>
      </c>
      <c r="AI282" s="304">
        <f>'Pencapaian Sales Contract'!G282</f>
        <v>0</v>
      </c>
      <c r="AJ282" s="285">
        <f>'Pencapaian Sales Contract'!I282</f>
        <v>0</v>
      </c>
      <c r="AK282" s="304">
        <f>'Pencapaian Co-Branding'!G282</f>
        <v>0</v>
      </c>
      <c r="AL282" s="285">
        <f>'Pencapaian Co-Branding'!I282</f>
        <v>0</v>
      </c>
      <c r="AM282" s="304">
        <f>'Pencapaian Join Event Activity'!G282</f>
        <v>0</v>
      </c>
      <c r="AN282" s="285">
        <f>'Pencapaian Join Event Activity'!I282</f>
        <v>0</v>
      </c>
      <c r="AO282" s="284">
        <f t="shared" si="131"/>
        <v>0</v>
      </c>
      <c r="AP282" s="322">
        <v>0</v>
      </c>
      <c r="AQ282" s="284">
        <f t="shared" si="138"/>
        <v>0</v>
      </c>
      <c r="AR282" s="322">
        <v>0</v>
      </c>
      <c r="AS282" s="284">
        <f t="shared" si="139"/>
        <v>0</v>
      </c>
      <c r="AT282" s="284">
        <f t="shared" si="129"/>
        <v>0</v>
      </c>
      <c r="AU282" s="284">
        <f t="shared" ref="AU282:AU287" si="143">AT282</f>
        <v>0</v>
      </c>
      <c r="AV282" s="284">
        <v>0</v>
      </c>
    </row>
    <row r="283" spans="16:48" x14ac:dyDescent="0.2">
      <c r="P283" s="392"/>
      <c r="Q283" s="321"/>
      <c r="R283" s="323" t="s">
        <v>791</v>
      </c>
      <c r="S283" s="12" t="s">
        <v>675</v>
      </c>
      <c r="T283" s="269">
        <f>'Pencapaian Sales Value'!G283</f>
        <v>2.7167666666666666E-2</v>
      </c>
      <c r="U283" s="284">
        <f>'Pencapaian Sales Value'!I283</f>
        <v>0</v>
      </c>
      <c r="V283" s="304">
        <f>'Pencapaian Product Focus'!H283</f>
        <v>0</v>
      </c>
      <c r="W283" s="304">
        <f>'Pencapaian Product Focus'!L283</f>
        <v>0</v>
      </c>
      <c r="X283" s="285">
        <f>'Pencapaian Product Focus'!N283</f>
        <v>0</v>
      </c>
      <c r="Y283" s="304">
        <f>'Pencapaian Effective Call'!G283</f>
        <v>0</v>
      </c>
      <c r="Z283" s="285">
        <f>'Pencapaian Effective Call'!I283</f>
        <v>0</v>
      </c>
      <c r="AA283" s="304">
        <f>'Pencapaian New Open Outlet'!G283</f>
        <v>0</v>
      </c>
      <c r="AB283" s="285">
        <f>'Pencapaian New Open Outlet'!I283</f>
        <v>0</v>
      </c>
      <c r="AC283" s="269">
        <f>'Pencapaian Active Outlet'!G283</f>
        <v>0.16666666666666666</v>
      </c>
      <c r="AD283" s="284">
        <f>'Pencapaian Active Outlet'!I283</f>
        <v>0</v>
      </c>
      <c r="AE283" s="304">
        <f>'Pencapaian Item per Outlet'!G283</f>
        <v>0</v>
      </c>
      <c r="AF283" s="285">
        <f>'Pencapaian Item per Outlet'!I283</f>
        <v>0</v>
      </c>
      <c r="AG283" s="304">
        <f>'Pencapaian Product Display'!G283</f>
        <v>0</v>
      </c>
      <c r="AH283" s="285">
        <f>'Pencapaian Product Display'!I283</f>
        <v>0</v>
      </c>
      <c r="AI283" s="304">
        <f>'Pencapaian Sales Contract'!G283</f>
        <v>0</v>
      </c>
      <c r="AJ283" s="285">
        <f>'Pencapaian Sales Contract'!I283</f>
        <v>0</v>
      </c>
      <c r="AK283" s="304">
        <f>'Pencapaian Co-Branding'!G283</f>
        <v>0</v>
      </c>
      <c r="AL283" s="285">
        <f>'Pencapaian Co-Branding'!I283</f>
        <v>0</v>
      </c>
      <c r="AM283" s="304">
        <f>'Pencapaian Join Event Activity'!G283</f>
        <v>0</v>
      </c>
      <c r="AN283" s="285">
        <f>'Pencapaian Join Event Activity'!I283</f>
        <v>0</v>
      </c>
      <c r="AO283" s="284">
        <f t="shared" si="131"/>
        <v>0</v>
      </c>
      <c r="AP283" s="322">
        <v>0</v>
      </c>
      <c r="AQ283" s="284">
        <f t="shared" si="138"/>
        <v>0</v>
      </c>
      <c r="AR283" s="322">
        <v>0</v>
      </c>
      <c r="AS283" s="284">
        <f t="shared" si="139"/>
        <v>0</v>
      </c>
      <c r="AT283" s="284">
        <f t="shared" si="129"/>
        <v>0</v>
      </c>
      <c r="AU283" s="284">
        <f t="shared" si="143"/>
        <v>0</v>
      </c>
      <c r="AV283" s="284">
        <v>0</v>
      </c>
    </row>
    <row r="284" spans="16:48" x14ac:dyDescent="0.2">
      <c r="P284" s="392"/>
      <c r="Q284" s="321"/>
      <c r="R284" s="323" t="s">
        <v>647</v>
      </c>
      <c r="S284" s="12" t="s">
        <v>675</v>
      </c>
      <c r="T284" s="269">
        <f>'Pencapaian Sales Value'!G284</f>
        <v>9.9224999999999994E-2</v>
      </c>
      <c r="U284" s="284">
        <f>'Pencapaian Sales Value'!I284</f>
        <v>0</v>
      </c>
      <c r="V284" s="304">
        <f>'Pencapaian Product Focus'!H284</f>
        <v>0</v>
      </c>
      <c r="W284" s="304">
        <f>'Pencapaian Product Focus'!L284</f>
        <v>0</v>
      </c>
      <c r="X284" s="285">
        <f>'Pencapaian Product Focus'!N284</f>
        <v>0</v>
      </c>
      <c r="Y284" s="304">
        <f>'Pencapaian Effective Call'!G284</f>
        <v>0</v>
      </c>
      <c r="Z284" s="285">
        <f>'Pencapaian Effective Call'!I284</f>
        <v>0</v>
      </c>
      <c r="AA284" s="304">
        <f>'Pencapaian New Open Outlet'!G284</f>
        <v>0</v>
      </c>
      <c r="AB284" s="285">
        <f>'Pencapaian New Open Outlet'!I284</f>
        <v>0</v>
      </c>
      <c r="AC284" s="269">
        <f>'Pencapaian Active Outlet'!G284</f>
        <v>0.04</v>
      </c>
      <c r="AD284" s="284">
        <f>'Pencapaian Active Outlet'!I284</f>
        <v>0</v>
      </c>
      <c r="AE284" s="304">
        <f>'Pencapaian Item per Outlet'!G284</f>
        <v>0</v>
      </c>
      <c r="AF284" s="285">
        <f>'Pencapaian Item per Outlet'!I284</f>
        <v>0</v>
      </c>
      <c r="AG284" s="304">
        <f>'Pencapaian Product Display'!G284</f>
        <v>0</v>
      </c>
      <c r="AH284" s="285">
        <f>'Pencapaian Product Display'!I284</f>
        <v>0</v>
      </c>
      <c r="AI284" s="304">
        <f>'Pencapaian Sales Contract'!G284</f>
        <v>0</v>
      </c>
      <c r="AJ284" s="285">
        <f>'Pencapaian Sales Contract'!I284</f>
        <v>0</v>
      </c>
      <c r="AK284" s="304">
        <f>'Pencapaian Co-Branding'!G284</f>
        <v>0</v>
      </c>
      <c r="AL284" s="285">
        <f>'Pencapaian Co-Branding'!I284</f>
        <v>0</v>
      </c>
      <c r="AM284" s="304">
        <f>'Pencapaian Join Event Activity'!G284</f>
        <v>0</v>
      </c>
      <c r="AN284" s="285">
        <f>'Pencapaian Join Event Activity'!I284</f>
        <v>0</v>
      </c>
      <c r="AO284" s="284">
        <f t="shared" si="131"/>
        <v>0</v>
      </c>
      <c r="AP284" s="322">
        <v>0</v>
      </c>
      <c r="AQ284" s="284">
        <f t="shared" si="138"/>
        <v>0</v>
      </c>
      <c r="AR284" s="322">
        <v>0</v>
      </c>
      <c r="AS284" s="284">
        <f t="shared" si="139"/>
        <v>0</v>
      </c>
      <c r="AT284" s="284">
        <f t="shared" si="129"/>
        <v>0</v>
      </c>
      <c r="AU284" s="284">
        <f t="shared" si="143"/>
        <v>0</v>
      </c>
      <c r="AV284" s="284">
        <v>0</v>
      </c>
    </row>
    <row r="285" spans="16:48" x14ac:dyDescent="0.2">
      <c r="P285" s="392"/>
      <c r="Q285" s="321"/>
      <c r="R285" s="323" t="s">
        <v>857</v>
      </c>
      <c r="S285" s="12" t="s">
        <v>675</v>
      </c>
      <c r="T285" s="269">
        <f>'Pencapaian Sales Value'!G285</f>
        <v>-5.4999999999999997E-3</v>
      </c>
      <c r="U285" s="284">
        <f>'Pencapaian Sales Value'!I285</f>
        <v>0</v>
      </c>
      <c r="V285" s="304">
        <f>'Pencapaian Product Focus'!H285</f>
        <v>0</v>
      </c>
      <c r="W285" s="304">
        <f>'Pencapaian Product Focus'!L285</f>
        <v>0</v>
      </c>
      <c r="X285" s="285">
        <f>'Pencapaian Product Focus'!N285</f>
        <v>0</v>
      </c>
      <c r="Y285" s="304">
        <f>'Pencapaian Effective Call'!G285</f>
        <v>0</v>
      </c>
      <c r="Z285" s="285">
        <f>'Pencapaian Effective Call'!I285</f>
        <v>0</v>
      </c>
      <c r="AA285" s="304">
        <f>'Pencapaian New Open Outlet'!G285</f>
        <v>0</v>
      </c>
      <c r="AB285" s="285">
        <f>'Pencapaian New Open Outlet'!I285</f>
        <v>0</v>
      </c>
      <c r="AC285" s="269">
        <f>'Pencapaian Active Outlet'!G285</f>
        <v>0</v>
      </c>
      <c r="AD285" s="284">
        <f>'Pencapaian Active Outlet'!I285</f>
        <v>0</v>
      </c>
      <c r="AE285" s="304">
        <f>'Pencapaian Item per Outlet'!G285</f>
        <v>0</v>
      </c>
      <c r="AF285" s="285">
        <f>'Pencapaian Item per Outlet'!I285</f>
        <v>0</v>
      </c>
      <c r="AG285" s="304">
        <f>'Pencapaian Product Display'!G285</f>
        <v>0</v>
      </c>
      <c r="AH285" s="285">
        <f>'Pencapaian Product Display'!I285</f>
        <v>0</v>
      </c>
      <c r="AI285" s="304">
        <f>'Pencapaian Sales Contract'!G285</f>
        <v>0</v>
      </c>
      <c r="AJ285" s="285">
        <f>'Pencapaian Sales Contract'!I285</f>
        <v>0</v>
      </c>
      <c r="AK285" s="304">
        <f>'Pencapaian Co-Branding'!G285</f>
        <v>0</v>
      </c>
      <c r="AL285" s="285">
        <f>'Pencapaian Co-Branding'!I285</f>
        <v>0</v>
      </c>
      <c r="AM285" s="304">
        <f>'Pencapaian Join Event Activity'!G285</f>
        <v>0</v>
      </c>
      <c r="AN285" s="285">
        <f>'Pencapaian Join Event Activity'!I285</f>
        <v>0</v>
      </c>
      <c r="AO285" s="284">
        <f t="shared" si="131"/>
        <v>0</v>
      </c>
      <c r="AP285" s="322">
        <v>0</v>
      </c>
      <c r="AQ285" s="284">
        <f t="shared" ref="AQ285:AQ312" si="144">IF(AP285&gt;=0.5%,-(AO285*10%),0)</f>
        <v>0</v>
      </c>
      <c r="AR285" s="322">
        <v>0</v>
      </c>
      <c r="AS285" s="284">
        <f t="shared" ref="AS285:AS312" si="145">IF(AR285&gt;0,-(AO285+AQ285),0)</f>
        <v>0</v>
      </c>
      <c r="AT285" s="284">
        <f t="shared" ref="AT285:AT315" si="146">SUM(AS285,AQ285,AO285)</f>
        <v>0</v>
      </c>
      <c r="AU285" s="284">
        <f t="shared" si="143"/>
        <v>0</v>
      </c>
      <c r="AV285" s="284">
        <v>0</v>
      </c>
    </row>
    <row r="286" spans="16:48" x14ac:dyDescent="0.2">
      <c r="P286" s="392"/>
      <c r="Q286" s="321"/>
      <c r="R286" s="323" t="s">
        <v>648</v>
      </c>
      <c r="S286" s="12" t="s">
        <v>675</v>
      </c>
      <c r="T286" s="269">
        <f>'Pencapaian Sales Value'!G286</f>
        <v>8.175E-3</v>
      </c>
      <c r="U286" s="284">
        <f>'Pencapaian Sales Value'!I286</f>
        <v>0</v>
      </c>
      <c r="V286" s="304">
        <f>'Pencapaian Product Focus'!H286</f>
        <v>0</v>
      </c>
      <c r="W286" s="304">
        <f>'Pencapaian Product Focus'!L286</f>
        <v>0</v>
      </c>
      <c r="X286" s="285">
        <f>'Pencapaian Product Focus'!N286</f>
        <v>0</v>
      </c>
      <c r="Y286" s="304">
        <f>'Pencapaian Effective Call'!G286</f>
        <v>0</v>
      </c>
      <c r="Z286" s="285">
        <f>'Pencapaian Effective Call'!I286</f>
        <v>0</v>
      </c>
      <c r="AA286" s="304">
        <f>'Pencapaian New Open Outlet'!G286</f>
        <v>0</v>
      </c>
      <c r="AB286" s="285">
        <f>'Pencapaian New Open Outlet'!I286</f>
        <v>0</v>
      </c>
      <c r="AC286" s="269">
        <f>'Pencapaian Active Outlet'!G286</f>
        <v>0.10101010101010101</v>
      </c>
      <c r="AD286" s="284">
        <f>'Pencapaian Active Outlet'!I286</f>
        <v>0</v>
      </c>
      <c r="AE286" s="304">
        <f>'Pencapaian Item per Outlet'!G286</f>
        <v>0</v>
      </c>
      <c r="AF286" s="285">
        <f>'Pencapaian Item per Outlet'!I286</f>
        <v>0</v>
      </c>
      <c r="AG286" s="304">
        <f>'Pencapaian Product Display'!G286</f>
        <v>0</v>
      </c>
      <c r="AH286" s="285">
        <f>'Pencapaian Product Display'!I286</f>
        <v>0</v>
      </c>
      <c r="AI286" s="304">
        <f>'Pencapaian Sales Contract'!G286</f>
        <v>0</v>
      </c>
      <c r="AJ286" s="285">
        <f>'Pencapaian Sales Contract'!I286</f>
        <v>0</v>
      </c>
      <c r="AK286" s="304">
        <f>'Pencapaian Co-Branding'!G286</f>
        <v>0</v>
      </c>
      <c r="AL286" s="285">
        <f>'Pencapaian Co-Branding'!I286</f>
        <v>0</v>
      </c>
      <c r="AM286" s="304">
        <f>'Pencapaian Join Event Activity'!G286</f>
        <v>0</v>
      </c>
      <c r="AN286" s="285">
        <f>'Pencapaian Join Event Activity'!I286</f>
        <v>0</v>
      </c>
      <c r="AO286" s="284">
        <f t="shared" ref="AO286:AO315" si="147">SUM(AN286,AL286,AJ286,AH286,AF286,AD286,AB286,Z286,X286,U286)</f>
        <v>0</v>
      </c>
      <c r="AP286" s="322">
        <v>0</v>
      </c>
      <c r="AQ286" s="284">
        <f t="shared" si="144"/>
        <v>0</v>
      </c>
      <c r="AR286" s="322">
        <v>0</v>
      </c>
      <c r="AS286" s="284">
        <f t="shared" si="145"/>
        <v>0</v>
      </c>
      <c r="AT286" s="284">
        <f t="shared" si="146"/>
        <v>0</v>
      </c>
      <c r="AU286" s="284">
        <f t="shared" si="143"/>
        <v>0</v>
      </c>
      <c r="AV286" s="284">
        <v>0</v>
      </c>
    </row>
    <row r="287" spans="16:48" x14ac:dyDescent="0.2">
      <c r="P287" s="392"/>
      <c r="Q287" s="324"/>
      <c r="R287" s="324" t="s">
        <v>747</v>
      </c>
      <c r="S287" s="64" t="s">
        <v>673</v>
      </c>
      <c r="T287" s="258">
        <f>'Pencapaian Sales Value'!G287</f>
        <v>4.6463533333333334E-2</v>
      </c>
      <c r="U287" s="286">
        <f>'Pencapaian Sales Value'!I287</f>
        <v>0</v>
      </c>
      <c r="V287" s="268">
        <f>'Pencapaian Product Focus'!H287</f>
        <v>0</v>
      </c>
      <c r="W287" s="268">
        <f>'Pencapaian Product Focus'!L287</f>
        <v>0</v>
      </c>
      <c r="X287" s="189">
        <f>'Pencapaian Product Focus'!N287</f>
        <v>0</v>
      </c>
      <c r="Y287" s="268">
        <f>'Pencapaian Effective Call'!G287</f>
        <v>0</v>
      </c>
      <c r="Z287" s="189">
        <f>'Pencapaian Effective Call'!I287</f>
        <v>0</v>
      </c>
      <c r="AA287" s="268">
        <f>'Pencapaian New Open Outlet'!G287</f>
        <v>0</v>
      </c>
      <c r="AB287" s="189">
        <f>'Pencapaian New Open Outlet'!I287</f>
        <v>0</v>
      </c>
      <c r="AC287" s="258">
        <f>'Pencapaian Active Outlet'!G287</f>
        <v>6.6765578635014824E-2</v>
      </c>
      <c r="AD287" s="286">
        <f>'Pencapaian Active Outlet'!I287</f>
        <v>0</v>
      </c>
      <c r="AE287" s="268">
        <f>'Pencapaian Item per Outlet'!G287</f>
        <v>0</v>
      </c>
      <c r="AF287" s="189">
        <f>'Pencapaian Item per Outlet'!I287</f>
        <v>0</v>
      </c>
      <c r="AG287" s="268">
        <f>'Pencapaian Product Display'!G287</f>
        <v>0</v>
      </c>
      <c r="AH287" s="189">
        <f>'Pencapaian Product Display'!I287</f>
        <v>0</v>
      </c>
      <c r="AI287" s="268">
        <f>'Pencapaian Sales Contract'!G287</f>
        <v>0</v>
      </c>
      <c r="AJ287" s="189">
        <f>'Pencapaian Sales Contract'!I287</f>
        <v>0</v>
      </c>
      <c r="AK287" s="268">
        <f>'Pencapaian Co-Branding'!G287</f>
        <v>0</v>
      </c>
      <c r="AL287" s="189">
        <f>'Pencapaian Co-Branding'!I287</f>
        <v>0</v>
      </c>
      <c r="AM287" s="268">
        <f>'Pencapaian Join Event Activity'!G287</f>
        <v>0</v>
      </c>
      <c r="AN287" s="189">
        <f>'Pencapaian Join Event Activity'!I287</f>
        <v>0</v>
      </c>
      <c r="AO287" s="286">
        <f t="shared" si="147"/>
        <v>0</v>
      </c>
      <c r="AP287" s="289">
        <v>0</v>
      </c>
      <c r="AQ287" s="286">
        <f t="shared" si="144"/>
        <v>0</v>
      </c>
      <c r="AR287" s="289">
        <v>0</v>
      </c>
      <c r="AS287" s="286">
        <f t="shared" si="145"/>
        <v>0</v>
      </c>
      <c r="AT287" s="286">
        <f t="shared" si="146"/>
        <v>0</v>
      </c>
      <c r="AU287" s="286">
        <f t="shared" si="143"/>
        <v>0</v>
      </c>
      <c r="AV287" s="286">
        <v>0</v>
      </c>
    </row>
    <row r="288" spans="16:48" x14ac:dyDescent="0.2">
      <c r="P288" s="393"/>
      <c r="Q288" s="325"/>
      <c r="R288" s="325" t="s">
        <v>645</v>
      </c>
      <c r="S288" s="42"/>
      <c r="T288" s="264">
        <f>'Pencapaian Sales Value'!G288</f>
        <v>4.6463533333333334E-2</v>
      </c>
      <c r="U288" s="287">
        <f>'Pencapaian Sales Value'!I288</f>
        <v>0</v>
      </c>
      <c r="V288" s="274">
        <f>'Pencapaian Product Focus'!H288</f>
        <v>0</v>
      </c>
      <c r="W288" s="274">
        <f>'Pencapaian Product Focus'!L288</f>
        <v>0</v>
      </c>
      <c r="X288" s="190">
        <f>'Pencapaian Product Focus'!N288</f>
        <v>0</v>
      </c>
      <c r="Y288" s="274">
        <f>'Pencapaian Effective Call'!G288</f>
        <v>0</v>
      </c>
      <c r="Z288" s="190">
        <f>'Pencapaian Effective Call'!I288</f>
        <v>0</v>
      </c>
      <c r="AA288" s="274">
        <f>'Pencapaian New Open Outlet'!G288</f>
        <v>0</v>
      </c>
      <c r="AB288" s="190">
        <f>'Pencapaian New Open Outlet'!I288</f>
        <v>0</v>
      </c>
      <c r="AC288" s="264">
        <f>'Pencapaian Active Outlet'!G288</f>
        <v>6.6765578635014824E-2</v>
      </c>
      <c r="AD288" s="287">
        <f>'Pencapaian Active Outlet'!I288</f>
        <v>0</v>
      </c>
      <c r="AE288" s="274">
        <f>'Pencapaian Item per Outlet'!G288</f>
        <v>0</v>
      </c>
      <c r="AF288" s="190">
        <f>'Pencapaian Item per Outlet'!I288</f>
        <v>0</v>
      </c>
      <c r="AG288" s="274">
        <f>'Pencapaian Product Display'!G288</f>
        <v>0</v>
      </c>
      <c r="AH288" s="190">
        <f>'Pencapaian Product Display'!I288</f>
        <v>0</v>
      </c>
      <c r="AI288" s="274">
        <f>'Pencapaian Sales Contract'!G288</f>
        <v>0</v>
      </c>
      <c r="AJ288" s="190">
        <f>'Pencapaian Sales Contract'!I288</f>
        <v>0</v>
      </c>
      <c r="AK288" s="274">
        <f>'Pencapaian Co-Branding'!G288</f>
        <v>0</v>
      </c>
      <c r="AL288" s="190">
        <f>'Pencapaian Co-Branding'!I288</f>
        <v>0</v>
      </c>
      <c r="AM288" s="274">
        <f>'Pencapaian Join Event Activity'!G288</f>
        <v>0</v>
      </c>
      <c r="AN288" s="190">
        <f>'Pencapaian Join Event Activity'!I288</f>
        <v>0</v>
      </c>
      <c r="AO288" s="287">
        <f t="shared" si="147"/>
        <v>0</v>
      </c>
      <c r="AP288" s="290">
        <v>0</v>
      </c>
      <c r="AQ288" s="287">
        <f>SUM(AQ282:AQ287)</f>
        <v>0</v>
      </c>
      <c r="AR288" s="290">
        <v>0</v>
      </c>
      <c r="AS288" s="287">
        <f>SUM(AS282:AS287)</f>
        <v>0</v>
      </c>
      <c r="AT288" s="287">
        <f t="shared" si="146"/>
        <v>0</v>
      </c>
      <c r="AU288" s="287">
        <f>SUM(AU282:AU287)</f>
        <v>0</v>
      </c>
      <c r="AV288" s="287">
        <f>SUM(AV282:AV287)</f>
        <v>0</v>
      </c>
    </row>
    <row r="289" spans="16:48" x14ac:dyDescent="0.2">
      <c r="P289" s="392" t="s">
        <v>858</v>
      </c>
      <c r="Q289" s="321"/>
      <c r="R289" s="323" t="s">
        <v>855</v>
      </c>
      <c r="S289" s="12" t="s">
        <v>675</v>
      </c>
      <c r="T289" s="269" t="e">
        <f>'Pencapaian Sales Value'!G289</f>
        <v>#DIV/0!</v>
      </c>
      <c r="U289" s="284">
        <f>'Pencapaian Sales Value'!I289</f>
        <v>0</v>
      </c>
      <c r="V289" s="304">
        <f>'Pencapaian Product Focus'!H289</f>
        <v>0</v>
      </c>
      <c r="W289" s="304">
        <f>'Pencapaian Product Focus'!L289</f>
        <v>0</v>
      </c>
      <c r="X289" s="285">
        <f>'Pencapaian Product Focus'!N289</f>
        <v>0</v>
      </c>
      <c r="Y289" s="304">
        <f>'Pencapaian Effective Call'!G289</f>
        <v>0</v>
      </c>
      <c r="Z289" s="285">
        <f>'Pencapaian Effective Call'!I289</f>
        <v>0</v>
      </c>
      <c r="AA289" s="304">
        <f>'Pencapaian New Open Outlet'!G289</f>
        <v>0</v>
      </c>
      <c r="AB289" s="285">
        <f>'Pencapaian New Open Outlet'!I289</f>
        <v>0</v>
      </c>
      <c r="AC289" s="269" t="e">
        <f>'Pencapaian Active Outlet'!G289</f>
        <v>#DIV/0!</v>
      </c>
      <c r="AD289" s="284">
        <f>'Pencapaian Active Outlet'!I289</f>
        <v>0</v>
      </c>
      <c r="AE289" s="304">
        <f>'Pencapaian Item per Outlet'!G289</f>
        <v>0</v>
      </c>
      <c r="AF289" s="285">
        <f>'Pencapaian Item per Outlet'!I289</f>
        <v>0</v>
      </c>
      <c r="AG289" s="304">
        <f>'Pencapaian Product Display'!G289</f>
        <v>0</v>
      </c>
      <c r="AH289" s="285">
        <f>'Pencapaian Product Display'!I289</f>
        <v>0</v>
      </c>
      <c r="AI289" s="304">
        <f>'Pencapaian Sales Contract'!G289</f>
        <v>0</v>
      </c>
      <c r="AJ289" s="285">
        <f>'Pencapaian Sales Contract'!I289</f>
        <v>0</v>
      </c>
      <c r="AK289" s="304">
        <f>'Pencapaian Co-Branding'!G289</f>
        <v>0</v>
      </c>
      <c r="AL289" s="285">
        <f>'Pencapaian Co-Branding'!I289</f>
        <v>0</v>
      </c>
      <c r="AM289" s="304">
        <f>'Pencapaian Join Event Activity'!G289</f>
        <v>0</v>
      </c>
      <c r="AN289" s="285">
        <f>'Pencapaian Join Event Activity'!I289</f>
        <v>0</v>
      </c>
      <c r="AO289" s="284">
        <f t="shared" si="147"/>
        <v>0</v>
      </c>
      <c r="AP289" s="322">
        <v>0</v>
      </c>
      <c r="AQ289" s="284">
        <f t="shared" si="144"/>
        <v>0</v>
      </c>
      <c r="AR289" s="322">
        <v>0</v>
      </c>
      <c r="AS289" s="284">
        <f t="shared" si="145"/>
        <v>0</v>
      </c>
      <c r="AT289" s="284">
        <f t="shared" si="146"/>
        <v>0</v>
      </c>
      <c r="AU289" s="284">
        <f t="shared" ref="AU289:AU291" si="148">AT289</f>
        <v>0</v>
      </c>
      <c r="AV289" s="284">
        <v>0</v>
      </c>
    </row>
    <row r="290" spans="16:48" x14ac:dyDescent="0.2">
      <c r="P290" s="392"/>
      <c r="Q290" s="321"/>
      <c r="R290" s="323" t="s">
        <v>856</v>
      </c>
      <c r="S290" s="12" t="s">
        <v>675</v>
      </c>
      <c r="T290" s="269" t="e">
        <f>'Pencapaian Sales Value'!G290</f>
        <v>#DIV/0!</v>
      </c>
      <c r="U290" s="284">
        <f>'Pencapaian Sales Value'!I290</f>
        <v>0</v>
      </c>
      <c r="V290" s="304">
        <f>'Pencapaian Product Focus'!H290</f>
        <v>0</v>
      </c>
      <c r="W290" s="304">
        <f>'Pencapaian Product Focus'!L290</f>
        <v>0</v>
      </c>
      <c r="X290" s="285">
        <f>'Pencapaian Product Focus'!N290</f>
        <v>0</v>
      </c>
      <c r="Y290" s="304">
        <f>'Pencapaian Effective Call'!G290</f>
        <v>0</v>
      </c>
      <c r="Z290" s="285">
        <f>'Pencapaian Effective Call'!I290</f>
        <v>0</v>
      </c>
      <c r="AA290" s="304">
        <f>'Pencapaian New Open Outlet'!G290</f>
        <v>0</v>
      </c>
      <c r="AB290" s="285">
        <f>'Pencapaian New Open Outlet'!I290</f>
        <v>0</v>
      </c>
      <c r="AC290" s="269" t="e">
        <f>'Pencapaian Active Outlet'!G290</f>
        <v>#DIV/0!</v>
      </c>
      <c r="AD290" s="284">
        <f>'Pencapaian Active Outlet'!I290</f>
        <v>0</v>
      </c>
      <c r="AE290" s="304">
        <f>'Pencapaian Item per Outlet'!G290</f>
        <v>0</v>
      </c>
      <c r="AF290" s="285">
        <f>'Pencapaian Item per Outlet'!I290</f>
        <v>0</v>
      </c>
      <c r="AG290" s="304">
        <f>'Pencapaian Product Display'!G290</f>
        <v>0</v>
      </c>
      <c r="AH290" s="285">
        <f>'Pencapaian Product Display'!I290</f>
        <v>0</v>
      </c>
      <c r="AI290" s="304">
        <f>'Pencapaian Sales Contract'!G290</f>
        <v>0</v>
      </c>
      <c r="AJ290" s="285">
        <f>'Pencapaian Sales Contract'!I290</f>
        <v>0</v>
      </c>
      <c r="AK290" s="304">
        <f>'Pencapaian Co-Branding'!G290</f>
        <v>0</v>
      </c>
      <c r="AL290" s="285">
        <f>'Pencapaian Co-Branding'!I290</f>
        <v>0</v>
      </c>
      <c r="AM290" s="304">
        <f>'Pencapaian Join Event Activity'!G290</f>
        <v>0</v>
      </c>
      <c r="AN290" s="285">
        <f>'Pencapaian Join Event Activity'!I290</f>
        <v>0</v>
      </c>
      <c r="AO290" s="284">
        <f t="shared" si="147"/>
        <v>0</v>
      </c>
      <c r="AP290" s="322">
        <v>0</v>
      </c>
      <c r="AQ290" s="284">
        <f t="shared" si="144"/>
        <v>0</v>
      </c>
      <c r="AR290" s="322">
        <v>0</v>
      </c>
      <c r="AS290" s="284">
        <f t="shared" si="145"/>
        <v>0</v>
      </c>
      <c r="AT290" s="284">
        <f t="shared" si="146"/>
        <v>0</v>
      </c>
      <c r="AU290" s="284">
        <f t="shared" si="148"/>
        <v>0</v>
      </c>
      <c r="AV290" s="284">
        <v>0</v>
      </c>
    </row>
    <row r="291" spans="16:48" x14ac:dyDescent="0.2">
      <c r="P291" s="392"/>
      <c r="Q291" s="324"/>
      <c r="R291" s="324" t="s">
        <v>899</v>
      </c>
      <c r="S291" s="64" t="s">
        <v>673</v>
      </c>
      <c r="T291" s="258" t="e">
        <f>'Pencapaian Sales Value'!G291</f>
        <v>#DIV/0!</v>
      </c>
      <c r="U291" s="286">
        <f>'Pencapaian Sales Value'!I291</f>
        <v>0</v>
      </c>
      <c r="V291" s="268">
        <f>'Pencapaian Product Focus'!H291</f>
        <v>0</v>
      </c>
      <c r="W291" s="268">
        <f>'Pencapaian Product Focus'!L291</f>
        <v>0</v>
      </c>
      <c r="X291" s="189">
        <f>'Pencapaian Product Focus'!N291</f>
        <v>0</v>
      </c>
      <c r="Y291" s="268">
        <f>'Pencapaian Effective Call'!G291</f>
        <v>0</v>
      </c>
      <c r="Z291" s="189">
        <f>'Pencapaian Effective Call'!I291</f>
        <v>0</v>
      </c>
      <c r="AA291" s="268">
        <f>'Pencapaian New Open Outlet'!G291</f>
        <v>0</v>
      </c>
      <c r="AB291" s="189">
        <f>'Pencapaian New Open Outlet'!I291</f>
        <v>0</v>
      </c>
      <c r="AC291" s="258" t="e">
        <f>'Pencapaian Active Outlet'!G291</f>
        <v>#DIV/0!</v>
      </c>
      <c r="AD291" s="286">
        <f>'Pencapaian Active Outlet'!I291</f>
        <v>0</v>
      </c>
      <c r="AE291" s="268">
        <f>'Pencapaian Item per Outlet'!G291</f>
        <v>0</v>
      </c>
      <c r="AF291" s="189">
        <f>'Pencapaian Item per Outlet'!I291</f>
        <v>0</v>
      </c>
      <c r="AG291" s="268">
        <f>'Pencapaian Product Display'!G291</f>
        <v>0</v>
      </c>
      <c r="AH291" s="189">
        <f>'Pencapaian Product Display'!I291</f>
        <v>0</v>
      </c>
      <c r="AI291" s="268">
        <f>'Pencapaian Sales Contract'!G291</f>
        <v>0</v>
      </c>
      <c r="AJ291" s="189">
        <f>'Pencapaian Sales Contract'!I291</f>
        <v>0</v>
      </c>
      <c r="AK291" s="268">
        <f>'Pencapaian Co-Branding'!G291</f>
        <v>0</v>
      </c>
      <c r="AL291" s="189">
        <f>'Pencapaian Co-Branding'!I291</f>
        <v>0</v>
      </c>
      <c r="AM291" s="268">
        <f>'Pencapaian Join Event Activity'!G291</f>
        <v>0</v>
      </c>
      <c r="AN291" s="189">
        <f>'Pencapaian Join Event Activity'!I291</f>
        <v>0</v>
      </c>
      <c r="AO291" s="286">
        <f t="shared" si="147"/>
        <v>0</v>
      </c>
      <c r="AP291" s="289">
        <v>0</v>
      </c>
      <c r="AQ291" s="286">
        <f t="shared" si="144"/>
        <v>0</v>
      </c>
      <c r="AR291" s="289">
        <v>0</v>
      </c>
      <c r="AS291" s="286">
        <f t="shared" si="145"/>
        <v>0</v>
      </c>
      <c r="AT291" s="286">
        <f t="shared" si="146"/>
        <v>0</v>
      </c>
      <c r="AU291" s="286">
        <f t="shared" si="148"/>
        <v>0</v>
      </c>
      <c r="AV291" s="286">
        <v>0</v>
      </c>
    </row>
    <row r="292" spans="16:48" x14ac:dyDescent="0.2">
      <c r="P292" s="393"/>
      <c r="Q292" s="325"/>
      <c r="R292" s="325" t="s">
        <v>860</v>
      </c>
      <c r="S292" s="42"/>
      <c r="T292" s="264" t="e">
        <f>'Pencapaian Sales Value'!G292</f>
        <v>#DIV/0!</v>
      </c>
      <c r="U292" s="287">
        <f>'Pencapaian Sales Value'!I292</f>
        <v>0</v>
      </c>
      <c r="V292" s="274">
        <f>'Pencapaian Product Focus'!H292</f>
        <v>0</v>
      </c>
      <c r="W292" s="274">
        <f>'Pencapaian Product Focus'!L292</f>
        <v>0</v>
      </c>
      <c r="X292" s="190">
        <f>'Pencapaian Product Focus'!N292</f>
        <v>0</v>
      </c>
      <c r="Y292" s="274">
        <f>'Pencapaian Effective Call'!G292</f>
        <v>0</v>
      </c>
      <c r="Z292" s="190">
        <f>'Pencapaian Effective Call'!I292</f>
        <v>0</v>
      </c>
      <c r="AA292" s="274">
        <f>'Pencapaian New Open Outlet'!G292</f>
        <v>0</v>
      </c>
      <c r="AB292" s="190">
        <f>'Pencapaian New Open Outlet'!I292</f>
        <v>0</v>
      </c>
      <c r="AC292" s="264" t="e">
        <f>'Pencapaian Active Outlet'!G292</f>
        <v>#DIV/0!</v>
      </c>
      <c r="AD292" s="287">
        <f>'Pencapaian Active Outlet'!I292</f>
        <v>0</v>
      </c>
      <c r="AE292" s="274">
        <f>'Pencapaian Item per Outlet'!G292</f>
        <v>0</v>
      </c>
      <c r="AF292" s="190">
        <f>'Pencapaian Item per Outlet'!I292</f>
        <v>0</v>
      </c>
      <c r="AG292" s="274">
        <f>'Pencapaian Product Display'!G292</f>
        <v>0</v>
      </c>
      <c r="AH292" s="190">
        <f>'Pencapaian Product Display'!I292</f>
        <v>0</v>
      </c>
      <c r="AI292" s="274">
        <f>'Pencapaian Sales Contract'!G292</f>
        <v>0</v>
      </c>
      <c r="AJ292" s="190">
        <f>'Pencapaian Sales Contract'!I292</f>
        <v>0</v>
      </c>
      <c r="AK292" s="274">
        <f>'Pencapaian Co-Branding'!G292</f>
        <v>0</v>
      </c>
      <c r="AL292" s="190">
        <f>'Pencapaian Co-Branding'!I292</f>
        <v>0</v>
      </c>
      <c r="AM292" s="274">
        <f>'Pencapaian Join Event Activity'!G292</f>
        <v>0</v>
      </c>
      <c r="AN292" s="190">
        <f>'Pencapaian Join Event Activity'!I292</f>
        <v>0</v>
      </c>
      <c r="AO292" s="287">
        <f t="shared" si="147"/>
        <v>0</v>
      </c>
      <c r="AP292" s="290">
        <v>0</v>
      </c>
      <c r="AQ292" s="287">
        <f>SUM(AQ289:AQ291)</f>
        <v>0</v>
      </c>
      <c r="AR292" s="290">
        <v>0</v>
      </c>
      <c r="AS292" s="287">
        <f>SUM(AS289:AS291)</f>
        <v>0</v>
      </c>
      <c r="AT292" s="287">
        <f t="shared" si="146"/>
        <v>0</v>
      </c>
      <c r="AU292" s="287">
        <f>SUM(AU289:AU291)</f>
        <v>0</v>
      </c>
      <c r="AV292" s="287">
        <f>SUM(AV289:AV291)</f>
        <v>0</v>
      </c>
    </row>
    <row r="293" spans="16:48" x14ac:dyDescent="0.2">
      <c r="P293" s="395" t="s">
        <v>649</v>
      </c>
      <c r="Q293" s="321"/>
      <c r="R293" s="323" t="s">
        <v>650</v>
      </c>
      <c r="S293" s="12" t="s">
        <v>675</v>
      </c>
      <c r="T293" s="269">
        <f>'Pencapaian Sales Value'!G293</f>
        <v>1.0429040000000001</v>
      </c>
      <c r="U293" s="284">
        <f>'Pencapaian Sales Value'!I293</f>
        <v>90000</v>
      </c>
      <c r="V293" s="304">
        <f>'Pencapaian Product Focus'!H293</f>
        <v>0</v>
      </c>
      <c r="W293" s="304">
        <f>'Pencapaian Product Focus'!L293</f>
        <v>0</v>
      </c>
      <c r="X293" s="285">
        <f>'Pencapaian Product Focus'!N293</f>
        <v>0</v>
      </c>
      <c r="Y293" s="304">
        <f>'Pencapaian Effective Call'!G293</f>
        <v>0</v>
      </c>
      <c r="Z293" s="285">
        <f>'Pencapaian Effective Call'!I293</f>
        <v>0</v>
      </c>
      <c r="AA293" s="304">
        <f>'Pencapaian New Open Outlet'!G293</f>
        <v>0</v>
      </c>
      <c r="AB293" s="285">
        <f>'Pencapaian New Open Outlet'!I293</f>
        <v>0</v>
      </c>
      <c r="AC293" s="269">
        <f>'Pencapaian Active Outlet'!G293</f>
        <v>0</v>
      </c>
      <c r="AD293" s="284">
        <f>'Pencapaian Active Outlet'!I293</f>
        <v>0</v>
      </c>
      <c r="AE293" s="304">
        <f>'Pencapaian Item per Outlet'!G293</f>
        <v>0</v>
      </c>
      <c r="AF293" s="285">
        <f>'Pencapaian Item per Outlet'!I293</f>
        <v>0</v>
      </c>
      <c r="AG293" s="304">
        <f>'Pencapaian Product Display'!G293</f>
        <v>0</v>
      </c>
      <c r="AH293" s="285">
        <f>'Pencapaian Product Display'!I293</f>
        <v>0</v>
      </c>
      <c r="AI293" s="304">
        <f>'Pencapaian Sales Contract'!G293</f>
        <v>0</v>
      </c>
      <c r="AJ293" s="285">
        <f>'Pencapaian Sales Contract'!I293</f>
        <v>0</v>
      </c>
      <c r="AK293" s="304">
        <f>'Pencapaian Co-Branding'!G293</f>
        <v>0</v>
      </c>
      <c r="AL293" s="285">
        <f>'Pencapaian Co-Branding'!I293</f>
        <v>0</v>
      </c>
      <c r="AM293" s="304">
        <f>'Pencapaian Join Event Activity'!G293</f>
        <v>0</v>
      </c>
      <c r="AN293" s="285">
        <f>'Pencapaian Join Event Activity'!I293</f>
        <v>0</v>
      </c>
      <c r="AO293" s="284">
        <f t="shared" si="147"/>
        <v>90000</v>
      </c>
      <c r="AP293" s="322">
        <v>0</v>
      </c>
      <c r="AQ293" s="284">
        <f t="shared" si="144"/>
        <v>0</v>
      </c>
      <c r="AR293" s="322">
        <v>0</v>
      </c>
      <c r="AS293" s="284">
        <f t="shared" si="145"/>
        <v>0</v>
      </c>
      <c r="AT293" s="284">
        <f t="shared" si="146"/>
        <v>90000</v>
      </c>
      <c r="AU293" s="284">
        <f t="shared" ref="AU293:AU298" si="149">AT293</f>
        <v>90000</v>
      </c>
      <c r="AV293" s="284">
        <v>0</v>
      </c>
    </row>
    <row r="294" spans="16:48" x14ac:dyDescent="0.2">
      <c r="P294" s="392"/>
      <c r="Q294" s="321"/>
      <c r="R294" s="323" t="s">
        <v>861</v>
      </c>
      <c r="S294" s="12" t="s">
        <v>675</v>
      </c>
      <c r="T294" s="269">
        <f>'Pencapaian Sales Value'!G294</f>
        <v>-2.2249999999999999E-2</v>
      </c>
      <c r="U294" s="284">
        <f>'Pencapaian Sales Value'!I294</f>
        <v>0</v>
      </c>
      <c r="V294" s="304">
        <f>'Pencapaian Product Focus'!H294</f>
        <v>0</v>
      </c>
      <c r="W294" s="304">
        <f>'Pencapaian Product Focus'!L294</f>
        <v>0</v>
      </c>
      <c r="X294" s="285">
        <f>'Pencapaian Product Focus'!N294</f>
        <v>0</v>
      </c>
      <c r="Y294" s="304">
        <f>'Pencapaian Effective Call'!G294</f>
        <v>0</v>
      </c>
      <c r="Z294" s="285">
        <f>'Pencapaian Effective Call'!I294</f>
        <v>0</v>
      </c>
      <c r="AA294" s="304">
        <f>'Pencapaian New Open Outlet'!G294</f>
        <v>0</v>
      </c>
      <c r="AB294" s="285">
        <f>'Pencapaian New Open Outlet'!I294</f>
        <v>0</v>
      </c>
      <c r="AC294" s="269">
        <f>'Pencapaian Active Outlet'!G294</f>
        <v>0.04</v>
      </c>
      <c r="AD294" s="284">
        <f>'Pencapaian Active Outlet'!I294</f>
        <v>0</v>
      </c>
      <c r="AE294" s="304">
        <f>'Pencapaian Item per Outlet'!G294</f>
        <v>0</v>
      </c>
      <c r="AF294" s="285">
        <f>'Pencapaian Item per Outlet'!I294</f>
        <v>0</v>
      </c>
      <c r="AG294" s="304">
        <f>'Pencapaian Product Display'!G294</f>
        <v>0</v>
      </c>
      <c r="AH294" s="285">
        <f>'Pencapaian Product Display'!I294</f>
        <v>0</v>
      </c>
      <c r="AI294" s="304">
        <f>'Pencapaian Sales Contract'!G294</f>
        <v>0</v>
      </c>
      <c r="AJ294" s="285">
        <f>'Pencapaian Sales Contract'!I294</f>
        <v>0</v>
      </c>
      <c r="AK294" s="304">
        <f>'Pencapaian Co-Branding'!G294</f>
        <v>0</v>
      </c>
      <c r="AL294" s="285">
        <f>'Pencapaian Co-Branding'!I294</f>
        <v>0</v>
      </c>
      <c r="AM294" s="304">
        <f>'Pencapaian Join Event Activity'!G294</f>
        <v>0</v>
      </c>
      <c r="AN294" s="285">
        <f>'Pencapaian Join Event Activity'!I294</f>
        <v>0</v>
      </c>
      <c r="AO294" s="284">
        <f t="shared" si="147"/>
        <v>0</v>
      </c>
      <c r="AP294" s="322">
        <v>0</v>
      </c>
      <c r="AQ294" s="284">
        <f t="shared" si="144"/>
        <v>0</v>
      </c>
      <c r="AR294" s="322">
        <v>0</v>
      </c>
      <c r="AS294" s="284">
        <f t="shared" si="145"/>
        <v>0</v>
      </c>
      <c r="AT294" s="284">
        <f t="shared" si="146"/>
        <v>0</v>
      </c>
      <c r="AU294" s="284">
        <f t="shared" si="149"/>
        <v>0</v>
      </c>
      <c r="AV294" s="284">
        <v>0</v>
      </c>
    </row>
    <row r="295" spans="16:48" x14ac:dyDescent="0.2">
      <c r="P295" s="392"/>
      <c r="Q295" s="321"/>
      <c r="R295" s="323" t="s">
        <v>651</v>
      </c>
      <c r="S295" s="12" t="s">
        <v>675</v>
      </c>
      <c r="T295" s="269">
        <f>'Pencapaian Sales Value'!G295</f>
        <v>6.8416666666666667E-2</v>
      </c>
      <c r="U295" s="284">
        <f>'Pencapaian Sales Value'!I295</f>
        <v>0</v>
      </c>
      <c r="V295" s="304">
        <f>'Pencapaian Product Focus'!H295</f>
        <v>0</v>
      </c>
      <c r="W295" s="304">
        <f>'Pencapaian Product Focus'!L295</f>
        <v>0</v>
      </c>
      <c r="X295" s="285">
        <f>'Pencapaian Product Focus'!N295</f>
        <v>0</v>
      </c>
      <c r="Y295" s="304">
        <f>'Pencapaian Effective Call'!G295</f>
        <v>0</v>
      </c>
      <c r="Z295" s="285">
        <f>'Pencapaian Effective Call'!I295</f>
        <v>0</v>
      </c>
      <c r="AA295" s="304">
        <f>'Pencapaian New Open Outlet'!G295</f>
        <v>0</v>
      </c>
      <c r="AB295" s="285">
        <f>'Pencapaian New Open Outlet'!I295</f>
        <v>0</v>
      </c>
      <c r="AC295" s="269">
        <f>'Pencapaian Active Outlet'!G295</f>
        <v>0.12</v>
      </c>
      <c r="AD295" s="284">
        <f>'Pencapaian Active Outlet'!I295</f>
        <v>0</v>
      </c>
      <c r="AE295" s="304">
        <f>'Pencapaian Item per Outlet'!G295</f>
        <v>0</v>
      </c>
      <c r="AF295" s="285">
        <f>'Pencapaian Item per Outlet'!I295</f>
        <v>0</v>
      </c>
      <c r="AG295" s="304">
        <f>'Pencapaian Product Display'!G295</f>
        <v>0</v>
      </c>
      <c r="AH295" s="285">
        <f>'Pencapaian Product Display'!I295</f>
        <v>0</v>
      </c>
      <c r="AI295" s="304">
        <f>'Pencapaian Sales Contract'!G295</f>
        <v>0</v>
      </c>
      <c r="AJ295" s="285">
        <f>'Pencapaian Sales Contract'!I295</f>
        <v>0</v>
      </c>
      <c r="AK295" s="304">
        <f>'Pencapaian Co-Branding'!G295</f>
        <v>0</v>
      </c>
      <c r="AL295" s="285">
        <f>'Pencapaian Co-Branding'!I295</f>
        <v>0</v>
      </c>
      <c r="AM295" s="304">
        <f>'Pencapaian Join Event Activity'!G295</f>
        <v>0</v>
      </c>
      <c r="AN295" s="285">
        <f>'Pencapaian Join Event Activity'!I295</f>
        <v>0</v>
      </c>
      <c r="AO295" s="284">
        <f t="shared" si="147"/>
        <v>0</v>
      </c>
      <c r="AP295" s="322">
        <v>0</v>
      </c>
      <c r="AQ295" s="284">
        <f t="shared" si="144"/>
        <v>0</v>
      </c>
      <c r="AR295" s="322">
        <v>0</v>
      </c>
      <c r="AS295" s="284">
        <f t="shared" si="145"/>
        <v>0</v>
      </c>
      <c r="AT295" s="284">
        <f t="shared" si="146"/>
        <v>0</v>
      </c>
      <c r="AU295" s="284">
        <f t="shared" si="149"/>
        <v>0</v>
      </c>
      <c r="AV295" s="284">
        <v>0</v>
      </c>
    </row>
    <row r="296" spans="16:48" x14ac:dyDescent="0.2">
      <c r="P296" s="392"/>
      <c r="Q296" s="321"/>
      <c r="R296" s="323" t="s">
        <v>652</v>
      </c>
      <c r="S296" s="12" t="s">
        <v>675</v>
      </c>
      <c r="T296" s="269">
        <f>'Pencapaian Sales Value'!G296</f>
        <v>2.5416666666666667E-2</v>
      </c>
      <c r="U296" s="284">
        <f>'Pencapaian Sales Value'!I296</f>
        <v>0</v>
      </c>
      <c r="V296" s="304">
        <f>'Pencapaian Product Focus'!H296</f>
        <v>0</v>
      </c>
      <c r="W296" s="304">
        <f>'Pencapaian Product Focus'!L296</f>
        <v>0</v>
      </c>
      <c r="X296" s="285">
        <f>'Pencapaian Product Focus'!N296</f>
        <v>0</v>
      </c>
      <c r="Y296" s="304">
        <f>'Pencapaian Effective Call'!G296</f>
        <v>0</v>
      </c>
      <c r="Z296" s="285">
        <f>'Pencapaian Effective Call'!I296</f>
        <v>0</v>
      </c>
      <c r="AA296" s="304">
        <f>'Pencapaian New Open Outlet'!G296</f>
        <v>0</v>
      </c>
      <c r="AB296" s="285">
        <f>'Pencapaian New Open Outlet'!I296</f>
        <v>0</v>
      </c>
      <c r="AC296" s="269">
        <f>'Pencapaian Active Outlet'!G296</f>
        <v>0</v>
      </c>
      <c r="AD296" s="284">
        <f>'Pencapaian Active Outlet'!I296</f>
        <v>0</v>
      </c>
      <c r="AE296" s="304">
        <f>'Pencapaian Item per Outlet'!G296</f>
        <v>0</v>
      </c>
      <c r="AF296" s="285">
        <f>'Pencapaian Item per Outlet'!I296</f>
        <v>0</v>
      </c>
      <c r="AG296" s="304">
        <f>'Pencapaian Product Display'!G296</f>
        <v>0</v>
      </c>
      <c r="AH296" s="285">
        <f>'Pencapaian Product Display'!I296</f>
        <v>0</v>
      </c>
      <c r="AI296" s="304">
        <f>'Pencapaian Sales Contract'!G296</f>
        <v>0</v>
      </c>
      <c r="AJ296" s="285">
        <f>'Pencapaian Sales Contract'!I296</f>
        <v>0</v>
      </c>
      <c r="AK296" s="304">
        <f>'Pencapaian Co-Branding'!G296</f>
        <v>0</v>
      </c>
      <c r="AL296" s="285">
        <f>'Pencapaian Co-Branding'!I296</f>
        <v>0</v>
      </c>
      <c r="AM296" s="304">
        <f>'Pencapaian Join Event Activity'!G296</f>
        <v>0</v>
      </c>
      <c r="AN296" s="285">
        <f>'Pencapaian Join Event Activity'!I296</f>
        <v>0</v>
      </c>
      <c r="AO296" s="284">
        <f t="shared" si="147"/>
        <v>0</v>
      </c>
      <c r="AP296" s="322">
        <v>0</v>
      </c>
      <c r="AQ296" s="284">
        <f t="shared" si="144"/>
        <v>0</v>
      </c>
      <c r="AR296" s="322">
        <v>0</v>
      </c>
      <c r="AS296" s="284">
        <f t="shared" si="145"/>
        <v>0</v>
      </c>
      <c r="AT296" s="284">
        <f t="shared" si="146"/>
        <v>0</v>
      </c>
      <c r="AU296" s="284">
        <f t="shared" si="149"/>
        <v>0</v>
      </c>
      <c r="AV296" s="284">
        <v>0</v>
      </c>
    </row>
    <row r="297" spans="16:48" x14ac:dyDescent="0.2">
      <c r="P297" s="392"/>
      <c r="Q297" s="321"/>
      <c r="R297" s="323" t="s">
        <v>653</v>
      </c>
      <c r="S297" s="12" t="s">
        <v>675</v>
      </c>
      <c r="T297" s="269">
        <f>'Pencapaian Sales Value'!G297</f>
        <v>-0.11253333333333333</v>
      </c>
      <c r="U297" s="284">
        <f>'Pencapaian Sales Value'!I297</f>
        <v>0</v>
      </c>
      <c r="V297" s="304">
        <f>'Pencapaian Product Focus'!H297</f>
        <v>0</v>
      </c>
      <c r="W297" s="304">
        <f>'Pencapaian Product Focus'!L297</f>
        <v>0</v>
      </c>
      <c r="X297" s="285">
        <f>'Pencapaian Product Focus'!N297</f>
        <v>0</v>
      </c>
      <c r="Y297" s="304">
        <f>'Pencapaian Effective Call'!G297</f>
        <v>0</v>
      </c>
      <c r="Z297" s="285">
        <f>'Pencapaian Effective Call'!I297</f>
        <v>0</v>
      </c>
      <c r="AA297" s="304">
        <f>'Pencapaian New Open Outlet'!G297</f>
        <v>0</v>
      </c>
      <c r="AB297" s="285">
        <f>'Pencapaian New Open Outlet'!I297</f>
        <v>0</v>
      </c>
      <c r="AC297" s="269">
        <f>'Pencapaian Active Outlet'!G297</f>
        <v>0.04</v>
      </c>
      <c r="AD297" s="284">
        <f>'Pencapaian Active Outlet'!I297</f>
        <v>0</v>
      </c>
      <c r="AE297" s="304">
        <f>'Pencapaian Item per Outlet'!G297</f>
        <v>0</v>
      </c>
      <c r="AF297" s="285">
        <f>'Pencapaian Item per Outlet'!I297</f>
        <v>0</v>
      </c>
      <c r="AG297" s="304">
        <f>'Pencapaian Product Display'!G297</f>
        <v>0</v>
      </c>
      <c r="AH297" s="285">
        <f>'Pencapaian Product Display'!I297</f>
        <v>0</v>
      </c>
      <c r="AI297" s="304">
        <f>'Pencapaian Sales Contract'!G297</f>
        <v>0</v>
      </c>
      <c r="AJ297" s="285">
        <f>'Pencapaian Sales Contract'!I297</f>
        <v>0</v>
      </c>
      <c r="AK297" s="304">
        <f>'Pencapaian Co-Branding'!G297</f>
        <v>0</v>
      </c>
      <c r="AL297" s="285">
        <f>'Pencapaian Co-Branding'!I297</f>
        <v>0</v>
      </c>
      <c r="AM297" s="304">
        <f>'Pencapaian Join Event Activity'!G297</f>
        <v>0</v>
      </c>
      <c r="AN297" s="285">
        <f>'Pencapaian Join Event Activity'!I297</f>
        <v>0</v>
      </c>
      <c r="AO297" s="284">
        <f t="shared" si="147"/>
        <v>0</v>
      </c>
      <c r="AP297" s="322">
        <v>0</v>
      </c>
      <c r="AQ297" s="284">
        <f t="shared" si="144"/>
        <v>0</v>
      </c>
      <c r="AR297" s="322">
        <v>0</v>
      </c>
      <c r="AS297" s="284">
        <f t="shared" si="145"/>
        <v>0</v>
      </c>
      <c r="AT297" s="284">
        <f t="shared" si="146"/>
        <v>0</v>
      </c>
      <c r="AU297" s="284">
        <f t="shared" si="149"/>
        <v>0</v>
      </c>
      <c r="AV297" s="284">
        <v>0</v>
      </c>
    </row>
    <row r="298" spans="16:48" x14ac:dyDescent="0.2">
      <c r="P298" s="392"/>
      <c r="Q298" s="324"/>
      <c r="R298" s="324" t="s">
        <v>754</v>
      </c>
      <c r="S298" s="64" t="s">
        <v>673</v>
      </c>
      <c r="T298" s="258">
        <f>'Pencapaian Sales Value'!G298</f>
        <v>0.1402112857142857</v>
      </c>
      <c r="U298" s="286">
        <f>'Pencapaian Sales Value'!I298</f>
        <v>0</v>
      </c>
      <c r="V298" s="268">
        <f>'Pencapaian Product Focus'!H298</f>
        <v>0</v>
      </c>
      <c r="W298" s="268">
        <f>'Pencapaian Product Focus'!L298</f>
        <v>0</v>
      </c>
      <c r="X298" s="189">
        <f>'Pencapaian Product Focus'!N298</f>
        <v>0</v>
      </c>
      <c r="Y298" s="268">
        <f>'Pencapaian Effective Call'!G298</f>
        <v>0</v>
      </c>
      <c r="Z298" s="189">
        <f>'Pencapaian Effective Call'!I298</f>
        <v>0</v>
      </c>
      <c r="AA298" s="268">
        <f>'Pencapaian New Open Outlet'!G298</f>
        <v>0</v>
      </c>
      <c r="AB298" s="189">
        <f>'Pencapaian New Open Outlet'!I298</f>
        <v>0</v>
      </c>
      <c r="AC298" s="258">
        <f>'Pencapaian Active Outlet'!G298</f>
        <v>4.1666666666666664E-2</v>
      </c>
      <c r="AD298" s="286">
        <f>'Pencapaian Active Outlet'!I298</f>
        <v>0</v>
      </c>
      <c r="AE298" s="268">
        <f>'Pencapaian Item per Outlet'!G298</f>
        <v>0</v>
      </c>
      <c r="AF298" s="189">
        <f>'Pencapaian Item per Outlet'!I298</f>
        <v>0</v>
      </c>
      <c r="AG298" s="268">
        <f>'Pencapaian Product Display'!G298</f>
        <v>0</v>
      </c>
      <c r="AH298" s="189">
        <f>'Pencapaian Product Display'!I298</f>
        <v>0</v>
      </c>
      <c r="AI298" s="268">
        <f>'Pencapaian Sales Contract'!G298</f>
        <v>0</v>
      </c>
      <c r="AJ298" s="189">
        <f>'Pencapaian Sales Contract'!I298</f>
        <v>0</v>
      </c>
      <c r="AK298" s="268">
        <f>'Pencapaian Co-Branding'!G298</f>
        <v>0</v>
      </c>
      <c r="AL298" s="189">
        <f>'Pencapaian Co-Branding'!I298</f>
        <v>0</v>
      </c>
      <c r="AM298" s="268">
        <f>'Pencapaian Join Event Activity'!G298</f>
        <v>0</v>
      </c>
      <c r="AN298" s="189">
        <f>'Pencapaian Join Event Activity'!I298</f>
        <v>0</v>
      </c>
      <c r="AO298" s="286">
        <f t="shared" si="147"/>
        <v>0</v>
      </c>
      <c r="AP298" s="289">
        <v>0</v>
      </c>
      <c r="AQ298" s="286">
        <f t="shared" si="144"/>
        <v>0</v>
      </c>
      <c r="AR298" s="289">
        <v>0</v>
      </c>
      <c r="AS298" s="286">
        <f t="shared" si="145"/>
        <v>0</v>
      </c>
      <c r="AT298" s="286">
        <f t="shared" si="146"/>
        <v>0</v>
      </c>
      <c r="AU298" s="286">
        <f t="shared" si="149"/>
        <v>0</v>
      </c>
      <c r="AV298" s="286">
        <v>0</v>
      </c>
    </row>
    <row r="299" spans="16:48" x14ac:dyDescent="0.2">
      <c r="P299" s="393"/>
      <c r="Q299" s="325"/>
      <c r="R299" s="325" t="s">
        <v>654</v>
      </c>
      <c r="S299" s="42"/>
      <c r="T299" s="264">
        <f>'Pencapaian Sales Value'!G299</f>
        <v>0.1402112857142857</v>
      </c>
      <c r="U299" s="287">
        <f>'Pencapaian Sales Value'!I299</f>
        <v>90000</v>
      </c>
      <c r="V299" s="274">
        <f>'Pencapaian Product Focus'!H299</f>
        <v>0</v>
      </c>
      <c r="W299" s="274">
        <f>'Pencapaian Product Focus'!L299</f>
        <v>0</v>
      </c>
      <c r="X299" s="190">
        <f>'Pencapaian Product Focus'!N299</f>
        <v>0</v>
      </c>
      <c r="Y299" s="274">
        <f>'Pencapaian Effective Call'!G299</f>
        <v>0</v>
      </c>
      <c r="Z299" s="190">
        <f>'Pencapaian Effective Call'!I299</f>
        <v>0</v>
      </c>
      <c r="AA299" s="274">
        <f>'Pencapaian New Open Outlet'!G299</f>
        <v>0</v>
      </c>
      <c r="AB299" s="190">
        <f>'Pencapaian New Open Outlet'!I299</f>
        <v>0</v>
      </c>
      <c r="AC299" s="264">
        <f>'Pencapaian Active Outlet'!G299</f>
        <v>4.1666666666666664E-2</v>
      </c>
      <c r="AD299" s="287">
        <f>'Pencapaian Active Outlet'!I299</f>
        <v>0</v>
      </c>
      <c r="AE299" s="274">
        <f>'Pencapaian Item per Outlet'!G299</f>
        <v>0</v>
      </c>
      <c r="AF299" s="190">
        <f>'Pencapaian Item per Outlet'!I299</f>
        <v>0</v>
      </c>
      <c r="AG299" s="274">
        <f>'Pencapaian Product Display'!G299</f>
        <v>0</v>
      </c>
      <c r="AH299" s="190">
        <f>'Pencapaian Product Display'!I299</f>
        <v>0</v>
      </c>
      <c r="AI299" s="274">
        <f>'Pencapaian Sales Contract'!G299</f>
        <v>0</v>
      </c>
      <c r="AJ299" s="190">
        <f>'Pencapaian Sales Contract'!I299</f>
        <v>0</v>
      </c>
      <c r="AK299" s="274">
        <f>'Pencapaian Co-Branding'!G299</f>
        <v>0</v>
      </c>
      <c r="AL299" s="190">
        <f>'Pencapaian Co-Branding'!I299</f>
        <v>0</v>
      </c>
      <c r="AM299" s="274">
        <f>'Pencapaian Join Event Activity'!G299</f>
        <v>0</v>
      </c>
      <c r="AN299" s="190">
        <f>'Pencapaian Join Event Activity'!I299</f>
        <v>0</v>
      </c>
      <c r="AO299" s="287">
        <f t="shared" si="147"/>
        <v>90000</v>
      </c>
      <c r="AP299" s="290">
        <v>0</v>
      </c>
      <c r="AQ299" s="287">
        <f>SUM(AQ293:AQ298)</f>
        <v>0</v>
      </c>
      <c r="AR299" s="290">
        <v>0</v>
      </c>
      <c r="AS299" s="287">
        <f>SUM(AS293:AS298)</f>
        <v>0</v>
      </c>
      <c r="AT299" s="287">
        <f t="shared" si="146"/>
        <v>90000</v>
      </c>
      <c r="AU299" s="287">
        <f>SUM(AU293:AU298)</f>
        <v>90000</v>
      </c>
      <c r="AV299" s="287">
        <f>SUM(AV293:AV298)</f>
        <v>0</v>
      </c>
    </row>
    <row r="300" spans="16:48" x14ac:dyDescent="0.2">
      <c r="P300" s="392" t="s">
        <v>655</v>
      </c>
      <c r="Q300" s="321"/>
      <c r="R300" s="323" t="s">
        <v>792</v>
      </c>
      <c r="S300" s="12" t="s">
        <v>675</v>
      </c>
      <c r="T300" s="269">
        <f>'Pencapaian Sales Value'!G300</f>
        <v>0.222113</v>
      </c>
      <c r="U300" s="284">
        <f>'Pencapaian Sales Value'!I300</f>
        <v>0</v>
      </c>
      <c r="V300" s="304">
        <f>'Pencapaian Product Focus'!H300</f>
        <v>0</v>
      </c>
      <c r="W300" s="304">
        <f>'Pencapaian Product Focus'!L300</f>
        <v>0</v>
      </c>
      <c r="X300" s="285">
        <f>'Pencapaian Product Focus'!N300</f>
        <v>0</v>
      </c>
      <c r="Y300" s="304">
        <f>'Pencapaian Effective Call'!G300</f>
        <v>0</v>
      </c>
      <c r="Z300" s="285">
        <f>'Pencapaian Effective Call'!I300</f>
        <v>0</v>
      </c>
      <c r="AA300" s="304">
        <f>'Pencapaian New Open Outlet'!G300</f>
        <v>0</v>
      </c>
      <c r="AB300" s="285">
        <f>'Pencapaian New Open Outlet'!I300</f>
        <v>0</v>
      </c>
      <c r="AC300" s="269">
        <f>'Pencapaian Active Outlet'!G300</f>
        <v>0.12</v>
      </c>
      <c r="AD300" s="284">
        <f>'Pencapaian Active Outlet'!I300</f>
        <v>0</v>
      </c>
      <c r="AE300" s="304">
        <f>'Pencapaian Item per Outlet'!G300</f>
        <v>0</v>
      </c>
      <c r="AF300" s="285">
        <f>'Pencapaian Item per Outlet'!I300</f>
        <v>0</v>
      </c>
      <c r="AG300" s="304">
        <f>'Pencapaian Product Display'!G300</f>
        <v>0</v>
      </c>
      <c r="AH300" s="285">
        <f>'Pencapaian Product Display'!I300</f>
        <v>0</v>
      </c>
      <c r="AI300" s="304">
        <f>'Pencapaian Sales Contract'!G300</f>
        <v>0</v>
      </c>
      <c r="AJ300" s="285">
        <f>'Pencapaian Sales Contract'!I300</f>
        <v>0</v>
      </c>
      <c r="AK300" s="304">
        <f>'Pencapaian Co-Branding'!G300</f>
        <v>0</v>
      </c>
      <c r="AL300" s="285">
        <f>'Pencapaian Co-Branding'!I300</f>
        <v>0</v>
      </c>
      <c r="AM300" s="304">
        <f>'Pencapaian Join Event Activity'!G300</f>
        <v>0</v>
      </c>
      <c r="AN300" s="285">
        <f>'Pencapaian Join Event Activity'!I300</f>
        <v>0</v>
      </c>
      <c r="AO300" s="284">
        <f t="shared" si="147"/>
        <v>0</v>
      </c>
      <c r="AP300" s="322">
        <v>0</v>
      </c>
      <c r="AQ300" s="284">
        <f t="shared" si="144"/>
        <v>0</v>
      </c>
      <c r="AR300" s="322">
        <v>0</v>
      </c>
      <c r="AS300" s="284">
        <f t="shared" si="145"/>
        <v>0</v>
      </c>
      <c r="AT300" s="284">
        <f t="shared" si="146"/>
        <v>0</v>
      </c>
      <c r="AU300" s="284">
        <f t="shared" ref="AU300:AU306" si="150">AT300</f>
        <v>0</v>
      </c>
      <c r="AV300" s="284">
        <v>0</v>
      </c>
    </row>
    <row r="301" spans="16:48" x14ac:dyDescent="0.2">
      <c r="P301" s="392"/>
      <c r="Q301" s="321"/>
      <c r="R301" s="323" t="s">
        <v>657</v>
      </c>
      <c r="S301" s="12" t="s">
        <v>675</v>
      </c>
      <c r="T301" s="269">
        <f>'Pencapaian Sales Value'!G301</f>
        <v>2.0799999999999999E-2</v>
      </c>
      <c r="U301" s="284">
        <f>'Pencapaian Sales Value'!I301</f>
        <v>0</v>
      </c>
      <c r="V301" s="304">
        <f>'Pencapaian Product Focus'!H301</f>
        <v>0</v>
      </c>
      <c r="W301" s="304">
        <f>'Pencapaian Product Focus'!L301</f>
        <v>0</v>
      </c>
      <c r="X301" s="285">
        <f>'Pencapaian Product Focus'!N301</f>
        <v>0</v>
      </c>
      <c r="Y301" s="304">
        <f>'Pencapaian Effective Call'!G301</f>
        <v>0</v>
      </c>
      <c r="Z301" s="285">
        <f>'Pencapaian Effective Call'!I301</f>
        <v>0</v>
      </c>
      <c r="AA301" s="304">
        <f>'Pencapaian New Open Outlet'!G301</f>
        <v>0</v>
      </c>
      <c r="AB301" s="285">
        <f>'Pencapaian New Open Outlet'!I301</f>
        <v>0</v>
      </c>
      <c r="AC301" s="269">
        <f>'Pencapaian Active Outlet'!G301</f>
        <v>0</v>
      </c>
      <c r="AD301" s="284">
        <f>'Pencapaian Active Outlet'!I301</f>
        <v>0</v>
      </c>
      <c r="AE301" s="304">
        <f>'Pencapaian Item per Outlet'!G301</f>
        <v>0</v>
      </c>
      <c r="AF301" s="285">
        <f>'Pencapaian Item per Outlet'!I301</f>
        <v>0</v>
      </c>
      <c r="AG301" s="304">
        <f>'Pencapaian Product Display'!G301</f>
        <v>0</v>
      </c>
      <c r="AH301" s="285">
        <f>'Pencapaian Product Display'!I301</f>
        <v>0</v>
      </c>
      <c r="AI301" s="304">
        <f>'Pencapaian Sales Contract'!G301</f>
        <v>0</v>
      </c>
      <c r="AJ301" s="285">
        <f>'Pencapaian Sales Contract'!I301</f>
        <v>0</v>
      </c>
      <c r="AK301" s="304">
        <f>'Pencapaian Co-Branding'!G301</f>
        <v>0</v>
      </c>
      <c r="AL301" s="285">
        <f>'Pencapaian Co-Branding'!I301</f>
        <v>0</v>
      </c>
      <c r="AM301" s="304">
        <f>'Pencapaian Join Event Activity'!G301</f>
        <v>0</v>
      </c>
      <c r="AN301" s="285">
        <f>'Pencapaian Join Event Activity'!I301</f>
        <v>0</v>
      </c>
      <c r="AO301" s="284">
        <f t="shared" si="147"/>
        <v>0</v>
      </c>
      <c r="AP301" s="322">
        <v>0</v>
      </c>
      <c r="AQ301" s="284">
        <f t="shared" si="144"/>
        <v>0</v>
      </c>
      <c r="AR301" s="322">
        <v>0</v>
      </c>
      <c r="AS301" s="284">
        <f t="shared" si="145"/>
        <v>0</v>
      </c>
      <c r="AT301" s="284">
        <f t="shared" si="146"/>
        <v>0</v>
      </c>
      <c r="AU301" s="284">
        <f t="shared" si="150"/>
        <v>0</v>
      </c>
      <c r="AV301" s="284">
        <v>0</v>
      </c>
    </row>
    <row r="302" spans="16:48" x14ac:dyDescent="0.2">
      <c r="P302" s="392"/>
      <c r="Q302" s="321"/>
      <c r="R302" s="323" t="s">
        <v>793</v>
      </c>
      <c r="S302" s="12" t="s">
        <v>675</v>
      </c>
      <c r="T302" s="269">
        <f>'Pencapaian Sales Value'!G302</f>
        <v>8.8833333333333334E-3</v>
      </c>
      <c r="U302" s="284">
        <f>'Pencapaian Sales Value'!I302</f>
        <v>0</v>
      </c>
      <c r="V302" s="304">
        <f>'Pencapaian Product Focus'!H302</f>
        <v>0</v>
      </c>
      <c r="W302" s="304">
        <f>'Pencapaian Product Focus'!L302</f>
        <v>0</v>
      </c>
      <c r="X302" s="285">
        <f>'Pencapaian Product Focus'!N302</f>
        <v>0</v>
      </c>
      <c r="Y302" s="304">
        <f>'Pencapaian Effective Call'!G302</f>
        <v>0</v>
      </c>
      <c r="Z302" s="285">
        <f>'Pencapaian Effective Call'!I302</f>
        <v>0</v>
      </c>
      <c r="AA302" s="304">
        <f>'Pencapaian New Open Outlet'!G302</f>
        <v>0</v>
      </c>
      <c r="AB302" s="285">
        <f>'Pencapaian New Open Outlet'!I302</f>
        <v>0</v>
      </c>
      <c r="AC302" s="269">
        <f>'Pencapaian Active Outlet'!G302</f>
        <v>0</v>
      </c>
      <c r="AD302" s="284">
        <f>'Pencapaian Active Outlet'!I302</f>
        <v>0</v>
      </c>
      <c r="AE302" s="304">
        <f>'Pencapaian Item per Outlet'!G302</f>
        <v>0</v>
      </c>
      <c r="AF302" s="285">
        <f>'Pencapaian Item per Outlet'!I302</f>
        <v>0</v>
      </c>
      <c r="AG302" s="304">
        <f>'Pencapaian Product Display'!G302</f>
        <v>0</v>
      </c>
      <c r="AH302" s="285">
        <f>'Pencapaian Product Display'!I302</f>
        <v>0</v>
      </c>
      <c r="AI302" s="304">
        <f>'Pencapaian Sales Contract'!G302</f>
        <v>0</v>
      </c>
      <c r="AJ302" s="285">
        <f>'Pencapaian Sales Contract'!I302</f>
        <v>0</v>
      </c>
      <c r="AK302" s="304">
        <f>'Pencapaian Co-Branding'!G302</f>
        <v>0</v>
      </c>
      <c r="AL302" s="285">
        <f>'Pencapaian Co-Branding'!I302</f>
        <v>0</v>
      </c>
      <c r="AM302" s="304">
        <f>'Pencapaian Join Event Activity'!G302</f>
        <v>0</v>
      </c>
      <c r="AN302" s="285">
        <f>'Pencapaian Join Event Activity'!I302</f>
        <v>0</v>
      </c>
      <c r="AO302" s="284">
        <f t="shared" si="147"/>
        <v>0</v>
      </c>
      <c r="AP302" s="322">
        <v>0</v>
      </c>
      <c r="AQ302" s="284">
        <f t="shared" si="144"/>
        <v>0</v>
      </c>
      <c r="AR302" s="322">
        <v>0</v>
      </c>
      <c r="AS302" s="284">
        <f t="shared" si="145"/>
        <v>0</v>
      </c>
      <c r="AT302" s="284">
        <f t="shared" si="146"/>
        <v>0</v>
      </c>
      <c r="AU302" s="284">
        <f t="shared" si="150"/>
        <v>0</v>
      </c>
      <c r="AV302" s="284">
        <v>0</v>
      </c>
    </row>
    <row r="303" spans="16:48" x14ac:dyDescent="0.2">
      <c r="P303" s="392"/>
      <c r="Q303" s="321"/>
      <c r="R303" s="323" t="s">
        <v>862</v>
      </c>
      <c r="S303" s="12" t="s">
        <v>675</v>
      </c>
      <c r="T303" s="269">
        <f>'Pencapaian Sales Value'!G303</f>
        <v>-3.1800000000000002E-2</v>
      </c>
      <c r="U303" s="284">
        <f>'Pencapaian Sales Value'!I303</f>
        <v>0</v>
      </c>
      <c r="V303" s="304">
        <f>'Pencapaian Product Focus'!H303</f>
        <v>0</v>
      </c>
      <c r="W303" s="304">
        <f>'Pencapaian Product Focus'!L303</f>
        <v>0</v>
      </c>
      <c r="X303" s="285">
        <f>'Pencapaian Product Focus'!N303</f>
        <v>0</v>
      </c>
      <c r="Y303" s="304">
        <f>'Pencapaian Effective Call'!G303</f>
        <v>0</v>
      </c>
      <c r="Z303" s="285">
        <f>'Pencapaian Effective Call'!I303</f>
        <v>0</v>
      </c>
      <c r="AA303" s="304">
        <f>'Pencapaian New Open Outlet'!G303</f>
        <v>0</v>
      </c>
      <c r="AB303" s="285">
        <f>'Pencapaian New Open Outlet'!I303</f>
        <v>0</v>
      </c>
      <c r="AC303" s="269">
        <f>'Pencapaian Active Outlet'!G303</f>
        <v>0.04</v>
      </c>
      <c r="AD303" s="284">
        <f>'Pencapaian Active Outlet'!I303</f>
        <v>0</v>
      </c>
      <c r="AE303" s="304">
        <f>'Pencapaian Item per Outlet'!G303</f>
        <v>0</v>
      </c>
      <c r="AF303" s="285">
        <f>'Pencapaian Item per Outlet'!I303</f>
        <v>0</v>
      </c>
      <c r="AG303" s="304">
        <f>'Pencapaian Product Display'!G303</f>
        <v>0</v>
      </c>
      <c r="AH303" s="285">
        <f>'Pencapaian Product Display'!I303</f>
        <v>0</v>
      </c>
      <c r="AI303" s="304">
        <f>'Pencapaian Sales Contract'!G303</f>
        <v>0</v>
      </c>
      <c r="AJ303" s="285">
        <f>'Pencapaian Sales Contract'!I303</f>
        <v>0</v>
      </c>
      <c r="AK303" s="304">
        <f>'Pencapaian Co-Branding'!G303</f>
        <v>0</v>
      </c>
      <c r="AL303" s="285">
        <f>'Pencapaian Co-Branding'!I303</f>
        <v>0</v>
      </c>
      <c r="AM303" s="304">
        <f>'Pencapaian Join Event Activity'!G303</f>
        <v>0</v>
      </c>
      <c r="AN303" s="285">
        <f>'Pencapaian Join Event Activity'!I303</f>
        <v>0</v>
      </c>
      <c r="AO303" s="284">
        <f t="shared" si="147"/>
        <v>0</v>
      </c>
      <c r="AP303" s="322">
        <v>0</v>
      </c>
      <c r="AQ303" s="284">
        <f t="shared" si="144"/>
        <v>0</v>
      </c>
      <c r="AR303" s="322">
        <v>0</v>
      </c>
      <c r="AS303" s="284">
        <f t="shared" si="145"/>
        <v>0</v>
      </c>
      <c r="AT303" s="284">
        <f t="shared" si="146"/>
        <v>0</v>
      </c>
      <c r="AU303" s="284">
        <f t="shared" si="150"/>
        <v>0</v>
      </c>
      <c r="AV303" s="284">
        <v>0</v>
      </c>
    </row>
    <row r="304" spans="16:48" x14ac:dyDescent="0.2">
      <c r="P304" s="392"/>
      <c r="Q304" s="321"/>
      <c r="R304" s="323" t="s">
        <v>809</v>
      </c>
      <c r="S304" s="12"/>
      <c r="T304" s="269" t="e">
        <f>'Pencapaian Sales Value'!G304</f>
        <v>#DIV/0!</v>
      </c>
      <c r="U304" s="284">
        <f>'Pencapaian Sales Value'!I304</f>
        <v>0</v>
      </c>
      <c r="V304" s="304">
        <f>'Pencapaian Product Focus'!H304</f>
        <v>0</v>
      </c>
      <c r="W304" s="304">
        <f>'Pencapaian Product Focus'!L304</f>
        <v>0</v>
      </c>
      <c r="X304" s="285">
        <f>'Pencapaian Product Focus'!N304</f>
        <v>0</v>
      </c>
      <c r="Y304" s="304">
        <f>'Pencapaian Effective Call'!G304</f>
        <v>0</v>
      </c>
      <c r="Z304" s="285">
        <f>'Pencapaian Effective Call'!I304</f>
        <v>0</v>
      </c>
      <c r="AA304" s="304">
        <f>'Pencapaian New Open Outlet'!G304</f>
        <v>0</v>
      </c>
      <c r="AB304" s="285">
        <f>'Pencapaian New Open Outlet'!I304</f>
        <v>0</v>
      </c>
      <c r="AC304" s="269" t="e">
        <f>'Pencapaian Active Outlet'!G304</f>
        <v>#DIV/0!</v>
      </c>
      <c r="AD304" s="284">
        <f>'Pencapaian Active Outlet'!I304</f>
        <v>0</v>
      </c>
      <c r="AE304" s="304">
        <f>'Pencapaian Item per Outlet'!G304</f>
        <v>0</v>
      </c>
      <c r="AF304" s="285">
        <f>'Pencapaian Item per Outlet'!I304</f>
        <v>0</v>
      </c>
      <c r="AG304" s="304">
        <f>'Pencapaian Product Display'!G304</f>
        <v>0</v>
      </c>
      <c r="AH304" s="285">
        <f>'Pencapaian Product Display'!I304</f>
        <v>0</v>
      </c>
      <c r="AI304" s="304">
        <f>'Pencapaian Sales Contract'!G304</f>
        <v>0</v>
      </c>
      <c r="AJ304" s="285">
        <f>'Pencapaian Sales Contract'!I304</f>
        <v>0</v>
      </c>
      <c r="AK304" s="304">
        <f>'Pencapaian Co-Branding'!G304</f>
        <v>0</v>
      </c>
      <c r="AL304" s="285">
        <f>'Pencapaian Co-Branding'!I304</f>
        <v>0</v>
      </c>
      <c r="AM304" s="304">
        <f>'Pencapaian Join Event Activity'!G304</f>
        <v>0</v>
      </c>
      <c r="AN304" s="285">
        <f>'Pencapaian Join Event Activity'!I304</f>
        <v>0</v>
      </c>
      <c r="AO304" s="284">
        <f t="shared" si="147"/>
        <v>0</v>
      </c>
      <c r="AP304" s="322">
        <v>0</v>
      </c>
      <c r="AQ304" s="284">
        <f t="shared" si="144"/>
        <v>0</v>
      </c>
      <c r="AR304" s="322">
        <v>0</v>
      </c>
      <c r="AS304" s="284">
        <f t="shared" si="145"/>
        <v>0</v>
      </c>
      <c r="AT304" s="284">
        <f t="shared" si="146"/>
        <v>0</v>
      </c>
      <c r="AU304" s="284">
        <f t="shared" si="150"/>
        <v>0</v>
      </c>
      <c r="AV304" s="284">
        <v>0</v>
      </c>
    </row>
    <row r="305" spans="15:48" x14ac:dyDescent="0.2">
      <c r="P305" s="392"/>
      <c r="Q305" s="321"/>
      <c r="R305" s="323" t="s">
        <v>794</v>
      </c>
      <c r="S305" s="12" t="s">
        <v>675</v>
      </c>
      <c r="T305" s="269">
        <f>'Pencapaian Sales Value'!G305</f>
        <v>0.13198333333333334</v>
      </c>
      <c r="U305" s="284">
        <f>'Pencapaian Sales Value'!I305</f>
        <v>0</v>
      </c>
      <c r="V305" s="304">
        <f>'Pencapaian Product Focus'!H305</f>
        <v>0</v>
      </c>
      <c r="W305" s="304">
        <f>'Pencapaian Product Focus'!L305</f>
        <v>0</v>
      </c>
      <c r="X305" s="285">
        <f>'Pencapaian Product Focus'!N305</f>
        <v>0</v>
      </c>
      <c r="Y305" s="304">
        <f>'Pencapaian Effective Call'!G305</f>
        <v>0</v>
      </c>
      <c r="Z305" s="285">
        <f>'Pencapaian Effective Call'!I305</f>
        <v>0</v>
      </c>
      <c r="AA305" s="304">
        <f>'Pencapaian New Open Outlet'!G305</f>
        <v>0</v>
      </c>
      <c r="AB305" s="285">
        <f>'Pencapaian New Open Outlet'!I305</f>
        <v>0</v>
      </c>
      <c r="AC305" s="269">
        <f>'Pencapaian Active Outlet'!G305</f>
        <v>0</v>
      </c>
      <c r="AD305" s="284">
        <f>'Pencapaian Active Outlet'!I305</f>
        <v>0</v>
      </c>
      <c r="AE305" s="304">
        <f>'Pencapaian Item per Outlet'!G305</f>
        <v>0</v>
      </c>
      <c r="AF305" s="285">
        <f>'Pencapaian Item per Outlet'!I305</f>
        <v>0</v>
      </c>
      <c r="AG305" s="304">
        <f>'Pencapaian Product Display'!G305</f>
        <v>0</v>
      </c>
      <c r="AH305" s="285">
        <f>'Pencapaian Product Display'!I305</f>
        <v>0</v>
      </c>
      <c r="AI305" s="304">
        <f>'Pencapaian Sales Contract'!G305</f>
        <v>0</v>
      </c>
      <c r="AJ305" s="285">
        <f>'Pencapaian Sales Contract'!I305</f>
        <v>0</v>
      </c>
      <c r="AK305" s="304">
        <f>'Pencapaian Co-Branding'!G305</f>
        <v>0</v>
      </c>
      <c r="AL305" s="285">
        <f>'Pencapaian Co-Branding'!I305</f>
        <v>0</v>
      </c>
      <c r="AM305" s="304">
        <f>'Pencapaian Join Event Activity'!G305</f>
        <v>0</v>
      </c>
      <c r="AN305" s="285">
        <f>'Pencapaian Join Event Activity'!I305</f>
        <v>0</v>
      </c>
      <c r="AO305" s="284">
        <f t="shared" si="147"/>
        <v>0</v>
      </c>
      <c r="AP305" s="322">
        <v>0</v>
      </c>
      <c r="AQ305" s="284">
        <f t="shared" si="144"/>
        <v>0</v>
      </c>
      <c r="AR305" s="322">
        <v>0</v>
      </c>
      <c r="AS305" s="284">
        <f t="shared" si="145"/>
        <v>0</v>
      </c>
      <c r="AT305" s="284">
        <f t="shared" si="146"/>
        <v>0</v>
      </c>
      <c r="AU305" s="284">
        <f t="shared" si="150"/>
        <v>0</v>
      </c>
      <c r="AV305" s="284">
        <v>0</v>
      </c>
    </row>
    <row r="306" spans="15:48" x14ac:dyDescent="0.2">
      <c r="P306" s="392"/>
      <c r="Q306" s="324"/>
      <c r="R306" s="324" t="s">
        <v>752</v>
      </c>
      <c r="S306" s="64" t="s">
        <v>673</v>
      </c>
      <c r="T306" s="258">
        <f>'Pencapaian Sales Value'!G306</f>
        <v>6.0630428571428571E-2</v>
      </c>
      <c r="U306" s="286">
        <f>'Pencapaian Sales Value'!I306</f>
        <v>0</v>
      </c>
      <c r="V306" s="268">
        <f>'Pencapaian Product Focus'!H306</f>
        <v>0</v>
      </c>
      <c r="W306" s="268">
        <f>'Pencapaian Product Focus'!L306</f>
        <v>0</v>
      </c>
      <c r="X306" s="189">
        <f>'Pencapaian Product Focus'!N306</f>
        <v>0</v>
      </c>
      <c r="Y306" s="268">
        <f>'Pencapaian Effective Call'!G306</f>
        <v>0</v>
      </c>
      <c r="Z306" s="189">
        <f>'Pencapaian Effective Call'!I306</f>
        <v>0</v>
      </c>
      <c r="AA306" s="268">
        <f>'Pencapaian New Open Outlet'!G306</f>
        <v>0</v>
      </c>
      <c r="AB306" s="189">
        <f>'Pencapaian New Open Outlet'!I306</f>
        <v>0</v>
      </c>
      <c r="AC306" s="258">
        <f>'Pencapaian Active Outlet'!G306</f>
        <v>3.2000000000000001E-2</v>
      </c>
      <c r="AD306" s="286">
        <f>'Pencapaian Active Outlet'!I306</f>
        <v>0</v>
      </c>
      <c r="AE306" s="268">
        <f>'Pencapaian Item per Outlet'!G306</f>
        <v>0</v>
      </c>
      <c r="AF306" s="189">
        <f>'Pencapaian Item per Outlet'!I306</f>
        <v>0</v>
      </c>
      <c r="AG306" s="268">
        <f>'Pencapaian Product Display'!G306</f>
        <v>0</v>
      </c>
      <c r="AH306" s="189">
        <f>'Pencapaian Product Display'!I306</f>
        <v>0</v>
      </c>
      <c r="AI306" s="268">
        <f>'Pencapaian Sales Contract'!G306</f>
        <v>0</v>
      </c>
      <c r="AJ306" s="189">
        <f>'Pencapaian Sales Contract'!I306</f>
        <v>0</v>
      </c>
      <c r="AK306" s="268">
        <f>'Pencapaian Co-Branding'!G306</f>
        <v>0</v>
      </c>
      <c r="AL306" s="189">
        <f>'Pencapaian Co-Branding'!I306</f>
        <v>0</v>
      </c>
      <c r="AM306" s="268">
        <f>'Pencapaian Join Event Activity'!G306</f>
        <v>0</v>
      </c>
      <c r="AN306" s="189">
        <f>'Pencapaian Join Event Activity'!I306</f>
        <v>0</v>
      </c>
      <c r="AO306" s="286">
        <f t="shared" si="147"/>
        <v>0</v>
      </c>
      <c r="AP306" s="289">
        <v>0</v>
      </c>
      <c r="AQ306" s="286">
        <f t="shared" si="144"/>
        <v>0</v>
      </c>
      <c r="AR306" s="289">
        <v>0</v>
      </c>
      <c r="AS306" s="286">
        <f t="shared" si="145"/>
        <v>0</v>
      </c>
      <c r="AT306" s="286">
        <f t="shared" si="146"/>
        <v>0</v>
      </c>
      <c r="AU306" s="286">
        <f t="shared" si="150"/>
        <v>0</v>
      </c>
      <c r="AV306" s="286">
        <v>0</v>
      </c>
    </row>
    <row r="307" spans="15:48" x14ac:dyDescent="0.2">
      <c r="P307" s="393"/>
      <c r="Q307" s="325"/>
      <c r="R307" s="325" t="s">
        <v>656</v>
      </c>
      <c r="S307" s="42"/>
      <c r="T307" s="264">
        <f>'Pencapaian Sales Value'!G307</f>
        <v>6.0630428571428571E-2</v>
      </c>
      <c r="U307" s="287">
        <f>'Pencapaian Sales Value'!I307</f>
        <v>0</v>
      </c>
      <c r="V307" s="274">
        <f>'Pencapaian Product Focus'!H307</f>
        <v>0</v>
      </c>
      <c r="W307" s="274">
        <f>'Pencapaian Product Focus'!L307</f>
        <v>0</v>
      </c>
      <c r="X307" s="190">
        <f>'Pencapaian Product Focus'!N307</f>
        <v>0</v>
      </c>
      <c r="Y307" s="274">
        <f>'Pencapaian Effective Call'!G307</f>
        <v>0</v>
      </c>
      <c r="Z307" s="190">
        <f>'Pencapaian Effective Call'!I307</f>
        <v>0</v>
      </c>
      <c r="AA307" s="274">
        <f>'Pencapaian New Open Outlet'!G307</f>
        <v>0</v>
      </c>
      <c r="AB307" s="190">
        <f>'Pencapaian New Open Outlet'!I307</f>
        <v>0</v>
      </c>
      <c r="AC307" s="264">
        <f>'Pencapaian Active Outlet'!G307</f>
        <v>3.2000000000000001E-2</v>
      </c>
      <c r="AD307" s="287">
        <f>'Pencapaian Active Outlet'!I307</f>
        <v>0</v>
      </c>
      <c r="AE307" s="274">
        <f>'Pencapaian Item per Outlet'!G307</f>
        <v>0</v>
      </c>
      <c r="AF307" s="190">
        <f>'Pencapaian Item per Outlet'!I307</f>
        <v>0</v>
      </c>
      <c r="AG307" s="274">
        <f>'Pencapaian Product Display'!G307</f>
        <v>0</v>
      </c>
      <c r="AH307" s="190">
        <f>'Pencapaian Product Display'!I307</f>
        <v>0</v>
      </c>
      <c r="AI307" s="274">
        <f>'Pencapaian Sales Contract'!G307</f>
        <v>0</v>
      </c>
      <c r="AJ307" s="190">
        <f>'Pencapaian Sales Contract'!I307</f>
        <v>0</v>
      </c>
      <c r="AK307" s="274">
        <f>'Pencapaian Co-Branding'!G307</f>
        <v>0</v>
      </c>
      <c r="AL307" s="190">
        <f>'Pencapaian Co-Branding'!I307</f>
        <v>0</v>
      </c>
      <c r="AM307" s="274">
        <f>'Pencapaian Join Event Activity'!G307</f>
        <v>0</v>
      </c>
      <c r="AN307" s="190">
        <f>'Pencapaian Join Event Activity'!I307</f>
        <v>0</v>
      </c>
      <c r="AO307" s="287">
        <f t="shared" si="147"/>
        <v>0</v>
      </c>
      <c r="AP307" s="290">
        <v>0</v>
      </c>
      <c r="AQ307" s="287">
        <f>SUM(AQ300:AQ306)</f>
        <v>0</v>
      </c>
      <c r="AR307" s="290">
        <v>0</v>
      </c>
      <c r="AS307" s="287">
        <f>SUM(AS300:AS306)</f>
        <v>0</v>
      </c>
      <c r="AT307" s="287">
        <f t="shared" si="146"/>
        <v>0</v>
      </c>
      <c r="AU307" s="287">
        <f>SUM(AU300:AU306)</f>
        <v>0</v>
      </c>
      <c r="AV307" s="287">
        <f>SUM(AV300:AV306)</f>
        <v>0</v>
      </c>
    </row>
    <row r="308" spans="15:48" x14ac:dyDescent="0.2">
      <c r="P308" s="392" t="s">
        <v>658</v>
      </c>
      <c r="Q308" s="321"/>
      <c r="R308" s="323" t="s">
        <v>660</v>
      </c>
      <c r="S308" s="12" t="s">
        <v>675</v>
      </c>
      <c r="T308" s="269">
        <f>'Pencapaian Sales Value'!G308</f>
        <v>1.685E-2</v>
      </c>
      <c r="U308" s="284">
        <f>'Pencapaian Sales Value'!I308</f>
        <v>0</v>
      </c>
      <c r="V308" s="304">
        <f>'Pencapaian Product Focus'!H308</f>
        <v>0</v>
      </c>
      <c r="W308" s="304">
        <f>'Pencapaian Product Focus'!L308</f>
        <v>0</v>
      </c>
      <c r="X308" s="285">
        <f>'Pencapaian Product Focus'!N308</f>
        <v>0</v>
      </c>
      <c r="Y308" s="304">
        <f>'Pencapaian Effective Call'!G308</f>
        <v>0</v>
      </c>
      <c r="Z308" s="285">
        <f>'Pencapaian Effective Call'!I308</f>
        <v>0</v>
      </c>
      <c r="AA308" s="304">
        <f>'Pencapaian New Open Outlet'!G308</f>
        <v>0</v>
      </c>
      <c r="AB308" s="285">
        <f>'Pencapaian New Open Outlet'!I308</f>
        <v>0</v>
      </c>
      <c r="AC308" s="269">
        <f>'Pencapaian Active Outlet'!G308</f>
        <v>0.16</v>
      </c>
      <c r="AD308" s="284">
        <f>'Pencapaian Active Outlet'!I308</f>
        <v>0</v>
      </c>
      <c r="AE308" s="304">
        <f>'Pencapaian Item per Outlet'!G308</f>
        <v>0</v>
      </c>
      <c r="AF308" s="285">
        <f>'Pencapaian Item per Outlet'!I308</f>
        <v>0</v>
      </c>
      <c r="AG308" s="304">
        <f>'Pencapaian Product Display'!G308</f>
        <v>0</v>
      </c>
      <c r="AH308" s="285">
        <f>'Pencapaian Product Display'!I308</f>
        <v>0</v>
      </c>
      <c r="AI308" s="304">
        <f>'Pencapaian Sales Contract'!G308</f>
        <v>0</v>
      </c>
      <c r="AJ308" s="285">
        <f>'Pencapaian Sales Contract'!I308</f>
        <v>0</v>
      </c>
      <c r="AK308" s="304">
        <f>'Pencapaian Co-Branding'!G308</f>
        <v>0</v>
      </c>
      <c r="AL308" s="285">
        <f>'Pencapaian Co-Branding'!I308</f>
        <v>0</v>
      </c>
      <c r="AM308" s="304">
        <f>'Pencapaian Join Event Activity'!G308</f>
        <v>0</v>
      </c>
      <c r="AN308" s="285">
        <f>'Pencapaian Join Event Activity'!I308</f>
        <v>0</v>
      </c>
      <c r="AO308" s="284">
        <f t="shared" si="147"/>
        <v>0</v>
      </c>
      <c r="AP308" s="322">
        <v>0</v>
      </c>
      <c r="AQ308" s="284">
        <f t="shared" si="144"/>
        <v>0</v>
      </c>
      <c r="AR308" s="322">
        <v>0</v>
      </c>
      <c r="AS308" s="284">
        <f t="shared" si="145"/>
        <v>0</v>
      </c>
      <c r="AT308" s="284">
        <f t="shared" si="146"/>
        <v>0</v>
      </c>
      <c r="AU308" s="284">
        <f t="shared" ref="AU308:AU312" si="151">AT308</f>
        <v>0</v>
      </c>
      <c r="AV308" s="284">
        <v>0</v>
      </c>
    </row>
    <row r="309" spans="15:48" x14ac:dyDescent="0.2">
      <c r="P309" s="392"/>
      <c r="Q309" s="321"/>
      <c r="R309" s="323" t="s">
        <v>795</v>
      </c>
      <c r="S309" s="12" t="s">
        <v>675</v>
      </c>
      <c r="T309" s="269">
        <f>'Pencapaian Sales Value'!G309</f>
        <v>-9.6766666666666667E-2</v>
      </c>
      <c r="U309" s="284">
        <f>'Pencapaian Sales Value'!I309</f>
        <v>0</v>
      </c>
      <c r="V309" s="304">
        <f>'Pencapaian Product Focus'!H309</f>
        <v>0</v>
      </c>
      <c r="W309" s="304">
        <f>'Pencapaian Product Focus'!L309</f>
        <v>0</v>
      </c>
      <c r="X309" s="285">
        <f>'Pencapaian Product Focus'!N309</f>
        <v>0</v>
      </c>
      <c r="Y309" s="304">
        <f>'Pencapaian Effective Call'!G309</f>
        <v>0</v>
      </c>
      <c r="Z309" s="285">
        <f>'Pencapaian Effective Call'!I309</f>
        <v>0</v>
      </c>
      <c r="AA309" s="304">
        <f>'Pencapaian New Open Outlet'!G309</f>
        <v>0</v>
      </c>
      <c r="AB309" s="285">
        <f>'Pencapaian New Open Outlet'!I309</f>
        <v>0</v>
      </c>
      <c r="AC309" s="269">
        <f>'Pencapaian Active Outlet'!G309</f>
        <v>0.16</v>
      </c>
      <c r="AD309" s="284">
        <f>'Pencapaian Active Outlet'!I309</f>
        <v>0</v>
      </c>
      <c r="AE309" s="304">
        <f>'Pencapaian Item per Outlet'!G309</f>
        <v>0</v>
      </c>
      <c r="AF309" s="285">
        <f>'Pencapaian Item per Outlet'!I309</f>
        <v>0</v>
      </c>
      <c r="AG309" s="304">
        <f>'Pencapaian Product Display'!G309</f>
        <v>0</v>
      </c>
      <c r="AH309" s="285">
        <f>'Pencapaian Product Display'!I309</f>
        <v>0</v>
      </c>
      <c r="AI309" s="304">
        <f>'Pencapaian Sales Contract'!G309</f>
        <v>0</v>
      </c>
      <c r="AJ309" s="285">
        <f>'Pencapaian Sales Contract'!I309</f>
        <v>0</v>
      </c>
      <c r="AK309" s="304">
        <f>'Pencapaian Co-Branding'!G309</f>
        <v>0</v>
      </c>
      <c r="AL309" s="285">
        <f>'Pencapaian Co-Branding'!I309</f>
        <v>0</v>
      </c>
      <c r="AM309" s="304">
        <f>'Pencapaian Join Event Activity'!G309</f>
        <v>0</v>
      </c>
      <c r="AN309" s="285">
        <f>'Pencapaian Join Event Activity'!I309</f>
        <v>0</v>
      </c>
      <c r="AO309" s="284">
        <f t="shared" si="147"/>
        <v>0</v>
      </c>
      <c r="AP309" s="322">
        <v>0</v>
      </c>
      <c r="AQ309" s="284">
        <f t="shared" si="144"/>
        <v>0</v>
      </c>
      <c r="AR309" s="322">
        <v>0</v>
      </c>
      <c r="AS309" s="284">
        <f t="shared" si="145"/>
        <v>0</v>
      </c>
      <c r="AT309" s="284">
        <f t="shared" si="146"/>
        <v>0</v>
      </c>
      <c r="AU309" s="284">
        <f t="shared" si="151"/>
        <v>0</v>
      </c>
      <c r="AV309" s="284">
        <v>0</v>
      </c>
    </row>
    <row r="310" spans="15:48" x14ac:dyDescent="0.2">
      <c r="P310" s="392"/>
      <c r="Q310" s="321"/>
      <c r="R310" s="323" t="s">
        <v>661</v>
      </c>
      <c r="S310" s="12" t="s">
        <v>675</v>
      </c>
      <c r="T310" s="269">
        <f>'Pencapaian Sales Value'!G310</f>
        <v>3.8800000000000001E-2</v>
      </c>
      <c r="U310" s="284">
        <f>'Pencapaian Sales Value'!I310</f>
        <v>0</v>
      </c>
      <c r="V310" s="304">
        <f>'Pencapaian Product Focus'!H310</f>
        <v>0</v>
      </c>
      <c r="W310" s="304">
        <f>'Pencapaian Product Focus'!L310</f>
        <v>0</v>
      </c>
      <c r="X310" s="285">
        <f>'Pencapaian Product Focus'!N310</f>
        <v>0</v>
      </c>
      <c r="Y310" s="304">
        <f>'Pencapaian Effective Call'!G310</f>
        <v>0</v>
      </c>
      <c r="Z310" s="285">
        <f>'Pencapaian Effective Call'!I310</f>
        <v>0</v>
      </c>
      <c r="AA310" s="304">
        <f>'Pencapaian New Open Outlet'!G310</f>
        <v>0</v>
      </c>
      <c r="AB310" s="285">
        <f>'Pencapaian New Open Outlet'!I310</f>
        <v>0</v>
      </c>
      <c r="AC310" s="269">
        <f>'Pencapaian Active Outlet'!G310</f>
        <v>0.04</v>
      </c>
      <c r="AD310" s="284">
        <f>'Pencapaian Active Outlet'!I310</f>
        <v>0</v>
      </c>
      <c r="AE310" s="304">
        <f>'Pencapaian Item per Outlet'!G310</f>
        <v>0</v>
      </c>
      <c r="AF310" s="285">
        <f>'Pencapaian Item per Outlet'!I310</f>
        <v>0</v>
      </c>
      <c r="AG310" s="304">
        <f>'Pencapaian Product Display'!G310</f>
        <v>0</v>
      </c>
      <c r="AH310" s="285">
        <f>'Pencapaian Product Display'!I310</f>
        <v>0</v>
      </c>
      <c r="AI310" s="304">
        <f>'Pencapaian Sales Contract'!G310</f>
        <v>0</v>
      </c>
      <c r="AJ310" s="285">
        <f>'Pencapaian Sales Contract'!I310</f>
        <v>0</v>
      </c>
      <c r="AK310" s="304">
        <f>'Pencapaian Co-Branding'!G310</f>
        <v>0</v>
      </c>
      <c r="AL310" s="285">
        <f>'Pencapaian Co-Branding'!I310</f>
        <v>0</v>
      </c>
      <c r="AM310" s="304">
        <f>'Pencapaian Join Event Activity'!G310</f>
        <v>0</v>
      </c>
      <c r="AN310" s="285">
        <f>'Pencapaian Join Event Activity'!I310</f>
        <v>0</v>
      </c>
      <c r="AO310" s="284">
        <f t="shared" si="147"/>
        <v>0</v>
      </c>
      <c r="AP310" s="322">
        <v>0</v>
      </c>
      <c r="AQ310" s="284">
        <f t="shared" si="144"/>
        <v>0</v>
      </c>
      <c r="AR310" s="322">
        <v>0</v>
      </c>
      <c r="AS310" s="284">
        <f t="shared" si="145"/>
        <v>0</v>
      </c>
      <c r="AT310" s="284">
        <f t="shared" si="146"/>
        <v>0</v>
      </c>
      <c r="AU310" s="284">
        <f t="shared" si="151"/>
        <v>0</v>
      </c>
      <c r="AV310" s="284">
        <v>0</v>
      </c>
    </row>
    <row r="311" spans="15:48" x14ac:dyDescent="0.2">
      <c r="P311" s="392"/>
      <c r="Q311" s="321"/>
      <c r="R311" s="323" t="s">
        <v>662</v>
      </c>
      <c r="S311" s="12" t="s">
        <v>675</v>
      </c>
      <c r="T311" s="269">
        <f>'Pencapaian Sales Value'!G311</f>
        <v>0</v>
      </c>
      <c r="U311" s="284">
        <f>'Pencapaian Sales Value'!I311</f>
        <v>0</v>
      </c>
      <c r="V311" s="304">
        <f>'Pencapaian Product Focus'!H311</f>
        <v>0</v>
      </c>
      <c r="W311" s="304">
        <f>'Pencapaian Product Focus'!L311</f>
        <v>0</v>
      </c>
      <c r="X311" s="285">
        <f>'Pencapaian Product Focus'!N311</f>
        <v>0</v>
      </c>
      <c r="Y311" s="304">
        <f>'Pencapaian Effective Call'!G311</f>
        <v>0</v>
      </c>
      <c r="Z311" s="285">
        <f>'Pencapaian Effective Call'!I311</f>
        <v>0</v>
      </c>
      <c r="AA311" s="304">
        <f>'Pencapaian New Open Outlet'!G311</f>
        <v>0</v>
      </c>
      <c r="AB311" s="285">
        <f>'Pencapaian New Open Outlet'!I311</f>
        <v>0</v>
      </c>
      <c r="AC311" s="269">
        <f>'Pencapaian Active Outlet'!G311</f>
        <v>0</v>
      </c>
      <c r="AD311" s="284">
        <f>'Pencapaian Active Outlet'!I311</f>
        <v>0</v>
      </c>
      <c r="AE311" s="304">
        <f>'Pencapaian Item per Outlet'!G311</f>
        <v>0</v>
      </c>
      <c r="AF311" s="285">
        <f>'Pencapaian Item per Outlet'!I311</f>
        <v>0</v>
      </c>
      <c r="AG311" s="304">
        <f>'Pencapaian Product Display'!G311</f>
        <v>0</v>
      </c>
      <c r="AH311" s="285">
        <f>'Pencapaian Product Display'!I311</f>
        <v>0</v>
      </c>
      <c r="AI311" s="304">
        <f>'Pencapaian Sales Contract'!G311</f>
        <v>0</v>
      </c>
      <c r="AJ311" s="285">
        <f>'Pencapaian Sales Contract'!I311</f>
        <v>0</v>
      </c>
      <c r="AK311" s="304">
        <f>'Pencapaian Co-Branding'!G311</f>
        <v>0</v>
      </c>
      <c r="AL311" s="285">
        <f>'Pencapaian Co-Branding'!I311</f>
        <v>0</v>
      </c>
      <c r="AM311" s="304">
        <f>'Pencapaian Join Event Activity'!G311</f>
        <v>0</v>
      </c>
      <c r="AN311" s="285">
        <f>'Pencapaian Join Event Activity'!I311</f>
        <v>0</v>
      </c>
      <c r="AO311" s="284">
        <f t="shared" si="147"/>
        <v>0</v>
      </c>
      <c r="AP311" s="322">
        <v>0</v>
      </c>
      <c r="AQ311" s="284">
        <f t="shared" si="144"/>
        <v>0</v>
      </c>
      <c r="AR311" s="322">
        <v>0</v>
      </c>
      <c r="AS311" s="284">
        <f t="shared" si="145"/>
        <v>0</v>
      </c>
      <c r="AT311" s="284">
        <f t="shared" si="146"/>
        <v>0</v>
      </c>
      <c r="AU311" s="284">
        <f t="shared" si="151"/>
        <v>0</v>
      </c>
      <c r="AV311" s="284">
        <v>0</v>
      </c>
    </row>
    <row r="312" spans="15:48" x14ac:dyDescent="0.2">
      <c r="P312" s="392"/>
      <c r="Q312" s="324"/>
      <c r="R312" s="324" t="s">
        <v>759</v>
      </c>
      <c r="S312" s="64" t="s">
        <v>673</v>
      </c>
      <c r="T312" s="258">
        <f>'Pencapaian Sales Value'!G312</f>
        <v>-1.4740909090909091E-2</v>
      </c>
      <c r="U312" s="286">
        <f>'Pencapaian Sales Value'!I312</f>
        <v>0</v>
      </c>
      <c r="V312" s="268">
        <f>'Pencapaian Product Focus'!H312</f>
        <v>0</v>
      </c>
      <c r="W312" s="268">
        <f>'Pencapaian Product Focus'!L312</f>
        <v>0</v>
      </c>
      <c r="X312" s="189">
        <f>'Pencapaian Product Focus'!N312</f>
        <v>0</v>
      </c>
      <c r="Y312" s="268">
        <f>'Pencapaian Effective Call'!G312</f>
        <v>0</v>
      </c>
      <c r="Z312" s="189">
        <f>'Pencapaian Effective Call'!I312</f>
        <v>0</v>
      </c>
      <c r="AA312" s="268">
        <f>'Pencapaian New Open Outlet'!G312</f>
        <v>0</v>
      </c>
      <c r="AB312" s="189">
        <f>'Pencapaian New Open Outlet'!I312</f>
        <v>0</v>
      </c>
      <c r="AC312" s="258">
        <f>'Pencapaian Active Outlet'!G312</f>
        <v>0.09</v>
      </c>
      <c r="AD312" s="286">
        <f>'Pencapaian Active Outlet'!I312</f>
        <v>0</v>
      </c>
      <c r="AE312" s="268">
        <f>'Pencapaian Item per Outlet'!G312</f>
        <v>0</v>
      </c>
      <c r="AF312" s="189">
        <f>'Pencapaian Item per Outlet'!I312</f>
        <v>0</v>
      </c>
      <c r="AG312" s="268">
        <f>'Pencapaian Product Display'!G312</f>
        <v>0</v>
      </c>
      <c r="AH312" s="189">
        <f>'Pencapaian Product Display'!I312</f>
        <v>0</v>
      </c>
      <c r="AI312" s="268">
        <f>'Pencapaian Sales Contract'!G312</f>
        <v>0</v>
      </c>
      <c r="AJ312" s="189">
        <f>'Pencapaian Sales Contract'!I312</f>
        <v>0</v>
      </c>
      <c r="AK312" s="268">
        <f>'Pencapaian Co-Branding'!G312</f>
        <v>0</v>
      </c>
      <c r="AL312" s="189">
        <f>'Pencapaian Co-Branding'!I312</f>
        <v>0</v>
      </c>
      <c r="AM312" s="268">
        <f>'Pencapaian Join Event Activity'!G312</f>
        <v>0</v>
      </c>
      <c r="AN312" s="189">
        <f>'Pencapaian Join Event Activity'!I312</f>
        <v>0</v>
      </c>
      <c r="AO312" s="286">
        <f t="shared" si="147"/>
        <v>0</v>
      </c>
      <c r="AP312" s="289">
        <v>0</v>
      </c>
      <c r="AQ312" s="286">
        <f t="shared" si="144"/>
        <v>0</v>
      </c>
      <c r="AR312" s="289">
        <v>0</v>
      </c>
      <c r="AS312" s="286">
        <f t="shared" si="145"/>
        <v>0</v>
      </c>
      <c r="AT312" s="286">
        <f t="shared" si="146"/>
        <v>0</v>
      </c>
      <c r="AU312" s="286">
        <f t="shared" si="151"/>
        <v>0</v>
      </c>
      <c r="AV312" s="286">
        <v>0</v>
      </c>
    </row>
    <row r="313" spans="15:48" x14ac:dyDescent="0.2">
      <c r="P313" s="393"/>
      <c r="Q313" s="325"/>
      <c r="R313" s="325" t="s">
        <v>659</v>
      </c>
      <c r="S313" s="42"/>
      <c r="T313" s="264">
        <f>'Pencapaian Sales Value'!G313</f>
        <v>-1.4740909090909091E-2</v>
      </c>
      <c r="U313" s="287">
        <f>'Pencapaian Sales Value'!I313</f>
        <v>0</v>
      </c>
      <c r="V313" s="274">
        <f>'Pencapaian Product Focus'!H313</f>
        <v>0</v>
      </c>
      <c r="W313" s="274">
        <f>'Pencapaian Product Focus'!L313</f>
        <v>0</v>
      </c>
      <c r="X313" s="190">
        <f>'Pencapaian Product Focus'!N313</f>
        <v>0</v>
      </c>
      <c r="Y313" s="274">
        <f>'Pencapaian Effective Call'!G313</f>
        <v>0</v>
      </c>
      <c r="Z313" s="190">
        <f>'Pencapaian Effective Call'!I313</f>
        <v>0</v>
      </c>
      <c r="AA313" s="274">
        <f>'Pencapaian New Open Outlet'!G313</f>
        <v>0</v>
      </c>
      <c r="AB313" s="190">
        <f>'Pencapaian New Open Outlet'!I313</f>
        <v>0</v>
      </c>
      <c r="AC313" s="264">
        <f>'Pencapaian Active Outlet'!G313</f>
        <v>0.09</v>
      </c>
      <c r="AD313" s="287">
        <f>'Pencapaian Active Outlet'!I313</f>
        <v>0</v>
      </c>
      <c r="AE313" s="274">
        <f>'Pencapaian Item per Outlet'!G313</f>
        <v>0</v>
      </c>
      <c r="AF313" s="190">
        <f>'Pencapaian Item per Outlet'!I313</f>
        <v>0</v>
      </c>
      <c r="AG313" s="274">
        <f>'Pencapaian Product Display'!G313</f>
        <v>0</v>
      </c>
      <c r="AH313" s="190">
        <f>'Pencapaian Product Display'!I313</f>
        <v>0</v>
      </c>
      <c r="AI313" s="274">
        <f>'Pencapaian Sales Contract'!G313</f>
        <v>0</v>
      </c>
      <c r="AJ313" s="190">
        <f>'Pencapaian Sales Contract'!I313</f>
        <v>0</v>
      </c>
      <c r="AK313" s="274">
        <f>'Pencapaian Co-Branding'!G313</f>
        <v>0</v>
      </c>
      <c r="AL313" s="190">
        <f>'Pencapaian Co-Branding'!I313</f>
        <v>0</v>
      </c>
      <c r="AM313" s="274">
        <f>'Pencapaian Join Event Activity'!G313</f>
        <v>0</v>
      </c>
      <c r="AN313" s="190">
        <f>'Pencapaian Join Event Activity'!I313</f>
        <v>0</v>
      </c>
      <c r="AO313" s="287">
        <f t="shared" si="147"/>
        <v>0</v>
      </c>
      <c r="AP313" s="290">
        <v>0</v>
      </c>
      <c r="AQ313" s="287">
        <f>SUM(AQ308:AQ312)</f>
        <v>0</v>
      </c>
      <c r="AR313" s="290">
        <v>0</v>
      </c>
      <c r="AS313" s="287">
        <f>SUM(AS308:AS312)</f>
        <v>0</v>
      </c>
      <c r="AT313" s="287">
        <f t="shared" si="146"/>
        <v>0</v>
      </c>
      <c r="AU313" s="287">
        <f>SUM(AU308:AU312)</f>
        <v>0</v>
      </c>
      <c r="AV313" s="287">
        <f>SUM(AV308:AV312)</f>
        <v>0</v>
      </c>
    </row>
    <row r="314" spans="15:48" x14ac:dyDescent="0.2">
      <c r="P314" s="326"/>
      <c r="Q314" s="326"/>
      <c r="R314" s="326" t="s">
        <v>863</v>
      </c>
      <c r="S314" s="209"/>
      <c r="T314" s="305">
        <f>'Pencapaian Sales Value'!G314</f>
        <v>5.3081240740740741E-2</v>
      </c>
      <c r="U314" s="288">
        <f>'Pencapaian Sales Value'!I314</f>
        <v>90000</v>
      </c>
      <c r="V314" s="274">
        <f>'Pencapaian Product Focus'!H314</f>
        <v>0</v>
      </c>
      <c r="W314" s="274">
        <f>'Pencapaian Product Focus'!L314</f>
        <v>0</v>
      </c>
      <c r="X314" s="190">
        <f>'Pencapaian Product Focus'!N314</f>
        <v>0</v>
      </c>
      <c r="Y314" s="274">
        <f>'Pencapaian Effective Call'!G314</f>
        <v>0</v>
      </c>
      <c r="Z314" s="190">
        <f>'Pencapaian Effective Call'!I314</f>
        <v>0</v>
      </c>
      <c r="AA314" s="274">
        <f>'Pencapaian New Open Outlet'!G314</f>
        <v>0</v>
      </c>
      <c r="AB314" s="190">
        <f>'Pencapaian New Open Outlet'!I314</f>
        <v>0</v>
      </c>
      <c r="AC314" s="305">
        <f>'Pencapaian Active Outlet'!G314</f>
        <v>5.6273447269695707E-2</v>
      </c>
      <c r="AD314" s="288">
        <f>'Pencapaian Active Outlet'!I314</f>
        <v>0</v>
      </c>
      <c r="AE314" s="274">
        <f>'Pencapaian Item per Outlet'!G314</f>
        <v>0</v>
      </c>
      <c r="AF314" s="190">
        <f>'Pencapaian Item per Outlet'!I314</f>
        <v>0</v>
      </c>
      <c r="AG314" s="274">
        <f>'Pencapaian Product Display'!G314</f>
        <v>0</v>
      </c>
      <c r="AH314" s="190">
        <f>'Pencapaian Product Display'!I314</f>
        <v>0</v>
      </c>
      <c r="AI314" s="274">
        <f>'Pencapaian Sales Contract'!G314</f>
        <v>0</v>
      </c>
      <c r="AJ314" s="190">
        <f>'Pencapaian Sales Contract'!I314</f>
        <v>0</v>
      </c>
      <c r="AK314" s="274">
        <f>'Pencapaian Co-Branding'!G314</f>
        <v>0</v>
      </c>
      <c r="AL314" s="190">
        <f>'Pencapaian Co-Branding'!I314</f>
        <v>0</v>
      </c>
      <c r="AM314" s="274">
        <f>'Pencapaian Join Event Activity'!G314</f>
        <v>0</v>
      </c>
      <c r="AN314" s="190">
        <f>'Pencapaian Join Event Activity'!I314</f>
        <v>0</v>
      </c>
      <c r="AO314" s="288">
        <f t="shared" si="147"/>
        <v>90000</v>
      </c>
      <c r="AP314" s="291">
        <v>0</v>
      </c>
      <c r="AQ314" s="288">
        <f>SUM(AQ313,AQ307,AQ299,AQ292,AQ288)</f>
        <v>0</v>
      </c>
      <c r="AR314" s="291">
        <v>0</v>
      </c>
      <c r="AS314" s="288">
        <f>SUM(AS313,AS307,AS299,AS292,AS288)</f>
        <v>0</v>
      </c>
      <c r="AT314" s="288">
        <f t="shared" si="146"/>
        <v>90000</v>
      </c>
      <c r="AU314" s="288">
        <f>SUM(AU313,AU307,AU299,AU292,AU288)</f>
        <v>90000</v>
      </c>
      <c r="AV314" s="288">
        <f>SUM(AV313,AV307,AV299,AV292,AV288)</f>
        <v>0</v>
      </c>
    </row>
    <row r="315" spans="15:48" x14ac:dyDescent="0.2">
      <c r="P315" s="326"/>
      <c r="Q315" s="326"/>
      <c r="R315" s="326" t="s">
        <v>55</v>
      </c>
      <c r="S315" s="209"/>
      <c r="T315" s="305">
        <f>'Pencapaian Sales Value'!G315</f>
        <v>0.67362980081876866</v>
      </c>
      <c r="U315" s="288">
        <f>'Pencapaian Sales Value'!I315</f>
        <v>2666000</v>
      </c>
      <c r="V315" s="274">
        <f>'Pencapaian Product Focus'!H315</f>
        <v>0</v>
      </c>
      <c r="W315" s="274">
        <f>'Pencapaian Product Focus'!L315</f>
        <v>0</v>
      </c>
      <c r="X315" s="190">
        <f>'Pencapaian Product Focus'!N315</f>
        <v>0</v>
      </c>
      <c r="Y315" s="274">
        <f>'Pencapaian Effective Call'!G315</f>
        <v>0</v>
      </c>
      <c r="Z315" s="190">
        <f>'Pencapaian Effective Call'!I315</f>
        <v>0</v>
      </c>
      <c r="AA315" s="274">
        <f>'Pencapaian New Open Outlet'!G315</f>
        <v>0</v>
      </c>
      <c r="AB315" s="190">
        <f>'Pencapaian New Open Outlet'!I315</f>
        <v>0</v>
      </c>
      <c r="AC315" s="305">
        <f>'Pencapaian Active Outlet'!G315</f>
        <v>0.40988658777120313</v>
      </c>
      <c r="AD315" s="288">
        <f>'Pencapaian Active Outlet'!I315</f>
        <v>2826000</v>
      </c>
      <c r="AE315" s="274">
        <f>'Pencapaian Item per Outlet'!G315</f>
        <v>0</v>
      </c>
      <c r="AF315" s="190">
        <f>'Pencapaian Item per Outlet'!I315</f>
        <v>0</v>
      </c>
      <c r="AG315" s="274">
        <f>'Pencapaian Product Display'!G315</f>
        <v>0</v>
      </c>
      <c r="AH315" s="190">
        <f>'Pencapaian Product Display'!I315</f>
        <v>0</v>
      </c>
      <c r="AI315" s="274">
        <f>'Pencapaian Sales Contract'!G315</f>
        <v>0</v>
      </c>
      <c r="AJ315" s="190">
        <f>'Pencapaian Sales Contract'!I315</f>
        <v>0</v>
      </c>
      <c r="AK315" s="274">
        <f>'Pencapaian Co-Branding'!G315</f>
        <v>0</v>
      </c>
      <c r="AL315" s="190">
        <f>'Pencapaian Co-Branding'!I315</f>
        <v>0</v>
      </c>
      <c r="AM315" s="274">
        <f>'Pencapaian Join Event Activity'!G315</f>
        <v>0</v>
      </c>
      <c r="AN315" s="190">
        <f>'Pencapaian Join Event Activity'!I315</f>
        <v>0</v>
      </c>
      <c r="AO315" s="288">
        <f t="shared" si="147"/>
        <v>5492000</v>
      </c>
      <c r="AP315" s="291">
        <v>0</v>
      </c>
      <c r="AQ315" s="288">
        <f>SUM(AQ314,AQ281,AQ259,AQ226,AQ190)</f>
        <v>0</v>
      </c>
      <c r="AR315" s="291">
        <v>0</v>
      </c>
      <c r="AS315" s="288">
        <f>SUM(AS314,AS281,AS259,AS226,AS190)</f>
        <v>0</v>
      </c>
      <c r="AT315" s="288">
        <f t="shared" si="146"/>
        <v>5492000</v>
      </c>
      <c r="AU315" s="288">
        <f>SUM(AU314,AU281,AU259,AU226,AU190)</f>
        <v>5492000</v>
      </c>
      <c r="AV315" s="288">
        <f>SUM(AV314,AV281,AV259,AV226,AV190)</f>
        <v>0</v>
      </c>
    </row>
    <row r="316" spans="15:48" x14ac:dyDescent="0.2">
      <c r="U316" s="2"/>
      <c r="X316" s="2"/>
      <c r="Z316" s="2"/>
      <c r="AB316" s="2"/>
      <c r="AD316" s="2"/>
      <c r="AF316" s="2"/>
      <c r="AH316" s="2"/>
      <c r="AJ316" s="2"/>
      <c r="AL316" s="2"/>
      <c r="AN316" s="2"/>
      <c r="AO316" s="2"/>
      <c r="AP316" s="1" t="s">
        <v>797</v>
      </c>
      <c r="AQ316" s="2"/>
      <c r="AR316" s="1"/>
      <c r="AS316" s="2"/>
      <c r="AT316" s="2"/>
      <c r="AU316" s="2"/>
      <c r="AV316" s="2"/>
    </row>
    <row r="317" spans="15:48" x14ac:dyDescent="0.2">
      <c r="U317" s="2"/>
      <c r="X317" s="2"/>
      <c r="Z317" s="2"/>
      <c r="AB317" s="2"/>
      <c r="AD317" s="2"/>
      <c r="AF317" s="2"/>
      <c r="AH317" s="2"/>
      <c r="AJ317" s="2"/>
      <c r="AL317" s="2"/>
      <c r="AN317" s="2"/>
      <c r="AO317" s="2"/>
      <c r="AP317" s="1"/>
      <c r="AQ317" s="2"/>
      <c r="AR317" s="1"/>
      <c r="AS317" s="2"/>
      <c r="AT317" s="2"/>
      <c r="AU317" s="2"/>
      <c r="AV317" s="2"/>
    </row>
    <row r="318" spans="15:48" x14ac:dyDescent="0.2">
      <c r="O318" s="3"/>
      <c r="U318" s="2"/>
      <c r="X318" s="2"/>
      <c r="Z318" s="2"/>
      <c r="AB318" s="2"/>
      <c r="AD318" s="2"/>
      <c r="AF318" s="2"/>
      <c r="AH318" s="2"/>
      <c r="AJ318" s="2"/>
      <c r="AL318" s="2"/>
      <c r="AN318" s="2"/>
      <c r="AO318" s="2"/>
      <c r="AP318" s="1"/>
      <c r="AQ318" s="2"/>
      <c r="AR318" s="1"/>
      <c r="AS318" s="2"/>
      <c r="AT318" s="2"/>
      <c r="AU318" s="2"/>
      <c r="AV318" s="2"/>
    </row>
    <row r="319" spans="15:48" x14ac:dyDescent="0.2">
      <c r="O319" s="3"/>
      <c r="U319" s="2"/>
      <c r="X319" s="2"/>
      <c r="Z319" s="2"/>
      <c r="AB319" s="2"/>
      <c r="AD319" s="2"/>
      <c r="AF319" s="2"/>
      <c r="AH319" s="2"/>
      <c r="AJ319" s="2"/>
      <c r="AL319" s="2"/>
      <c r="AN319" s="2"/>
      <c r="AO319" s="2"/>
      <c r="AP319" s="1"/>
      <c r="AQ319" s="2"/>
      <c r="AR319" s="1"/>
      <c r="AS319" s="2"/>
      <c r="AT319" s="2"/>
      <c r="AU319" s="2"/>
      <c r="AV319" s="2"/>
    </row>
    <row r="320" spans="15:48" x14ac:dyDescent="0.2">
      <c r="O320" s="3"/>
      <c r="U320" s="2"/>
      <c r="X320" s="2"/>
      <c r="Z320" s="2"/>
      <c r="AB320" s="2"/>
      <c r="AD320" s="2"/>
      <c r="AF320" s="2"/>
      <c r="AH320" s="2"/>
      <c r="AJ320" s="2"/>
      <c r="AL320" s="2"/>
      <c r="AN320" s="2"/>
      <c r="AO320" s="2"/>
      <c r="AP320" s="1"/>
      <c r="AQ320" s="2"/>
      <c r="AR320" s="1"/>
      <c r="AS320" s="2"/>
      <c r="AT320" s="2"/>
      <c r="AU320" s="2"/>
      <c r="AV320" s="2"/>
    </row>
    <row r="321" spans="15:48" x14ac:dyDescent="0.2">
      <c r="O321" s="3"/>
      <c r="P321" s="4"/>
      <c r="Q321" s="5"/>
      <c r="R321" s="5"/>
      <c r="U321" s="2"/>
      <c r="X321" s="2"/>
      <c r="Z321" s="2"/>
      <c r="AB321" s="2"/>
      <c r="AD321" s="2"/>
      <c r="AF321" s="2"/>
      <c r="AH321" s="2"/>
      <c r="AJ321" s="2"/>
      <c r="AL321" s="2"/>
      <c r="AN321" s="2"/>
      <c r="AO321" s="2"/>
      <c r="AP321" s="1"/>
      <c r="AQ321" s="2"/>
      <c r="AR321" s="1"/>
      <c r="AS321" s="2"/>
      <c r="AT321" s="2"/>
      <c r="AU321" s="2"/>
      <c r="AV321" s="2"/>
    </row>
    <row r="322" spans="15:48" x14ac:dyDescent="0.2">
      <c r="O322" s="3"/>
      <c r="P322" s="8"/>
      <c r="Q322" s="8"/>
      <c r="R322" s="8"/>
      <c r="U322" s="2"/>
      <c r="X322" s="2"/>
      <c r="Z322" s="2"/>
      <c r="AB322" s="2"/>
      <c r="AD322" s="2"/>
      <c r="AF322" s="2"/>
      <c r="AH322" s="2"/>
      <c r="AJ322" s="2"/>
      <c r="AL322" s="2"/>
      <c r="AN322" s="2"/>
      <c r="AO322" s="2"/>
      <c r="AP322" s="1"/>
      <c r="AQ322" s="2"/>
      <c r="AR322" s="1"/>
      <c r="AS322" s="2"/>
      <c r="AT322" s="2"/>
      <c r="AU322" s="2"/>
      <c r="AV322" s="2"/>
    </row>
    <row r="323" spans="15:48" ht="14.5" customHeight="1" x14ac:dyDescent="0.2">
      <c r="O323" s="3"/>
      <c r="P323" s="388" t="s">
        <v>0</v>
      </c>
      <c r="Q323" s="388" t="s">
        <v>270</v>
      </c>
      <c r="R323" s="388" t="s">
        <v>2</v>
      </c>
      <c r="S323" s="394" t="s">
        <v>3</v>
      </c>
      <c r="T323" s="388" t="s">
        <v>4</v>
      </c>
      <c r="U323" s="388"/>
      <c r="V323" s="388" t="s">
        <v>139</v>
      </c>
      <c r="W323" s="388"/>
      <c r="X323" s="388"/>
      <c r="Y323" s="388" t="s">
        <v>134</v>
      </c>
      <c r="Z323" s="388"/>
      <c r="AA323" s="388" t="s">
        <v>135</v>
      </c>
      <c r="AB323" s="388"/>
      <c r="AC323" s="388" t="s">
        <v>5</v>
      </c>
      <c r="AD323" s="388"/>
      <c r="AE323" s="388" t="s">
        <v>137</v>
      </c>
      <c r="AF323" s="388"/>
      <c r="AG323" s="388" t="s">
        <v>424</v>
      </c>
      <c r="AH323" s="388"/>
      <c r="AI323" s="388" t="s">
        <v>431</v>
      </c>
      <c r="AJ323" s="388"/>
      <c r="AK323" s="388" t="s">
        <v>438</v>
      </c>
      <c r="AL323" s="388"/>
      <c r="AM323" s="388" t="s">
        <v>445</v>
      </c>
      <c r="AN323" s="388"/>
      <c r="AO323" s="389" t="s">
        <v>141</v>
      </c>
      <c r="AP323" s="391" t="s">
        <v>6</v>
      </c>
      <c r="AQ323" s="391"/>
      <c r="AR323" s="391"/>
      <c r="AS323" s="391"/>
      <c r="AT323" s="385" t="s">
        <v>7</v>
      </c>
      <c r="AU323" s="385" t="s">
        <v>2</v>
      </c>
      <c r="AV323" s="385" t="s">
        <v>144</v>
      </c>
    </row>
    <row r="324" spans="15:48" ht="32" x14ac:dyDescent="0.2">
      <c r="O324" s="3"/>
      <c r="P324" s="388"/>
      <c r="Q324" s="388"/>
      <c r="R324" s="388"/>
      <c r="S324" s="394"/>
      <c r="T324" s="253" t="s">
        <v>9</v>
      </c>
      <c r="U324" s="54" t="s">
        <v>10</v>
      </c>
      <c r="V324" s="253" t="s">
        <v>514</v>
      </c>
      <c r="W324" s="296" t="s">
        <v>515</v>
      </c>
      <c r="X324" s="54" t="s">
        <v>10</v>
      </c>
      <c r="Y324" s="253" t="s">
        <v>9</v>
      </c>
      <c r="Z324" s="54" t="s">
        <v>10</v>
      </c>
      <c r="AA324" s="253" t="s">
        <v>9</v>
      </c>
      <c r="AB324" s="54" t="s">
        <v>10</v>
      </c>
      <c r="AC324" s="253" t="s">
        <v>9</v>
      </c>
      <c r="AD324" s="54" t="s">
        <v>10</v>
      </c>
      <c r="AE324" s="253" t="s">
        <v>9</v>
      </c>
      <c r="AF324" s="54" t="s">
        <v>10</v>
      </c>
      <c r="AG324" s="253" t="s">
        <v>9</v>
      </c>
      <c r="AH324" s="54" t="s">
        <v>10</v>
      </c>
      <c r="AI324" s="253" t="s">
        <v>9</v>
      </c>
      <c r="AJ324" s="54" t="s">
        <v>10</v>
      </c>
      <c r="AK324" s="253" t="s">
        <v>9</v>
      </c>
      <c r="AL324" s="54" t="s">
        <v>10</v>
      </c>
      <c r="AM324" s="253" t="s">
        <v>9</v>
      </c>
      <c r="AN324" s="54" t="s">
        <v>10</v>
      </c>
      <c r="AO324" s="390"/>
      <c r="AP324" s="135" t="s">
        <v>798</v>
      </c>
      <c r="AQ324" s="134" t="s">
        <v>143</v>
      </c>
      <c r="AR324" s="135" t="s">
        <v>11</v>
      </c>
      <c r="AS324" s="134" t="s">
        <v>143</v>
      </c>
      <c r="AT324" s="385"/>
      <c r="AU324" s="385"/>
      <c r="AV324" s="385"/>
    </row>
    <row r="325" spans="15:48" ht="16" x14ac:dyDescent="0.2">
      <c r="P325" s="386" t="s">
        <v>865</v>
      </c>
      <c r="Q325" s="117"/>
      <c r="R325" s="117" t="s">
        <v>868</v>
      </c>
      <c r="S325" s="117"/>
      <c r="T325" s="304">
        <f>'Pencapaian Sales Value'!G325</f>
        <v>0</v>
      </c>
      <c r="U325" s="285">
        <f>'Pencapaian Sales Value'!I325</f>
        <v>0</v>
      </c>
      <c r="V325" s="304">
        <f>'Pencapaian Product Focus'!H324</f>
        <v>0</v>
      </c>
      <c r="W325" s="304">
        <f>'Pencapaian Product Focus'!L324</f>
        <v>0</v>
      </c>
      <c r="X325" s="285">
        <f>'Pencapaian Product Focus'!N324</f>
        <v>0</v>
      </c>
      <c r="Y325" s="335">
        <f>'Pencapaian Effective Call'!G324</f>
        <v>0</v>
      </c>
      <c r="Z325" s="285">
        <f>'Pencapaian Effective Call'!I324</f>
        <v>0</v>
      </c>
      <c r="AA325" s="378">
        <f>'Pencapaian New Open Outlet'!G324</f>
        <v>0</v>
      </c>
      <c r="AB325" s="285">
        <f>'Pencapaian New Open Outlet'!I324</f>
        <v>0</v>
      </c>
      <c r="AC325" s="304">
        <f>'Pencapaian Active Outlet'!G324</f>
        <v>0</v>
      </c>
      <c r="AD325" s="285">
        <f>'Pencapaian Active Outlet'!I324</f>
        <v>0</v>
      </c>
      <c r="AE325" s="335">
        <f>'Pencapaian Item per Outlet'!G324</f>
        <v>0</v>
      </c>
      <c r="AF325" s="285">
        <f>'Pencapaian Item per Outlet'!I324</f>
        <v>0</v>
      </c>
      <c r="AG325" s="335">
        <f>'Pencapaian Product Display'!G324</f>
        <v>0</v>
      </c>
      <c r="AH325" s="285">
        <f>'Pencapaian Product Display'!I324</f>
        <v>0</v>
      </c>
      <c r="AI325" s="335">
        <f>'Pencapaian Sales Contract'!G324</f>
        <v>0</v>
      </c>
      <c r="AJ325" s="285">
        <f>'Pencapaian Sales Contract'!I324</f>
        <v>0</v>
      </c>
      <c r="AK325" s="335">
        <f>'Pencapaian Co-Branding'!G324</f>
        <v>0</v>
      </c>
      <c r="AL325" s="285">
        <f>'Pencapaian Co-Branding'!I324</f>
        <v>0</v>
      </c>
      <c r="AM325" s="335">
        <f>'Pencapaian Join Event Activity'!G324</f>
        <v>0</v>
      </c>
      <c r="AN325" s="285">
        <f>'Pencapaian Join Event Activity'!I324</f>
        <v>0</v>
      </c>
      <c r="AO325" s="284">
        <f t="shared" ref="AO325" si="152">SUM(AN325,AL325,AJ325,AH325,AF325,AD325,AB325,Z325,X325,U325)</f>
        <v>0</v>
      </c>
      <c r="AP325" s="322">
        <v>0</v>
      </c>
      <c r="AQ325" s="284">
        <f t="shared" ref="AQ325:AQ336" si="153">IF(AP325&gt;=0.5%,-(AO325*10%),0)</f>
        <v>0</v>
      </c>
      <c r="AR325" s="322">
        <v>0</v>
      </c>
      <c r="AS325" s="284">
        <f t="shared" ref="AS325:AS336" si="154">IF(AR325&gt;0,-(AO325+AQ325),0)</f>
        <v>0</v>
      </c>
      <c r="AT325" s="284">
        <f t="shared" ref="AT325:AT338" si="155">SUM(AS325,AQ325,AO325)</f>
        <v>0</v>
      </c>
      <c r="AU325" s="284">
        <f t="shared" ref="AU325:AU326" si="156">AT325</f>
        <v>0</v>
      </c>
      <c r="AV325" s="284">
        <v>0</v>
      </c>
    </row>
    <row r="326" spans="15:48" ht="16" x14ac:dyDescent="0.2">
      <c r="P326" s="386"/>
      <c r="Q326" s="117"/>
      <c r="R326" s="117" t="s">
        <v>869</v>
      </c>
      <c r="S326" s="117"/>
      <c r="T326" s="304">
        <f>'Pencapaian Sales Value'!G326</f>
        <v>0</v>
      </c>
      <c r="U326" s="285">
        <f>'Pencapaian Sales Value'!I326</f>
        <v>0</v>
      </c>
      <c r="V326" s="304">
        <f>'Pencapaian Product Focus'!H325</f>
        <v>0</v>
      </c>
      <c r="W326" s="304">
        <f>'Pencapaian Product Focus'!L325</f>
        <v>0</v>
      </c>
      <c r="X326" s="285">
        <f>'Pencapaian Product Focus'!N325</f>
        <v>0</v>
      </c>
      <c r="Y326" s="304">
        <f>'Pencapaian Effective Call'!G325</f>
        <v>0</v>
      </c>
      <c r="Z326" s="285">
        <f>'Pencapaian Effective Call'!I325</f>
        <v>0</v>
      </c>
      <c r="AA326" s="304">
        <f>'Pencapaian New Open Outlet'!G325</f>
        <v>0</v>
      </c>
      <c r="AB326" s="285">
        <f>'Pencapaian New Open Outlet'!I325</f>
        <v>0</v>
      </c>
      <c r="AC326" s="304">
        <f>'Pencapaian Active Outlet'!G325</f>
        <v>0</v>
      </c>
      <c r="AD326" s="285">
        <f>'Pencapaian Active Outlet'!I325</f>
        <v>0</v>
      </c>
      <c r="AE326" s="304">
        <f>'Pencapaian Item per Outlet'!G325</f>
        <v>0</v>
      </c>
      <c r="AF326" s="285">
        <f>'Pencapaian Item per Outlet'!I325</f>
        <v>0</v>
      </c>
      <c r="AG326" s="304">
        <f>'Pencapaian Product Display'!G325</f>
        <v>0</v>
      </c>
      <c r="AH326" s="285">
        <f>'Pencapaian Product Display'!I325</f>
        <v>0</v>
      </c>
      <c r="AI326" s="304">
        <f>'Pencapaian Sales Contract'!G325</f>
        <v>0</v>
      </c>
      <c r="AJ326" s="285">
        <f>'Pencapaian Sales Contract'!I325</f>
        <v>0</v>
      </c>
      <c r="AK326" s="304">
        <f>'Pencapaian Co-Branding'!G325</f>
        <v>0</v>
      </c>
      <c r="AL326" s="285">
        <f>'Pencapaian Co-Branding'!I325</f>
        <v>0</v>
      </c>
      <c r="AM326" s="304">
        <f>'Pencapaian Join Event Activity'!G325</f>
        <v>0</v>
      </c>
      <c r="AN326" s="285">
        <f>'Pencapaian Join Event Activity'!I325</f>
        <v>0</v>
      </c>
      <c r="AO326" s="284">
        <f t="shared" ref="AO326:AO338" si="157">SUM(AN326,AL326,AJ326,AH326,AF326,AD326,AB326,Z326,X326,U326)</f>
        <v>0</v>
      </c>
      <c r="AP326" s="322">
        <v>0</v>
      </c>
      <c r="AQ326" s="284">
        <f t="shared" si="153"/>
        <v>0</v>
      </c>
      <c r="AR326" s="322">
        <v>0</v>
      </c>
      <c r="AS326" s="284">
        <f t="shared" si="154"/>
        <v>0</v>
      </c>
      <c r="AT326" s="284">
        <f t="shared" si="155"/>
        <v>0</v>
      </c>
      <c r="AU326" s="284">
        <f t="shared" si="156"/>
        <v>0</v>
      </c>
      <c r="AV326" s="284">
        <v>0</v>
      </c>
    </row>
    <row r="327" spans="15:48" ht="16" x14ac:dyDescent="0.2">
      <c r="P327" s="386"/>
      <c r="Q327" s="52"/>
      <c r="R327" s="69" t="s">
        <v>870</v>
      </c>
      <c r="S327" s="12" t="s">
        <v>571</v>
      </c>
      <c r="T327" s="269">
        <f>'Pencapaian Sales Value'!G327</f>
        <v>1.0635301962962971</v>
      </c>
      <c r="U327" s="284">
        <f>'Pencapaian Sales Value'!I327</f>
        <v>264000</v>
      </c>
      <c r="V327" s="304">
        <f>'Pencapaian Product Focus'!H326</f>
        <v>0</v>
      </c>
      <c r="W327" s="304">
        <f>'Pencapaian Product Focus'!L326</f>
        <v>0</v>
      </c>
      <c r="X327" s="285">
        <f>'Pencapaian Product Focus'!N326</f>
        <v>0</v>
      </c>
      <c r="Y327" s="304">
        <f>'Pencapaian Effective Call'!G326</f>
        <v>0</v>
      </c>
      <c r="Z327" s="285">
        <f>'Pencapaian Effective Call'!I326</f>
        <v>0</v>
      </c>
      <c r="AA327" s="304">
        <f>'Pencapaian New Open Outlet'!G326</f>
        <v>0</v>
      </c>
      <c r="AB327" s="285">
        <f>'Pencapaian New Open Outlet'!I326</f>
        <v>0</v>
      </c>
      <c r="AC327" s="269">
        <f>'Pencapaian Active Outlet'!G326</f>
        <v>0.93</v>
      </c>
      <c r="AD327" s="284">
        <f>'Pencapaian Active Outlet'!I326</f>
        <v>297000</v>
      </c>
      <c r="AE327" s="304">
        <f>'Pencapaian Item per Outlet'!G326</f>
        <v>0</v>
      </c>
      <c r="AF327" s="285">
        <f>'Pencapaian Item per Outlet'!I326</f>
        <v>0</v>
      </c>
      <c r="AG327" s="304">
        <f>'Pencapaian Product Display'!G326</f>
        <v>0</v>
      </c>
      <c r="AH327" s="285">
        <f>'Pencapaian Product Display'!I326</f>
        <v>0</v>
      </c>
      <c r="AI327" s="304">
        <f>'Pencapaian Sales Contract'!G326</f>
        <v>0</v>
      </c>
      <c r="AJ327" s="285">
        <f>'Pencapaian Sales Contract'!I326</f>
        <v>0</v>
      </c>
      <c r="AK327" s="304">
        <f>'Pencapaian Co-Branding'!G326</f>
        <v>0</v>
      </c>
      <c r="AL327" s="285">
        <f>'Pencapaian Co-Branding'!I326</f>
        <v>0</v>
      </c>
      <c r="AM327" s="304">
        <f>'Pencapaian Join Event Activity'!G326</f>
        <v>0</v>
      </c>
      <c r="AN327" s="285">
        <f>'Pencapaian Join Event Activity'!I326</f>
        <v>0</v>
      </c>
      <c r="AO327" s="284">
        <f t="shared" si="157"/>
        <v>561000</v>
      </c>
      <c r="AP327" s="322">
        <v>0</v>
      </c>
      <c r="AQ327" s="284">
        <f t="shared" si="153"/>
        <v>0</v>
      </c>
      <c r="AR327" s="322">
        <v>0</v>
      </c>
      <c r="AS327" s="284">
        <f t="shared" si="154"/>
        <v>0</v>
      </c>
      <c r="AT327" s="284">
        <f t="shared" si="155"/>
        <v>561000</v>
      </c>
      <c r="AU327" s="284">
        <f t="shared" ref="AU327" si="158">AT327</f>
        <v>561000</v>
      </c>
      <c r="AV327" s="284">
        <v>0</v>
      </c>
    </row>
    <row r="328" spans="15:48" ht="16" x14ac:dyDescent="0.2">
      <c r="P328" s="386"/>
      <c r="Q328" s="117"/>
      <c r="R328" s="117" t="s">
        <v>871</v>
      </c>
      <c r="S328" s="117"/>
      <c r="T328" s="304">
        <f>'Pencapaian Sales Value'!G328</f>
        <v>0</v>
      </c>
      <c r="U328" s="285">
        <f>'Pencapaian Sales Value'!I328</f>
        <v>0</v>
      </c>
      <c r="V328" s="304">
        <f>'Pencapaian Product Focus'!H327</f>
        <v>0</v>
      </c>
      <c r="W328" s="304">
        <f>'Pencapaian Product Focus'!L327</f>
        <v>0</v>
      </c>
      <c r="X328" s="285">
        <f>'Pencapaian Product Focus'!N327</f>
        <v>0</v>
      </c>
      <c r="Y328" s="304">
        <f>'Pencapaian Effective Call'!G327</f>
        <v>0</v>
      </c>
      <c r="Z328" s="285">
        <f>'Pencapaian Effective Call'!I327</f>
        <v>0</v>
      </c>
      <c r="AA328" s="304">
        <f>'Pencapaian New Open Outlet'!G327</f>
        <v>0</v>
      </c>
      <c r="AB328" s="285">
        <f>'Pencapaian New Open Outlet'!I327</f>
        <v>0</v>
      </c>
      <c r="AC328" s="304">
        <f>'Pencapaian Active Outlet'!G327</f>
        <v>0</v>
      </c>
      <c r="AD328" s="285">
        <f>'Pencapaian Active Outlet'!I327</f>
        <v>0</v>
      </c>
      <c r="AE328" s="304">
        <f>'Pencapaian Item per Outlet'!G327</f>
        <v>0</v>
      </c>
      <c r="AF328" s="285">
        <f>'Pencapaian Item per Outlet'!I327</f>
        <v>0</v>
      </c>
      <c r="AG328" s="304">
        <f>'Pencapaian Product Display'!G327</f>
        <v>0</v>
      </c>
      <c r="AH328" s="285">
        <f>'Pencapaian Product Display'!I327</f>
        <v>0</v>
      </c>
      <c r="AI328" s="304">
        <f>'Pencapaian Sales Contract'!G327</f>
        <v>0</v>
      </c>
      <c r="AJ328" s="285">
        <f>'Pencapaian Sales Contract'!I327</f>
        <v>0</v>
      </c>
      <c r="AK328" s="304">
        <f>'Pencapaian Co-Branding'!G327</f>
        <v>0</v>
      </c>
      <c r="AL328" s="285">
        <f>'Pencapaian Co-Branding'!I327</f>
        <v>0</v>
      </c>
      <c r="AM328" s="304">
        <f>'Pencapaian Join Event Activity'!G327</f>
        <v>0</v>
      </c>
      <c r="AN328" s="285">
        <f>'Pencapaian Join Event Activity'!I327</f>
        <v>0</v>
      </c>
      <c r="AO328" s="284">
        <f t="shared" si="157"/>
        <v>0</v>
      </c>
      <c r="AP328" s="322">
        <v>0</v>
      </c>
      <c r="AQ328" s="284">
        <f t="shared" si="153"/>
        <v>0</v>
      </c>
      <c r="AR328" s="322">
        <v>0</v>
      </c>
      <c r="AS328" s="284">
        <f t="shared" si="154"/>
        <v>0</v>
      </c>
      <c r="AT328" s="284">
        <f t="shared" si="155"/>
        <v>0</v>
      </c>
      <c r="AU328" s="284">
        <f t="shared" ref="AU328:AU336" si="159">AT328</f>
        <v>0</v>
      </c>
      <c r="AV328" s="284">
        <v>0</v>
      </c>
    </row>
    <row r="329" spans="15:48" ht="16" x14ac:dyDescent="0.2">
      <c r="P329" s="386"/>
      <c r="Q329" s="117"/>
      <c r="R329" s="117" t="s">
        <v>872</v>
      </c>
      <c r="S329" s="117"/>
      <c r="T329" s="304">
        <f>'Pencapaian Sales Value'!G329</f>
        <v>0</v>
      </c>
      <c r="U329" s="285">
        <f>'Pencapaian Sales Value'!I329</f>
        <v>0</v>
      </c>
      <c r="V329" s="304">
        <f>'Pencapaian Product Focus'!H328</f>
        <v>0</v>
      </c>
      <c r="W329" s="304">
        <f>'Pencapaian Product Focus'!L328</f>
        <v>0</v>
      </c>
      <c r="X329" s="285">
        <f>'Pencapaian Product Focus'!N328</f>
        <v>0</v>
      </c>
      <c r="Y329" s="304">
        <f>'Pencapaian Effective Call'!G328</f>
        <v>0</v>
      </c>
      <c r="Z329" s="285">
        <f>'Pencapaian Effective Call'!I328</f>
        <v>0</v>
      </c>
      <c r="AA329" s="304">
        <f>'Pencapaian New Open Outlet'!G328</f>
        <v>0</v>
      </c>
      <c r="AB329" s="285">
        <f>'Pencapaian New Open Outlet'!I328</f>
        <v>0</v>
      </c>
      <c r="AC329" s="304">
        <f>'Pencapaian Active Outlet'!G328</f>
        <v>0</v>
      </c>
      <c r="AD329" s="285">
        <f>'Pencapaian Active Outlet'!I328</f>
        <v>0</v>
      </c>
      <c r="AE329" s="304">
        <f>'Pencapaian Item per Outlet'!G328</f>
        <v>0</v>
      </c>
      <c r="AF329" s="285">
        <f>'Pencapaian Item per Outlet'!I328</f>
        <v>0</v>
      </c>
      <c r="AG329" s="304">
        <f>'Pencapaian Product Display'!G328</f>
        <v>0</v>
      </c>
      <c r="AH329" s="285">
        <f>'Pencapaian Product Display'!I328</f>
        <v>0</v>
      </c>
      <c r="AI329" s="304">
        <f>'Pencapaian Sales Contract'!G328</f>
        <v>0</v>
      </c>
      <c r="AJ329" s="285">
        <f>'Pencapaian Sales Contract'!I328</f>
        <v>0</v>
      </c>
      <c r="AK329" s="304">
        <f>'Pencapaian Co-Branding'!G328</f>
        <v>0</v>
      </c>
      <c r="AL329" s="285">
        <f>'Pencapaian Co-Branding'!I328</f>
        <v>0</v>
      </c>
      <c r="AM329" s="304">
        <f>'Pencapaian Join Event Activity'!G328</f>
        <v>0</v>
      </c>
      <c r="AN329" s="285">
        <f>'Pencapaian Join Event Activity'!I328</f>
        <v>0</v>
      </c>
      <c r="AO329" s="284">
        <f t="shared" si="157"/>
        <v>0</v>
      </c>
      <c r="AP329" s="322">
        <v>0</v>
      </c>
      <c r="AQ329" s="284">
        <f t="shared" si="153"/>
        <v>0</v>
      </c>
      <c r="AR329" s="322">
        <v>0</v>
      </c>
      <c r="AS329" s="284">
        <f t="shared" si="154"/>
        <v>0</v>
      </c>
      <c r="AT329" s="284">
        <f t="shared" si="155"/>
        <v>0</v>
      </c>
      <c r="AU329" s="284">
        <f t="shared" si="159"/>
        <v>0</v>
      </c>
      <c r="AV329" s="284">
        <v>0</v>
      </c>
    </row>
    <row r="330" spans="15:48" ht="16" x14ac:dyDescent="0.2">
      <c r="P330" s="386"/>
      <c r="Q330" s="117"/>
      <c r="R330" s="117" t="s">
        <v>873</v>
      </c>
      <c r="S330" s="117"/>
      <c r="T330" s="304">
        <f>'Pencapaian Sales Value'!G330</f>
        <v>0</v>
      </c>
      <c r="U330" s="285">
        <f>'Pencapaian Sales Value'!I330</f>
        <v>0</v>
      </c>
      <c r="V330" s="304">
        <f>'Pencapaian Product Focus'!H329</f>
        <v>0</v>
      </c>
      <c r="W330" s="304">
        <f>'Pencapaian Product Focus'!L329</f>
        <v>0</v>
      </c>
      <c r="X330" s="285">
        <f>'Pencapaian Product Focus'!N329</f>
        <v>0</v>
      </c>
      <c r="Y330" s="304">
        <f>'Pencapaian Effective Call'!G329</f>
        <v>0</v>
      </c>
      <c r="Z330" s="285">
        <f>'Pencapaian Effective Call'!I329</f>
        <v>0</v>
      </c>
      <c r="AA330" s="304">
        <f>'Pencapaian New Open Outlet'!G329</f>
        <v>0</v>
      </c>
      <c r="AB330" s="285">
        <f>'Pencapaian New Open Outlet'!I329</f>
        <v>0</v>
      </c>
      <c r="AC330" s="304">
        <f>'Pencapaian Active Outlet'!G329</f>
        <v>0</v>
      </c>
      <c r="AD330" s="285">
        <f>'Pencapaian Active Outlet'!I329</f>
        <v>0</v>
      </c>
      <c r="AE330" s="304">
        <f>'Pencapaian Item per Outlet'!G329</f>
        <v>0</v>
      </c>
      <c r="AF330" s="285">
        <f>'Pencapaian Item per Outlet'!I329</f>
        <v>0</v>
      </c>
      <c r="AG330" s="304">
        <f>'Pencapaian Product Display'!G329</f>
        <v>0</v>
      </c>
      <c r="AH330" s="285">
        <f>'Pencapaian Product Display'!I329</f>
        <v>0</v>
      </c>
      <c r="AI330" s="304">
        <f>'Pencapaian Sales Contract'!G329</f>
        <v>0</v>
      </c>
      <c r="AJ330" s="285">
        <f>'Pencapaian Sales Contract'!I329</f>
        <v>0</v>
      </c>
      <c r="AK330" s="304">
        <f>'Pencapaian Co-Branding'!G329</f>
        <v>0</v>
      </c>
      <c r="AL330" s="285">
        <f>'Pencapaian Co-Branding'!I329</f>
        <v>0</v>
      </c>
      <c r="AM330" s="304">
        <f>'Pencapaian Join Event Activity'!G329</f>
        <v>0</v>
      </c>
      <c r="AN330" s="285">
        <f>'Pencapaian Join Event Activity'!I329</f>
        <v>0</v>
      </c>
      <c r="AO330" s="284">
        <f t="shared" si="157"/>
        <v>0</v>
      </c>
      <c r="AP330" s="322">
        <v>0</v>
      </c>
      <c r="AQ330" s="284">
        <f t="shared" si="153"/>
        <v>0</v>
      </c>
      <c r="AR330" s="322">
        <v>0</v>
      </c>
      <c r="AS330" s="284">
        <f t="shared" si="154"/>
        <v>0</v>
      </c>
      <c r="AT330" s="284">
        <f t="shared" si="155"/>
        <v>0</v>
      </c>
      <c r="AU330" s="284">
        <f t="shared" si="159"/>
        <v>0</v>
      </c>
      <c r="AV330" s="284">
        <v>0</v>
      </c>
    </row>
    <row r="331" spans="15:48" ht="16" x14ac:dyDescent="0.2">
      <c r="P331" s="386"/>
      <c r="Q331" s="117"/>
      <c r="R331" s="117" t="s">
        <v>874</v>
      </c>
      <c r="S331" s="117"/>
      <c r="T331" s="304">
        <f>'Pencapaian Sales Value'!G331</f>
        <v>0</v>
      </c>
      <c r="U331" s="285">
        <f>'Pencapaian Sales Value'!I331</f>
        <v>0</v>
      </c>
      <c r="V331" s="304">
        <f>'Pencapaian Product Focus'!H330</f>
        <v>0</v>
      </c>
      <c r="W331" s="304">
        <f>'Pencapaian Product Focus'!L330</f>
        <v>0</v>
      </c>
      <c r="X331" s="285">
        <f>'Pencapaian Product Focus'!N330</f>
        <v>0</v>
      </c>
      <c r="Y331" s="304">
        <f>'Pencapaian Effective Call'!G330</f>
        <v>0</v>
      </c>
      <c r="Z331" s="285">
        <f>'Pencapaian Effective Call'!I330</f>
        <v>0</v>
      </c>
      <c r="AA331" s="304">
        <f>'Pencapaian New Open Outlet'!G330</f>
        <v>0</v>
      </c>
      <c r="AB331" s="285">
        <f>'Pencapaian New Open Outlet'!I330</f>
        <v>0</v>
      </c>
      <c r="AC331" s="304">
        <f>'Pencapaian Active Outlet'!G330</f>
        <v>0</v>
      </c>
      <c r="AD331" s="285">
        <f>'Pencapaian Active Outlet'!I330</f>
        <v>0</v>
      </c>
      <c r="AE331" s="304">
        <f>'Pencapaian Item per Outlet'!G330</f>
        <v>0</v>
      </c>
      <c r="AF331" s="285">
        <f>'Pencapaian Item per Outlet'!I330</f>
        <v>0</v>
      </c>
      <c r="AG331" s="304">
        <f>'Pencapaian Product Display'!G330</f>
        <v>0</v>
      </c>
      <c r="AH331" s="285">
        <f>'Pencapaian Product Display'!I330</f>
        <v>0</v>
      </c>
      <c r="AI331" s="304">
        <f>'Pencapaian Sales Contract'!G330</f>
        <v>0</v>
      </c>
      <c r="AJ331" s="285">
        <f>'Pencapaian Sales Contract'!I330</f>
        <v>0</v>
      </c>
      <c r="AK331" s="304">
        <f>'Pencapaian Co-Branding'!G330</f>
        <v>0</v>
      </c>
      <c r="AL331" s="285">
        <f>'Pencapaian Co-Branding'!I330</f>
        <v>0</v>
      </c>
      <c r="AM331" s="304">
        <f>'Pencapaian Join Event Activity'!G330</f>
        <v>0</v>
      </c>
      <c r="AN331" s="285">
        <f>'Pencapaian Join Event Activity'!I330</f>
        <v>0</v>
      </c>
      <c r="AO331" s="284">
        <f t="shared" si="157"/>
        <v>0</v>
      </c>
      <c r="AP331" s="322">
        <v>0</v>
      </c>
      <c r="AQ331" s="284">
        <f t="shared" si="153"/>
        <v>0</v>
      </c>
      <c r="AR331" s="322">
        <v>0</v>
      </c>
      <c r="AS331" s="284">
        <f t="shared" si="154"/>
        <v>0</v>
      </c>
      <c r="AT331" s="284">
        <f t="shared" si="155"/>
        <v>0</v>
      </c>
      <c r="AU331" s="284">
        <f t="shared" si="159"/>
        <v>0</v>
      </c>
      <c r="AV331" s="284">
        <v>0</v>
      </c>
    </row>
    <row r="332" spans="15:48" ht="16" x14ac:dyDescent="0.2">
      <c r="P332" s="386"/>
      <c r="Q332" s="117"/>
      <c r="R332" s="117" t="s">
        <v>875</v>
      </c>
      <c r="S332" s="117"/>
      <c r="T332" s="304">
        <f>'Pencapaian Sales Value'!G332</f>
        <v>0</v>
      </c>
      <c r="U332" s="285">
        <f>'Pencapaian Sales Value'!I332</f>
        <v>0</v>
      </c>
      <c r="V332" s="304">
        <f>'Pencapaian Product Focus'!H331</f>
        <v>0</v>
      </c>
      <c r="W332" s="304">
        <f>'Pencapaian Product Focus'!L331</f>
        <v>0</v>
      </c>
      <c r="X332" s="285">
        <f>'Pencapaian Product Focus'!N331</f>
        <v>0</v>
      </c>
      <c r="Y332" s="304">
        <f>'Pencapaian Effective Call'!G331</f>
        <v>0</v>
      </c>
      <c r="Z332" s="285">
        <f>'Pencapaian Effective Call'!I331</f>
        <v>0</v>
      </c>
      <c r="AA332" s="304">
        <f>'Pencapaian New Open Outlet'!G331</f>
        <v>0</v>
      </c>
      <c r="AB332" s="285">
        <f>'Pencapaian New Open Outlet'!I331</f>
        <v>0</v>
      </c>
      <c r="AC332" s="304">
        <f>'Pencapaian Active Outlet'!G331</f>
        <v>0</v>
      </c>
      <c r="AD332" s="285">
        <f>'Pencapaian Active Outlet'!I331</f>
        <v>0</v>
      </c>
      <c r="AE332" s="304">
        <f>'Pencapaian Item per Outlet'!G331</f>
        <v>0</v>
      </c>
      <c r="AF332" s="285">
        <f>'Pencapaian Item per Outlet'!I331</f>
        <v>0</v>
      </c>
      <c r="AG332" s="304">
        <f>'Pencapaian Product Display'!G331</f>
        <v>0</v>
      </c>
      <c r="AH332" s="285">
        <f>'Pencapaian Product Display'!I331</f>
        <v>0</v>
      </c>
      <c r="AI332" s="304">
        <f>'Pencapaian Sales Contract'!G331</f>
        <v>0</v>
      </c>
      <c r="AJ332" s="285">
        <f>'Pencapaian Sales Contract'!I331</f>
        <v>0</v>
      </c>
      <c r="AK332" s="304">
        <f>'Pencapaian Co-Branding'!G331</f>
        <v>0</v>
      </c>
      <c r="AL332" s="285">
        <f>'Pencapaian Co-Branding'!I331</f>
        <v>0</v>
      </c>
      <c r="AM332" s="304">
        <f>'Pencapaian Join Event Activity'!G331</f>
        <v>0</v>
      </c>
      <c r="AN332" s="285">
        <f>'Pencapaian Join Event Activity'!I331</f>
        <v>0</v>
      </c>
      <c r="AO332" s="284">
        <f t="shared" si="157"/>
        <v>0</v>
      </c>
      <c r="AP332" s="322">
        <v>0</v>
      </c>
      <c r="AQ332" s="284">
        <f t="shared" si="153"/>
        <v>0</v>
      </c>
      <c r="AR332" s="322">
        <v>0</v>
      </c>
      <c r="AS332" s="284">
        <f t="shared" si="154"/>
        <v>0</v>
      </c>
      <c r="AT332" s="284">
        <f t="shared" si="155"/>
        <v>0</v>
      </c>
      <c r="AU332" s="284">
        <f t="shared" si="159"/>
        <v>0</v>
      </c>
      <c r="AV332" s="284">
        <v>0</v>
      </c>
    </row>
    <row r="333" spans="15:48" ht="16" x14ac:dyDescent="0.2">
      <c r="P333" s="386"/>
      <c r="Q333" s="117"/>
      <c r="R333" s="117" t="s">
        <v>876</v>
      </c>
      <c r="S333" s="117"/>
      <c r="T333" s="304">
        <f>'Pencapaian Sales Value'!G333</f>
        <v>0</v>
      </c>
      <c r="U333" s="285">
        <f>'Pencapaian Sales Value'!I333</f>
        <v>0</v>
      </c>
      <c r="V333" s="304">
        <f>'Pencapaian Product Focus'!H332</f>
        <v>0</v>
      </c>
      <c r="W333" s="304">
        <f>'Pencapaian Product Focus'!L332</f>
        <v>0</v>
      </c>
      <c r="X333" s="285">
        <f>'Pencapaian Product Focus'!N332</f>
        <v>0</v>
      </c>
      <c r="Y333" s="304">
        <f>'Pencapaian Effective Call'!G332</f>
        <v>0</v>
      </c>
      <c r="Z333" s="285">
        <f>'Pencapaian Effective Call'!I332</f>
        <v>0</v>
      </c>
      <c r="AA333" s="304">
        <f>'Pencapaian New Open Outlet'!G332</f>
        <v>0</v>
      </c>
      <c r="AB333" s="285">
        <f>'Pencapaian New Open Outlet'!I332</f>
        <v>0</v>
      </c>
      <c r="AC333" s="304">
        <f>'Pencapaian Active Outlet'!G332</f>
        <v>0</v>
      </c>
      <c r="AD333" s="285">
        <f>'Pencapaian Active Outlet'!I332</f>
        <v>0</v>
      </c>
      <c r="AE333" s="304">
        <f>'Pencapaian Item per Outlet'!G332</f>
        <v>0</v>
      </c>
      <c r="AF333" s="285">
        <f>'Pencapaian Item per Outlet'!I332</f>
        <v>0</v>
      </c>
      <c r="AG333" s="304">
        <f>'Pencapaian Product Display'!G332</f>
        <v>0</v>
      </c>
      <c r="AH333" s="285">
        <f>'Pencapaian Product Display'!I332</f>
        <v>0</v>
      </c>
      <c r="AI333" s="304">
        <f>'Pencapaian Sales Contract'!G332</f>
        <v>0</v>
      </c>
      <c r="AJ333" s="285">
        <f>'Pencapaian Sales Contract'!I332</f>
        <v>0</v>
      </c>
      <c r="AK333" s="304">
        <f>'Pencapaian Co-Branding'!G332</f>
        <v>0</v>
      </c>
      <c r="AL333" s="285">
        <f>'Pencapaian Co-Branding'!I332</f>
        <v>0</v>
      </c>
      <c r="AM333" s="304">
        <f>'Pencapaian Join Event Activity'!G332</f>
        <v>0</v>
      </c>
      <c r="AN333" s="285">
        <f>'Pencapaian Join Event Activity'!I332</f>
        <v>0</v>
      </c>
      <c r="AO333" s="284">
        <f t="shared" si="157"/>
        <v>0</v>
      </c>
      <c r="AP333" s="322">
        <v>0</v>
      </c>
      <c r="AQ333" s="284">
        <f t="shared" si="153"/>
        <v>0</v>
      </c>
      <c r="AR333" s="322">
        <v>0</v>
      </c>
      <c r="AS333" s="284">
        <f t="shared" si="154"/>
        <v>0</v>
      </c>
      <c r="AT333" s="284">
        <f t="shared" si="155"/>
        <v>0</v>
      </c>
      <c r="AU333" s="284">
        <f t="shared" si="159"/>
        <v>0</v>
      </c>
      <c r="AV333" s="284">
        <v>0</v>
      </c>
    </row>
    <row r="334" spans="15:48" ht="16" x14ac:dyDescent="0.2">
      <c r="P334" s="386"/>
      <c r="Q334" s="117"/>
      <c r="R334" s="117" t="s">
        <v>877</v>
      </c>
      <c r="S334" s="117"/>
      <c r="T334" s="304">
        <f>'Pencapaian Sales Value'!G334</f>
        <v>0</v>
      </c>
      <c r="U334" s="285">
        <f>'Pencapaian Sales Value'!I334</f>
        <v>0</v>
      </c>
      <c r="V334" s="304">
        <f>'Pencapaian Product Focus'!H333</f>
        <v>0</v>
      </c>
      <c r="W334" s="304">
        <f>'Pencapaian Product Focus'!L333</f>
        <v>0</v>
      </c>
      <c r="X334" s="285">
        <f>'Pencapaian Product Focus'!N333</f>
        <v>0</v>
      </c>
      <c r="Y334" s="304">
        <f>'Pencapaian Effective Call'!G333</f>
        <v>0</v>
      </c>
      <c r="Z334" s="285">
        <f>'Pencapaian Effective Call'!I333</f>
        <v>0</v>
      </c>
      <c r="AA334" s="304">
        <f>'Pencapaian New Open Outlet'!G333</f>
        <v>0</v>
      </c>
      <c r="AB334" s="285">
        <f>'Pencapaian New Open Outlet'!I333</f>
        <v>0</v>
      </c>
      <c r="AC334" s="304">
        <f>'Pencapaian Active Outlet'!G333</f>
        <v>0</v>
      </c>
      <c r="AD334" s="285">
        <f>'Pencapaian Active Outlet'!I333</f>
        <v>0</v>
      </c>
      <c r="AE334" s="304">
        <f>'Pencapaian Item per Outlet'!G333</f>
        <v>0</v>
      </c>
      <c r="AF334" s="285">
        <f>'Pencapaian Item per Outlet'!I333</f>
        <v>0</v>
      </c>
      <c r="AG334" s="304">
        <f>'Pencapaian Product Display'!G333</f>
        <v>0</v>
      </c>
      <c r="AH334" s="285">
        <f>'Pencapaian Product Display'!I333</f>
        <v>0</v>
      </c>
      <c r="AI334" s="304">
        <f>'Pencapaian Sales Contract'!G333</f>
        <v>0</v>
      </c>
      <c r="AJ334" s="285">
        <f>'Pencapaian Sales Contract'!I333</f>
        <v>0</v>
      </c>
      <c r="AK334" s="304">
        <f>'Pencapaian Co-Branding'!G333</f>
        <v>0</v>
      </c>
      <c r="AL334" s="285">
        <f>'Pencapaian Co-Branding'!I333</f>
        <v>0</v>
      </c>
      <c r="AM334" s="304">
        <f>'Pencapaian Join Event Activity'!G333</f>
        <v>0</v>
      </c>
      <c r="AN334" s="285">
        <f>'Pencapaian Join Event Activity'!I333</f>
        <v>0</v>
      </c>
      <c r="AO334" s="284">
        <f t="shared" si="157"/>
        <v>0</v>
      </c>
      <c r="AP334" s="322">
        <v>0</v>
      </c>
      <c r="AQ334" s="284">
        <f t="shared" si="153"/>
        <v>0</v>
      </c>
      <c r="AR334" s="322">
        <v>0</v>
      </c>
      <c r="AS334" s="284">
        <f t="shared" si="154"/>
        <v>0</v>
      </c>
      <c r="AT334" s="284">
        <f t="shared" si="155"/>
        <v>0</v>
      </c>
      <c r="AU334" s="284">
        <f t="shared" si="159"/>
        <v>0</v>
      </c>
      <c r="AV334" s="284">
        <v>0</v>
      </c>
    </row>
    <row r="335" spans="15:48" ht="16" x14ac:dyDescent="0.2">
      <c r="P335" s="386"/>
      <c r="Q335" s="78"/>
      <c r="R335" s="78" t="s">
        <v>892</v>
      </c>
      <c r="S335" s="64" t="s">
        <v>673</v>
      </c>
      <c r="T335" s="258">
        <f>'Pencapaian Sales Value'!G335</f>
        <v>1.0635301962962971</v>
      </c>
      <c r="U335" s="286">
        <f>'Pencapaian Sales Value'!I335</f>
        <v>180000</v>
      </c>
      <c r="V335" s="268">
        <f>'Pencapaian Product Focus'!H334</f>
        <v>0</v>
      </c>
      <c r="W335" s="268">
        <f>'Pencapaian Product Focus'!L334</f>
        <v>0</v>
      </c>
      <c r="X335" s="189">
        <f>'Pencapaian Product Focus'!N334</f>
        <v>0</v>
      </c>
      <c r="Y335" s="268">
        <f>'Pencapaian Effective Call'!G334</f>
        <v>0</v>
      </c>
      <c r="Z335" s="189">
        <f>'Pencapaian Effective Call'!I334</f>
        <v>0</v>
      </c>
      <c r="AA335" s="268">
        <f>'Pencapaian New Open Outlet'!G334</f>
        <v>0</v>
      </c>
      <c r="AB335" s="189">
        <f>'Pencapaian New Open Outlet'!I334</f>
        <v>0</v>
      </c>
      <c r="AC335" s="258">
        <f>'Pencapaian Active Outlet'!G334</f>
        <v>0.93</v>
      </c>
      <c r="AD335" s="286">
        <f>'Pencapaian Active Outlet'!I334</f>
        <v>210000</v>
      </c>
      <c r="AE335" s="268">
        <f>'Pencapaian Item per Outlet'!G334</f>
        <v>0</v>
      </c>
      <c r="AF335" s="189">
        <f>'Pencapaian Item per Outlet'!I334</f>
        <v>0</v>
      </c>
      <c r="AG335" s="268">
        <f>'Pencapaian Product Display'!G334</f>
        <v>0</v>
      </c>
      <c r="AH335" s="189">
        <f>'Pencapaian Product Display'!I334</f>
        <v>0</v>
      </c>
      <c r="AI335" s="268">
        <f>'Pencapaian Sales Contract'!G334</f>
        <v>0</v>
      </c>
      <c r="AJ335" s="189">
        <f>'Pencapaian Sales Contract'!I334</f>
        <v>0</v>
      </c>
      <c r="AK335" s="268">
        <f>'Pencapaian Co-Branding'!G334</f>
        <v>0</v>
      </c>
      <c r="AL335" s="189">
        <f>'Pencapaian Co-Branding'!I334</f>
        <v>0</v>
      </c>
      <c r="AM335" s="268">
        <f>'Pencapaian Join Event Activity'!G334</f>
        <v>0</v>
      </c>
      <c r="AN335" s="189">
        <f>'Pencapaian Join Event Activity'!I334</f>
        <v>0</v>
      </c>
      <c r="AO335" s="286">
        <f t="shared" si="157"/>
        <v>390000</v>
      </c>
      <c r="AP335" s="289">
        <v>0</v>
      </c>
      <c r="AQ335" s="286">
        <f t="shared" si="153"/>
        <v>0</v>
      </c>
      <c r="AR335" s="289">
        <v>0</v>
      </c>
      <c r="AS335" s="286">
        <f t="shared" si="154"/>
        <v>0</v>
      </c>
      <c r="AT335" s="286">
        <f t="shared" si="155"/>
        <v>390000</v>
      </c>
      <c r="AU335" s="286">
        <f t="shared" si="159"/>
        <v>390000</v>
      </c>
      <c r="AV335" s="286">
        <v>0</v>
      </c>
    </row>
    <row r="336" spans="15:48" ht="16" x14ac:dyDescent="0.2">
      <c r="P336" s="386"/>
      <c r="Q336" s="78"/>
      <c r="R336" s="78" t="s">
        <v>74</v>
      </c>
      <c r="S336" s="64" t="s">
        <v>20</v>
      </c>
      <c r="T336" s="258">
        <f>'Pencapaian Sales Value'!G336</f>
        <v>1.0635301962962971</v>
      </c>
      <c r="U336" s="286">
        <f>'Pencapaian Sales Value'!I336</f>
        <v>480000</v>
      </c>
      <c r="V336" s="268">
        <f>'Pencapaian Product Focus'!H335</f>
        <v>0</v>
      </c>
      <c r="W336" s="268">
        <f>'Pencapaian Product Focus'!L335</f>
        <v>0</v>
      </c>
      <c r="X336" s="189">
        <f>'Pencapaian Product Focus'!N335</f>
        <v>0</v>
      </c>
      <c r="Y336" s="268">
        <f>'Pencapaian Effective Call'!G335</f>
        <v>0</v>
      </c>
      <c r="Z336" s="189">
        <f>'Pencapaian Effective Call'!I335</f>
        <v>0</v>
      </c>
      <c r="AA336" s="268">
        <f>'Pencapaian New Open Outlet'!G335</f>
        <v>0</v>
      </c>
      <c r="AB336" s="189">
        <f>'Pencapaian New Open Outlet'!I335</f>
        <v>0</v>
      </c>
      <c r="AC336" s="258">
        <f>'Pencapaian Active Outlet'!G335</f>
        <v>0.93</v>
      </c>
      <c r="AD336" s="286">
        <f>'Pencapaian Active Outlet'!I335</f>
        <v>504000</v>
      </c>
      <c r="AE336" s="268">
        <f>'Pencapaian Item per Outlet'!G335</f>
        <v>0</v>
      </c>
      <c r="AF336" s="189">
        <f>'Pencapaian Item per Outlet'!I335</f>
        <v>0</v>
      </c>
      <c r="AG336" s="268">
        <f>'Pencapaian Product Display'!G335</f>
        <v>0</v>
      </c>
      <c r="AH336" s="189">
        <f>'Pencapaian Product Display'!I335</f>
        <v>0</v>
      </c>
      <c r="AI336" s="268">
        <f>'Pencapaian Sales Contract'!G335</f>
        <v>0</v>
      </c>
      <c r="AJ336" s="189">
        <f>'Pencapaian Sales Contract'!I335</f>
        <v>0</v>
      </c>
      <c r="AK336" s="268">
        <f>'Pencapaian Co-Branding'!G335</f>
        <v>0</v>
      </c>
      <c r="AL336" s="189">
        <f>'Pencapaian Co-Branding'!I335</f>
        <v>0</v>
      </c>
      <c r="AM336" s="268">
        <f>'Pencapaian Join Event Activity'!G335</f>
        <v>0</v>
      </c>
      <c r="AN336" s="189">
        <f>'Pencapaian Join Event Activity'!I335</f>
        <v>0</v>
      </c>
      <c r="AO336" s="286">
        <f t="shared" si="157"/>
        <v>984000</v>
      </c>
      <c r="AP336" s="289">
        <v>0</v>
      </c>
      <c r="AQ336" s="286">
        <f t="shared" si="153"/>
        <v>0</v>
      </c>
      <c r="AR336" s="289">
        <v>0</v>
      </c>
      <c r="AS336" s="286">
        <f t="shared" si="154"/>
        <v>0</v>
      </c>
      <c r="AT336" s="286">
        <f t="shared" si="155"/>
        <v>984000</v>
      </c>
      <c r="AU336" s="286">
        <f t="shared" si="159"/>
        <v>984000</v>
      </c>
      <c r="AV336" s="286">
        <v>0</v>
      </c>
    </row>
    <row r="337" spans="16:48" ht="16" x14ac:dyDescent="0.2">
      <c r="P337" s="387"/>
      <c r="Q337" s="71"/>
      <c r="R337" s="71" t="s">
        <v>866</v>
      </c>
      <c r="S337" s="42"/>
      <c r="T337" s="264">
        <f>'Pencapaian Sales Value'!G337</f>
        <v>1.0635301962962971</v>
      </c>
      <c r="U337" s="287">
        <f>'Pencapaian Sales Value'!I337</f>
        <v>924000</v>
      </c>
      <c r="V337" s="274">
        <f>'Pencapaian Product Focus'!H336</f>
        <v>0</v>
      </c>
      <c r="W337" s="274">
        <f>'Pencapaian Product Focus'!L336</f>
        <v>0</v>
      </c>
      <c r="X337" s="190">
        <f>'Pencapaian Product Focus'!N336</f>
        <v>0</v>
      </c>
      <c r="Y337" s="274">
        <f>'Pencapaian Effective Call'!G336</f>
        <v>0</v>
      </c>
      <c r="Z337" s="190">
        <f>'Pencapaian Effective Call'!I336</f>
        <v>0</v>
      </c>
      <c r="AA337" s="274">
        <f>'Pencapaian New Open Outlet'!G336</f>
        <v>0</v>
      </c>
      <c r="AB337" s="190">
        <f>'Pencapaian New Open Outlet'!I336</f>
        <v>0</v>
      </c>
      <c r="AC337" s="264">
        <f>'Pencapaian Active Outlet'!G336</f>
        <v>0.93</v>
      </c>
      <c r="AD337" s="287">
        <f>'Pencapaian Active Outlet'!I336</f>
        <v>1011000</v>
      </c>
      <c r="AE337" s="274">
        <f>'Pencapaian Item per Outlet'!G336</f>
        <v>0</v>
      </c>
      <c r="AF337" s="190">
        <f>'Pencapaian Item per Outlet'!I336</f>
        <v>0</v>
      </c>
      <c r="AG337" s="274">
        <f>'Pencapaian Product Display'!G336</f>
        <v>0</v>
      </c>
      <c r="AH337" s="190">
        <f>'Pencapaian Product Display'!I336</f>
        <v>0</v>
      </c>
      <c r="AI337" s="274">
        <f>'Pencapaian Sales Contract'!G336</f>
        <v>0</v>
      </c>
      <c r="AJ337" s="190">
        <f>'Pencapaian Sales Contract'!I336</f>
        <v>0</v>
      </c>
      <c r="AK337" s="274">
        <f>'Pencapaian Co-Branding'!G336</f>
        <v>0</v>
      </c>
      <c r="AL337" s="190">
        <f>'Pencapaian Co-Branding'!I336</f>
        <v>0</v>
      </c>
      <c r="AM337" s="274">
        <f>'Pencapaian Join Event Activity'!G336</f>
        <v>0</v>
      </c>
      <c r="AN337" s="190">
        <f>'Pencapaian Join Event Activity'!I336</f>
        <v>0</v>
      </c>
      <c r="AO337" s="287">
        <f t="shared" si="157"/>
        <v>1935000</v>
      </c>
      <c r="AP337" s="290">
        <v>0</v>
      </c>
      <c r="AQ337" s="287">
        <f>SUM(AQ325:AQ336)</f>
        <v>0</v>
      </c>
      <c r="AR337" s="290">
        <v>0</v>
      </c>
      <c r="AS337" s="287">
        <f>SUM(AS325:AS336)</f>
        <v>0</v>
      </c>
      <c r="AT337" s="287">
        <f t="shared" si="155"/>
        <v>1935000</v>
      </c>
      <c r="AU337" s="287">
        <f>SUM(AU325:AU336)</f>
        <v>1935000</v>
      </c>
      <c r="AV337" s="287">
        <f>SUM(AV325:AV336)</f>
        <v>0</v>
      </c>
    </row>
    <row r="338" spans="16:48" ht="16" x14ac:dyDescent="0.2">
      <c r="P338" s="206"/>
      <c r="Q338" s="206"/>
      <c r="R338" s="206" t="s">
        <v>867</v>
      </c>
      <c r="S338" s="209"/>
      <c r="T338" s="305">
        <f>'Pencapaian Sales Value'!G338</f>
        <v>1.0635301962962971</v>
      </c>
      <c r="U338" s="288">
        <f>'Pencapaian Sales Value'!I338</f>
        <v>924000</v>
      </c>
      <c r="V338" s="274">
        <f>'Pencapaian Product Focus'!H337</f>
        <v>0</v>
      </c>
      <c r="W338" s="274">
        <f>'Pencapaian Product Focus'!L337</f>
        <v>0</v>
      </c>
      <c r="X338" s="190">
        <f>'Pencapaian Product Focus'!N337</f>
        <v>0</v>
      </c>
      <c r="Y338" s="274">
        <f>'Pencapaian Effective Call'!G337</f>
        <v>0</v>
      </c>
      <c r="Z338" s="190">
        <f>'Pencapaian Effective Call'!I337</f>
        <v>0</v>
      </c>
      <c r="AA338" s="274">
        <f>'Pencapaian New Open Outlet'!G337</f>
        <v>0</v>
      </c>
      <c r="AB338" s="190">
        <f>'Pencapaian New Open Outlet'!I337</f>
        <v>0</v>
      </c>
      <c r="AC338" s="305">
        <f>'Pencapaian Active Outlet'!G337</f>
        <v>0.93</v>
      </c>
      <c r="AD338" s="288">
        <f>'Pencapaian Active Outlet'!I337</f>
        <v>1011000</v>
      </c>
      <c r="AE338" s="274">
        <f>'Pencapaian Item per Outlet'!G337</f>
        <v>0</v>
      </c>
      <c r="AF338" s="190">
        <f>'Pencapaian Item per Outlet'!I337</f>
        <v>0</v>
      </c>
      <c r="AG338" s="274">
        <f>'Pencapaian Product Display'!G337</f>
        <v>0</v>
      </c>
      <c r="AH338" s="190">
        <f>'Pencapaian Product Display'!I337</f>
        <v>0</v>
      </c>
      <c r="AI338" s="274">
        <f>'Pencapaian Sales Contract'!G337</f>
        <v>0</v>
      </c>
      <c r="AJ338" s="190">
        <f>'Pencapaian Sales Contract'!I337</f>
        <v>0</v>
      </c>
      <c r="AK338" s="274">
        <f>'Pencapaian Co-Branding'!G337</f>
        <v>0</v>
      </c>
      <c r="AL338" s="190">
        <f>'Pencapaian Co-Branding'!I337</f>
        <v>0</v>
      </c>
      <c r="AM338" s="274">
        <f>'Pencapaian Join Event Activity'!G337</f>
        <v>0</v>
      </c>
      <c r="AN338" s="190">
        <f>'Pencapaian Join Event Activity'!I337</f>
        <v>0</v>
      </c>
      <c r="AO338" s="288">
        <f t="shared" si="157"/>
        <v>1935000</v>
      </c>
      <c r="AP338" s="291">
        <v>0</v>
      </c>
      <c r="AQ338" s="288">
        <f>SUM(AQ337)</f>
        <v>0</v>
      </c>
      <c r="AR338" s="291">
        <v>0</v>
      </c>
      <c r="AS338" s="288">
        <f>SUM(AS337)</f>
        <v>0</v>
      </c>
      <c r="AT338" s="288">
        <f t="shared" si="155"/>
        <v>1935000</v>
      </c>
      <c r="AU338" s="288">
        <f t="shared" ref="AU338:AV338" si="160">SUM(AU337)</f>
        <v>1935000</v>
      </c>
      <c r="AV338" s="288">
        <f t="shared" si="160"/>
        <v>0</v>
      </c>
    </row>
    <row r="339" spans="16:48" x14ac:dyDescent="0.2">
      <c r="AP339" s="1" t="s">
        <v>797</v>
      </c>
    </row>
    <row r="342" spans="16:48" x14ac:dyDescent="0.2">
      <c r="AR342" s="282" t="s">
        <v>519</v>
      </c>
      <c r="AT342" s="327">
        <f>SUM(AT338,AT315,AT147,AT95,AT77,AT40)</f>
        <v>35928450</v>
      </c>
    </row>
    <row r="343" spans="16:48" x14ac:dyDescent="0.2">
      <c r="AR343" s="282" t="s">
        <v>518</v>
      </c>
      <c r="AT343" s="327">
        <f>'Pencapaian Sales Value'!I350</f>
        <v>220000</v>
      </c>
    </row>
    <row r="344" spans="16:48" x14ac:dyDescent="0.2">
      <c r="AR344" s="282" t="s">
        <v>517</v>
      </c>
      <c r="AT344" s="327">
        <f>'Rekap Insentif ASM'!N19</f>
        <v>1165000</v>
      </c>
    </row>
    <row r="346" spans="16:48" x14ac:dyDescent="0.2">
      <c r="AS346" s="327" t="s">
        <v>76</v>
      </c>
      <c r="AT346" s="327">
        <f>SUM(AT342:AT344)</f>
        <v>37313450</v>
      </c>
    </row>
  </sheetData>
  <mergeCells count="219">
    <mergeCell ref="P2:AV2"/>
    <mergeCell ref="I26:I27"/>
    <mergeCell ref="J26:J27"/>
    <mergeCell ref="R48:R49"/>
    <mergeCell ref="S48:S49"/>
    <mergeCell ref="T48:U48"/>
    <mergeCell ref="V48:X48"/>
    <mergeCell ref="Y48:Z48"/>
    <mergeCell ref="L11:L12"/>
    <mergeCell ref="M11:M12"/>
    <mergeCell ref="N11:N12"/>
    <mergeCell ref="L19:L20"/>
    <mergeCell ref="M19:M20"/>
    <mergeCell ref="N19:N20"/>
    <mergeCell ref="P29:P34"/>
    <mergeCell ref="P35:P39"/>
    <mergeCell ref="K11:K12"/>
    <mergeCell ref="K19:K20"/>
    <mergeCell ref="K26:K27"/>
    <mergeCell ref="L26:L27"/>
    <mergeCell ref="M26:M27"/>
    <mergeCell ref="N26:N27"/>
    <mergeCell ref="P48:P49"/>
    <mergeCell ref="Q48:Q49"/>
    <mergeCell ref="I3:I4"/>
    <mergeCell ref="J3:J4"/>
    <mergeCell ref="B3:B4"/>
    <mergeCell ref="C3:C4"/>
    <mergeCell ref="D3:E3"/>
    <mergeCell ref="F3:F4"/>
    <mergeCell ref="G3:G4"/>
    <mergeCell ref="H3:H4"/>
    <mergeCell ref="J19:J20"/>
    <mergeCell ref="H19:H20"/>
    <mergeCell ref="B11:B12"/>
    <mergeCell ref="C11:C12"/>
    <mergeCell ref="D11:E11"/>
    <mergeCell ref="F11:F12"/>
    <mergeCell ref="G11:G12"/>
    <mergeCell ref="H11:H12"/>
    <mergeCell ref="I11:I12"/>
    <mergeCell ref="J11:J12"/>
    <mergeCell ref="I19:I20"/>
    <mergeCell ref="AV3:AV4"/>
    <mergeCell ref="K3:K4"/>
    <mergeCell ref="P3:P4"/>
    <mergeCell ref="Q3:Q4"/>
    <mergeCell ref="R3:R4"/>
    <mergeCell ref="S3:S4"/>
    <mergeCell ref="T3:U3"/>
    <mergeCell ref="V3:X3"/>
    <mergeCell ref="AC3:AD3"/>
    <mergeCell ref="AE3:AF3"/>
    <mergeCell ref="AG3:AH3"/>
    <mergeCell ref="AI3:AJ3"/>
    <mergeCell ref="AK3:AL3"/>
    <mergeCell ref="AM3:AN3"/>
    <mergeCell ref="AO3:AO4"/>
    <mergeCell ref="AP3:AS3"/>
    <mergeCell ref="AT3:AT4"/>
    <mergeCell ref="AU3:AU4"/>
    <mergeCell ref="M3:M4"/>
    <mergeCell ref="Y3:Z3"/>
    <mergeCell ref="AA3:AB3"/>
    <mergeCell ref="L3:L4"/>
    <mergeCell ref="N3:N4"/>
    <mergeCell ref="G26:G27"/>
    <mergeCell ref="H26:H27"/>
    <mergeCell ref="B19:B20"/>
    <mergeCell ref="C19:C20"/>
    <mergeCell ref="D19:E19"/>
    <mergeCell ref="F19:F20"/>
    <mergeCell ref="G19:G20"/>
    <mergeCell ref="M36:M37"/>
    <mergeCell ref="N36:N37"/>
    <mergeCell ref="B36:B37"/>
    <mergeCell ref="C36:C37"/>
    <mergeCell ref="D36:E36"/>
    <mergeCell ref="F36:F37"/>
    <mergeCell ref="G36:G37"/>
    <mergeCell ref="H36:H37"/>
    <mergeCell ref="I36:I37"/>
    <mergeCell ref="J36:J37"/>
    <mergeCell ref="K36:K37"/>
    <mergeCell ref="L36:L37"/>
    <mergeCell ref="B26:B27"/>
    <mergeCell ref="C26:C27"/>
    <mergeCell ref="D26:E26"/>
    <mergeCell ref="F26:F27"/>
    <mergeCell ref="AG48:AH48"/>
    <mergeCell ref="AI48:AJ48"/>
    <mergeCell ref="AA85:AB85"/>
    <mergeCell ref="AC85:AD85"/>
    <mergeCell ref="AE85:AF85"/>
    <mergeCell ref="AG85:AH85"/>
    <mergeCell ref="AI85:AJ85"/>
    <mergeCell ref="P65:P71"/>
    <mergeCell ref="AA48:AB48"/>
    <mergeCell ref="AC48:AD48"/>
    <mergeCell ref="AE48:AF48"/>
    <mergeCell ref="P72:P76"/>
    <mergeCell ref="P50:P64"/>
    <mergeCell ref="P85:P86"/>
    <mergeCell ref="Q85:Q86"/>
    <mergeCell ref="R85:R86"/>
    <mergeCell ref="S85:S86"/>
    <mergeCell ref="T85:U85"/>
    <mergeCell ref="V85:X85"/>
    <mergeCell ref="Y85:Z85"/>
    <mergeCell ref="AK48:AL48"/>
    <mergeCell ref="AM48:AN48"/>
    <mergeCell ref="AO48:AO49"/>
    <mergeCell ref="AP48:AS48"/>
    <mergeCell ref="AT48:AT49"/>
    <mergeCell ref="AU48:AU49"/>
    <mergeCell ref="AV48:AV49"/>
    <mergeCell ref="AT103:AT104"/>
    <mergeCell ref="AU103:AU104"/>
    <mergeCell ref="AV103:AV104"/>
    <mergeCell ref="AK85:AL85"/>
    <mergeCell ref="AM85:AN85"/>
    <mergeCell ref="AO85:AO86"/>
    <mergeCell ref="AP85:AS85"/>
    <mergeCell ref="AT85:AT86"/>
    <mergeCell ref="AU85:AU86"/>
    <mergeCell ref="AV85:AV86"/>
    <mergeCell ref="AA103:AB103"/>
    <mergeCell ref="AC103:AD103"/>
    <mergeCell ref="AE103:AF103"/>
    <mergeCell ref="AG103:AH103"/>
    <mergeCell ref="AI103:AJ103"/>
    <mergeCell ref="AK103:AL103"/>
    <mergeCell ref="AM103:AN103"/>
    <mergeCell ref="AO103:AO104"/>
    <mergeCell ref="AP103:AS103"/>
    <mergeCell ref="AT155:AT156"/>
    <mergeCell ref="AU155:AU156"/>
    <mergeCell ref="AV155:AV156"/>
    <mergeCell ref="AA155:AB155"/>
    <mergeCell ref="AC155:AD155"/>
    <mergeCell ref="AE155:AF155"/>
    <mergeCell ref="AG155:AH155"/>
    <mergeCell ref="AI155:AJ155"/>
    <mergeCell ref="AK155:AL155"/>
    <mergeCell ref="AM155:AN155"/>
    <mergeCell ref="AO155:AO156"/>
    <mergeCell ref="AP155:AS155"/>
    <mergeCell ref="B57:B58"/>
    <mergeCell ref="C57:C58"/>
    <mergeCell ref="D57:E57"/>
    <mergeCell ref="F57:F58"/>
    <mergeCell ref="Q323:Q324"/>
    <mergeCell ref="R323:R324"/>
    <mergeCell ref="S323:S324"/>
    <mergeCell ref="T323:U323"/>
    <mergeCell ref="V323:X323"/>
    <mergeCell ref="P300:P307"/>
    <mergeCell ref="P308:P313"/>
    <mergeCell ref="P87:P90"/>
    <mergeCell ref="P91:P94"/>
    <mergeCell ref="P105:P109"/>
    <mergeCell ref="P110:P115"/>
    <mergeCell ref="P116:P120"/>
    <mergeCell ref="P129:P133"/>
    <mergeCell ref="P134:P146"/>
    <mergeCell ref="P250:P258"/>
    <mergeCell ref="P260:P274"/>
    <mergeCell ref="P275:P280"/>
    <mergeCell ref="P282:P288"/>
    <mergeCell ref="P293:P299"/>
    <mergeCell ref="P103:P104"/>
    <mergeCell ref="Y323:Z323"/>
    <mergeCell ref="G57:G58"/>
    <mergeCell ref="H57:H58"/>
    <mergeCell ref="I57:I58"/>
    <mergeCell ref="J57:J58"/>
    <mergeCell ref="K57:K58"/>
    <mergeCell ref="L57:L58"/>
    <mergeCell ref="M57:M58"/>
    <mergeCell ref="N57:N58"/>
    <mergeCell ref="Y103:Z103"/>
    <mergeCell ref="P155:P156"/>
    <mergeCell ref="Q155:Q156"/>
    <mergeCell ref="R155:R156"/>
    <mergeCell ref="S155:S156"/>
    <mergeCell ref="T155:U155"/>
    <mergeCell ref="V155:X155"/>
    <mergeCell ref="Y155:Z155"/>
    <mergeCell ref="P227:P242"/>
    <mergeCell ref="P243:P249"/>
    <mergeCell ref="Q103:Q104"/>
    <mergeCell ref="R103:R104"/>
    <mergeCell ref="S103:S104"/>
    <mergeCell ref="T103:U103"/>
    <mergeCell ref="V103:X103"/>
    <mergeCell ref="AT323:AT324"/>
    <mergeCell ref="AU323:AU324"/>
    <mergeCell ref="AV323:AV324"/>
    <mergeCell ref="P325:P337"/>
    <mergeCell ref="P5:P28"/>
    <mergeCell ref="P157:P165"/>
    <mergeCell ref="P166:P181"/>
    <mergeCell ref="P182:P189"/>
    <mergeCell ref="P191:P199"/>
    <mergeCell ref="P200:P215"/>
    <mergeCell ref="P216:P220"/>
    <mergeCell ref="P221:P225"/>
    <mergeCell ref="AA323:AB323"/>
    <mergeCell ref="AC323:AD323"/>
    <mergeCell ref="AE323:AF323"/>
    <mergeCell ref="AG323:AH323"/>
    <mergeCell ref="AI323:AJ323"/>
    <mergeCell ref="AK323:AL323"/>
    <mergeCell ref="AM323:AN323"/>
    <mergeCell ref="AO323:AO324"/>
    <mergeCell ref="AP323:AS323"/>
    <mergeCell ref="P121:P128"/>
    <mergeCell ref="P289:P292"/>
    <mergeCell ref="P323:P324"/>
  </mergeCells>
  <conditionalFormatting sqref="C5:M7 C13:M15 C21:M22">
    <cfRule type="cellIs" dxfId="517" priority="570" operator="greaterThan">
      <formula>0.7</formula>
    </cfRule>
  </conditionalFormatting>
  <conditionalFormatting sqref="C28:M32">
    <cfRule type="cellIs" dxfId="516" priority="439" operator="greaterThan">
      <formula>0.7</formula>
    </cfRule>
  </conditionalFormatting>
  <conditionalFormatting sqref="C38:M53">
    <cfRule type="cellIs" dxfId="515" priority="56" operator="greaterThan">
      <formula>0.7</formula>
    </cfRule>
  </conditionalFormatting>
  <conditionalFormatting sqref="C59:M59">
    <cfRule type="cellIs" dxfId="514" priority="55" operator="greaterThan">
      <formula>0.7</formula>
    </cfRule>
  </conditionalFormatting>
  <conditionalFormatting sqref="T5:T12 T14:T20 T29:T30 T51:T54 V51:W54 Y51:Y54 AE51:AE54 T56:T57 V56:W57 Y56:Y57 AE56:AE57 T59:T61 T63 T72:T74 T105:T106 T110:T113 T124 T130:T131">
    <cfRule type="cellIs" dxfId="513" priority="569" operator="lessThanOrEqual">
      <formula>0.7</formula>
    </cfRule>
  </conditionalFormatting>
  <conditionalFormatting sqref="T22:T23">
    <cfRule type="cellIs" dxfId="512" priority="566" operator="lessThanOrEqual">
      <formula>0.7</formula>
    </cfRule>
  </conditionalFormatting>
  <conditionalFormatting sqref="T25:T26">
    <cfRule type="cellIs" dxfId="511" priority="565" operator="lessThanOrEqual">
      <formula>0.7</formula>
    </cfRule>
  </conditionalFormatting>
  <conditionalFormatting sqref="T32">
    <cfRule type="cellIs" dxfId="510" priority="14" operator="lessThanOrEqual">
      <formula>0.7</formula>
    </cfRule>
  </conditionalFormatting>
  <conditionalFormatting sqref="T35:T37">
    <cfRule type="cellIs" dxfId="509" priority="562" operator="lessThanOrEqual">
      <formula>0.7</formula>
    </cfRule>
  </conditionalFormatting>
  <conditionalFormatting sqref="T65:T69">
    <cfRule type="cellIs" dxfId="508" priority="485" operator="lessThanOrEqual">
      <formula>0.7</formula>
    </cfRule>
  </conditionalFormatting>
  <conditionalFormatting sqref="T87:T88 T91:T92">
    <cfRule type="cellIs" dxfId="507" priority="564" operator="lessThanOrEqual">
      <formula>0.7</formula>
    </cfRule>
  </conditionalFormatting>
  <conditionalFormatting sqref="T116:T119">
    <cfRule type="cellIs" dxfId="506" priority="8" operator="lessThanOrEqual">
      <formula>0.7</formula>
    </cfRule>
  </conditionalFormatting>
  <conditionalFormatting sqref="T134:T144">
    <cfRule type="cellIs" dxfId="505" priority="142" operator="lessThanOrEqual">
      <formula>0.7</formula>
    </cfRule>
  </conditionalFormatting>
  <conditionalFormatting sqref="T157:T162">
    <cfRule type="cellIs" dxfId="504" priority="138" operator="lessThanOrEqual">
      <formula>0.7</formula>
    </cfRule>
  </conditionalFormatting>
  <conditionalFormatting sqref="T166:T172">
    <cfRule type="cellIs" dxfId="503" priority="419" operator="lessThanOrEqual">
      <formula>0.7</formula>
    </cfRule>
  </conditionalFormatting>
  <conditionalFormatting sqref="T174:T178">
    <cfRule type="cellIs" dxfId="502" priority="413" operator="lessThanOrEqual">
      <formula>0.7</formula>
    </cfRule>
  </conditionalFormatting>
  <conditionalFormatting sqref="T182:T188">
    <cfRule type="cellIs" dxfId="501" priority="407" operator="lessThanOrEqual">
      <formula>0.7</formula>
    </cfRule>
  </conditionalFormatting>
  <conditionalFormatting sqref="T191:T196 AC191:AC196">
    <cfRule type="cellIs" dxfId="500" priority="29" operator="lessThanOrEqual">
      <formula>0.7</formula>
    </cfRule>
  </conditionalFormatting>
  <conditionalFormatting sqref="T200:T204">
    <cfRule type="cellIs" dxfId="499" priority="395" operator="lessThanOrEqual">
      <formula>0.7</formula>
    </cfRule>
  </conditionalFormatting>
  <conditionalFormatting sqref="T206:T212 AC206:AC212">
    <cfRule type="cellIs" dxfId="498" priority="131" operator="lessThanOrEqual">
      <formula>0.7</formula>
    </cfRule>
  </conditionalFormatting>
  <conditionalFormatting sqref="T216:T218">
    <cfRule type="cellIs" dxfId="497" priority="128" operator="lessThanOrEqual">
      <formula>0.7</formula>
    </cfRule>
  </conditionalFormatting>
  <conditionalFormatting sqref="T221:T223">
    <cfRule type="cellIs" dxfId="496" priority="124" operator="lessThanOrEqual">
      <formula>0.7</formula>
    </cfRule>
  </conditionalFormatting>
  <conditionalFormatting sqref="T227:T233">
    <cfRule type="cellIs" dxfId="495" priority="120" operator="lessThanOrEqual">
      <formula>0.7</formula>
    </cfRule>
  </conditionalFormatting>
  <conditionalFormatting sqref="T235:T239">
    <cfRule type="cellIs" dxfId="494" priority="359" operator="lessThanOrEqual">
      <formula>0.7</formula>
    </cfRule>
  </conditionalFormatting>
  <conditionalFormatting sqref="T243:T247">
    <cfRule type="cellIs" dxfId="493" priority="353" operator="lessThanOrEqual">
      <formula>0.7</formula>
    </cfRule>
  </conditionalFormatting>
  <conditionalFormatting sqref="T250:T256">
    <cfRule type="cellIs" dxfId="492" priority="371" operator="lessThanOrEqual">
      <formula>0.7</formula>
    </cfRule>
  </conditionalFormatting>
  <conditionalFormatting sqref="T260:T264">
    <cfRule type="cellIs" dxfId="491" priority="108" operator="lessThanOrEqual">
      <formula>0.7</formula>
    </cfRule>
  </conditionalFormatting>
  <conditionalFormatting sqref="T266:T271">
    <cfRule type="cellIs" dxfId="490" priority="104" operator="lessThanOrEqual">
      <formula>0.7</formula>
    </cfRule>
  </conditionalFormatting>
  <conditionalFormatting sqref="T275:T278">
    <cfRule type="cellIs" dxfId="489" priority="26" operator="lessThanOrEqual">
      <formula>0.7</formula>
    </cfRule>
  </conditionalFormatting>
  <conditionalFormatting sqref="T282:T286">
    <cfRule type="cellIs" dxfId="488" priority="100" operator="lessThanOrEqual">
      <formula>0.7</formula>
    </cfRule>
  </conditionalFormatting>
  <conditionalFormatting sqref="T289:T290">
    <cfRule type="cellIs" dxfId="487" priority="41" operator="lessThanOrEqual">
      <formula>0.7</formula>
    </cfRule>
  </conditionalFormatting>
  <conditionalFormatting sqref="T293:T297">
    <cfRule type="cellIs" dxfId="486" priority="96" operator="lessThanOrEqual">
      <formula>0.7</formula>
    </cfRule>
  </conditionalFormatting>
  <conditionalFormatting sqref="T300:T305 AC300:AC305">
    <cfRule type="cellIs" dxfId="485" priority="92" operator="lessThanOrEqual">
      <formula>0.7</formula>
    </cfRule>
  </conditionalFormatting>
  <conditionalFormatting sqref="T308:T311 AC308:AC311">
    <cfRule type="cellIs" dxfId="484" priority="89" operator="lessThanOrEqual">
      <formula>0.7</formula>
    </cfRule>
  </conditionalFormatting>
  <conditionalFormatting sqref="T327">
    <cfRule type="cellIs" dxfId="483" priority="22" operator="lessThanOrEqual">
      <formula>0.7</formula>
    </cfRule>
  </conditionalFormatting>
  <conditionalFormatting sqref="V5:W10 V14:W20 V29:W30">
    <cfRule type="cellIs" dxfId="482" priority="561" operator="lessThanOrEqual">
      <formula>0.7</formula>
    </cfRule>
  </conditionalFormatting>
  <conditionalFormatting sqref="V25:W26">
    <cfRule type="cellIs" dxfId="481" priority="490" operator="lessThanOrEqual">
      <formula>0.7</formula>
    </cfRule>
  </conditionalFormatting>
  <conditionalFormatting sqref="V32:W32">
    <cfRule type="cellIs" dxfId="480" priority="13" operator="lessThanOrEqual">
      <formula>0.7</formula>
    </cfRule>
  </conditionalFormatting>
  <conditionalFormatting sqref="V59:W60 V63:W63">
    <cfRule type="cellIs" dxfId="479" priority="548" operator="lessThanOrEqual">
      <formula>0.7</formula>
    </cfRule>
  </conditionalFormatting>
  <conditionalFormatting sqref="V65:W68">
    <cfRule type="cellIs" dxfId="478" priority="484" operator="lessThanOrEqual">
      <formula>0.7</formula>
    </cfRule>
  </conditionalFormatting>
  <conditionalFormatting sqref="V105:W106 V110:W113">
    <cfRule type="cellIs" dxfId="477" priority="539" operator="lessThanOrEqual">
      <formula>0.7</formula>
    </cfRule>
  </conditionalFormatting>
  <conditionalFormatting sqref="V116:W119">
    <cfRule type="cellIs" dxfId="476" priority="7" operator="lessThanOrEqual">
      <formula>0.7</formula>
    </cfRule>
  </conditionalFormatting>
  <conditionalFormatting sqref="Y5:Y10 Y14:Y20 Y29:Y30">
    <cfRule type="cellIs" dxfId="475" priority="559" operator="lessThanOrEqual">
      <formula>0.7</formula>
    </cfRule>
  </conditionalFormatting>
  <conditionalFormatting sqref="Y25:Y26">
    <cfRule type="cellIs" dxfId="474" priority="558" operator="lessThanOrEqual">
      <formula>0.7</formula>
    </cfRule>
  </conditionalFormatting>
  <conditionalFormatting sqref="Y32">
    <cfRule type="cellIs" dxfId="473" priority="12" operator="lessThanOrEqual">
      <formula>0.7</formula>
    </cfRule>
  </conditionalFormatting>
  <conditionalFormatting sqref="Y35:Y37">
    <cfRule type="cellIs" dxfId="472" priority="557" operator="lessThanOrEqual">
      <formula>0.7</formula>
    </cfRule>
  </conditionalFormatting>
  <conditionalFormatting sqref="Y59:Y60 Y72:Y74">
    <cfRule type="cellIs" dxfId="471" priority="546" operator="lessThanOrEqual">
      <formula>0.7</formula>
    </cfRule>
  </conditionalFormatting>
  <conditionalFormatting sqref="Y63">
    <cfRule type="cellIs" dxfId="470" priority="505" operator="lessThanOrEqual">
      <formula>0.7</formula>
    </cfRule>
  </conditionalFormatting>
  <conditionalFormatting sqref="Y65:Y68">
    <cfRule type="cellIs" dxfId="469" priority="483" operator="lessThanOrEqual">
      <formula>0.7</formula>
    </cfRule>
  </conditionalFormatting>
  <conditionalFormatting sqref="Y87:Y88 Y91:Y92">
    <cfRule type="cellIs" dxfId="468" priority="531" operator="lessThanOrEqual">
      <formula>0.7</formula>
    </cfRule>
  </conditionalFormatting>
  <conditionalFormatting sqref="Y105:Y106 Y110:Y113 Y130:Y131">
    <cfRule type="cellIs" dxfId="467" priority="538" operator="lessThanOrEqual">
      <formula>0.7</formula>
    </cfRule>
  </conditionalFormatting>
  <conditionalFormatting sqref="Y116:Y119">
    <cfRule type="cellIs" dxfId="466" priority="6" operator="lessThanOrEqual">
      <formula>0.7</formula>
    </cfRule>
  </conditionalFormatting>
  <conditionalFormatting sqref="AA11:AA12">
    <cfRule type="cellIs" dxfId="465" priority="503" operator="lessThanOrEqual">
      <formula>0.7</formula>
    </cfRule>
  </conditionalFormatting>
  <conditionalFormatting sqref="AA22:AA23">
    <cfRule type="cellIs" dxfId="464" priority="555" operator="lessThanOrEqual">
      <formula>0.7</formula>
    </cfRule>
  </conditionalFormatting>
  <conditionalFormatting sqref="AA25:AA26">
    <cfRule type="cellIs" dxfId="463" priority="554" operator="lessThanOrEqual">
      <formula>0.7</formula>
    </cfRule>
  </conditionalFormatting>
  <conditionalFormatting sqref="AA29:AA30">
    <cfRule type="cellIs" dxfId="462" priority="556" operator="lessThanOrEqual">
      <formula>0.7</formula>
    </cfRule>
  </conditionalFormatting>
  <conditionalFormatting sqref="AA32">
    <cfRule type="cellIs" dxfId="461" priority="11" operator="lessThanOrEqual">
      <formula>0.7</formula>
    </cfRule>
  </conditionalFormatting>
  <conditionalFormatting sqref="AA35:AA37">
    <cfRule type="cellIs" dxfId="460" priority="553" operator="lessThanOrEqual">
      <formula>0.7</formula>
    </cfRule>
  </conditionalFormatting>
  <conditionalFormatting sqref="AA61">
    <cfRule type="cellIs" dxfId="459" priority="489" operator="lessThanOrEqual">
      <formula>0.7</formula>
    </cfRule>
  </conditionalFormatting>
  <conditionalFormatting sqref="AA65:AA69">
    <cfRule type="cellIs" dxfId="458" priority="482" operator="lessThanOrEqual">
      <formula>0.7</formula>
    </cfRule>
  </conditionalFormatting>
  <conditionalFormatting sqref="AA72:AA74">
    <cfRule type="cellIs" dxfId="457" priority="544" operator="lessThanOrEqual">
      <formula>0.7</formula>
    </cfRule>
  </conditionalFormatting>
  <conditionalFormatting sqref="AA87:AA88 AA91:AA92">
    <cfRule type="cellIs" dxfId="456" priority="530" operator="lessThanOrEqual">
      <formula>0.7</formula>
    </cfRule>
  </conditionalFormatting>
  <conditionalFormatting sqref="AA105:AA106 AA110:AA113 AA130:AA131">
    <cfRule type="cellIs" dxfId="455" priority="537" operator="lessThanOrEqual">
      <formula>0.7</formula>
    </cfRule>
  </conditionalFormatting>
  <conditionalFormatting sqref="AA116:AA119">
    <cfRule type="cellIs" dxfId="454" priority="5" operator="lessThanOrEqual">
      <formula>0.7</formula>
    </cfRule>
  </conditionalFormatting>
  <conditionalFormatting sqref="AC11:AC12">
    <cfRule type="cellIs" dxfId="453" priority="502" operator="lessThanOrEqual">
      <formula>0.7</formula>
    </cfRule>
  </conditionalFormatting>
  <conditionalFormatting sqref="AC22:AC23">
    <cfRule type="cellIs" dxfId="452" priority="522" operator="lessThanOrEqual">
      <formula>0.7</formula>
    </cfRule>
  </conditionalFormatting>
  <conditionalFormatting sqref="AC35:AC37">
    <cfRule type="cellIs" dxfId="451" priority="523" operator="lessThanOrEqual">
      <formula>0.7</formula>
    </cfRule>
  </conditionalFormatting>
  <conditionalFormatting sqref="AC61">
    <cfRule type="cellIs" dxfId="450" priority="487" operator="lessThanOrEqual">
      <formula>0.7</formula>
    </cfRule>
  </conditionalFormatting>
  <conditionalFormatting sqref="AC68:AC69">
    <cfRule type="cellIs" dxfId="449" priority="480" operator="lessThanOrEqual">
      <formula>0.7</formula>
    </cfRule>
  </conditionalFormatting>
  <conditionalFormatting sqref="AC72:AC74">
    <cfRule type="cellIs" dxfId="448" priority="526" operator="lessThanOrEqual">
      <formula>0.7</formula>
    </cfRule>
  </conditionalFormatting>
  <conditionalFormatting sqref="AC87:AC88 AC91:AC92">
    <cfRule type="cellIs" dxfId="447" priority="529" operator="lessThanOrEqual">
      <formula>0.7</formula>
    </cfRule>
  </conditionalFormatting>
  <conditionalFormatting sqref="AC124">
    <cfRule type="cellIs" dxfId="446" priority="10" operator="lessThanOrEqual">
      <formula>0.7</formula>
    </cfRule>
  </conditionalFormatting>
  <conditionalFormatting sqref="AC130:AC131">
    <cfRule type="cellIs" dxfId="445" priority="532" operator="lessThanOrEqual">
      <formula>0.7</formula>
    </cfRule>
  </conditionalFormatting>
  <conditionalFormatting sqref="AC134:AC144">
    <cfRule type="cellIs" dxfId="444" priority="141" operator="lessThanOrEqual">
      <formula>0.7</formula>
    </cfRule>
  </conditionalFormatting>
  <conditionalFormatting sqref="AC157:AC162">
    <cfRule type="cellIs" dxfId="443" priority="137" operator="lessThanOrEqual">
      <formula>0.7</formula>
    </cfRule>
  </conditionalFormatting>
  <conditionalFormatting sqref="AC166:AC172">
    <cfRule type="cellIs" dxfId="442" priority="416" operator="lessThanOrEqual">
      <formula>0.7</formula>
    </cfRule>
  </conditionalFormatting>
  <conditionalFormatting sqref="AC174:AC178">
    <cfRule type="cellIs" dxfId="441" priority="410" operator="lessThanOrEqual">
      <formula>0.7</formula>
    </cfRule>
  </conditionalFormatting>
  <conditionalFormatting sqref="AC182:AC188">
    <cfRule type="cellIs" dxfId="440" priority="404" operator="lessThanOrEqual">
      <formula>0.7</formula>
    </cfRule>
  </conditionalFormatting>
  <conditionalFormatting sqref="AC200:AC204">
    <cfRule type="cellIs" dxfId="439" priority="392" operator="lessThanOrEqual">
      <formula>0.7</formula>
    </cfRule>
  </conditionalFormatting>
  <conditionalFormatting sqref="AC216:AC218">
    <cfRule type="cellIs" dxfId="438" priority="127" operator="lessThanOrEqual">
      <formula>0.7</formula>
    </cfRule>
  </conditionalFormatting>
  <conditionalFormatting sqref="AC221:AC223">
    <cfRule type="cellIs" dxfId="437" priority="123" operator="lessThanOrEqual">
      <formula>0.7</formula>
    </cfRule>
  </conditionalFormatting>
  <conditionalFormatting sqref="AC227:AC233">
    <cfRule type="cellIs" dxfId="436" priority="119" operator="lessThanOrEqual">
      <formula>0.7</formula>
    </cfRule>
  </conditionalFormatting>
  <conditionalFormatting sqref="AC235:AC239">
    <cfRule type="cellIs" dxfId="435" priority="356" operator="lessThanOrEqual">
      <formula>0.7</formula>
    </cfRule>
  </conditionalFormatting>
  <conditionalFormatting sqref="AC243:AC247">
    <cfRule type="cellIs" dxfId="434" priority="350" operator="lessThanOrEqual">
      <formula>0.7</formula>
    </cfRule>
  </conditionalFormatting>
  <conditionalFormatting sqref="AC250:AC256">
    <cfRule type="cellIs" dxfId="433" priority="368" operator="lessThanOrEqual">
      <formula>0.7</formula>
    </cfRule>
  </conditionalFormatting>
  <conditionalFormatting sqref="AC260:AC264">
    <cfRule type="cellIs" dxfId="432" priority="107" operator="lessThanOrEqual">
      <formula>0.7</formula>
    </cfRule>
  </conditionalFormatting>
  <conditionalFormatting sqref="AC266:AC271">
    <cfRule type="cellIs" dxfId="431" priority="103" operator="lessThanOrEqual">
      <formula>0.7</formula>
    </cfRule>
  </conditionalFormatting>
  <conditionalFormatting sqref="AC275:AC278">
    <cfRule type="cellIs" dxfId="430" priority="25" operator="lessThanOrEqual">
      <formula>0.7</formula>
    </cfRule>
  </conditionalFormatting>
  <conditionalFormatting sqref="AC282:AC286">
    <cfRule type="cellIs" dxfId="429" priority="99" operator="lessThanOrEqual">
      <formula>0.7</formula>
    </cfRule>
  </conditionalFormatting>
  <conditionalFormatting sqref="AC289:AC290">
    <cfRule type="cellIs" dxfId="428" priority="40" operator="lessThanOrEqual">
      <formula>0.7</formula>
    </cfRule>
  </conditionalFormatting>
  <conditionalFormatting sqref="AC293:AC297">
    <cfRule type="cellIs" dxfId="427" priority="95" operator="lessThanOrEqual">
      <formula>0.7</formula>
    </cfRule>
  </conditionalFormatting>
  <conditionalFormatting sqref="AC327">
    <cfRule type="cellIs" dxfId="426" priority="9" operator="lessThanOrEqual">
      <formula>0.7</formula>
    </cfRule>
  </conditionalFormatting>
  <conditionalFormatting sqref="AE5:AE10 AE14:AE20">
    <cfRule type="cellIs" dxfId="425" priority="552" operator="lessThanOrEqual">
      <formula>0.7</formula>
    </cfRule>
  </conditionalFormatting>
  <conditionalFormatting sqref="AE25:AE26">
    <cfRule type="cellIs" dxfId="424" priority="551" operator="lessThanOrEqual">
      <formula>0.7</formula>
    </cfRule>
  </conditionalFormatting>
  <conditionalFormatting sqref="AE59:AE60">
    <cfRule type="cellIs" dxfId="423" priority="542" operator="lessThanOrEqual">
      <formula>0.7</formula>
    </cfRule>
  </conditionalFormatting>
  <conditionalFormatting sqref="AE63">
    <cfRule type="cellIs" dxfId="422" priority="501" operator="lessThanOrEqual">
      <formula>0.7</formula>
    </cfRule>
  </conditionalFormatting>
  <conditionalFormatting sqref="AE68">
    <cfRule type="cellIs" dxfId="421" priority="481" operator="lessThanOrEqual">
      <formula>0.7</formula>
    </cfRule>
  </conditionalFormatting>
  <conditionalFormatting sqref="AI22:AI23">
    <cfRule type="cellIs" dxfId="420" priority="550" operator="lessThanOrEqual">
      <formula>0.7</formula>
    </cfRule>
  </conditionalFormatting>
  <conditionalFormatting sqref="AI61">
    <cfRule type="cellIs" dxfId="419" priority="488" operator="lessThanOrEqual">
      <formula>0.7</formula>
    </cfRule>
  </conditionalFormatting>
  <conditionalFormatting sqref="AK22:AK23">
    <cfRule type="cellIs" dxfId="418" priority="305" operator="lessThanOrEqual">
      <formula>0.7</formula>
    </cfRule>
  </conditionalFormatting>
  <conditionalFormatting sqref="AK61">
    <cfRule type="cellIs" dxfId="417" priority="486" operator="lessThanOrEqual">
      <formula>0.7</formula>
    </cfRule>
  </conditionalFormatting>
  <conditionalFormatting sqref="AP5:AP12 AR121:AR126">
    <cfRule type="cellIs" dxfId="416" priority="568" operator="greaterThanOrEqual">
      <formula>0.5%</formula>
    </cfRule>
  </conditionalFormatting>
  <conditionalFormatting sqref="AP14:AP20">
    <cfRule type="cellIs" dxfId="415" priority="85" operator="greaterThanOrEqual">
      <formula>0.5%</formula>
    </cfRule>
  </conditionalFormatting>
  <conditionalFormatting sqref="AP22:AP23">
    <cfRule type="cellIs" dxfId="414" priority="84" operator="greaterThanOrEqual">
      <formula>0.5%</formula>
    </cfRule>
  </conditionalFormatting>
  <conditionalFormatting sqref="AP25:AP26">
    <cfRule type="cellIs" dxfId="413" priority="83" operator="greaterThanOrEqual">
      <formula>0.5%</formula>
    </cfRule>
  </conditionalFormatting>
  <conditionalFormatting sqref="AP29:AP32">
    <cfRule type="cellIs" dxfId="412" priority="191" operator="greaterThanOrEqual">
      <formula>0.5%</formula>
    </cfRule>
  </conditionalFormatting>
  <conditionalFormatting sqref="AP35:AP37">
    <cfRule type="cellIs" dxfId="411" priority="81" operator="greaterThanOrEqual">
      <formula>0.5%</formula>
    </cfRule>
  </conditionalFormatting>
  <conditionalFormatting sqref="AP50:AP54">
    <cfRule type="cellIs" dxfId="410" priority="189" operator="greaterThanOrEqual">
      <formula>0.5%</formula>
    </cfRule>
  </conditionalFormatting>
  <conditionalFormatting sqref="AP56:AP61">
    <cfRule type="cellIs" dxfId="409" priority="187" operator="greaterThanOrEqual">
      <formula>0.5%</formula>
    </cfRule>
  </conditionalFormatting>
  <conditionalFormatting sqref="AP63">
    <cfRule type="cellIs" dxfId="408" priority="80" operator="greaterThanOrEqual">
      <formula>0.5%</formula>
    </cfRule>
  </conditionalFormatting>
  <conditionalFormatting sqref="AP65:AP69">
    <cfRule type="cellIs" dxfId="407" priority="79" operator="greaterThanOrEqual">
      <formula>0.5%</formula>
    </cfRule>
  </conditionalFormatting>
  <conditionalFormatting sqref="AP72:AP74">
    <cfRule type="cellIs" dxfId="406" priority="78" operator="greaterThanOrEqual">
      <formula>0.5%</formula>
    </cfRule>
  </conditionalFormatting>
  <conditionalFormatting sqref="AP87:AP88">
    <cfRule type="cellIs" dxfId="405" priority="77" operator="greaterThanOrEqual">
      <formula>0.5%</formula>
    </cfRule>
  </conditionalFormatting>
  <conditionalFormatting sqref="AP91:AP92">
    <cfRule type="cellIs" dxfId="404" priority="76" operator="greaterThanOrEqual">
      <formula>0.5%</formula>
    </cfRule>
  </conditionalFormatting>
  <conditionalFormatting sqref="AP105:AP107">
    <cfRule type="cellIs" dxfId="403" priority="181" operator="greaterThanOrEqual">
      <formula>0.5%</formula>
    </cfRule>
  </conditionalFormatting>
  <conditionalFormatting sqref="AP110:AP113">
    <cfRule type="cellIs" dxfId="402" priority="75" operator="greaterThanOrEqual">
      <formula>0.5%</formula>
    </cfRule>
  </conditionalFormatting>
  <conditionalFormatting sqref="AP116:AP126">
    <cfRule type="cellIs" dxfId="401" priority="2" operator="greaterThanOrEqual">
      <formula>0.5%</formula>
    </cfRule>
  </conditionalFormatting>
  <conditionalFormatting sqref="AP129:AP131">
    <cfRule type="cellIs" dxfId="400" priority="177" operator="greaterThanOrEqual">
      <formula>0.5%</formula>
    </cfRule>
  </conditionalFormatting>
  <conditionalFormatting sqref="AP134:AP144">
    <cfRule type="cellIs" dxfId="399" priority="73" operator="greaterThanOrEqual">
      <formula>0.5%</formula>
    </cfRule>
  </conditionalFormatting>
  <conditionalFormatting sqref="AP157:AP162">
    <cfRule type="cellIs" dxfId="398" priority="136" operator="greaterThanOrEqual">
      <formula>0.5%</formula>
    </cfRule>
  </conditionalFormatting>
  <conditionalFormatting sqref="AP166:AP172">
    <cfRule type="cellIs" dxfId="397" priority="233" operator="greaterThanOrEqual">
      <formula>0.5%</formula>
    </cfRule>
  </conditionalFormatting>
  <conditionalFormatting sqref="AP174:AP178">
    <cfRule type="cellIs" dxfId="396" priority="231" operator="greaterThanOrEqual">
      <formula>0.5%</formula>
    </cfRule>
  </conditionalFormatting>
  <conditionalFormatting sqref="AP182:AP188">
    <cfRule type="cellIs" dxfId="395" priority="229" operator="greaterThanOrEqual">
      <formula>0.5%</formula>
    </cfRule>
  </conditionalFormatting>
  <conditionalFormatting sqref="AP191:AP196">
    <cfRule type="cellIs" dxfId="394" priority="28" operator="greaterThanOrEqual">
      <formula>0.5%</formula>
    </cfRule>
  </conditionalFormatting>
  <conditionalFormatting sqref="AP200:AP204">
    <cfRule type="cellIs" dxfId="393" priority="225" operator="greaterThanOrEqual">
      <formula>0.5%</formula>
    </cfRule>
  </conditionalFormatting>
  <conditionalFormatting sqref="AP206:AP212">
    <cfRule type="cellIs" dxfId="392" priority="130" operator="greaterThanOrEqual">
      <formula>0.5%</formula>
    </cfRule>
  </conditionalFormatting>
  <conditionalFormatting sqref="AP216:AP218">
    <cfRule type="cellIs" dxfId="391" priority="126" operator="greaterThanOrEqual">
      <formula>0.5%</formula>
    </cfRule>
  </conditionalFormatting>
  <conditionalFormatting sqref="AP221:AP223">
    <cfRule type="cellIs" dxfId="390" priority="122" operator="greaterThanOrEqual">
      <formula>0.5%</formula>
    </cfRule>
  </conditionalFormatting>
  <conditionalFormatting sqref="AP227:AP233">
    <cfRule type="cellIs" dxfId="389" priority="118" operator="greaterThanOrEqual">
      <formula>0.5%</formula>
    </cfRule>
  </conditionalFormatting>
  <conditionalFormatting sqref="AP235:AP239">
    <cfRule type="cellIs" dxfId="388" priority="213" operator="greaterThanOrEqual">
      <formula>0.5%</formula>
    </cfRule>
  </conditionalFormatting>
  <conditionalFormatting sqref="AP243:AP247">
    <cfRule type="cellIs" dxfId="387" priority="211" operator="greaterThanOrEqual">
      <formula>0.5%</formula>
    </cfRule>
  </conditionalFormatting>
  <conditionalFormatting sqref="AP250:AP256">
    <cfRule type="cellIs" dxfId="386" priority="217" operator="greaterThanOrEqual">
      <formula>0.5%</formula>
    </cfRule>
  </conditionalFormatting>
  <conditionalFormatting sqref="AP260:AP264">
    <cfRule type="cellIs" dxfId="385" priority="106" operator="greaterThanOrEqual">
      <formula>0.5%</formula>
    </cfRule>
  </conditionalFormatting>
  <conditionalFormatting sqref="AP266:AP271">
    <cfRule type="cellIs" dxfId="384" priority="102" operator="greaterThanOrEqual">
      <formula>0.5%</formula>
    </cfRule>
  </conditionalFormatting>
  <conditionalFormatting sqref="AP275:AP278">
    <cfRule type="cellIs" dxfId="383" priority="24" operator="greaterThanOrEqual">
      <formula>0.5%</formula>
    </cfRule>
  </conditionalFormatting>
  <conditionalFormatting sqref="AP282:AP286">
    <cfRule type="cellIs" dxfId="382" priority="98" operator="greaterThanOrEqual">
      <formula>0.5%</formula>
    </cfRule>
  </conditionalFormatting>
  <conditionalFormatting sqref="AP289:AP290">
    <cfRule type="cellIs" dxfId="381" priority="39" operator="greaterThanOrEqual">
      <formula>0.5%</formula>
    </cfRule>
  </conditionalFormatting>
  <conditionalFormatting sqref="AP293:AP297">
    <cfRule type="cellIs" dxfId="380" priority="94" operator="greaterThanOrEqual">
      <formula>0.5%</formula>
    </cfRule>
  </conditionalFormatting>
  <conditionalFormatting sqref="AP300:AP305">
    <cfRule type="cellIs" dxfId="379" priority="91" operator="greaterThanOrEqual">
      <formula>0.5%</formula>
    </cfRule>
  </conditionalFormatting>
  <conditionalFormatting sqref="AP308:AP311">
    <cfRule type="cellIs" dxfId="378" priority="88" operator="greaterThanOrEqual">
      <formula>0.5%</formula>
    </cfRule>
  </conditionalFormatting>
  <conditionalFormatting sqref="AP325:AP334">
    <cfRule type="cellIs" dxfId="377" priority="16" operator="greaterThanOrEqual">
      <formula>0.5%</formula>
    </cfRule>
  </conditionalFormatting>
  <conditionalFormatting sqref="AR5:AR12">
    <cfRule type="cellIs" dxfId="376" priority="176" operator="greaterThanOrEqual">
      <formula>0.5%</formula>
    </cfRule>
  </conditionalFormatting>
  <conditionalFormatting sqref="AR6:AR12 AR31 AR50 AR58 AR107 AR129">
    <cfRule type="cellIs" dxfId="375" priority="567" operator="greaterThan">
      <formula>0%</formula>
    </cfRule>
  </conditionalFormatting>
  <conditionalFormatting sqref="AR14:AR20">
    <cfRule type="cellIs" dxfId="374" priority="72" operator="greaterThanOrEqual">
      <formula>0.5%</formula>
    </cfRule>
  </conditionalFormatting>
  <conditionalFormatting sqref="AR22:AR23">
    <cfRule type="cellIs" dxfId="373" priority="71" operator="greaterThanOrEqual">
      <formula>0.5%</formula>
    </cfRule>
  </conditionalFormatting>
  <conditionalFormatting sqref="AR25:AR26">
    <cfRule type="cellIs" dxfId="372" priority="70" operator="greaterThanOrEqual">
      <formula>0.5%</formula>
    </cfRule>
  </conditionalFormatting>
  <conditionalFormatting sqref="AR29:AR30">
    <cfRule type="cellIs" dxfId="371" priority="172" operator="greaterThanOrEqual">
      <formula>0.5%</formula>
    </cfRule>
  </conditionalFormatting>
  <conditionalFormatting sqref="AR32">
    <cfRule type="cellIs" dxfId="370" priority="171" operator="greaterThanOrEqual">
      <formula>0.5%</formula>
    </cfRule>
  </conditionalFormatting>
  <conditionalFormatting sqref="AR35:AR37">
    <cfRule type="cellIs" dxfId="369" priority="68" operator="greaterThanOrEqual">
      <formula>0.5%</formula>
    </cfRule>
  </conditionalFormatting>
  <conditionalFormatting sqref="AR51:AR54">
    <cfRule type="cellIs" dxfId="368" priority="169" operator="greaterThanOrEqual">
      <formula>0.5%</formula>
    </cfRule>
  </conditionalFormatting>
  <conditionalFormatting sqref="AR56:AR57">
    <cfRule type="cellIs" dxfId="367" priority="168" operator="greaterThanOrEqual">
      <formula>0.5%</formula>
    </cfRule>
  </conditionalFormatting>
  <conditionalFormatting sqref="AR59:AR61">
    <cfRule type="cellIs" dxfId="366" priority="167" operator="greaterThanOrEqual">
      <formula>0.5%</formula>
    </cfRule>
  </conditionalFormatting>
  <conditionalFormatting sqref="AR63">
    <cfRule type="cellIs" dxfId="365" priority="67" operator="greaterThanOrEqual">
      <formula>0.5%</formula>
    </cfRule>
  </conditionalFormatting>
  <conditionalFormatting sqref="AR65:AR69">
    <cfRule type="cellIs" dxfId="364" priority="66" operator="greaterThanOrEqual">
      <formula>0.5%</formula>
    </cfRule>
  </conditionalFormatting>
  <conditionalFormatting sqref="AR72:AR74">
    <cfRule type="cellIs" dxfId="363" priority="65" operator="greaterThanOrEqual">
      <formula>0.5%</formula>
    </cfRule>
  </conditionalFormatting>
  <conditionalFormatting sqref="AR87:AR88">
    <cfRule type="cellIs" dxfId="362" priority="64" operator="greaterThanOrEqual">
      <formula>0.5%</formula>
    </cfRule>
  </conditionalFormatting>
  <conditionalFormatting sqref="AR90">
    <cfRule type="cellIs" dxfId="361" priority="510" operator="greaterThanOrEqual">
      <formula>0.005</formula>
    </cfRule>
  </conditionalFormatting>
  <conditionalFormatting sqref="AR91:AR92">
    <cfRule type="cellIs" dxfId="360" priority="63" operator="greaterThanOrEqual">
      <formula>0.5%</formula>
    </cfRule>
  </conditionalFormatting>
  <conditionalFormatting sqref="AR105:AR106">
    <cfRule type="cellIs" dxfId="359" priority="161" operator="greaterThanOrEqual">
      <formula>0.5%</formula>
    </cfRule>
  </conditionalFormatting>
  <conditionalFormatting sqref="AR110:AR113">
    <cfRule type="cellIs" dxfId="358" priority="61" operator="greaterThanOrEqual">
      <formula>0.5%</formula>
    </cfRule>
  </conditionalFormatting>
  <conditionalFormatting sqref="AR116:AR119">
    <cfRule type="cellIs" dxfId="357" priority="3" operator="greaterThanOrEqual">
      <formula>0.5%</formula>
    </cfRule>
  </conditionalFormatting>
  <conditionalFormatting sqref="AR120">
    <cfRule type="cellIs" dxfId="356" priority="1" operator="greaterThan">
      <formula>0%</formula>
    </cfRule>
  </conditionalFormatting>
  <conditionalFormatting sqref="AR130:AR131">
    <cfRule type="cellIs" dxfId="355" priority="158" operator="greaterThanOrEqual">
      <formula>0.5%</formula>
    </cfRule>
  </conditionalFormatting>
  <conditionalFormatting sqref="AR134:AR144">
    <cfRule type="cellIs" dxfId="354" priority="59" operator="greaterThanOrEqual">
      <formula>0.5%</formula>
    </cfRule>
  </conditionalFormatting>
  <conditionalFormatting sqref="AR157:AR162">
    <cfRule type="cellIs" dxfId="353" priority="135" operator="greaterThan">
      <formula>0%</formula>
    </cfRule>
  </conditionalFormatting>
  <conditionalFormatting sqref="AR166:AR172">
    <cfRule type="cellIs" dxfId="352" priority="232" operator="greaterThan">
      <formula>0%</formula>
    </cfRule>
  </conditionalFormatting>
  <conditionalFormatting sqref="AR174:AR178">
    <cfRule type="cellIs" dxfId="351" priority="230" operator="greaterThan">
      <formula>0%</formula>
    </cfRule>
  </conditionalFormatting>
  <conditionalFormatting sqref="AR182:AR188">
    <cfRule type="cellIs" dxfId="350" priority="228" operator="greaterThan">
      <formula>0%</formula>
    </cfRule>
  </conditionalFormatting>
  <conditionalFormatting sqref="AR191:AR196">
    <cfRule type="cellIs" dxfId="349" priority="27" operator="greaterThan">
      <formula>0%</formula>
    </cfRule>
  </conditionalFormatting>
  <conditionalFormatting sqref="AR200:AR204">
    <cfRule type="cellIs" dxfId="348" priority="224" operator="greaterThan">
      <formula>0%</formula>
    </cfRule>
  </conditionalFormatting>
  <conditionalFormatting sqref="AR206:AR212">
    <cfRule type="cellIs" dxfId="347" priority="129" operator="greaterThan">
      <formula>0%</formula>
    </cfRule>
  </conditionalFormatting>
  <conditionalFormatting sqref="AR216:AR218">
    <cfRule type="cellIs" dxfId="346" priority="125" operator="greaterThan">
      <formula>0%</formula>
    </cfRule>
  </conditionalFormatting>
  <conditionalFormatting sqref="AR221:AR223">
    <cfRule type="cellIs" dxfId="345" priority="121" operator="greaterThan">
      <formula>0%</formula>
    </cfRule>
  </conditionalFormatting>
  <conditionalFormatting sqref="AR227:AR233">
    <cfRule type="cellIs" dxfId="344" priority="117" operator="greaterThan">
      <formula>0%</formula>
    </cfRule>
  </conditionalFormatting>
  <conditionalFormatting sqref="AR235:AR239">
    <cfRule type="cellIs" dxfId="343" priority="212" operator="greaterThan">
      <formula>0%</formula>
    </cfRule>
  </conditionalFormatting>
  <conditionalFormatting sqref="AR243:AR247">
    <cfRule type="cellIs" dxfId="342" priority="210" operator="greaterThan">
      <formula>0%</formula>
    </cfRule>
  </conditionalFormatting>
  <conditionalFormatting sqref="AR250:AR256">
    <cfRule type="cellIs" dxfId="341" priority="216" operator="greaterThan">
      <formula>0%</formula>
    </cfRule>
  </conditionalFormatting>
  <conditionalFormatting sqref="AR260:AR264">
    <cfRule type="cellIs" dxfId="340" priority="105" operator="greaterThan">
      <formula>0%</formula>
    </cfRule>
  </conditionalFormatting>
  <conditionalFormatting sqref="AR266:AR271">
    <cfRule type="cellIs" dxfId="339" priority="101" operator="greaterThan">
      <formula>0%</formula>
    </cfRule>
  </conditionalFormatting>
  <conditionalFormatting sqref="AR275:AR278">
    <cfRule type="cellIs" dxfId="338" priority="23" operator="greaterThan">
      <formula>0%</formula>
    </cfRule>
  </conditionalFormatting>
  <conditionalFormatting sqref="AR282:AR286">
    <cfRule type="cellIs" dxfId="337" priority="97" operator="greaterThan">
      <formula>0%</formula>
    </cfRule>
  </conditionalFormatting>
  <conditionalFormatting sqref="AR289:AR290">
    <cfRule type="cellIs" dxfId="336" priority="38" operator="greaterThan">
      <formula>0%</formula>
    </cfRule>
  </conditionalFormatting>
  <conditionalFormatting sqref="AR293:AR297">
    <cfRule type="cellIs" dxfId="335" priority="93" operator="greaterThan">
      <formula>0%</formula>
    </cfRule>
  </conditionalFormatting>
  <conditionalFormatting sqref="AR300:AR305">
    <cfRule type="cellIs" dxfId="334" priority="90" operator="greaterThan">
      <formula>0%</formula>
    </cfRule>
  </conditionalFormatting>
  <conditionalFormatting sqref="AR308:AR311">
    <cfRule type="cellIs" dxfId="333" priority="87" operator="greaterThan">
      <formula>0%</formula>
    </cfRule>
  </conditionalFormatting>
  <conditionalFormatting sqref="AR325:AR334">
    <cfRule type="cellIs" dxfId="332" priority="15" operator="greaterThan">
      <formula>0%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361A-D139-4193-9970-B9691F9E772E}">
  <dimension ref="B1:N352"/>
  <sheetViews>
    <sheetView showGridLines="0" zoomScale="136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D29" sqref="D29"/>
    </sheetView>
  </sheetViews>
  <sheetFormatPr baseColWidth="10" defaultColWidth="8.83203125" defaultRowHeight="14.5" customHeight="1" x14ac:dyDescent="0.2"/>
  <cols>
    <col min="1" max="1" width="3.83203125" customWidth="1"/>
    <col min="2" max="2" width="21" customWidth="1"/>
    <col min="3" max="3" width="16.1640625" customWidth="1"/>
    <col min="4" max="4" width="28.6640625" bestFit="1" customWidth="1"/>
    <col min="5" max="5" width="17.33203125" style="2" bestFit="1" customWidth="1"/>
    <col min="6" max="6" width="15.33203125" style="2" bestFit="1" customWidth="1"/>
    <col min="7" max="7" width="13.1640625" style="1" customWidth="1"/>
    <col min="8" max="8" width="10.83203125" customWidth="1"/>
    <col min="9" max="9" width="18.83203125" style="2" bestFit="1" customWidth="1"/>
    <col min="10" max="10" width="12.33203125" style="2" bestFit="1" customWidth="1"/>
    <col min="11" max="11" width="11.5" style="2" bestFit="1" customWidth="1"/>
    <col min="12" max="12" width="3.5" customWidth="1"/>
  </cols>
  <sheetData>
    <row r="1" spans="2:11" ht="14.5" customHeight="1" x14ac:dyDescent="0.2">
      <c r="B1" s="4" t="s">
        <v>102</v>
      </c>
      <c r="C1" s="5"/>
      <c r="D1" s="5"/>
      <c r="E1" s="33"/>
      <c r="F1" s="33"/>
      <c r="G1" s="34"/>
    </row>
    <row r="2" spans="2:11" ht="14.5" customHeight="1" x14ac:dyDescent="0.2">
      <c r="B2" s="8"/>
      <c r="C2" s="8"/>
      <c r="D2" s="340"/>
      <c r="E2" s="340"/>
      <c r="F2" s="341"/>
      <c r="G2" s="342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385" t="s">
        <v>4</v>
      </c>
      <c r="F3" s="385"/>
      <c r="G3" s="417" t="s">
        <v>56</v>
      </c>
      <c r="H3" s="394" t="s">
        <v>3</v>
      </c>
      <c r="I3" s="398" t="s">
        <v>92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36" t="s">
        <v>77</v>
      </c>
      <c r="F4" s="54" t="s">
        <v>58</v>
      </c>
      <c r="G4" s="417"/>
      <c r="H4" s="394"/>
      <c r="I4" s="398"/>
      <c r="J4" s="398"/>
      <c r="K4" s="398"/>
    </row>
    <row r="5" spans="2:11" ht="14.5" customHeight="1" x14ac:dyDescent="0.2">
      <c r="B5" s="397" t="s">
        <v>13</v>
      </c>
      <c r="C5" s="52" t="s">
        <v>342</v>
      </c>
      <c r="D5" s="52" t="s">
        <v>233</v>
      </c>
      <c r="E5" s="15">
        <v>583972200</v>
      </c>
      <c r="F5" s="15">
        <v>578500000</v>
      </c>
      <c r="G5" s="20">
        <f>E5/F5*100%</f>
        <v>1.0094592912705271</v>
      </c>
      <c r="H5" s="12" t="s">
        <v>14</v>
      </c>
      <c r="I5" s="15">
        <v>600000</v>
      </c>
      <c r="J5" s="15">
        <f>I5*55%</f>
        <v>330000</v>
      </c>
      <c r="K5" s="15">
        <f>I5*45%</f>
        <v>270000</v>
      </c>
    </row>
    <row r="6" spans="2:11" ht="14.5" customHeight="1" x14ac:dyDescent="0.2">
      <c r="B6" s="397"/>
      <c r="C6" s="52" t="s">
        <v>343</v>
      </c>
      <c r="D6" s="52" t="s">
        <v>234</v>
      </c>
      <c r="E6" s="15">
        <v>523357900</v>
      </c>
      <c r="F6" s="15">
        <v>515500000</v>
      </c>
      <c r="G6" s="20">
        <f t="shared" ref="G6:G40" si="0">E6/F6*100%</f>
        <v>1.0152432589718721</v>
      </c>
      <c r="H6" s="12" t="s">
        <v>14</v>
      </c>
      <c r="I6" s="15">
        <v>600000</v>
      </c>
      <c r="J6" s="15">
        <f t="shared" ref="J6:J8" si="1">I6*55%</f>
        <v>330000</v>
      </c>
      <c r="K6" s="15">
        <f t="shared" ref="K6:K8" si="2">I6*45%</f>
        <v>270000</v>
      </c>
    </row>
    <row r="7" spans="2:11" ht="14.5" customHeight="1" x14ac:dyDescent="0.2">
      <c r="B7" s="397"/>
      <c r="C7" s="52" t="s">
        <v>344</v>
      </c>
      <c r="D7" s="52" t="s">
        <v>235</v>
      </c>
      <c r="E7" s="15">
        <v>383422900</v>
      </c>
      <c r="F7" s="15">
        <v>440000000</v>
      </c>
      <c r="G7" s="20">
        <f t="shared" si="0"/>
        <v>0.87141568181818185</v>
      </c>
      <c r="H7" s="12" t="s">
        <v>14</v>
      </c>
      <c r="I7" s="15">
        <v>300000</v>
      </c>
      <c r="J7" s="15">
        <f t="shared" si="1"/>
        <v>165000</v>
      </c>
      <c r="K7" s="15">
        <f t="shared" si="2"/>
        <v>135000</v>
      </c>
    </row>
    <row r="8" spans="2:11" ht="14.5" customHeight="1" x14ac:dyDescent="0.2">
      <c r="B8" s="397"/>
      <c r="C8" s="52" t="s">
        <v>345</v>
      </c>
      <c r="D8" s="52" t="s">
        <v>236</v>
      </c>
      <c r="E8" s="15">
        <v>341365150</v>
      </c>
      <c r="F8" s="15">
        <v>403000000</v>
      </c>
      <c r="G8" s="20">
        <f t="shared" si="0"/>
        <v>0.84705992555831267</v>
      </c>
      <c r="H8" s="12" t="s">
        <v>14</v>
      </c>
      <c r="I8" s="15">
        <v>300000</v>
      </c>
      <c r="J8" s="15">
        <f t="shared" si="1"/>
        <v>165000</v>
      </c>
      <c r="K8" s="15">
        <f t="shared" si="2"/>
        <v>135000</v>
      </c>
    </row>
    <row r="9" spans="2:11" ht="14.5" customHeight="1" x14ac:dyDescent="0.2">
      <c r="B9" s="397"/>
      <c r="C9" s="52" t="s">
        <v>346</v>
      </c>
      <c r="D9" s="52" t="s">
        <v>237</v>
      </c>
      <c r="E9" s="15">
        <v>177246700</v>
      </c>
      <c r="F9" s="15">
        <v>218000000</v>
      </c>
      <c r="G9" s="20">
        <f t="shared" si="0"/>
        <v>0.81305825688073396</v>
      </c>
      <c r="H9" s="12" t="s">
        <v>18</v>
      </c>
      <c r="I9" s="15">
        <v>225000</v>
      </c>
      <c r="J9" s="15">
        <f t="shared" ref="J9:J10" si="3">I9*70%</f>
        <v>157500</v>
      </c>
      <c r="K9" s="15">
        <f t="shared" ref="K9:K10" si="4">I9*30%</f>
        <v>67500</v>
      </c>
    </row>
    <row r="10" spans="2:11" ht="14.5" customHeight="1" x14ac:dyDescent="0.2">
      <c r="B10" s="397"/>
      <c r="C10" s="52" t="s">
        <v>347</v>
      </c>
      <c r="D10" s="52" t="s">
        <v>101</v>
      </c>
      <c r="E10" s="15">
        <v>189327600</v>
      </c>
      <c r="F10" s="15">
        <v>230000000</v>
      </c>
      <c r="G10" s="20">
        <f t="shared" si="0"/>
        <v>0.82316347826086955</v>
      </c>
      <c r="H10" s="12" t="s">
        <v>18</v>
      </c>
      <c r="I10" s="14">
        <v>225000</v>
      </c>
      <c r="J10" s="14">
        <f t="shared" si="3"/>
        <v>157500</v>
      </c>
      <c r="K10" s="14">
        <f t="shared" si="4"/>
        <v>67500</v>
      </c>
    </row>
    <row r="11" spans="2:11" ht="14.5" customHeight="1" x14ac:dyDescent="0.2">
      <c r="B11" s="397"/>
      <c r="C11" s="52" t="s">
        <v>348</v>
      </c>
      <c r="D11" s="52" t="s">
        <v>157</v>
      </c>
      <c r="E11" s="15">
        <v>32648300</v>
      </c>
      <c r="F11" s="15">
        <v>32500000</v>
      </c>
      <c r="G11" s="20">
        <f t="shared" si="0"/>
        <v>1.0045630769230769</v>
      </c>
      <c r="H11" s="12" t="s">
        <v>467</v>
      </c>
      <c r="I11" s="15">
        <v>525000</v>
      </c>
      <c r="J11" s="15">
        <f t="shared" ref="J11" si="5">I11*70%</f>
        <v>367500</v>
      </c>
      <c r="K11" s="15">
        <f t="shared" ref="K11" si="6">I11*30%</f>
        <v>157500</v>
      </c>
    </row>
    <row r="12" spans="2:11" ht="14.5" customHeight="1" x14ac:dyDescent="0.2">
      <c r="B12" s="397"/>
      <c r="C12" s="52" t="s">
        <v>349</v>
      </c>
      <c r="D12" s="52" t="s">
        <v>158</v>
      </c>
      <c r="E12" s="15">
        <v>0</v>
      </c>
      <c r="F12" s="15">
        <v>32500000</v>
      </c>
      <c r="G12" s="20">
        <f t="shared" si="0"/>
        <v>0</v>
      </c>
      <c r="H12" s="12" t="s">
        <v>467</v>
      </c>
      <c r="I12" s="14">
        <v>0</v>
      </c>
      <c r="J12" s="14">
        <f t="shared" ref="J12" si="7">I12*70%</f>
        <v>0</v>
      </c>
      <c r="K12" s="14">
        <f t="shared" ref="K12" si="8">I12*30%</f>
        <v>0</v>
      </c>
    </row>
    <row r="13" spans="2:11" s="37" customFormat="1" ht="14.5" customHeight="1" x14ac:dyDescent="0.2">
      <c r="B13" s="397"/>
      <c r="C13" s="70"/>
      <c r="D13" s="70" t="s">
        <v>289</v>
      </c>
      <c r="E13" s="65">
        <f>SUM(E5:E12)</f>
        <v>2231340750</v>
      </c>
      <c r="F13" s="65">
        <f>SUM(F5:F12)</f>
        <v>2450000000</v>
      </c>
      <c r="G13" s="66">
        <f t="shared" si="0"/>
        <v>0.91075132653061219</v>
      </c>
      <c r="H13" s="64" t="s">
        <v>20</v>
      </c>
      <c r="I13" s="63">
        <v>336000</v>
      </c>
      <c r="J13" s="63">
        <f>I13</f>
        <v>336000</v>
      </c>
      <c r="K13" s="63">
        <v>0</v>
      </c>
    </row>
    <row r="14" spans="2:11" s="21" customFormat="1" ht="14.5" customHeight="1" x14ac:dyDescent="0.2">
      <c r="B14" s="397"/>
      <c r="C14" s="52" t="s">
        <v>350</v>
      </c>
      <c r="D14" s="38" t="s">
        <v>99</v>
      </c>
      <c r="E14" s="15">
        <v>465304958.66000009</v>
      </c>
      <c r="F14" s="15">
        <v>510000000</v>
      </c>
      <c r="G14" s="20">
        <f t="shared" si="0"/>
        <v>0.91236266403921584</v>
      </c>
      <c r="H14" s="12" t="s">
        <v>14</v>
      </c>
      <c r="I14" s="15">
        <v>450000</v>
      </c>
      <c r="J14" s="15">
        <f>I14*55%</f>
        <v>247500.00000000003</v>
      </c>
      <c r="K14" s="15">
        <f>I14*45%</f>
        <v>202500</v>
      </c>
    </row>
    <row r="15" spans="2:11" ht="14.5" customHeight="1" x14ac:dyDescent="0.2">
      <c r="B15" s="397"/>
      <c r="C15" s="52" t="s">
        <v>351</v>
      </c>
      <c r="D15" s="52" t="s">
        <v>100</v>
      </c>
      <c r="E15" s="15">
        <v>395187050</v>
      </c>
      <c r="F15" s="15">
        <v>493503407.35822803</v>
      </c>
      <c r="G15" s="20">
        <f t="shared" si="0"/>
        <v>0.80077876688932081</v>
      </c>
      <c r="H15" s="12" t="s">
        <v>14</v>
      </c>
      <c r="I15" s="15">
        <v>300000</v>
      </c>
      <c r="J15" s="15">
        <f>I15*55%</f>
        <v>165000</v>
      </c>
      <c r="K15" s="15">
        <f>I15*45%</f>
        <v>135000</v>
      </c>
    </row>
    <row r="16" spans="2:11" ht="14.5" customHeight="1" x14ac:dyDescent="0.2">
      <c r="B16" s="397"/>
      <c r="C16" s="52" t="s">
        <v>352</v>
      </c>
      <c r="D16" s="52" t="s">
        <v>238</v>
      </c>
      <c r="E16" s="15">
        <v>645462733.34000003</v>
      </c>
      <c r="F16" s="15">
        <v>720425646.50641894</v>
      </c>
      <c r="G16" s="20">
        <f t="shared" si="0"/>
        <v>0.89594635681011814</v>
      </c>
      <c r="H16" s="12" t="s">
        <v>14</v>
      </c>
      <c r="I16" s="15">
        <v>300000</v>
      </c>
      <c r="J16" s="15">
        <f t="shared" ref="J16:J17" si="9">I16*55%</f>
        <v>165000</v>
      </c>
      <c r="K16" s="15">
        <f t="shared" ref="K16:K17" si="10">I16*45%</f>
        <v>135000</v>
      </c>
    </row>
    <row r="17" spans="2:13" ht="14.5" customHeight="1" x14ac:dyDescent="0.2">
      <c r="B17" s="397"/>
      <c r="C17" s="52" t="s">
        <v>353</v>
      </c>
      <c r="D17" s="52" t="s">
        <v>239</v>
      </c>
      <c r="E17" s="15">
        <v>392991020</v>
      </c>
      <c r="F17" s="15">
        <v>430106619.43232399</v>
      </c>
      <c r="G17" s="20">
        <f t="shared" si="0"/>
        <v>0.91370604925515675</v>
      </c>
      <c r="H17" s="83" t="s">
        <v>14</v>
      </c>
      <c r="I17" s="15">
        <v>450000</v>
      </c>
      <c r="J17" s="15">
        <f t="shared" si="9"/>
        <v>247500.00000000003</v>
      </c>
      <c r="K17" s="15">
        <f t="shared" si="10"/>
        <v>202500</v>
      </c>
    </row>
    <row r="18" spans="2:13" ht="14.5" customHeight="1" x14ac:dyDescent="0.2">
      <c r="B18" s="397"/>
      <c r="C18" s="52" t="s">
        <v>354</v>
      </c>
      <c r="D18" s="52" t="s">
        <v>294</v>
      </c>
      <c r="E18" s="15">
        <v>377581800</v>
      </c>
      <c r="F18" s="15">
        <v>445600000</v>
      </c>
      <c r="G18" s="20">
        <f t="shared" si="0"/>
        <v>0.84735592459605025</v>
      </c>
      <c r="H18" s="12" t="s">
        <v>14</v>
      </c>
      <c r="I18" s="15">
        <v>300000</v>
      </c>
      <c r="J18" s="15">
        <f t="shared" ref="J18" si="11">I18*55%</f>
        <v>165000</v>
      </c>
      <c r="K18" s="15">
        <f t="shared" ref="K18" si="12">I18*45%</f>
        <v>135000</v>
      </c>
    </row>
    <row r="19" spans="2:13" ht="14.5" customHeight="1" x14ac:dyDescent="0.2">
      <c r="B19" s="397"/>
      <c r="C19" s="52" t="s">
        <v>355</v>
      </c>
      <c r="D19" s="52" t="s">
        <v>273</v>
      </c>
      <c r="E19" s="15">
        <v>154612662.68000001</v>
      </c>
      <c r="F19" s="15">
        <v>192962705.051011</v>
      </c>
      <c r="G19" s="20">
        <f t="shared" si="0"/>
        <v>0.80125671247781849</v>
      </c>
      <c r="H19" s="12" t="s">
        <v>18</v>
      </c>
      <c r="I19" s="14">
        <v>225000</v>
      </c>
      <c r="J19" s="14">
        <f t="shared" ref="J19" si="13">I19*70%</f>
        <v>157500</v>
      </c>
      <c r="K19" s="14">
        <f t="shared" ref="K19" si="14">I19*30%</f>
        <v>67500</v>
      </c>
    </row>
    <row r="20" spans="2:13" ht="14.5" customHeight="1" x14ac:dyDescent="0.2">
      <c r="B20" s="397"/>
      <c r="C20" s="52"/>
      <c r="D20" s="52" t="s">
        <v>243</v>
      </c>
      <c r="E20" s="15">
        <v>458459500</v>
      </c>
      <c r="F20" s="15">
        <v>516401621.97549701</v>
      </c>
      <c r="G20" s="20">
        <f t="shared" si="0"/>
        <v>0.88779639817195166</v>
      </c>
      <c r="H20" s="12" t="s">
        <v>14</v>
      </c>
      <c r="I20" s="14">
        <v>300000</v>
      </c>
      <c r="J20" s="15">
        <f t="shared" ref="J20" si="15">I20*55%</f>
        <v>165000</v>
      </c>
      <c r="K20" s="15">
        <f t="shared" ref="K20" si="16">I20*45%</f>
        <v>135000</v>
      </c>
    </row>
    <row r="21" spans="2:13" s="37" customFormat="1" ht="14.5" customHeight="1" x14ac:dyDescent="0.2">
      <c r="B21" s="397"/>
      <c r="C21" s="78"/>
      <c r="D21" s="78" t="s">
        <v>293</v>
      </c>
      <c r="E21" s="65">
        <f>SUM(E14:E20)</f>
        <v>2889599724.6799998</v>
      </c>
      <c r="F21" s="65">
        <f>SUM(F14:F20)</f>
        <v>3309000000.3234787</v>
      </c>
      <c r="G21" s="66">
        <f t="shared" si="0"/>
        <v>0.87325467645739518</v>
      </c>
      <c r="H21" s="64" t="s">
        <v>20</v>
      </c>
      <c r="I21" s="63">
        <v>216000</v>
      </c>
      <c r="J21" s="63">
        <f t="shared" ref="J21:J27" si="17">I21</f>
        <v>216000</v>
      </c>
      <c r="K21" s="63">
        <v>0</v>
      </c>
      <c r="M21"/>
    </row>
    <row r="22" spans="2:13" s="37" customFormat="1" ht="14.5" customHeight="1" x14ac:dyDescent="0.2">
      <c r="B22" s="397"/>
      <c r="C22" s="52" t="s">
        <v>356</v>
      </c>
      <c r="D22" s="52" t="s">
        <v>147</v>
      </c>
      <c r="E22" s="15">
        <v>64553678.320000008</v>
      </c>
      <c r="F22" s="15">
        <v>100750000</v>
      </c>
      <c r="G22" s="20">
        <f t="shared" si="0"/>
        <v>0.64073129846153853</v>
      </c>
      <c r="H22" s="12" t="s">
        <v>468</v>
      </c>
      <c r="I22" s="15">
        <v>0</v>
      </c>
      <c r="J22" s="15">
        <f t="shared" si="17"/>
        <v>0</v>
      </c>
      <c r="K22" s="15">
        <v>0</v>
      </c>
      <c r="M22"/>
    </row>
    <row r="23" spans="2:13" s="37" customFormat="1" ht="14.5" customHeight="1" x14ac:dyDescent="0.2">
      <c r="B23" s="397"/>
      <c r="C23" s="52" t="s">
        <v>357</v>
      </c>
      <c r="D23" s="52" t="s">
        <v>813</v>
      </c>
      <c r="E23" s="15">
        <v>73924414.710000008</v>
      </c>
      <c r="F23" s="15">
        <v>84250000</v>
      </c>
      <c r="G23" s="20">
        <f t="shared" si="0"/>
        <v>0.87744112415430275</v>
      </c>
      <c r="H23" s="12" t="s">
        <v>468</v>
      </c>
      <c r="I23" s="14">
        <v>130000</v>
      </c>
      <c r="J23" s="15">
        <f t="shared" si="17"/>
        <v>130000</v>
      </c>
      <c r="K23" s="15">
        <v>0</v>
      </c>
      <c r="M23"/>
    </row>
    <row r="24" spans="2:13" s="37" customFormat="1" ht="14.5" customHeight="1" x14ac:dyDescent="0.2">
      <c r="B24" s="397"/>
      <c r="C24" s="78"/>
      <c r="D24" s="78" t="s">
        <v>146</v>
      </c>
      <c r="E24" s="65">
        <f>SUM(E22:E23)</f>
        <v>138478093.03000003</v>
      </c>
      <c r="F24" s="65">
        <f>SUM(F22:F23)</f>
        <v>185000000</v>
      </c>
      <c r="G24" s="66">
        <f t="shared" si="0"/>
        <v>0.74853023259459472</v>
      </c>
      <c r="H24" s="64" t="s">
        <v>20</v>
      </c>
      <c r="I24" s="63">
        <v>110000</v>
      </c>
      <c r="J24" s="63">
        <f t="shared" si="17"/>
        <v>110000</v>
      </c>
      <c r="K24" s="63">
        <v>0</v>
      </c>
      <c r="M24"/>
    </row>
    <row r="25" spans="2:13" s="37" customFormat="1" ht="14.5" customHeight="1" x14ac:dyDescent="0.2">
      <c r="B25" s="397"/>
      <c r="C25" s="52" t="s">
        <v>358</v>
      </c>
      <c r="D25" s="52" t="s">
        <v>258</v>
      </c>
      <c r="E25" s="15">
        <v>18986504.179999996</v>
      </c>
      <c r="F25" s="15">
        <v>30696591</v>
      </c>
      <c r="G25" s="20">
        <f t="shared" si="0"/>
        <v>0.61852158697361526</v>
      </c>
      <c r="H25" s="38" t="s">
        <v>469</v>
      </c>
      <c r="I25" s="14">
        <v>0</v>
      </c>
      <c r="J25" s="15">
        <f t="shared" ref="J25" si="18">I25</f>
        <v>0</v>
      </c>
      <c r="K25" s="15">
        <v>0</v>
      </c>
      <c r="M25" s="21"/>
    </row>
    <row r="26" spans="2:13" s="37" customFormat="1" ht="14.5" customHeight="1" x14ac:dyDescent="0.2">
      <c r="B26" s="397"/>
      <c r="C26" s="52" t="s">
        <v>525</v>
      </c>
      <c r="D26" s="52" t="s">
        <v>578</v>
      </c>
      <c r="E26" s="15">
        <v>20310164.909999996</v>
      </c>
      <c r="F26" s="15">
        <v>25303409</v>
      </c>
      <c r="G26" s="20">
        <f t="shared" si="0"/>
        <v>0.80266516302210489</v>
      </c>
      <c r="H26" s="38" t="s">
        <v>469</v>
      </c>
      <c r="I26" s="14">
        <v>162500</v>
      </c>
      <c r="J26" s="15">
        <f t="shared" si="17"/>
        <v>162500</v>
      </c>
      <c r="K26" s="15">
        <v>0</v>
      </c>
      <c r="M26" s="21"/>
    </row>
    <row r="27" spans="2:13" s="37" customFormat="1" ht="14.5" customHeight="1" x14ac:dyDescent="0.2">
      <c r="B27" s="397"/>
      <c r="C27" s="78"/>
      <c r="D27" s="78" t="s">
        <v>587</v>
      </c>
      <c r="E27" s="65">
        <f t="shared" ref="E27" si="19">SUM(E25:E26)</f>
        <v>39296669.089999989</v>
      </c>
      <c r="F27" s="65">
        <f t="shared" ref="F27" si="20">SUM(F25:F26)</f>
        <v>56000000</v>
      </c>
      <c r="G27" s="66">
        <f t="shared" si="0"/>
        <v>0.70172623374999976</v>
      </c>
      <c r="H27" s="64" t="s">
        <v>20</v>
      </c>
      <c r="I27" s="63">
        <v>120000</v>
      </c>
      <c r="J27" s="63">
        <f t="shared" si="17"/>
        <v>120000</v>
      </c>
      <c r="K27" s="63">
        <v>0</v>
      </c>
      <c r="M27"/>
    </row>
    <row r="28" spans="2:13" s="21" customFormat="1" ht="14.5" customHeight="1" x14ac:dyDescent="0.2">
      <c r="B28" s="397"/>
      <c r="C28" s="73"/>
      <c r="D28" s="73" t="s">
        <v>24</v>
      </c>
      <c r="E28" s="40">
        <f>SUM(E27,E24,E21,E13)</f>
        <v>5298715236.7999992</v>
      </c>
      <c r="F28" s="40">
        <f>SUM(F27,F24,F21,F13)</f>
        <v>6000000000.3234787</v>
      </c>
      <c r="G28" s="76">
        <f t="shared" si="0"/>
        <v>0.88311920608572148</v>
      </c>
      <c r="H28" s="41"/>
      <c r="I28" s="39">
        <f>SUM(I5:I27)</f>
        <v>6174500</v>
      </c>
      <c r="J28" s="39">
        <f>SUM(J5:J27)</f>
        <v>4059500</v>
      </c>
      <c r="K28" s="39">
        <f>SUM(K5:K27)</f>
        <v>2115000</v>
      </c>
      <c r="M28"/>
    </row>
    <row r="29" spans="2:13" ht="14.5" customHeight="1" x14ac:dyDescent="0.2">
      <c r="B29" s="397" t="s">
        <v>32</v>
      </c>
      <c r="C29" s="52" t="s">
        <v>359</v>
      </c>
      <c r="D29" s="52" t="s">
        <v>103</v>
      </c>
      <c r="E29" s="15">
        <v>291001149.95999998</v>
      </c>
      <c r="F29" s="15">
        <v>288271296</v>
      </c>
      <c r="G29" s="20">
        <f t="shared" si="0"/>
        <v>1.0094697390891114</v>
      </c>
      <c r="H29" s="12" t="s">
        <v>14</v>
      </c>
      <c r="I29" s="15">
        <v>600000</v>
      </c>
      <c r="J29" s="15">
        <f t="shared" ref="J29" si="21">I29*55%</f>
        <v>330000</v>
      </c>
      <c r="K29" s="15">
        <f t="shared" ref="K29" si="22">I29*45%</f>
        <v>270000</v>
      </c>
    </row>
    <row r="30" spans="2:13" ht="14.5" customHeight="1" x14ac:dyDescent="0.2">
      <c r="B30" s="397"/>
      <c r="C30" s="52" t="s">
        <v>360</v>
      </c>
      <c r="D30" s="52" t="s">
        <v>104</v>
      </c>
      <c r="E30" s="15">
        <v>132361700</v>
      </c>
      <c r="F30" s="15">
        <v>128285568</v>
      </c>
      <c r="G30" s="20">
        <f t="shared" si="0"/>
        <v>1.0317738936931706</v>
      </c>
      <c r="H30" s="12" t="s">
        <v>18</v>
      </c>
      <c r="I30" s="15">
        <v>450000</v>
      </c>
      <c r="J30" s="15">
        <f t="shared" ref="J30" si="23">I30*70%</f>
        <v>315000</v>
      </c>
      <c r="K30" s="15">
        <f t="shared" ref="K30" si="24">I30*30%</f>
        <v>135000</v>
      </c>
    </row>
    <row r="31" spans="2:13" ht="14.5" customHeight="1" x14ac:dyDescent="0.2">
      <c r="B31" s="397"/>
      <c r="C31" s="193"/>
      <c r="D31" s="193" t="s">
        <v>148</v>
      </c>
      <c r="E31" s="193"/>
      <c r="F31" s="193"/>
      <c r="G31" s="193"/>
      <c r="H31" s="193"/>
      <c r="I31" s="193"/>
      <c r="J31" s="193"/>
      <c r="K31" s="193"/>
    </row>
    <row r="32" spans="2:13" ht="14.5" customHeight="1" x14ac:dyDescent="0.2">
      <c r="B32" s="397"/>
      <c r="C32" s="52" t="s">
        <v>361</v>
      </c>
      <c r="D32" s="52" t="s">
        <v>295</v>
      </c>
      <c r="E32" s="15">
        <v>28728700</v>
      </c>
      <c r="F32" s="15">
        <v>33443136</v>
      </c>
      <c r="G32" s="20">
        <f t="shared" si="0"/>
        <v>0.85903128223381919</v>
      </c>
      <c r="H32" s="12" t="s">
        <v>18</v>
      </c>
      <c r="I32" s="15">
        <v>225000</v>
      </c>
      <c r="J32" s="15">
        <f t="shared" ref="J32" si="25">I32*70%</f>
        <v>157500</v>
      </c>
      <c r="K32" s="15">
        <f t="shared" ref="K32" si="26">I32*30%</f>
        <v>67500</v>
      </c>
    </row>
    <row r="33" spans="2:12" s="37" customFormat="1" ht="14.5" customHeight="1" x14ac:dyDescent="0.2">
      <c r="B33" s="397"/>
      <c r="C33" s="78"/>
      <c r="D33" s="78" t="s">
        <v>72</v>
      </c>
      <c r="E33" s="65">
        <f>SUM(E29:E32)</f>
        <v>452091549.95999998</v>
      </c>
      <c r="F33" s="65">
        <f>SUM(F29:F32)</f>
        <v>450000000</v>
      </c>
      <c r="G33" s="66">
        <f t="shared" si="0"/>
        <v>1.0046478887999999</v>
      </c>
      <c r="H33" s="64" t="s">
        <v>20</v>
      </c>
      <c r="I33" s="63">
        <v>480000</v>
      </c>
      <c r="J33" s="63">
        <f>I33</f>
        <v>480000</v>
      </c>
      <c r="K33" s="63">
        <v>0</v>
      </c>
    </row>
    <row r="34" spans="2:12" ht="14.5" customHeight="1" x14ac:dyDescent="0.2">
      <c r="B34" s="397"/>
      <c r="C34" s="77"/>
      <c r="D34" s="77" t="s">
        <v>34</v>
      </c>
      <c r="E34" s="22">
        <f>SUM(E33)</f>
        <v>452091549.95999998</v>
      </c>
      <c r="F34" s="22">
        <f>SUM(F33)</f>
        <v>450000000</v>
      </c>
      <c r="G34" s="76">
        <f t="shared" si="0"/>
        <v>1.0046478887999999</v>
      </c>
      <c r="H34" s="42"/>
      <c r="I34" s="23">
        <f>SUM(I29:I33)</f>
        <v>1755000</v>
      </c>
      <c r="J34" s="23">
        <f t="shared" ref="J34:K34" si="27">SUM(J29:J33)</f>
        <v>1282500</v>
      </c>
      <c r="K34" s="23">
        <f t="shared" si="27"/>
        <v>472500</v>
      </c>
    </row>
    <row r="35" spans="2:12" ht="14.5" customHeight="1" x14ac:dyDescent="0.2">
      <c r="B35" s="397" t="s">
        <v>256</v>
      </c>
      <c r="C35" s="52" t="s">
        <v>362</v>
      </c>
      <c r="D35" s="74" t="s">
        <v>106</v>
      </c>
      <c r="E35" s="15">
        <v>180834875.01999998</v>
      </c>
      <c r="F35" s="15">
        <v>186431219.99519998</v>
      </c>
      <c r="G35" s="20">
        <f t="shared" si="0"/>
        <v>0.96998171778662345</v>
      </c>
      <c r="H35" s="12" t="s">
        <v>14</v>
      </c>
      <c r="I35" s="15">
        <v>450000</v>
      </c>
      <c r="J35" s="15">
        <f t="shared" ref="J35" si="28">I35*55%</f>
        <v>247500.00000000003</v>
      </c>
      <c r="K35" s="15">
        <f t="shared" ref="K35" si="29">I35*45%</f>
        <v>202500</v>
      </c>
    </row>
    <row r="36" spans="2:12" ht="14.5" customHeight="1" x14ac:dyDescent="0.2">
      <c r="B36" s="397"/>
      <c r="C36" s="52" t="s">
        <v>363</v>
      </c>
      <c r="D36" s="52" t="s">
        <v>298</v>
      </c>
      <c r="E36" s="15">
        <v>138576800.03999999</v>
      </c>
      <c r="F36" s="15">
        <v>138807579.99520001</v>
      </c>
      <c r="G36" s="20">
        <f t="shared" si="0"/>
        <v>0.99833741100300144</v>
      </c>
      <c r="H36" s="12" t="s">
        <v>18</v>
      </c>
      <c r="I36" s="15">
        <v>337500</v>
      </c>
      <c r="J36" s="15">
        <f t="shared" ref="J36" si="30">I36*70%</f>
        <v>236249.99999999997</v>
      </c>
      <c r="K36" s="15">
        <f t="shared" ref="K36" si="31">I36*30%</f>
        <v>101250</v>
      </c>
    </row>
    <row r="37" spans="2:12" ht="14.5" customHeight="1" x14ac:dyDescent="0.2">
      <c r="B37" s="397"/>
      <c r="C37" s="52" t="s">
        <v>364</v>
      </c>
      <c r="D37" s="52" t="s">
        <v>274</v>
      </c>
      <c r="E37" s="15">
        <v>39918699.960000001</v>
      </c>
      <c r="F37" s="15">
        <v>49761200</v>
      </c>
      <c r="G37" s="20">
        <f t="shared" si="0"/>
        <v>0.80220533186498721</v>
      </c>
      <c r="H37" s="12" t="s">
        <v>18</v>
      </c>
      <c r="I37" s="15">
        <v>225000</v>
      </c>
      <c r="J37" s="15">
        <f t="shared" ref="J37" si="32">I37*70%</f>
        <v>157500</v>
      </c>
      <c r="K37" s="15">
        <f t="shared" ref="K37" si="33">I37*30%</f>
        <v>67500</v>
      </c>
    </row>
    <row r="38" spans="2:12" s="37" customFormat="1" ht="14.5" customHeight="1" x14ac:dyDescent="0.2">
      <c r="B38" s="397"/>
      <c r="C38" s="78"/>
      <c r="D38" s="78" t="s">
        <v>259</v>
      </c>
      <c r="E38" s="65">
        <f>SUM(E35:E37)</f>
        <v>359330375.01999992</v>
      </c>
      <c r="F38" s="65">
        <f>SUM(F35:F37)</f>
        <v>374999999.99039996</v>
      </c>
      <c r="G38" s="66">
        <f t="shared" si="0"/>
        <v>0.95821433341119688</v>
      </c>
      <c r="H38" s="64" t="s">
        <v>20</v>
      </c>
      <c r="I38" s="63">
        <v>336000</v>
      </c>
      <c r="J38" s="63">
        <f>I38</f>
        <v>336000</v>
      </c>
      <c r="K38" s="63">
        <v>0</v>
      </c>
    </row>
    <row r="39" spans="2:12" ht="14.5" customHeight="1" x14ac:dyDescent="0.2">
      <c r="B39" s="397"/>
      <c r="C39" s="77"/>
      <c r="D39" s="77" t="s">
        <v>257</v>
      </c>
      <c r="E39" s="24">
        <f>SUM(E38)</f>
        <v>359330375.01999992</v>
      </c>
      <c r="F39" s="24">
        <f>SUM(F38)</f>
        <v>374999999.99039996</v>
      </c>
      <c r="G39" s="76">
        <f t="shared" si="0"/>
        <v>0.95821433341119688</v>
      </c>
      <c r="H39" s="42"/>
      <c r="I39" s="23">
        <f>SUM(I35:I38)</f>
        <v>1348500</v>
      </c>
      <c r="J39" s="23">
        <f t="shared" ref="J39:K39" si="34">SUM(J35:J38)</f>
        <v>977250</v>
      </c>
      <c r="K39" s="23">
        <f t="shared" si="34"/>
        <v>371250</v>
      </c>
      <c r="L39" s="37"/>
    </row>
    <row r="40" spans="2:12" s="21" customFormat="1" ht="14.5" customHeight="1" x14ac:dyDescent="0.2">
      <c r="B40" s="79"/>
      <c r="C40" s="80"/>
      <c r="D40" s="80" t="s">
        <v>110</v>
      </c>
      <c r="E40" s="43">
        <f>SUM(E39,E34,E28)</f>
        <v>6110137161.7799988</v>
      </c>
      <c r="F40" s="43">
        <f>SUM(F39,F34,F28)</f>
        <v>6825000000.313879</v>
      </c>
      <c r="G40" s="81">
        <f t="shared" si="0"/>
        <v>0.89525819216102509</v>
      </c>
      <c r="H40" s="205"/>
      <c r="I40" s="43">
        <f t="shared" ref="I40" si="35">SUM(I39,I34,I28)</f>
        <v>9278000</v>
      </c>
      <c r="J40" s="43">
        <f t="shared" ref="J40:K40" si="36">SUM(J39,J34,J28)</f>
        <v>6319250</v>
      </c>
      <c r="K40" s="43">
        <f t="shared" si="36"/>
        <v>2958750</v>
      </c>
      <c r="L40" s="37"/>
    </row>
    <row r="41" spans="2:12" ht="14.5" customHeight="1" x14ac:dyDescent="0.2">
      <c r="L41" s="37"/>
    </row>
    <row r="46" spans="2:12" ht="14.5" customHeight="1" x14ac:dyDescent="0.2">
      <c r="B46" s="4" t="s">
        <v>105</v>
      </c>
      <c r="C46" s="5"/>
      <c r="D46" s="5"/>
      <c r="E46" s="33"/>
      <c r="F46" s="33"/>
      <c r="G46" s="34"/>
    </row>
    <row r="47" spans="2:12" ht="14.5" customHeight="1" x14ac:dyDescent="0.2">
      <c r="B47" s="8"/>
      <c r="C47" s="8"/>
      <c r="D47" s="8"/>
      <c r="E47" s="35"/>
      <c r="F47" s="35"/>
      <c r="G47" s="34"/>
    </row>
    <row r="48" spans="2:12" ht="14.5" customHeight="1" x14ac:dyDescent="0.2">
      <c r="B48" s="388" t="s">
        <v>0</v>
      </c>
      <c r="C48" s="388" t="s">
        <v>270</v>
      </c>
      <c r="D48" s="388" t="s">
        <v>2</v>
      </c>
      <c r="E48" s="385" t="s">
        <v>4</v>
      </c>
      <c r="F48" s="385"/>
      <c r="G48" s="417" t="s">
        <v>56</v>
      </c>
      <c r="H48" s="394" t="s">
        <v>3</v>
      </c>
      <c r="I48" s="398" t="s">
        <v>92</v>
      </c>
      <c r="J48" s="398" t="s">
        <v>8</v>
      </c>
      <c r="K48" s="398" t="s">
        <v>75</v>
      </c>
    </row>
    <row r="49" spans="2:13" ht="14.5" customHeight="1" x14ac:dyDescent="0.2">
      <c r="B49" s="388"/>
      <c r="C49" s="388"/>
      <c r="D49" s="388"/>
      <c r="E49" s="36" t="s">
        <v>77</v>
      </c>
      <c r="F49" s="54" t="s">
        <v>58</v>
      </c>
      <c r="G49" s="417"/>
      <c r="H49" s="394"/>
      <c r="I49" s="398"/>
      <c r="J49" s="398"/>
      <c r="K49" s="398"/>
    </row>
    <row r="50" spans="2:13" ht="14.5" customHeight="1" x14ac:dyDescent="0.2">
      <c r="B50" s="397" t="s">
        <v>25</v>
      </c>
      <c r="C50" s="193"/>
      <c r="D50" s="193" t="s">
        <v>148</v>
      </c>
      <c r="E50" s="193"/>
      <c r="F50" s="193"/>
      <c r="G50" s="193"/>
      <c r="H50" s="193"/>
      <c r="I50" s="193"/>
      <c r="J50" s="193"/>
      <c r="K50" s="193"/>
    </row>
    <row r="51" spans="2:13" s="21" customFormat="1" ht="14.5" customHeight="1" x14ac:dyDescent="0.2">
      <c r="B51" s="397"/>
      <c r="C51" s="52" t="s">
        <v>365</v>
      </c>
      <c r="D51" s="52" t="s">
        <v>151</v>
      </c>
      <c r="E51" s="15">
        <v>377154821.95999998</v>
      </c>
      <c r="F51" s="15">
        <v>439409467</v>
      </c>
      <c r="G51" s="20">
        <f t="shared" ref="G51:G77" si="37">E51/F51*100%</f>
        <v>0.85832202145066661</v>
      </c>
      <c r="H51" s="12" t="s">
        <v>18</v>
      </c>
      <c r="I51" s="15">
        <v>225000</v>
      </c>
      <c r="J51" s="15">
        <f>I51*70%</f>
        <v>157500</v>
      </c>
      <c r="K51" s="15">
        <f>I51*30%</f>
        <v>67500</v>
      </c>
    </row>
    <row r="52" spans="2:13" ht="14.5" customHeight="1" x14ac:dyDescent="0.2">
      <c r="B52" s="397"/>
      <c r="C52" s="52" t="s">
        <v>366</v>
      </c>
      <c r="D52" s="52" t="s">
        <v>241</v>
      </c>
      <c r="E52" s="15">
        <v>256804192</v>
      </c>
      <c r="F52" s="15">
        <v>322568815</v>
      </c>
      <c r="G52" s="20">
        <f t="shared" si="37"/>
        <v>0.79612219178720056</v>
      </c>
      <c r="H52" s="12" t="s">
        <v>18</v>
      </c>
      <c r="I52" s="15">
        <v>112500</v>
      </c>
      <c r="J52" s="15">
        <f>I52*70%</f>
        <v>78750</v>
      </c>
      <c r="K52" s="15">
        <f>I52*30%</f>
        <v>33750</v>
      </c>
    </row>
    <row r="53" spans="2:13" ht="14.5" customHeight="1" x14ac:dyDescent="0.2">
      <c r="B53" s="397"/>
      <c r="C53" s="52" t="s">
        <v>368</v>
      </c>
      <c r="D53" s="52" t="s">
        <v>107</v>
      </c>
      <c r="E53" s="15">
        <v>301805108.18000007</v>
      </c>
      <c r="F53" s="15">
        <v>370085397</v>
      </c>
      <c r="G53" s="20">
        <f t="shared" si="37"/>
        <v>0.81550126167231629</v>
      </c>
      <c r="H53" s="12" t="s">
        <v>18</v>
      </c>
      <c r="I53" s="15">
        <v>225000</v>
      </c>
      <c r="J53" s="15">
        <f>I53*70%</f>
        <v>157500</v>
      </c>
      <c r="K53" s="15">
        <f>I53*30%</f>
        <v>67500</v>
      </c>
    </row>
    <row r="54" spans="2:13" ht="14.5" customHeight="1" x14ac:dyDescent="0.2">
      <c r="B54" s="397"/>
      <c r="C54" s="52" t="s">
        <v>369</v>
      </c>
      <c r="D54" s="52" t="s">
        <v>262</v>
      </c>
      <c r="E54" s="15">
        <v>133810450</v>
      </c>
      <c r="F54" s="15">
        <v>187700784</v>
      </c>
      <c r="G54" s="20">
        <f t="shared" si="37"/>
        <v>0.71289233400325058</v>
      </c>
      <c r="H54" s="12" t="s">
        <v>18</v>
      </c>
      <c r="I54" s="15">
        <v>112500</v>
      </c>
      <c r="J54" s="15">
        <f>I54*70%</f>
        <v>78750</v>
      </c>
      <c r="K54" s="15">
        <f>I54*30%</f>
        <v>33750</v>
      </c>
    </row>
    <row r="55" spans="2:13" s="37" customFormat="1" ht="14.5" customHeight="1" x14ac:dyDescent="0.2">
      <c r="B55" s="397"/>
      <c r="C55" s="78"/>
      <c r="D55" s="78" t="s">
        <v>177</v>
      </c>
      <c r="E55" s="65">
        <f>SUM(E50:E54)</f>
        <v>1069574572.1400001</v>
      </c>
      <c r="F55" s="65">
        <f>SUM(F50:F54)</f>
        <v>1319764463</v>
      </c>
      <c r="G55" s="66">
        <f t="shared" si="37"/>
        <v>0.81042837727931771</v>
      </c>
      <c r="H55" s="64" t="s">
        <v>20</v>
      </c>
      <c r="I55" s="63">
        <v>216000</v>
      </c>
      <c r="J55" s="63">
        <f>I55</f>
        <v>216000</v>
      </c>
      <c r="K55" s="63">
        <v>0</v>
      </c>
    </row>
    <row r="56" spans="2:13" ht="14.5" customHeight="1" x14ac:dyDescent="0.2">
      <c r="B56" s="397"/>
      <c r="C56" s="52" t="s">
        <v>370</v>
      </c>
      <c r="D56" s="52" t="s">
        <v>244</v>
      </c>
      <c r="E56" s="15">
        <v>321976892.89999998</v>
      </c>
      <c r="F56" s="15">
        <v>336048916</v>
      </c>
      <c r="G56" s="20">
        <f t="shared" si="37"/>
        <v>0.95812507516018885</v>
      </c>
      <c r="H56" s="12" t="s">
        <v>18</v>
      </c>
      <c r="I56" s="15">
        <v>337500</v>
      </c>
      <c r="J56" s="15">
        <f t="shared" ref="J56" si="38">I56*70%</f>
        <v>236249.99999999997</v>
      </c>
      <c r="K56" s="15">
        <f t="shared" ref="K56" si="39">I56*30%</f>
        <v>101250</v>
      </c>
    </row>
    <row r="57" spans="2:13" ht="14.5" customHeight="1" x14ac:dyDescent="0.2">
      <c r="B57" s="397"/>
      <c r="C57" s="52" t="s">
        <v>367</v>
      </c>
      <c r="D57" s="52" t="s">
        <v>242</v>
      </c>
      <c r="E57" s="15">
        <v>175321000</v>
      </c>
      <c r="F57" s="15">
        <v>242928710</v>
      </c>
      <c r="G57" s="20">
        <f t="shared" si="37"/>
        <v>0.72169732428908873</v>
      </c>
      <c r="H57" s="12" t="s">
        <v>18</v>
      </c>
      <c r="I57" s="15">
        <v>112500</v>
      </c>
      <c r="J57" s="15">
        <f>I57*70%</f>
        <v>78750</v>
      </c>
      <c r="K57" s="15">
        <f>I57*30%</f>
        <v>33750</v>
      </c>
    </row>
    <row r="58" spans="2:13" ht="14.5" customHeight="1" x14ac:dyDescent="0.2">
      <c r="B58" s="397"/>
      <c r="C58" s="193"/>
      <c r="D58" s="193" t="s">
        <v>148</v>
      </c>
      <c r="E58" s="193"/>
      <c r="F58" s="193"/>
      <c r="G58" s="193"/>
      <c r="H58" s="193"/>
      <c r="I58" s="193"/>
      <c r="J58" s="193"/>
      <c r="K58" s="193"/>
    </row>
    <row r="59" spans="2:13" ht="14.5" customHeight="1" x14ac:dyDescent="0.2">
      <c r="B59" s="397"/>
      <c r="C59" s="52" t="s">
        <v>371</v>
      </c>
      <c r="D59" s="52" t="s">
        <v>303</v>
      </c>
      <c r="E59" s="15">
        <v>316784928</v>
      </c>
      <c r="F59" s="15">
        <v>305106349</v>
      </c>
      <c r="G59" s="20">
        <f t="shared" si="37"/>
        <v>1.0382770762990579</v>
      </c>
      <c r="H59" s="12" t="s">
        <v>471</v>
      </c>
      <c r="I59" s="15">
        <v>600000</v>
      </c>
      <c r="J59" s="15">
        <f>I59*55%</f>
        <v>330000</v>
      </c>
      <c r="K59" s="15">
        <f>I59*45%</f>
        <v>270000</v>
      </c>
    </row>
    <row r="60" spans="2:13" ht="14.5" customHeight="1" x14ac:dyDescent="0.2">
      <c r="B60" s="397"/>
      <c r="C60" s="52" t="s">
        <v>372</v>
      </c>
      <c r="D60" s="52" t="s">
        <v>108</v>
      </c>
      <c r="E60" s="15">
        <v>347176600</v>
      </c>
      <c r="F60" s="15">
        <v>336472573</v>
      </c>
      <c r="G60" s="20">
        <f t="shared" si="37"/>
        <v>1.031812480002642</v>
      </c>
      <c r="H60" s="12" t="s">
        <v>471</v>
      </c>
      <c r="I60" s="15">
        <v>600000</v>
      </c>
      <c r="J60" s="15">
        <f>I60*55%</f>
        <v>330000</v>
      </c>
      <c r="K60" s="15">
        <f>I60*45%</f>
        <v>270000</v>
      </c>
    </row>
    <row r="61" spans="2:13" ht="14.5" customHeight="1" x14ac:dyDescent="0.2">
      <c r="B61" s="397"/>
      <c r="C61" s="52" t="s">
        <v>373</v>
      </c>
      <c r="D61" s="52" t="s">
        <v>268</v>
      </c>
      <c r="E61" s="15">
        <v>65027117.809999995</v>
      </c>
      <c r="F61" s="15">
        <v>124706936</v>
      </c>
      <c r="G61" s="20">
        <f t="shared" si="37"/>
        <v>0.52143946355958903</v>
      </c>
      <c r="H61" s="12" t="s">
        <v>468</v>
      </c>
      <c r="I61" s="15">
        <v>0</v>
      </c>
      <c r="J61" s="15">
        <f>I61</f>
        <v>0</v>
      </c>
      <c r="K61" s="15">
        <v>0</v>
      </c>
    </row>
    <row r="62" spans="2:13" s="37" customFormat="1" ht="14.5" customHeight="1" x14ac:dyDescent="0.2">
      <c r="B62" s="397"/>
      <c r="C62" s="78"/>
      <c r="D62" s="78" t="s">
        <v>177</v>
      </c>
      <c r="E62" s="65">
        <f>SUM(E56:E61)</f>
        <v>1226286538.71</v>
      </c>
      <c r="F62" s="65">
        <f>SUM(F56:F61)</f>
        <v>1345263484</v>
      </c>
      <c r="G62" s="66">
        <f t="shared" si="37"/>
        <v>0.91155863018281413</v>
      </c>
      <c r="H62" s="64" t="s">
        <v>20</v>
      </c>
      <c r="I62" s="63">
        <v>336000</v>
      </c>
      <c r="J62" s="63">
        <f>I62</f>
        <v>336000</v>
      </c>
      <c r="K62" s="63">
        <v>0</v>
      </c>
      <c r="M62"/>
    </row>
    <row r="63" spans="2:13" ht="14.5" customHeight="1" x14ac:dyDescent="0.2">
      <c r="B63" s="397"/>
      <c r="C63" s="52" t="s">
        <v>374</v>
      </c>
      <c r="D63" s="52" t="s">
        <v>249</v>
      </c>
      <c r="E63" s="15">
        <v>92704800</v>
      </c>
      <c r="F63" s="15">
        <v>110000000</v>
      </c>
      <c r="G63" s="20">
        <f t="shared" si="37"/>
        <v>0.84277090909090913</v>
      </c>
      <c r="H63" s="12" t="s">
        <v>471</v>
      </c>
      <c r="I63" s="15">
        <v>180000</v>
      </c>
      <c r="J63" s="15">
        <f t="shared" ref="J63" si="40">I63*70%</f>
        <v>125999.99999999999</v>
      </c>
      <c r="K63" s="15">
        <f t="shared" ref="K63" si="41">I63*30%</f>
        <v>54000</v>
      </c>
    </row>
    <row r="64" spans="2:13" s="21" customFormat="1" ht="14.5" customHeight="1" x14ac:dyDescent="0.2">
      <c r="B64" s="397"/>
      <c r="C64" s="73"/>
      <c r="D64" s="73" t="s">
        <v>30</v>
      </c>
      <c r="E64" s="40">
        <f>SUM(E63,E62,E55)</f>
        <v>2388565910.8500004</v>
      </c>
      <c r="F64" s="40">
        <f>SUM(F63,F62,F55)</f>
        <v>2775027947</v>
      </c>
      <c r="G64" s="76">
        <f t="shared" si="37"/>
        <v>0.86073580391585169</v>
      </c>
      <c r="H64" s="41"/>
      <c r="I64" s="39">
        <f>SUM(I50:I63)</f>
        <v>3057000</v>
      </c>
      <c r="J64" s="39">
        <f t="shared" ref="J64:K64" si="42">SUM(J50:J63)</f>
        <v>2125500</v>
      </c>
      <c r="K64" s="39">
        <f t="shared" si="42"/>
        <v>931500</v>
      </c>
      <c r="M64"/>
    </row>
    <row r="65" spans="2:11" ht="14.5" customHeight="1" x14ac:dyDescent="0.2">
      <c r="B65" s="397" t="s">
        <v>59</v>
      </c>
      <c r="C65" s="52" t="s">
        <v>375</v>
      </c>
      <c r="D65" s="52" t="s">
        <v>211</v>
      </c>
      <c r="E65" s="15">
        <v>227553820</v>
      </c>
      <c r="F65" s="15">
        <v>320000000</v>
      </c>
      <c r="G65" s="20">
        <f t="shared" si="37"/>
        <v>0.71110568750000003</v>
      </c>
      <c r="H65" s="12" t="s">
        <v>470</v>
      </c>
      <c r="I65" s="15">
        <v>82500</v>
      </c>
      <c r="J65" s="15">
        <f>I65</f>
        <v>82500</v>
      </c>
      <c r="K65" s="15">
        <v>0</v>
      </c>
    </row>
    <row r="66" spans="2:11" ht="14.5" customHeight="1" x14ac:dyDescent="0.2">
      <c r="B66" s="397"/>
      <c r="C66" s="52" t="s">
        <v>376</v>
      </c>
      <c r="D66" s="52" t="s">
        <v>145</v>
      </c>
      <c r="E66" s="15">
        <v>113487880.23999999</v>
      </c>
      <c r="F66" s="15">
        <v>130000000</v>
      </c>
      <c r="G66" s="20">
        <f t="shared" si="37"/>
        <v>0.87298369415384613</v>
      </c>
      <c r="H66" s="12" t="s">
        <v>18</v>
      </c>
      <c r="I66" s="15">
        <v>225000</v>
      </c>
      <c r="J66" s="15">
        <f t="shared" ref="J66" si="43">I66*70%</f>
        <v>157500</v>
      </c>
      <c r="K66" s="15">
        <f t="shared" ref="K66" si="44">I66*30%</f>
        <v>67500</v>
      </c>
    </row>
    <row r="67" spans="2:11" ht="14.5" customHeight="1" x14ac:dyDescent="0.2">
      <c r="B67" s="397"/>
      <c r="C67" s="52" t="s">
        <v>377</v>
      </c>
      <c r="D67" s="52" t="s">
        <v>287</v>
      </c>
      <c r="E67" s="15">
        <v>72635813.200000003</v>
      </c>
      <c r="F67" s="15">
        <v>101831200</v>
      </c>
      <c r="G67" s="20">
        <f t="shared" si="37"/>
        <v>0.71329625105075856</v>
      </c>
      <c r="H67" s="12" t="s">
        <v>18</v>
      </c>
      <c r="I67" s="15">
        <v>112500</v>
      </c>
      <c r="J67" s="15">
        <f t="shared" ref="J67" si="45">I67*70%</f>
        <v>78750</v>
      </c>
      <c r="K67" s="15">
        <f t="shared" ref="K67" si="46">I67*30%</f>
        <v>33750</v>
      </c>
    </row>
    <row r="68" spans="2:11" ht="14.5" customHeight="1" x14ac:dyDescent="0.2">
      <c r="B68" s="397"/>
      <c r="C68" s="52" t="s">
        <v>379</v>
      </c>
      <c r="D68" s="52" t="s">
        <v>380</v>
      </c>
      <c r="E68" s="15">
        <v>8869784.0499999989</v>
      </c>
      <c r="F68" s="15">
        <v>15000000</v>
      </c>
      <c r="G68" s="20">
        <f t="shared" si="37"/>
        <v>0.59131893666666657</v>
      </c>
      <c r="H68" s="12" t="s">
        <v>469</v>
      </c>
      <c r="I68" s="15">
        <v>0</v>
      </c>
      <c r="J68" s="15">
        <f>I68</f>
        <v>0</v>
      </c>
      <c r="K68" s="15">
        <v>0</v>
      </c>
    </row>
    <row r="69" spans="2:11" ht="14.5" customHeight="1" x14ac:dyDescent="0.2">
      <c r="B69" s="397"/>
      <c r="C69" s="52" t="s">
        <v>378</v>
      </c>
      <c r="D69" s="52" t="s">
        <v>210</v>
      </c>
      <c r="E69" s="15">
        <v>5214500</v>
      </c>
      <c r="F69" s="15">
        <v>12500000</v>
      </c>
      <c r="G69" s="20">
        <f t="shared" si="37"/>
        <v>0.41715999999999998</v>
      </c>
      <c r="H69" s="12" t="s">
        <v>467</v>
      </c>
      <c r="I69" s="15">
        <v>0</v>
      </c>
      <c r="J69" s="15">
        <f>I69</f>
        <v>0</v>
      </c>
      <c r="K69" s="15">
        <v>0</v>
      </c>
    </row>
    <row r="70" spans="2:11" s="37" customFormat="1" ht="14.5" customHeight="1" x14ac:dyDescent="0.2">
      <c r="B70" s="397"/>
      <c r="C70" s="78"/>
      <c r="D70" s="78" t="s">
        <v>74</v>
      </c>
      <c r="E70" s="65">
        <f>SUM(E65:E69)</f>
        <v>427761797.49000001</v>
      </c>
      <c r="F70" s="65">
        <f>SUM(F65:F69)</f>
        <v>579331200</v>
      </c>
      <c r="G70" s="66">
        <f t="shared" si="37"/>
        <v>0.73837175952201439</v>
      </c>
      <c r="H70" s="64" t="s">
        <v>20</v>
      </c>
      <c r="I70" s="63">
        <v>120000</v>
      </c>
      <c r="J70" s="63">
        <f>I70</f>
        <v>120000</v>
      </c>
      <c r="K70" s="63">
        <v>0</v>
      </c>
    </row>
    <row r="71" spans="2:11" ht="14.5" customHeight="1" x14ac:dyDescent="0.2">
      <c r="B71" s="397"/>
      <c r="C71" s="77"/>
      <c r="D71" s="77" t="s">
        <v>36</v>
      </c>
      <c r="E71" s="22">
        <f>SUM(E70)</f>
        <v>427761797.49000001</v>
      </c>
      <c r="F71" s="22">
        <f>SUM(F70)</f>
        <v>579331200</v>
      </c>
      <c r="G71" s="76">
        <f t="shared" si="37"/>
        <v>0.73837175952201439</v>
      </c>
      <c r="H71" s="42"/>
      <c r="I71" s="23">
        <f>SUM(I65:I70)</f>
        <v>540000</v>
      </c>
      <c r="J71" s="23">
        <f t="shared" ref="J71:K71" si="47">SUM(J65:J70)</f>
        <v>438750</v>
      </c>
      <c r="K71" s="23">
        <f t="shared" si="47"/>
        <v>101250</v>
      </c>
    </row>
    <row r="72" spans="2:11" ht="14.5" customHeight="1" x14ac:dyDescent="0.2">
      <c r="B72" s="397" t="s">
        <v>131</v>
      </c>
      <c r="C72" s="52" t="s">
        <v>381</v>
      </c>
      <c r="D72" s="74" t="s">
        <v>132</v>
      </c>
      <c r="E72" s="15">
        <v>18372293.729999997</v>
      </c>
      <c r="F72" s="15">
        <v>43546315</v>
      </c>
      <c r="G72" s="20">
        <f t="shared" si="37"/>
        <v>0.42190237520671947</v>
      </c>
      <c r="H72" s="12" t="s">
        <v>18</v>
      </c>
      <c r="I72" s="15">
        <v>0</v>
      </c>
      <c r="J72" s="15">
        <f t="shared" ref="J72:J74" si="48">I72*70%</f>
        <v>0</v>
      </c>
      <c r="K72" s="15">
        <f t="shared" ref="K72:K74" si="49">I72*30%</f>
        <v>0</v>
      </c>
    </row>
    <row r="73" spans="2:11" ht="14.5" customHeight="1" x14ac:dyDescent="0.2">
      <c r="B73" s="397"/>
      <c r="C73" s="52" t="s">
        <v>382</v>
      </c>
      <c r="D73" s="52" t="s">
        <v>667</v>
      </c>
      <c r="E73" s="15">
        <v>23169800</v>
      </c>
      <c r="F73" s="15">
        <v>41543835</v>
      </c>
      <c r="G73" s="20">
        <f t="shared" si="37"/>
        <v>0.55771933428870979</v>
      </c>
      <c r="H73" s="12" t="s">
        <v>18</v>
      </c>
      <c r="I73" s="15">
        <v>0</v>
      </c>
      <c r="J73" s="15">
        <f t="shared" si="48"/>
        <v>0</v>
      </c>
      <c r="K73" s="15">
        <f t="shared" si="49"/>
        <v>0</v>
      </c>
    </row>
    <row r="74" spans="2:11" ht="14.5" customHeight="1" x14ac:dyDescent="0.2">
      <c r="B74" s="397"/>
      <c r="C74" s="52" t="s">
        <v>383</v>
      </c>
      <c r="D74" s="52" t="s">
        <v>613</v>
      </c>
      <c r="E74" s="15">
        <v>30341925.309999995</v>
      </c>
      <c r="F74" s="15">
        <v>44722545</v>
      </c>
      <c r="G74" s="20">
        <f t="shared" si="37"/>
        <v>0.6784480916727792</v>
      </c>
      <c r="H74" s="12" t="s">
        <v>18</v>
      </c>
      <c r="I74" s="15">
        <v>0</v>
      </c>
      <c r="J74" s="15">
        <f t="shared" si="48"/>
        <v>0</v>
      </c>
      <c r="K74" s="15">
        <f t="shared" si="49"/>
        <v>0</v>
      </c>
    </row>
    <row r="75" spans="2:11" s="37" customFormat="1" ht="14.5" customHeight="1" x14ac:dyDescent="0.2">
      <c r="B75" s="397"/>
      <c r="C75" s="78"/>
      <c r="D75" s="78" t="s">
        <v>483</v>
      </c>
      <c r="E75" s="65">
        <f>SUM(E72:E74)</f>
        <v>71884019.039999992</v>
      </c>
      <c r="F75" s="65">
        <f>SUM(F72:F74)</f>
        <v>129812695</v>
      </c>
      <c r="G75" s="66">
        <f t="shared" si="37"/>
        <v>0.55375184252973098</v>
      </c>
      <c r="H75" s="64" t="s">
        <v>20</v>
      </c>
      <c r="I75" s="63">
        <v>0</v>
      </c>
      <c r="J75" s="63">
        <f>I75</f>
        <v>0</v>
      </c>
      <c r="K75" s="63">
        <v>0</v>
      </c>
    </row>
    <row r="76" spans="2:11" ht="14.5" customHeight="1" x14ac:dyDescent="0.2">
      <c r="B76" s="397"/>
      <c r="C76" s="77"/>
      <c r="D76" s="77" t="s">
        <v>133</v>
      </c>
      <c r="E76" s="24">
        <f>SUM(E75)</f>
        <v>71884019.039999992</v>
      </c>
      <c r="F76" s="24">
        <f>SUM(F75)</f>
        <v>129812695</v>
      </c>
      <c r="G76" s="76">
        <f t="shared" si="37"/>
        <v>0.55375184252973098</v>
      </c>
      <c r="H76" s="42"/>
      <c r="I76" s="23">
        <f>SUM(I72:I75)</f>
        <v>0</v>
      </c>
      <c r="J76" s="23">
        <f t="shared" ref="J76:K76" si="50">SUM(J72:J75)</f>
        <v>0</v>
      </c>
      <c r="K76" s="23">
        <f t="shared" si="50"/>
        <v>0</v>
      </c>
    </row>
    <row r="77" spans="2:11" s="21" customFormat="1" ht="14.5" customHeight="1" x14ac:dyDescent="0.2">
      <c r="B77" s="79"/>
      <c r="C77" s="80"/>
      <c r="D77" s="80" t="s">
        <v>109</v>
      </c>
      <c r="E77" s="43">
        <f>SUM(E76,E71,E64)</f>
        <v>2888211727.3800001</v>
      </c>
      <c r="F77" s="43">
        <f>SUM(F76,F71,F64)</f>
        <v>3484171842</v>
      </c>
      <c r="G77" s="81">
        <f t="shared" si="37"/>
        <v>0.82895214655144445</v>
      </c>
      <c r="H77" s="205"/>
      <c r="I77" s="43">
        <f>SUM(I76,I71,I64)</f>
        <v>3597000</v>
      </c>
      <c r="J77" s="43">
        <f t="shared" ref="J77:K77" si="51">SUM(J76,J71,J64)</f>
        <v>2564250</v>
      </c>
      <c r="K77" s="43">
        <f t="shared" si="51"/>
        <v>1032750</v>
      </c>
    </row>
    <row r="83" spans="2:13" ht="14.5" customHeight="1" x14ac:dyDescent="0.2">
      <c r="B83" s="4" t="s">
        <v>218</v>
      </c>
      <c r="C83" s="5"/>
      <c r="D83" s="5"/>
      <c r="E83" s="33"/>
      <c r="F83" s="33"/>
      <c r="G83" s="34"/>
    </row>
    <row r="84" spans="2:13" ht="14.5" customHeight="1" x14ac:dyDescent="0.2">
      <c r="B84" s="8"/>
      <c r="C84" s="8"/>
      <c r="D84" s="8"/>
      <c r="E84" s="35"/>
      <c r="F84" s="35"/>
      <c r="G84" s="34"/>
    </row>
    <row r="85" spans="2:13" ht="14.5" customHeight="1" x14ac:dyDescent="0.2">
      <c r="B85" s="388" t="s">
        <v>0</v>
      </c>
      <c r="C85" s="388" t="s">
        <v>270</v>
      </c>
      <c r="D85" s="388" t="s">
        <v>2</v>
      </c>
      <c r="E85" s="385" t="s">
        <v>4</v>
      </c>
      <c r="F85" s="385"/>
      <c r="G85" s="417" t="s">
        <v>56</v>
      </c>
      <c r="H85" s="394" t="s">
        <v>3</v>
      </c>
      <c r="I85" s="398" t="s">
        <v>92</v>
      </c>
      <c r="J85" s="398" t="s">
        <v>8</v>
      </c>
      <c r="K85" s="398" t="s">
        <v>75</v>
      </c>
    </row>
    <row r="86" spans="2:13" ht="14.5" customHeight="1" x14ac:dyDescent="0.2">
      <c r="B86" s="388"/>
      <c r="C86" s="388"/>
      <c r="D86" s="388"/>
      <c r="E86" s="36" t="s">
        <v>77</v>
      </c>
      <c r="F86" s="54" t="s">
        <v>58</v>
      </c>
      <c r="G86" s="417"/>
      <c r="H86" s="394"/>
      <c r="I86" s="398"/>
      <c r="J86" s="398"/>
      <c r="K86" s="398"/>
    </row>
    <row r="87" spans="2:13" ht="14.5" customHeight="1" x14ac:dyDescent="0.2">
      <c r="B87" s="397" t="s">
        <v>37</v>
      </c>
      <c r="C87" s="52" t="s">
        <v>385</v>
      </c>
      <c r="D87" s="74" t="s">
        <v>98</v>
      </c>
      <c r="E87" s="15">
        <v>52782766.666644998</v>
      </c>
      <c r="F87" s="15">
        <v>123608970</v>
      </c>
      <c r="G87" s="20">
        <f t="shared" ref="G87:G95" si="52">E87/F87*100%</f>
        <v>0.42701404814428112</v>
      </c>
      <c r="H87" s="12" t="s">
        <v>18</v>
      </c>
      <c r="I87" s="15">
        <v>0</v>
      </c>
      <c r="J87" s="15">
        <f t="shared" ref="J87:J88" si="53">I87*70%</f>
        <v>0</v>
      </c>
      <c r="K87" s="15">
        <f t="shared" ref="K87:K88" si="54">I87*30%</f>
        <v>0</v>
      </c>
    </row>
    <row r="88" spans="2:13" ht="14.5" customHeight="1" x14ac:dyDescent="0.2">
      <c r="B88" s="397"/>
      <c r="C88" s="52" t="s">
        <v>384</v>
      </c>
      <c r="D88" s="52" t="s">
        <v>310</v>
      </c>
      <c r="E88" s="15">
        <v>74004300</v>
      </c>
      <c r="F88" s="15">
        <v>71216030</v>
      </c>
      <c r="G88" s="20">
        <f t="shared" si="52"/>
        <v>1.0391522807435349</v>
      </c>
      <c r="H88" s="12" t="s">
        <v>18</v>
      </c>
      <c r="I88" s="15">
        <v>450000</v>
      </c>
      <c r="J88" s="15">
        <f t="shared" si="53"/>
        <v>315000</v>
      </c>
      <c r="K88" s="15">
        <f t="shared" si="54"/>
        <v>135000</v>
      </c>
    </row>
    <row r="89" spans="2:13" s="37" customFormat="1" ht="14.5" customHeight="1" x14ac:dyDescent="0.2">
      <c r="B89" s="397"/>
      <c r="C89" s="78"/>
      <c r="D89" s="78" t="s">
        <v>230</v>
      </c>
      <c r="E89" s="65">
        <f>SUM(E87:E88)</f>
        <v>126787066.66664499</v>
      </c>
      <c r="F89" s="65">
        <f>SUM(F87:F88)</f>
        <v>194825000</v>
      </c>
      <c r="G89" s="66">
        <f t="shared" si="52"/>
        <v>0.65077411352056969</v>
      </c>
      <c r="H89" s="64" t="s">
        <v>20</v>
      </c>
      <c r="I89" s="63">
        <v>0</v>
      </c>
      <c r="J89" s="63">
        <f>I89</f>
        <v>0</v>
      </c>
      <c r="K89" s="63">
        <v>0</v>
      </c>
    </row>
    <row r="90" spans="2:13" ht="14.5" customHeight="1" x14ac:dyDescent="0.2">
      <c r="B90" s="397"/>
      <c r="C90" s="77"/>
      <c r="D90" s="77" t="s">
        <v>38</v>
      </c>
      <c r="E90" s="24">
        <f>SUM(E89)</f>
        <v>126787066.66664499</v>
      </c>
      <c r="F90" s="24">
        <f>SUM(F89)</f>
        <v>194825000</v>
      </c>
      <c r="G90" s="76">
        <f t="shared" si="52"/>
        <v>0.65077411352056969</v>
      </c>
      <c r="H90" s="42"/>
      <c r="I90" s="23">
        <f>SUM(I87:I89)</f>
        <v>450000</v>
      </c>
      <c r="J90" s="23">
        <f t="shared" ref="J90:K90" si="55">SUM(J87:J89)</f>
        <v>315000</v>
      </c>
      <c r="K90" s="23">
        <f t="shared" si="55"/>
        <v>135000</v>
      </c>
    </row>
    <row r="91" spans="2:13" s="21" customFormat="1" ht="14.5" customHeight="1" x14ac:dyDescent="0.2">
      <c r="B91" s="397" t="s">
        <v>614</v>
      </c>
      <c r="C91" s="52" t="s">
        <v>386</v>
      </c>
      <c r="D91" s="69" t="s">
        <v>265</v>
      </c>
      <c r="E91" s="15">
        <v>185018540</v>
      </c>
      <c r="F91" s="15">
        <v>228774000</v>
      </c>
      <c r="G91" s="20">
        <f t="shared" si="52"/>
        <v>0.80873936723578732</v>
      </c>
      <c r="H91" s="12" t="s">
        <v>18</v>
      </c>
      <c r="I91" s="15">
        <v>225000</v>
      </c>
      <c r="J91" s="15">
        <f t="shared" ref="J91:J92" si="56">I91*70%</f>
        <v>157500</v>
      </c>
      <c r="K91" s="15">
        <f t="shared" ref="K91:K92" si="57">I91*30%</f>
        <v>67500</v>
      </c>
    </row>
    <row r="92" spans="2:13" ht="14.5" customHeight="1" x14ac:dyDescent="0.2">
      <c r="B92" s="397"/>
      <c r="C92" s="52" t="s">
        <v>387</v>
      </c>
      <c r="D92" s="52" t="s">
        <v>97</v>
      </c>
      <c r="E92" s="15">
        <v>80093600</v>
      </c>
      <c r="F92" s="15">
        <v>123185999.99999999</v>
      </c>
      <c r="G92" s="20">
        <f t="shared" si="52"/>
        <v>0.65018427418700186</v>
      </c>
      <c r="H92" s="38" t="s">
        <v>18</v>
      </c>
      <c r="I92" s="15">
        <v>0</v>
      </c>
      <c r="J92" s="15">
        <f t="shared" si="56"/>
        <v>0</v>
      </c>
      <c r="K92" s="15">
        <f t="shared" si="57"/>
        <v>0</v>
      </c>
    </row>
    <row r="93" spans="2:13" s="37" customFormat="1" ht="14.5" customHeight="1" x14ac:dyDescent="0.2">
      <c r="B93" s="397"/>
      <c r="C93" s="78"/>
      <c r="D93" s="78" t="s">
        <v>497</v>
      </c>
      <c r="E93" s="65">
        <f>SUM(E91:E92)</f>
        <v>265112140</v>
      </c>
      <c r="F93" s="65">
        <f>SUM(F91:F92)</f>
        <v>351960000</v>
      </c>
      <c r="G93" s="66">
        <f t="shared" si="52"/>
        <v>0.75324508466871232</v>
      </c>
      <c r="H93" s="64" t="s">
        <v>20</v>
      </c>
      <c r="I93" s="63">
        <v>120000</v>
      </c>
      <c r="J93" s="63">
        <f>I93</f>
        <v>120000</v>
      </c>
      <c r="K93" s="63">
        <v>0</v>
      </c>
      <c r="M93"/>
    </row>
    <row r="94" spans="2:13" ht="14.5" customHeight="1" x14ac:dyDescent="0.2">
      <c r="B94" s="397"/>
      <c r="C94" s="77"/>
      <c r="D94" s="77" t="s">
        <v>615</v>
      </c>
      <c r="E94" s="24">
        <f>SUM(E93)</f>
        <v>265112140</v>
      </c>
      <c r="F94" s="24">
        <f>SUM(F93)</f>
        <v>351960000</v>
      </c>
      <c r="G94" s="76">
        <f t="shared" si="52"/>
        <v>0.75324508466871232</v>
      </c>
      <c r="H94" s="42"/>
      <c r="I94" s="23">
        <f>SUM(I91:I93)</f>
        <v>345000</v>
      </c>
      <c r="J94" s="23">
        <f t="shared" ref="J94:K94" si="58">SUM(J91:J93)</f>
        <v>277500</v>
      </c>
      <c r="K94" s="23">
        <f t="shared" si="58"/>
        <v>67500</v>
      </c>
    </row>
    <row r="95" spans="2:13" s="21" customFormat="1" ht="14.5" customHeight="1" x14ac:dyDescent="0.2">
      <c r="B95" s="79"/>
      <c r="C95" s="80"/>
      <c r="D95" s="80" t="s">
        <v>219</v>
      </c>
      <c r="E95" s="43">
        <f>SUM(E90,E94)</f>
        <v>391899206.66664499</v>
      </c>
      <c r="F95" s="43">
        <f>SUM(F90,F94)</f>
        <v>546785000</v>
      </c>
      <c r="G95" s="81">
        <f t="shared" si="52"/>
        <v>0.71673364607047563</v>
      </c>
      <c r="H95" s="205"/>
      <c r="I95" s="43">
        <f>SUM(I90,I94)</f>
        <v>795000</v>
      </c>
      <c r="J95" s="43">
        <f t="shared" ref="J95:K95" si="59">SUM(J90,J94)</f>
        <v>592500</v>
      </c>
      <c r="K95" s="43">
        <f t="shared" si="59"/>
        <v>202500</v>
      </c>
    </row>
    <row r="101" spans="2:12" ht="14.5" customHeight="1" x14ac:dyDescent="0.2">
      <c r="B101" s="4" t="s">
        <v>60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4</v>
      </c>
      <c r="F103" s="385"/>
      <c r="G103" s="417" t="s">
        <v>56</v>
      </c>
      <c r="H103" s="394" t="s">
        <v>3</v>
      </c>
      <c r="I103" s="398" t="s">
        <v>92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397" t="s">
        <v>39</v>
      </c>
      <c r="C105" s="52" t="s">
        <v>388</v>
      </c>
      <c r="D105" s="12" t="s">
        <v>389</v>
      </c>
      <c r="E105" s="15">
        <v>89573300</v>
      </c>
      <c r="F105" s="15">
        <v>135000000</v>
      </c>
      <c r="G105" s="20">
        <f t="shared" ref="G105:G147" si="60">E105/F105*100%</f>
        <v>0.66350592592592594</v>
      </c>
      <c r="H105" s="12" t="s">
        <v>18</v>
      </c>
      <c r="I105" s="15">
        <v>0</v>
      </c>
      <c r="J105" s="15">
        <f t="shared" ref="J105:J106" si="61">I105*70%</f>
        <v>0</v>
      </c>
      <c r="K105" s="15">
        <f t="shared" ref="K105:K106" si="62">I105*30%</f>
        <v>0</v>
      </c>
      <c r="L105" s="2"/>
    </row>
    <row r="106" spans="2:12" ht="14.5" customHeight="1" x14ac:dyDescent="0.2">
      <c r="B106" s="397"/>
      <c r="C106" s="52" t="s">
        <v>390</v>
      </c>
      <c r="D106" s="12" t="s">
        <v>111</v>
      </c>
      <c r="E106" s="15">
        <v>119829018.15000001</v>
      </c>
      <c r="F106" s="15">
        <v>147571200</v>
      </c>
      <c r="G106" s="20">
        <f t="shared" si="60"/>
        <v>0.81200815707943019</v>
      </c>
      <c r="H106" s="12" t="s">
        <v>18</v>
      </c>
      <c r="I106" s="15">
        <v>225000</v>
      </c>
      <c r="J106" s="15">
        <f t="shared" si="61"/>
        <v>157500</v>
      </c>
      <c r="K106" s="15">
        <f t="shared" si="62"/>
        <v>67500</v>
      </c>
      <c r="L106" s="2"/>
    </row>
    <row r="107" spans="2:12" ht="14.5" customHeight="1" x14ac:dyDescent="0.2">
      <c r="B107" s="397"/>
      <c r="C107" s="117" t="s">
        <v>391</v>
      </c>
      <c r="D107" s="117" t="s">
        <v>271</v>
      </c>
      <c r="E107" s="178"/>
      <c r="F107" s="178"/>
      <c r="G107" s="178"/>
      <c r="H107" s="178"/>
      <c r="I107" s="178"/>
      <c r="J107" s="178"/>
      <c r="K107" s="178"/>
      <c r="L107" s="2"/>
    </row>
    <row r="108" spans="2:12" ht="14.5" customHeight="1" x14ac:dyDescent="0.2">
      <c r="B108" s="397"/>
      <c r="C108" s="70"/>
      <c r="D108" s="70" t="s">
        <v>891</v>
      </c>
      <c r="E108" s="65">
        <f>SUM(E105:E107)</f>
        <v>209402318.15000001</v>
      </c>
      <c r="F108" s="65">
        <f>SUM(F105:F107)</f>
        <v>282571200</v>
      </c>
      <c r="G108" s="66">
        <f t="shared" si="60"/>
        <v>0.74106037044822692</v>
      </c>
      <c r="H108" s="64" t="s">
        <v>20</v>
      </c>
      <c r="I108" s="63">
        <v>120000</v>
      </c>
      <c r="J108" s="63">
        <f>I108</f>
        <v>120000</v>
      </c>
      <c r="K108" s="63">
        <v>0</v>
      </c>
      <c r="L108" s="2"/>
    </row>
    <row r="109" spans="2:12" ht="14.5" customHeight="1" x14ac:dyDescent="0.2">
      <c r="B109" s="397"/>
      <c r="C109" s="71"/>
      <c r="D109" s="71" t="s">
        <v>40</v>
      </c>
      <c r="E109" s="22">
        <f>SUM(E108)</f>
        <v>209402318.15000001</v>
      </c>
      <c r="F109" s="22">
        <f>SUM(F108)</f>
        <v>282571200</v>
      </c>
      <c r="G109" s="27">
        <f t="shared" si="60"/>
        <v>0.74106037044822692</v>
      </c>
      <c r="H109" s="42"/>
      <c r="I109" s="23">
        <f>SUM(I105:I108)</f>
        <v>345000</v>
      </c>
      <c r="J109" s="23">
        <f t="shared" ref="J109:K109" si="63">SUM(J105:J108)</f>
        <v>277500</v>
      </c>
      <c r="K109" s="23">
        <f t="shared" si="63"/>
        <v>67500</v>
      </c>
      <c r="L109" s="2"/>
    </row>
    <row r="110" spans="2:12" ht="14.5" customHeight="1" x14ac:dyDescent="0.2">
      <c r="B110" s="397" t="s">
        <v>41</v>
      </c>
      <c r="C110" s="52" t="s">
        <v>392</v>
      </c>
      <c r="D110" s="52" t="s">
        <v>112</v>
      </c>
      <c r="E110" s="15">
        <v>95050150</v>
      </c>
      <c r="F110" s="15">
        <v>154000000</v>
      </c>
      <c r="G110" s="20">
        <f t="shared" si="60"/>
        <v>0.61720876623376619</v>
      </c>
      <c r="H110" s="12" t="s">
        <v>470</v>
      </c>
      <c r="I110" s="15">
        <v>0</v>
      </c>
      <c r="J110" s="15">
        <f t="shared" ref="J110:J113" si="64">I110</f>
        <v>0</v>
      </c>
      <c r="K110" s="15">
        <v>0</v>
      </c>
      <c r="L110" s="2"/>
    </row>
    <row r="111" spans="2:12" ht="14.5" customHeight="1" x14ac:dyDescent="0.2">
      <c r="B111" s="397"/>
      <c r="C111" s="52" t="s">
        <v>393</v>
      </c>
      <c r="D111" s="52" t="s">
        <v>394</v>
      </c>
      <c r="E111" s="15">
        <v>47092200</v>
      </c>
      <c r="F111" s="15">
        <v>87000000</v>
      </c>
      <c r="G111" s="20">
        <f t="shared" si="60"/>
        <v>0.54128965517241379</v>
      </c>
      <c r="H111" s="12" t="s">
        <v>470</v>
      </c>
      <c r="I111" s="15">
        <v>0</v>
      </c>
      <c r="J111" s="15">
        <f t="shared" si="64"/>
        <v>0</v>
      </c>
      <c r="K111" s="15">
        <v>0</v>
      </c>
      <c r="L111" s="2"/>
    </row>
    <row r="112" spans="2:12" ht="14.5" customHeight="1" x14ac:dyDescent="0.2">
      <c r="B112" s="397"/>
      <c r="C112" s="52" t="s">
        <v>395</v>
      </c>
      <c r="D112" s="52" t="s">
        <v>113</v>
      </c>
      <c r="E112" s="15">
        <v>190486250</v>
      </c>
      <c r="F112" s="15">
        <v>190000000</v>
      </c>
      <c r="G112" s="20">
        <f t="shared" si="60"/>
        <v>1.0025592105263157</v>
      </c>
      <c r="H112" s="12" t="s">
        <v>470</v>
      </c>
      <c r="I112" s="15">
        <v>330000</v>
      </c>
      <c r="J112" s="15">
        <f t="shared" si="64"/>
        <v>330000</v>
      </c>
      <c r="K112" s="15">
        <v>0</v>
      </c>
      <c r="L112" s="2"/>
    </row>
    <row r="113" spans="2:14" ht="14.5" customHeight="1" x14ac:dyDescent="0.2">
      <c r="B113" s="397"/>
      <c r="C113" s="52" t="s">
        <v>396</v>
      </c>
      <c r="D113" s="52" t="s">
        <v>253</v>
      </c>
      <c r="E113" s="15">
        <v>130408150</v>
      </c>
      <c r="F113" s="15">
        <v>179000000</v>
      </c>
      <c r="G113" s="20">
        <f t="shared" si="60"/>
        <v>0.72853715083798887</v>
      </c>
      <c r="H113" s="12" t="s">
        <v>470</v>
      </c>
      <c r="I113" s="15">
        <v>82500</v>
      </c>
      <c r="J113" s="15">
        <f t="shared" si="64"/>
        <v>82500</v>
      </c>
      <c r="K113" s="15">
        <v>0</v>
      </c>
      <c r="L113" s="2"/>
    </row>
    <row r="114" spans="2:14" ht="14.5" customHeight="1" x14ac:dyDescent="0.2">
      <c r="B114" s="397"/>
      <c r="C114" s="70"/>
      <c r="D114" s="70" t="s">
        <v>316</v>
      </c>
      <c r="E114" s="65">
        <f>SUM(E110:E113)</f>
        <v>463036750</v>
      </c>
      <c r="F114" s="65">
        <f>SUM(F110:F113)</f>
        <v>610000000</v>
      </c>
      <c r="G114" s="66">
        <f t="shared" si="60"/>
        <v>0.75907663934426228</v>
      </c>
      <c r="H114" s="64" t="s">
        <v>20</v>
      </c>
      <c r="I114" s="63">
        <v>120000</v>
      </c>
      <c r="J114" s="63">
        <f>I114</f>
        <v>120000</v>
      </c>
      <c r="K114" s="63">
        <v>0</v>
      </c>
      <c r="L114" s="2"/>
    </row>
    <row r="115" spans="2:14" ht="14.5" customHeight="1" x14ac:dyDescent="0.2">
      <c r="B115" s="397"/>
      <c r="C115" s="71"/>
      <c r="D115" s="71" t="s">
        <v>42</v>
      </c>
      <c r="E115" s="22">
        <f>SUM(E114)</f>
        <v>463036750</v>
      </c>
      <c r="F115" s="22">
        <f>SUM(F114)</f>
        <v>610000000</v>
      </c>
      <c r="G115" s="27">
        <f t="shared" si="60"/>
        <v>0.75907663934426228</v>
      </c>
      <c r="H115" s="42"/>
      <c r="I115" s="23">
        <f>SUM(I110:I114)</f>
        <v>532500</v>
      </c>
      <c r="J115" s="23">
        <f t="shared" ref="J115:K115" si="65">SUM(J110:J114)</f>
        <v>532500</v>
      </c>
      <c r="K115" s="23">
        <f t="shared" si="65"/>
        <v>0</v>
      </c>
      <c r="L115" s="2"/>
    </row>
    <row r="116" spans="2:14" ht="14.5" customHeight="1" x14ac:dyDescent="0.2">
      <c r="B116" s="397" t="s">
        <v>43</v>
      </c>
      <c r="C116" s="52" t="s">
        <v>397</v>
      </c>
      <c r="D116" s="52" t="s">
        <v>114</v>
      </c>
      <c r="E116" s="15">
        <v>80189000</v>
      </c>
      <c r="F116" s="15">
        <v>117000000</v>
      </c>
      <c r="G116" s="20">
        <f t="shared" si="60"/>
        <v>0.68537606837606835</v>
      </c>
      <c r="H116" s="12" t="s">
        <v>470</v>
      </c>
      <c r="I116" s="15">
        <v>0</v>
      </c>
      <c r="J116" s="15">
        <f t="shared" ref="J116:J117" si="66">I116</f>
        <v>0</v>
      </c>
      <c r="K116" s="15">
        <v>0</v>
      </c>
      <c r="L116" s="2"/>
    </row>
    <row r="117" spans="2:14" ht="14.5" customHeight="1" x14ac:dyDescent="0.2">
      <c r="B117" s="397"/>
      <c r="C117" s="52" t="s">
        <v>398</v>
      </c>
      <c r="D117" s="52" t="s">
        <v>341</v>
      </c>
      <c r="E117" s="15">
        <v>398295470</v>
      </c>
      <c r="F117" s="15">
        <v>433626735.98559999</v>
      </c>
      <c r="G117" s="20">
        <f t="shared" si="60"/>
        <v>0.91852147699035491</v>
      </c>
      <c r="H117" s="12" t="s">
        <v>470</v>
      </c>
      <c r="I117" s="15">
        <v>247500</v>
      </c>
      <c r="J117" s="15">
        <f t="shared" si="66"/>
        <v>247500</v>
      </c>
      <c r="K117" s="15">
        <v>0</v>
      </c>
      <c r="L117" s="2"/>
    </row>
    <row r="118" spans="2:14" ht="14.5" customHeight="1" x14ac:dyDescent="0.2">
      <c r="B118" s="397"/>
      <c r="C118" s="52" t="s">
        <v>399</v>
      </c>
      <c r="D118" s="52" t="s">
        <v>321</v>
      </c>
      <c r="E118" s="15">
        <v>56759650</v>
      </c>
      <c r="F118" s="15">
        <v>102000000</v>
      </c>
      <c r="G118" s="20">
        <f t="shared" si="60"/>
        <v>0.55646715686274506</v>
      </c>
      <c r="H118" s="12" t="s">
        <v>18</v>
      </c>
      <c r="I118" s="15">
        <v>0</v>
      </c>
      <c r="J118" s="15">
        <f t="shared" ref="J118:J119" si="67">I118*70%</f>
        <v>0</v>
      </c>
      <c r="K118" s="15">
        <f t="shared" ref="K118:K119" si="68">I118*30%</f>
        <v>0</v>
      </c>
      <c r="L118" s="2"/>
    </row>
    <row r="119" spans="2:14" ht="14.5" customHeight="1" x14ac:dyDescent="0.2">
      <c r="B119" s="397"/>
      <c r="C119" s="52" t="s">
        <v>400</v>
      </c>
      <c r="D119" s="52" t="s">
        <v>322</v>
      </c>
      <c r="E119" s="15">
        <v>96224750</v>
      </c>
      <c r="F119" s="15">
        <v>127000000</v>
      </c>
      <c r="G119" s="20">
        <f t="shared" ref="G119" si="69">E119/F119*100%</f>
        <v>0.75767519685039375</v>
      </c>
      <c r="H119" s="12" t="s">
        <v>18</v>
      </c>
      <c r="I119" s="15">
        <v>112500</v>
      </c>
      <c r="J119" s="15">
        <f t="shared" si="67"/>
        <v>78750</v>
      </c>
      <c r="K119" s="15">
        <f t="shared" si="68"/>
        <v>33750</v>
      </c>
      <c r="L119" s="2"/>
    </row>
    <row r="120" spans="2:14" ht="14.5" customHeight="1" x14ac:dyDescent="0.2">
      <c r="B120" s="397"/>
      <c r="C120" s="117"/>
      <c r="D120" s="117" t="s">
        <v>474</v>
      </c>
      <c r="E120" s="381">
        <v>4308250</v>
      </c>
      <c r="F120" s="117"/>
      <c r="G120" s="117"/>
      <c r="H120" s="117"/>
      <c r="I120" s="117"/>
      <c r="J120" s="117"/>
      <c r="K120" s="117"/>
      <c r="L120" s="2"/>
    </row>
    <row r="121" spans="2:14" s="21" customFormat="1" ht="14.5" customHeight="1" x14ac:dyDescent="0.2">
      <c r="B121" s="396" t="s">
        <v>836</v>
      </c>
      <c r="C121" s="178"/>
      <c r="D121" s="117" t="s">
        <v>837</v>
      </c>
      <c r="E121" s="178"/>
      <c r="F121" s="178"/>
      <c r="G121" s="178"/>
      <c r="H121" s="178"/>
      <c r="I121" s="178"/>
      <c r="J121" s="178"/>
      <c r="K121" s="178"/>
      <c r="L121" s="19"/>
    </row>
    <row r="122" spans="2:14" s="21" customFormat="1" ht="14.5" customHeight="1" x14ac:dyDescent="0.2">
      <c r="B122" s="386"/>
      <c r="C122" s="178"/>
      <c r="D122" s="117" t="s">
        <v>838</v>
      </c>
      <c r="E122" s="178"/>
      <c r="F122" s="178"/>
      <c r="G122" s="178"/>
      <c r="H122" s="178"/>
      <c r="I122" s="178"/>
      <c r="J122" s="178"/>
      <c r="K122" s="178"/>
      <c r="L122" s="19"/>
      <c r="N122" s="280"/>
    </row>
    <row r="123" spans="2:14" s="21" customFormat="1" ht="14.5" customHeight="1" x14ac:dyDescent="0.2">
      <c r="B123" s="386"/>
      <c r="C123" s="178"/>
      <c r="D123" s="117" t="s">
        <v>839</v>
      </c>
      <c r="E123" s="178"/>
      <c r="F123" s="178"/>
      <c r="G123" s="178"/>
      <c r="H123" s="178"/>
      <c r="I123" s="178"/>
      <c r="J123" s="178"/>
      <c r="K123" s="178"/>
      <c r="L123" s="19"/>
    </row>
    <row r="124" spans="2:14" s="21" customFormat="1" ht="14.5" customHeight="1" x14ac:dyDescent="0.2">
      <c r="B124" s="386"/>
      <c r="C124" s="52"/>
      <c r="D124" s="69" t="s">
        <v>893</v>
      </c>
      <c r="E124" s="15">
        <v>3792488.6927999994</v>
      </c>
      <c r="F124" s="15">
        <v>30000000</v>
      </c>
      <c r="G124" s="20">
        <f>E124/F124*100%</f>
        <v>0.12641628975999997</v>
      </c>
      <c r="H124" s="12" t="s">
        <v>571</v>
      </c>
      <c r="I124" s="15">
        <v>0</v>
      </c>
      <c r="J124" s="15">
        <f t="shared" ref="J124" si="70">I124</f>
        <v>0</v>
      </c>
      <c r="K124" s="15">
        <v>0</v>
      </c>
      <c r="L124" s="19"/>
    </row>
    <row r="125" spans="2:14" s="21" customFormat="1" ht="14.5" customHeight="1" x14ac:dyDescent="0.2">
      <c r="B125" s="386"/>
      <c r="C125" s="178"/>
      <c r="D125" s="117" t="s">
        <v>840</v>
      </c>
      <c r="E125" s="178"/>
      <c r="F125" s="178"/>
      <c r="G125" s="178"/>
      <c r="H125" s="178"/>
      <c r="I125" s="178"/>
      <c r="J125" s="178"/>
      <c r="K125" s="178"/>
      <c r="L125" s="19"/>
    </row>
    <row r="126" spans="2:14" s="21" customFormat="1" ht="14.5" customHeight="1" x14ac:dyDescent="0.2">
      <c r="B126" s="386"/>
      <c r="C126" s="178"/>
      <c r="D126" s="117" t="s">
        <v>841</v>
      </c>
      <c r="E126" s="178"/>
      <c r="F126" s="178"/>
      <c r="G126" s="178"/>
      <c r="H126" s="178"/>
      <c r="I126" s="178"/>
      <c r="J126" s="178"/>
      <c r="K126" s="178"/>
      <c r="L126" s="19"/>
    </row>
    <row r="127" spans="2:14" ht="14.5" customHeight="1" x14ac:dyDescent="0.2">
      <c r="B127" s="386"/>
      <c r="C127" s="78"/>
      <c r="D127" s="78" t="s">
        <v>275</v>
      </c>
      <c r="E127" s="65">
        <f>SUM(E116:E126)</f>
        <v>639569608.69280005</v>
      </c>
      <c r="F127" s="65">
        <f>SUM(F116:F126)</f>
        <v>809626735.98559999</v>
      </c>
      <c r="G127" s="66">
        <f>E127/F127*100%</f>
        <v>0.78995613690328459</v>
      </c>
      <c r="H127" s="64" t="s">
        <v>20</v>
      </c>
      <c r="I127" s="63">
        <v>120000</v>
      </c>
      <c r="J127" s="63">
        <f t="shared" ref="J127" si="71">I127</f>
        <v>120000</v>
      </c>
      <c r="K127" s="63">
        <v>0</v>
      </c>
      <c r="L127" s="2"/>
    </row>
    <row r="128" spans="2:14" ht="14.5" customHeight="1" x14ac:dyDescent="0.2">
      <c r="B128" s="387"/>
      <c r="C128" s="77"/>
      <c r="D128" s="77" t="s">
        <v>964</v>
      </c>
      <c r="E128" s="22">
        <f>SUM(E127)</f>
        <v>639569608.69280005</v>
      </c>
      <c r="F128" s="22">
        <f>SUM(F127)</f>
        <v>809626735.98559999</v>
      </c>
      <c r="G128" s="27">
        <f>E128/F128*100%</f>
        <v>0.78995613690328459</v>
      </c>
      <c r="H128" s="42"/>
      <c r="I128" s="23">
        <f>SUM(I116:I127)</f>
        <v>480000</v>
      </c>
      <c r="J128" s="23">
        <f>SUM(J116:J127)</f>
        <v>446250</v>
      </c>
      <c r="K128" s="23">
        <f>SUM(K116:K127)</f>
        <v>33750</v>
      </c>
      <c r="L128" s="2"/>
    </row>
    <row r="129" spans="2:14" ht="14.5" customHeight="1" x14ac:dyDescent="0.2">
      <c r="B129" s="397" t="s">
        <v>45</v>
      </c>
      <c r="C129" s="117"/>
      <c r="D129" s="117" t="s">
        <v>175</v>
      </c>
      <c r="E129" s="178"/>
      <c r="F129" s="178"/>
      <c r="G129" s="178"/>
      <c r="H129" s="178"/>
      <c r="I129" s="178"/>
      <c r="J129" s="178"/>
      <c r="K129" s="178"/>
      <c r="L129" s="2"/>
    </row>
    <row r="130" spans="2:14" ht="14.5" customHeight="1" x14ac:dyDescent="0.2">
      <c r="B130" s="397"/>
      <c r="C130" s="52" t="s">
        <v>401</v>
      </c>
      <c r="D130" s="52" t="s">
        <v>288</v>
      </c>
      <c r="E130" s="15">
        <v>18621850.02</v>
      </c>
      <c r="F130" s="15">
        <v>72000000</v>
      </c>
      <c r="G130" s="20">
        <f t="shared" si="60"/>
        <v>0.25863680583333332</v>
      </c>
      <c r="H130" s="12" t="s">
        <v>18</v>
      </c>
      <c r="I130" s="15">
        <v>0</v>
      </c>
      <c r="J130" s="15">
        <f t="shared" ref="J130" si="72">I130*70%</f>
        <v>0</v>
      </c>
      <c r="K130" s="15">
        <f t="shared" ref="K130" si="73">I130*30%</f>
        <v>0</v>
      </c>
      <c r="L130" s="2"/>
    </row>
    <row r="131" spans="2:14" ht="14.5" customHeight="1" x14ac:dyDescent="0.2">
      <c r="B131" s="397"/>
      <c r="C131" s="52" t="s">
        <v>402</v>
      </c>
      <c r="D131" s="52" t="s">
        <v>251</v>
      </c>
      <c r="E131" s="15">
        <v>28305750</v>
      </c>
      <c r="F131" s="15">
        <v>72000000</v>
      </c>
      <c r="G131" s="20">
        <f t="shared" si="60"/>
        <v>0.39313541666666668</v>
      </c>
      <c r="H131" s="12" t="s">
        <v>18</v>
      </c>
      <c r="I131" s="15">
        <v>0</v>
      </c>
      <c r="J131" s="15">
        <f t="shared" ref="J131" si="74">I131*70%</f>
        <v>0</v>
      </c>
      <c r="K131" s="15">
        <f t="shared" ref="K131" si="75">I131*30%</f>
        <v>0</v>
      </c>
      <c r="L131" s="2"/>
    </row>
    <row r="132" spans="2:14" ht="14.5" customHeight="1" x14ac:dyDescent="0.2">
      <c r="B132" s="397"/>
      <c r="C132" s="70"/>
      <c r="D132" s="70" t="s">
        <v>315</v>
      </c>
      <c r="E132" s="65">
        <f>SUM(E129:E131)</f>
        <v>46927600.019999996</v>
      </c>
      <c r="F132" s="65">
        <f>SUM(F129:F131)</f>
        <v>144000000</v>
      </c>
      <c r="G132" s="66">
        <f t="shared" si="60"/>
        <v>0.32588611124999994</v>
      </c>
      <c r="H132" s="64" t="s">
        <v>20</v>
      </c>
      <c r="I132" s="63">
        <v>0</v>
      </c>
      <c r="J132" s="63">
        <f>I132</f>
        <v>0</v>
      </c>
      <c r="K132" s="63">
        <v>0</v>
      </c>
      <c r="L132" s="2"/>
    </row>
    <row r="133" spans="2:14" ht="14.5" customHeight="1" x14ac:dyDescent="0.2">
      <c r="B133" s="397"/>
      <c r="C133" s="71"/>
      <c r="D133" s="71" t="s">
        <v>46</v>
      </c>
      <c r="E133" s="22">
        <f>SUM(E132)</f>
        <v>46927600.019999996</v>
      </c>
      <c r="F133" s="22">
        <f>SUM(F132)</f>
        <v>144000000</v>
      </c>
      <c r="G133" s="27">
        <f t="shared" si="60"/>
        <v>0.32588611124999994</v>
      </c>
      <c r="H133" s="42"/>
      <c r="I133" s="23">
        <f>SUM(I129:I132)</f>
        <v>0</v>
      </c>
      <c r="J133" s="23">
        <f t="shared" ref="J133:K133" si="76">SUM(J129:J132)</f>
        <v>0</v>
      </c>
      <c r="K133" s="23">
        <f t="shared" si="76"/>
        <v>0</v>
      </c>
      <c r="L133" s="2"/>
    </row>
    <row r="134" spans="2:14" s="21" customFormat="1" ht="14.5" customHeight="1" x14ac:dyDescent="0.2">
      <c r="B134" s="396" t="s">
        <v>47</v>
      </c>
      <c r="C134" s="52" t="s">
        <v>403</v>
      </c>
      <c r="D134" s="69" t="s">
        <v>668</v>
      </c>
      <c r="E134" s="15">
        <v>19918414.999999996</v>
      </c>
      <c r="F134" s="15">
        <v>72000000</v>
      </c>
      <c r="G134" s="20">
        <f t="shared" si="60"/>
        <v>0.27664465277777772</v>
      </c>
      <c r="H134" s="12" t="s">
        <v>571</v>
      </c>
      <c r="I134" s="15">
        <v>0</v>
      </c>
      <c r="J134" s="15">
        <f t="shared" ref="J134" si="77">I134</f>
        <v>0</v>
      </c>
      <c r="K134" s="15">
        <v>0</v>
      </c>
      <c r="L134" s="19"/>
    </row>
    <row r="135" spans="2:14" s="21" customFormat="1" ht="14.5" customHeight="1" x14ac:dyDescent="0.2">
      <c r="B135" s="386"/>
      <c r="C135" s="52"/>
      <c r="D135" s="69" t="s">
        <v>526</v>
      </c>
      <c r="E135" s="15">
        <v>2205812</v>
      </c>
      <c r="F135" s="15">
        <v>72000000</v>
      </c>
      <c r="G135" s="20">
        <f t="shared" si="60"/>
        <v>3.0636277777777776E-2</v>
      </c>
      <c r="H135" s="12" t="s">
        <v>675</v>
      </c>
      <c r="I135" s="15">
        <v>0</v>
      </c>
      <c r="J135" s="15">
        <f t="shared" ref="J135:J145" si="78">I135</f>
        <v>0</v>
      </c>
      <c r="K135" s="15">
        <v>0</v>
      </c>
      <c r="L135" s="19"/>
      <c r="N135" s="280"/>
    </row>
    <row r="136" spans="2:14" s="21" customFormat="1" ht="14.5" customHeight="1" x14ac:dyDescent="0.2">
      <c r="B136" s="386"/>
      <c r="C136" s="52"/>
      <c r="D136" s="69" t="s">
        <v>616</v>
      </c>
      <c r="E136" s="15">
        <v>459480</v>
      </c>
      <c r="F136" s="15">
        <v>0</v>
      </c>
      <c r="G136" s="20" t="e">
        <f t="shared" si="60"/>
        <v>#DIV/0!</v>
      </c>
      <c r="H136" s="12" t="s">
        <v>675</v>
      </c>
      <c r="I136" s="15">
        <v>0</v>
      </c>
      <c r="J136" s="15">
        <f t="shared" si="78"/>
        <v>0</v>
      </c>
      <c r="K136" s="15">
        <v>0</v>
      </c>
      <c r="L136" s="19"/>
    </row>
    <row r="137" spans="2:14" s="21" customFormat="1" ht="14.5" customHeight="1" x14ac:dyDescent="0.2">
      <c r="B137" s="386"/>
      <c r="C137" s="52"/>
      <c r="D137" s="69" t="s">
        <v>499</v>
      </c>
      <c r="E137" s="15"/>
      <c r="F137" s="15">
        <v>0</v>
      </c>
      <c r="G137" s="20" t="e">
        <f t="shared" si="60"/>
        <v>#DIV/0!</v>
      </c>
      <c r="H137" s="12" t="s">
        <v>675</v>
      </c>
      <c r="I137" s="15">
        <v>0</v>
      </c>
      <c r="J137" s="15">
        <f t="shared" si="78"/>
        <v>0</v>
      </c>
      <c r="K137" s="15">
        <v>0</v>
      </c>
      <c r="L137" s="19"/>
    </row>
    <row r="138" spans="2:14" s="21" customFormat="1" ht="14.5" customHeight="1" x14ac:dyDescent="0.2">
      <c r="B138" s="386"/>
      <c r="C138" s="52"/>
      <c r="D138" s="69" t="s">
        <v>527</v>
      </c>
      <c r="E138" s="15">
        <v>6503990.8799999999</v>
      </c>
      <c r="F138" s="15">
        <v>0</v>
      </c>
      <c r="G138" s="20" t="e">
        <f t="shared" si="60"/>
        <v>#DIV/0!</v>
      </c>
      <c r="H138" s="12" t="s">
        <v>675</v>
      </c>
      <c r="I138" s="15">
        <v>0</v>
      </c>
      <c r="J138" s="15">
        <f t="shared" si="78"/>
        <v>0</v>
      </c>
      <c r="K138" s="15">
        <v>0</v>
      </c>
      <c r="L138" s="19"/>
    </row>
    <row r="139" spans="2:14" s="21" customFormat="1" ht="14.5" customHeight="1" x14ac:dyDescent="0.2">
      <c r="B139" s="386"/>
      <c r="C139" s="52"/>
      <c r="D139" s="69" t="s">
        <v>528</v>
      </c>
      <c r="E139" s="15"/>
      <c r="F139" s="15">
        <v>0</v>
      </c>
      <c r="G139" s="20" t="e">
        <f t="shared" si="60"/>
        <v>#DIV/0!</v>
      </c>
      <c r="H139" s="12" t="s">
        <v>675</v>
      </c>
      <c r="I139" s="15">
        <v>0</v>
      </c>
      <c r="J139" s="15">
        <f t="shared" si="78"/>
        <v>0</v>
      </c>
      <c r="K139" s="15">
        <v>0</v>
      </c>
      <c r="L139" s="19"/>
    </row>
    <row r="140" spans="2:14" s="21" customFormat="1" ht="14.5" customHeight="1" x14ac:dyDescent="0.2">
      <c r="B140" s="386"/>
      <c r="C140" s="52"/>
      <c r="D140" s="69" t="s">
        <v>789</v>
      </c>
      <c r="E140" s="15">
        <v>-8108</v>
      </c>
      <c r="F140" s="15">
        <v>0</v>
      </c>
      <c r="G140" s="20" t="e">
        <f t="shared" si="60"/>
        <v>#DIV/0!</v>
      </c>
      <c r="H140" s="12" t="s">
        <v>675</v>
      </c>
      <c r="I140" s="15">
        <v>0</v>
      </c>
      <c r="J140" s="15">
        <f t="shared" si="78"/>
        <v>0</v>
      </c>
      <c r="K140" s="15">
        <v>0</v>
      </c>
      <c r="L140" s="19"/>
    </row>
    <row r="141" spans="2:14" s="21" customFormat="1" ht="14.5" customHeight="1" x14ac:dyDescent="0.2">
      <c r="B141" s="386"/>
      <c r="C141" s="52"/>
      <c r="D141" s="69" t="s">
        <v>835</v>
      </c>
      <c r="E141" s="15">
        <v>148650</v>
      </c>
      <c r="F141" s="15">
        <v>0</v>
      </c>
      <c r="G141" s="20" t="e">
        <f t="shared" si="60"/>
        <v>#DIV/0!</v>
      </c>
      <c r="H141" s="12" t="s">
        <v>675</v>
      </c>
      <c r="I141" s="15">
        <v>0</v>
      </c>
      <c r="J141" s="15">
        <f t="shared" si="78"/>
        <v>0</v>
      </c>
      <c r="K141" s="15">
        <v>0</v>
      </c>
      <c r="L141" s="19"/>
    </row>
    <row r="142" spans="2:14" s="21" customFormat="1" ht="14.5" customHeight="1" x14ac:dyDescent="0.2">
      <c r="B142" s="386"/>
      <c r="C142" s="52"/>
      <c r="D142" s="69" t="s">
        <v>529</v>
      </c>
      <c r="E142" s="15">
        <v>1037824</v>
      </c>
      <c r="F142" s="15">
        <v>0</v>
      </c>
      <c r="G142" s="20" t="e">
        <f t="shared" si="60"/>
        <v>#DIV/0!</v>
      </c>
      <c r="H142" s="12" t="s">
        <v>675</v>
      </c>
      <c r="I142" s="15">
        <v>0</v>
      </c>
      <c r="J142" s="15">
        <f t="shared" si="78"/>
        <v>0</v>
      </c>
      <c r="K142" s="15">
        <v>0</v>
      </c>
      <c r="L142" s="19"/>
    </row>
    <row r="143" spans="2:14" s="21" customFormat="1" ht="14.5" customHeight="1" x14ac:dyDescent="0.2">
      <c r="B143" s="386"/>
      <c r="C143" s="52"/>
      <c r="D143" s="69" t="s">
        <v>530</v>
      </c>
      <c r="E143" s="15">
        <v>5728519</v>
      </c>
      <c r="F143" s="15">
        <v>0</v>
      </c>
      <c r="G143" s="20" t="e">
        <f t="shared" si="60"/>
        <v>#DIV/0!</v>
      </c>
      <c r="H143" s="12" t="s">
        <v>675</v>
      </c>
      <c r="I143" s="15">
        <v>0</v>
      </c>
      <c r="J143" s="15">
        <f t="shared" si="78"/>
        <v>0</v>
      </c>
      <c r="K143" s="15">
        <v>0</v>
      </c>
      <c r="L143" s="19"/>
    </row>
    <row r="144" spans="2:14" s="21" customFormat="1" ht="14.5" customHeight="1" x14ac:dyDescent="0.2">
      <c r="B144" s="386"/>
      <c r="C144" s="52"/>
      <c r="D144" s="69" t="s">
        <v>531</v>
      </c>
      <c r="E144" s="15">
        <v>134238</v>
      </c>
      <c r="F144" s="15">
        <v>0</v>
      </c>
      <c r="G144" s="20" t="e">
        <f t="shared" si="60"/>
        <v>#DIV/0!</v>
      </c>
      <c r="H144" s="12" t="s">
        <v>675</v>
      </c>
      <c r="I144" s="15">
        <v>0</v>
      </c>
      <c r="J144" s="15">
        <f t="shared" si="78"/>
        <v>0</v>
      </c>
      <c r="K144" s="15">
        <v>0</v>
      </c>
      <c r="L144" s="19"/>
    </row>
    <row r="145" spans="2:12" ht="14.5" customHeight="1" x14ac:dyDescent="0.2">
      <c r="B145" s="386"/>
      <c r="C145" s="78"/>
      <c r="D145" s="78" t="s">
        <v>74</v>
      </c>
      <c r="E145" s="65">
        <f>SUM(E134:E144)</f>
        <v>36128820.879999995</v>
      </c>
      <c r="F145" s="65">
        <f>SUM(F134:F144)</f>
        <v>144000000</v>
      </c>
      <c r="G145" s="66">
        <f t="shared" si="60"/>
        <v>0.25089458944444443</v>
      </c>
      <c r="H145" s="64" t="s">
        <v>20</v>
      </c>
      <c r="I145" s="63">
        <v>0</v>
      </c>
      <c r="J145" s="63">
        <f t="shared" si="78"/>
        <v>0</v>
      </c>
      <c r="K145" s="63">
        <v>0</v>
      </c>
      <c r="L145" s="2"/>
    </row>
    <row r="146" spans="2:12" ht="14.5" customHeight="1" x14ac:dyDescent="0.2">
      <c r="B146" s="387"/>
      <c r="C146" s="77"/>
      <c r="D146" s="77" t="s">
        <v>48</v>
      </c>
      <c r="E146" s="22">
        <f>SUM(E145)</f>
        <v>36128820.879999995</v>
      </c>
      <c r="F146" s="22">
        <f>SUM(F145)</f>
        <v>144000000</v>
      </c>
      <c r="G146" s="27">
        <f t="shared" si="60"/>
        <v>0.25089458944444443</v>
      </c>
      <c r="H146" s="42"/>
      <c r="I146" s="23">
        <f>SUM(I134:I145)</f>
        <v>0</v>
      </c>
      <c r="J146" s="23">
        <f>SUM(J134:J145)</f>
        <v>0</v>
      </c>
      <c r="K146" s="23">
        <f>SUM(K134:K145)</f>
        <v>0</v>
      </c>
      <c r="L146" s="2"/>
    </row>
    <row r="147" spans="2:12" ht="14.5" customHeight="1" x14ac:dyDescent="0.2">
      <c r="B147" s="206"/>
      <c r="C147" s="207"/>
      <c r="D147" s="207" t="s">
        <v>49</v>
      </c>
      <c r="E147" s="208">
        <f>SUM(E146,E133,E128,E115,E109)</f>
        <v>1395065097.7428002</v>
      </c>
      <c r="F147" s="208">
        <f>SUM(F146,F133,F128,F115,F109)</f>
        <v>1990197935.9856</v>
      </c>
      <c r="G147" s="44">
        <f t="shared" si="60"/>
        <v>0.70096801555164223</v>
      </c>
      <c r="H147" s="209"/>
      <c r="I147" s="208">
        <f>SUM(I146,I133,I128,I115,I109)</f>
        <v>1357500</v>
      </c>
      <c r="J147" s="208">
        <f>SUM(J146,J133,J128,J115,J109)</f>
        <v>1256250</v>
      </c>
      <c r="K147" s="208">
        <f>SUM(K146,K133,K128,K115,K109)</f>
        <v>101250</v>
      </c>
      <c r="L147" s="2"/>
    </row>
    <row r="153" spans="2:12" ht="14.5" customHeight="1" x14ac:dyDescent="0.2">
      <c r="B153" s="4" t="s">
        <v>61</v>
      </c>
      <c r="C153" s="5"/>
      <c r="D153" s="5"/>
      <c r="E153" s="33"/>
      <c r="F153" s="33"/>
    </row>
    <row r="154" spans="2:12" ht="14.5" customHeight="1" x14ac:dyDescent="0.2">
      <c r="B154" s="8"/>
      <c r="C154" s="8"/>
      <c r="D154" s="8"/>
      <c r="E154" s="35"/>
      <c r="F154" s="35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4</v>
      </c>
      <c r="F155" s="385"/>
      <c r="G155" s="417" t="s">
        <v>56</v>
      </c>
      <c r="H155" s="394" t="s">
        <v>3</v>
      </c>
      <c r="I155" s="398" t="s">
        <v>92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395" t="s">
        <v>53</v>
      </c>
      <c r="C157" s="321" t="s">
        <v>404</v>
      </c>
      <c r="D157" s="321" t="s">
        <v>115</v>
      </c>
      <c r="E157" s="15">
        <v>277187583</v>
      </c>
      <c r="F157" s="15">
        <v>60000000</v>
      </c>
      <c r="G157" s="20">
        <f t="shared" ref="G157:G212" si="79">E157/F157*100%</f>
        <v>4.6197930500000002</v>
      </c>
      <c r="H157" s="12" t="s">
        <v>571</v>
      </c>
      <c r="I157" s="15">
        <v>330000</v>
      </c>
      <c r="J157" s="15">
        <f t="shared" ref="J157:J164" si="80">I157</f>
        <v>330000</v>
      </c>
      <c r="K157" s="15">
        <v>0</v>
      </c>
    </row>
    <row r="158" spans="2:12" ht="14.5" customHeight="1" x14ac:dyDescent="0.2">
      <c r="B158" s="392"/>
      <c r="C158" s="321"/>
      <c r="D158" s="323" t="s">
        <v>800</v>
      </c>
      <c r="E158" s="15">
        <v>5895120</v>
      </c>
      <c r="F158" s="15">
        <v>0</v>
      </c>
      <c r="G158" s="20" t="e">
        <f t="shared" si="79"/>
        <v>#DIV/0!</v>
      </c>
      <c r="H158" s="12"/>
      <c r="I158" s="15">
        <v>0</v>
      </c>
      <c r="J158" s="15">
        <f t="shared" si="80"/>
        <v>0</v>
      </c>
      <c r="K158" s="15">
        <v>0</v>
      </c>
    </row>
    <row r="159" spans="2:12" ht="14.5" customHeight="1" x14ac:dyDescent="0.2">
      <c r="B159" s="392"/>
      <c r="C159" s="321"/>
      <c r="D159" s="323" t="s">
        <v>532</v>
      </c>
      <c r="E159" s="15">
        <v>29937440</v>
      </c>
      <c r="F159" s="15">
        <v>60000000</v>
      </c>
      <c r="G159" s="20">
        <f t="shared" si="79"/>
        <v>0.49895733333333331</v>
      </c>
      <c r="H159" s="12" t="s">
        <v>675</v>
      </c>
      <c r="I159" s="15">
        <v>0</v>
      </c>
      <c r="J159" s="15">
        <f t="shared" si="80"/>
        <v>0</v>
      </c>
      <c r="K159" s="15">
        <v>0</v>
      </c>
    </row>
    <row r="160" spans="2:12" ht="14.5" customHeight="1" x14ac:dyDescent="0.2">
      <c r="B160" s="392"/>
      <c r="C160" s="321"/>
      <c r="D160" s="323" t="s">
        <v>535</v>
      </c>
      <c r="E160" s="15">
        <v>20608414</v>
      </c>
      <c r="F160" s="15">
        <v>26000000</v>
      </c>
      <c r="G160" s="20">
        <f t="shared" si="79"/>
        <v>0.79263130769230772</v>
      </c>
      <c r="H160" s="12" t="s">
        <v>675</v>
      </c>
      <c r="I160" s="15">
        <v>0</v>
      </c>
      <c r="J160" s="15">
        <f t="shared" si="80"/>
        <v>0</v>
      </c>
      <c r="K160" s="15">
        <v>0</v>
      </c>
    </row>
    <row r="161" spans="2:11" ht="14.5" customHeight="1" x14ac:dyDescent="0.2">
      <c r="B161" s="392"/>
      <c r="C161" s="321"/>
      <c r="D161" s="323" t="s">
        <v>533</v>
      </c>
      <c r="E161" s="15">
        <v>18564974</v>
      </c>
      <c r="F161" s="15">
        <v>148000000</v>
      </c>
      <c r="G161" s="20">
        <f t="shared" si="79"/>
        <v>0.12543901351351353</v>
      </c>
      <c r="H161" s="12" t="s">
        <v>675</v>
      </c>
      <c r="I161" s="15">
        <v>0</v>
      </c>
      <c r="J161" s="15">
        <f t="shared" si="80"/>
        <v>0</v>
      </c>
      <c r="K161" s="15">
        <v>0</v>
      </c>
    </row>
    <row r="162" spans="2:11" ht="14.5" customHeight="1" x14ac:dyDescent="0.2">
      <c r="B162" s="392"/>
      <c r="C162" s="321"/>
      <c r="D162" s="323" t="s">
        <v>534</v>
      </c>
      <c r="E162" s="15">
        <v>19229024</v>
      </c>
      <c r="F162" s="15">
        <v>81000000</v>
      </c>
      <c r="G162" s="20">
        <f t="shared" si="79"/>
        <v>0.23739535802469136</v>
      </c>
      <c r="H162" s="12" t="s">
        <v>675</v>
      </c>
      <c r="I162" s="15">
        <v>0</v>
      </c>
      <c r="J162" s="15">
        <f t="shared" si="80"/>
        <v>0</v>
      </c>
      <c r="K162" s="15">
        <v>0</v>
      </c>
    </row>
    <row r="163" spans="2:11" ht="14.5" customHeight="1" x14ac:dyDescent="0.2">
      <c r="B163" s="392"/>
      <c r="C163" s="324"/>
      <c r="D163" s="324" t="s">
        <v>894</v>
      </c>
      <c r="E163" s="67">
        <f>SUM(E157:E162)</f>
        <v>371422555</v>
      </c>
      <c r="F163" s="67">
        <f>SUM(F157:F162)</f>
        <v>375000000</v>
      </c>
      <c r="G163" s="66">
        <f t="shared" si="79"/>
        <v>0.99046014666666671</v>
      </c>
      <c r="H163" s="64" t="s">
        <v>673</v>
      </c>
      <c r="I163" s="63">
        <v>140000</v>
      </c>
      <c r="J163" s="63">
        <f t="shared" si="80"/>
        <v>140000</v>
      </c>
      <c r="K163" s="63">
        <v>0</v>
      </c>
    </row>
    <row r="164" spans="2:11" ht="14.5" customHeight="1" x14ac:dyDescent="0.2">
      <c r="B164" s="392"/>
      <c r="C164" s="324"/>
      <c r="D164" s="324" t="s">
        <v>154</v>
      </c>
      <c r="E164" s="67">
        <f>SUM(E157:E162)</f>
        <v>371422555</v>
      </c>
      <c r="F164" s="67">
        <f>SUM(F157:F162)</f>
        <v>375000000</v>
      </c>
      <c r="G164" s="66">
        <f t="shared" si="79"/>
        <v>0.99046014666666671</v>
      </c>
      <c r="H164" s="64" t="s">
        <v>20</v>
      </c>
      <c r="I164" s="63">
        <v>336000</v>
      </c>
      <c r="J164" s="63">
        <f t="shared" si="80"/>
        <v>336000</v>
      </c>
      <c r="K164" s="63">
        <v>0</v>
      </c>
    </row>
    <row r="165" spans="2:11" ht="14.5" customHeight="1" x14ac:dyDescent="0.2">
      <c r="B165" s="393"/>
      <c r="C165" s="325"/>
      <c r="D165" s="325" t="s">
        <v>54</v>
      </c>
      <c r="E165" s="22">
        <f>SUM(E164)</f>
        <v>371422555</v>
      </c>
      <c r="F165" s="22">
        <f>SUM(F164)</f>
        <v>375000000</v>
      </c>
      <c r="G165" s="27">
        <f t="shared" si="79"/>
        <v>0.99046014666666671</v>
      </c>
      <c r="H165" s="42"/>
      <c r="I165" s="23">
        <f>SUM(I157:I164)</f>
        <v>806000</v>
      </c>
      <c r="J165" s="23">
        <f>SUM(J157:J164)</f>
        <v>806000</v>
      </c>
      <c r="K165" s="23">
        <f>SUM(K157:K164)</f>
        <v>0</v>
      </c>
    </row>
    <row r="166" spans="2:11" ht="14.5" customHeight="1" x14ac:dyDescent="0.2">
      <c r="B166" s="395" t="s">
        <v>536</v>
      </c>
      <c r="C166" s="321" t="s">
        <v>405</v>
      </c>
      <c r="D166" s="321" t="s">
        <v>116</v>
      </c>
      <c r="E166" s="15">
        <v>9245100</v>
      </c>
      <c r="F166" s="15">
        <v>22000000</v>
      </c>
      <c r="G166" s="20">
        <f t="shared" si="79"/>
        <v>0.42023181818181821</v>
      </c>
      <c r="H166" s="12" t="s">
        <v>571</v>
      </c>
      <c r="I166" s="15">
        <v>0</v>
      </c>
      <c r="J166" s="15">
        <f t="shared" ref="J166:J180" si="81">I166</f>
        <v>0</v>
      </c>
      <c r="K166" s="15">
        <v>0</v>
      </c>
    </row>
    <row r="167" spans="2:11" ht="14.5" customHeight="1" x14ac:dyDescent="0.2">
      <c r="B167" s="392"/>
      <c r="C167" s="321"/>
      <c r="D167" s="323" t="s">
        <v>801</v>
      </c>
      <c r="E167" s="15">
        <v>2058624</v>
      </c>
      <c r="F167" s="15">
        <v>0</v>
      </c>
      <c r="G167" s="20" t="e">
        <f t="shared" si="79"/>
        <v>#DIV/0!</v>
      </c>
      <c r="H167" s="12"/>
      <c r="I167" s="15">
        <v>0</v>
      </c>
      <c r="J167" s="15">
        <f t="shared" si="81"/>
        <v>0</v>
      </c>
      <c r="K167" s="15">
        <v>0</v>
      </c>
    </row>
    <row r="168" spans="2:11" ht="14.5" customHeight="1" x14ac:dyDescent="0.2">
      <c r="B168" s="392"/>
      <c r="C168" s="321"/>
      <c r="D168" s="323" t="s">
        <v>541</v>
      </c>
      <c r="E168" s="15">
        <v>12766990</v>
      </c>
      <c r="F168" s="15">
        <v>20000000</v>
      </c>
      <c r="G168" s="20">
        <f t="shared" si="79"/>
        <v>0.63834950000000001</v>
      </c>
      <c r="H168" s="12" t="s">
        <v>675</v>
      </c>
      <c r="I168" s="15">
        <v>0</v>
      </c>
      <c r="J168" s="15">
        <f t="shared" si="81"/>
        <v>0</v>
      </c>
      <c r="K168" s="15">
        <v>0</v>
      </c>
    </row>
    <row r="169" spans="2:11" ht="14.5" customHeight="1" x14ac:dyDescent="0.2">
      <c r="B169" s="392"/>
      <c r="C169" s="321"/>
      <c r="D169" s="323" t="s">
        <v>538</v>
      </c>
      <c r="E169" s="15">
        <v>4881700</v>
      </c>
      <c r="F169" s="15">
        <v>15500000</v>
      </c>
      <c r="G169" s="20">
        <f t="shared" si="79"/>
        <v>0.3149483870967742</v>
      </c>
      <c r="H169" s="12" t="s">
        <v>675</v>
      </c>
      <c r="I169" s="15">
        <v>0</v>
      </c>
      <c r="J169" s="15">
        <f t="shared" si="81"/>
        <v>0</v>
      </c>
      <c r="K169" s="15">
        <v>0</v>
      </c>
    </row>
    <row r="170" spans="2:11" ht="14.5" customHeight="1" x14ac:dyDescent="0.2">
      <c r="B170" s="392"/>
      <c r="C170" s="321"/>
      <c r="D170" s="323" t="s">
        <v>539</v>
      </c>
      <c r="E170" s="15">
        <v>36618976</v>
      </c>
      <c r="F170" s="15">
        <v>15500000</v>
      </c>
      <c r="G170" s="20">
        <f t="shared" si="79"/>
        <v>2.3625145806451613</v>
      </c>
      <c r="H170" s="12" t="s">
        <v>675</v>
      </c>
      <c r="I170" s="15">
        <v>90000</v>
      </c>
      <c r="J170" s="15">
        <f t="shared" si="81"/>
        <v>90000</v>
      </c>
      <c r="K170" s="15">
        <v>0</v>
      </c>
    </row>
    <row r="171" spans="2:11" ht="14.5" customHeight="1" x14ac:dyDescent="0.2">
      <c r="B171" s="392"/>
      <c r="C171" s="321"/>
      <c r="D171" s="323" t="s">
        <v>537</v>
      </c>
      <c r="E171" s="15">
        <v>26613517</v>
      </c>
      <c r="F171" s="15">
        <v>32000000</v>
      </c>
      <c r="G171" s="20">
        <f t="shared" si="79"/>
        <v>0.83167240625000005</v>
      </c>
      <c r="H171" s="12" t="s">
        <v>675</v>
      </c>
      <c r="I171" s="15">
        <v>60000</v>
      </c>
      <c r="J171" s="15">
        <f t="shared" si="81"/>
        <v>60000</v>
      </c>
      <c r="K171" s="15">
        <v>0</v>
      </c>
    </row>
    <row r="172" spans="2:11" ht="14.5" customHeight="1" x14ac:dyDescent="0.2">
      <c r="B172" s="392"/>
      <c r="C172" s="321"/>
      <c r="D172" s="323" t="s">
        <v>540</v>
      </c>
      <c r="E172" s="15">
        <v>3806320</v>
      </c>
      <c r="F172" s="15">
        <v>15500000</v>
      </c>
      <c r="G172" s="20">
        <f t="shared" si="79"/>
        <v>0.24556903225806451</v>
      </c>
      <c r="H172" s="12" t="s">
        <v>675</v>
      </c>
      <c r="I172" s="15">
        <v>0</v>
      </c>
      <c r="J172" s="15">
        <f t="shared" si="81"/>
        <v>0</v>
      </c>
      <c r="K172" s="15">
        <v>0</v>
      </c>
    </row>
    <row r="173" spans="2:11" ht="14.5" customHeight="1" x14ac:dyDescent="0.2">
      <c r="B173" s="392"/>
      <c r="C173" s="324"/>
      <c r="D173" s="324" t="s">
        <v>680</v>
      </c>
      <c r="E173" s="67">
        <f>SUM(E166:E172)</f>
        <v>95991227</v>
      </c>
      <c r="F173" s="67">
        <f>SUM(F166:F172)</f>
        <v>120500000</v>
      </c>
      <c r="G173" s="66">
        <f t="shared" si="79"/>
        <v>0.79660769294605804</v>
      </c>
      <c r="H173" s="64" t="s">
        <v>673</v>
      </c>
      <c r="I173" s="63">
        <v>0</v>
      </c>
      <c r="J173" s="63">
        <f t="shared" si="81"/>
        <v>0</v>
      </c>
      <c r="K173" s="63">
        <v>0</v>
      </c>
    </row>
    <row r="174" spans="2:11" ht="14.5" customHeight="1" x14ac:dyDescent="0.2">
      <c r="B174" s="392"/>
      <c r="C174" s="321"/>
      <c r="D174" s="323" t="s">
        <v>617</v>
      </c>
      <c r="E174" s="15">
        <v>26032010</v>
      </c>
      <c r="F174" s="15">
        <v>16000000</v>
      </c>
      <c r="G174" s="20">
        <f t="shared" si="79"/>
        <v>1.627000625</v>
      </c>
      <c r="H174" s="12" t="s">
        <v>675</v>
      </c>
      <c r="I174" s="15">
        <v>90000</v>
      </c>
      <c r="J174" s="15">
        <f t="shared" si="81"/>
        <v>90000</v>
      </c>
      <c r="K174" s="15">
        <v>0</v>
      </c>
    </row>
    <row r="175" spans="2:11" ht="14.5" customHeight="1" x14ac:dyDescent="0.2">
      <c r="B175" s="392"/>
      <c r="C175" s="321"/>
      <c r="D175" s="323" t="s">
        <v>802</v>
      </c>
      <c r="E175" s="15"/>
      <c r="F175" s="15">
        <v>0</v>
      </c>
      <c r="G175" s="20" t="e">
        <f t="shared" si="79"/>
        <v>#DIV/0!</v>
      </c>
      <c r="H175" s="12"/>
      <c r="I175" s="15">
        <v>0</v>
      </c>
      <c r="J175" s="15">
        <f t="shared" si="81"/>
        <v>0</v>
      </c>
      <c r="K175" s="15">
        <v>0</v>
      </c>
    </row>
    <row r="176" spans="2:11" ht="14.5" customHeight="1" x14ac:dyDescent="0.2">
      <c r="B176" s="392"/>
      <c r="C176" s="321"/>
      <c r="D176" s="323" t="s">
        <v>542</v>
      </c>
      <c r="E176" s="15">
        <v>1699410</v>
      </c>
      <c r="F176" s="15">
        <v>16000000</v>
      </c>
      <c r="G176" s="20">
        <f t="shared" si="79"/>
        <v>0.10621312500000001</v>
      </c>
      <c r="H176" s="12" t="s">
        <v>675</v>
      </c>
      <c r="I176" s="15">
        <v>0</v>
      </c>
      <c r="J176" s="15">
        <f t="shared" si="81"/>
        <v>0</v>
      </c>
      <c r="K176" s="15">
        <v>0</v>
      </c>
    </row>
    <row r="177" spans="2:11" ht="14.5" customHeight="1" x14ac:dyDescent="0.2">
      <c r="B177" s="392"/>
      <c r="C177" s="321"/>
      <c r="D177" s="323" t="s">
        <v>543</v>
      </c>
      <c r="E177" s="15">
        <v>2485030</v>
      </c>
      <c r="F177" s="15">
        <v>18000000</v>
      </c>
      <c r="G177" s="20">
        <f t="shared" si="79"/>
        <v>0.13805722222222222</v>
      </c>
      <c r="H177" s="12" t="s">
        <v>675</v>
      </c>
      <c r="I177" s="15">
        <v>0</v>
      </c>
      <c r="J177" s="15">
        <f t="shared" si="81"/>
        <v>0</v>
      </c>
      <c r="K177" s="15">
        <v>0</v>
      </c>
    </row>
    <row r="178" spans="2:11" ht="14.5" customHeight="1" x14ac:dyDescent="0.2">
      <c r="B178" s="392"/>
      <c r="C178" s="321"/>
      <c r="D178" s="323" t="s">
        <v>618</v>
      </c>
      <c r="E178" s="15">
        <v>8125504</v>
      </c>
      <c r="F178" s="15">
        <v>17000000</v>
      </c>
      <c r="G178" s="20">
        <f t="shared" si="79"/>
        <v>0.47797082352941178</v>
      </c>
      <c r="H178" s="12" t="s">
        <v>675</v>
      </c>
      <c r="I178" s="15">
        <v>0</v>
      </c>
      <c r="J178" s="15">
        <f t="shared" si="81"/>
        <v>0</v>
      </c>
      <c r="K178" s="15">
        <v>0</v>
      </c>
    </row>
    <row r="179" spans="2:11" ht="14.5" customHeight="1" x14ac:dyDescent="0.2">
      <c r="B179" s="392"/>
      <c r="C179" s="324"/>
      <c r="D179" s="324" t="s">
        <v>687</v>
      </c>
      <c r="E179" s="67">
        <f>SUM(E174:E178)</f>
        <v>38341954</v>
      </c>
      <c r="F179" s="67">
        <f>SUM(F174:F178)</f>
        <v>67000000</v>
      </c>
      <c r="G179" s="66">
        <f t="shared" si="79"/>
        <v>0.57226797014925368</v>
      </c>
      <c r="H179" s="64" t="s">
        <v>673</v>
      </c>
      <c r="I179" s="63">
        <v>0</v>
      </c>
      <c r="J179" s="63">
        <f t="shared" si="81"/>
        <v>0</v>
      </c>
      <c r="K179" s="63">
        <v>0</v>
      </c>
    </row>
    <row r="180" spans="2:11" ht="14.5" customHeight="1" x14ac:dyDescent="0.2">
      <c r="B180" s="392"/>
      <c r="C180" s="324"/>
      <c r="D180" s="324" t="s">
        <v>95</v>
      </c>
      <c r="E180" s="67">
        <f>SUM(E179,E173)</f>
        <v>134333181</v>
      </c>
      <c r="F180" s="67">
        <f>SUM(F179,F173)</f>
        <v>187500000</v>
      </c>
      <c r="G180" s="66">
        <f t="shared" si="79"/>
        <v>0.71644363200000005</v>
      </c>
      <c r="H180" s="64" t="s">
        <v>20</v>
      </c>
      <c r="I180" s="63">
        <v>120000</v>
      </c>
      <c r="J180" s="63">
        <f t="shared" si="81"/>
        <v>120000</v>
      </c>
      <c r="K180" s="63">
        <v>0</v>
      </c>
    </row>
    <row r="181" spans="2:11" ht="14.5" customHeight="1" x14ac:dyDescent="0.2">
      <c r="B181" s="393"/>
      <c r="C181" s="325"/>
      <c r="D181" s="325" t="s">
        <v>556</v>
      </c>
      <c r="E181" s="22">
        <f>SUM(E180)</f>
        <v>134333181</v>
      </c>
      <c r="F181" s="22">
        <f>SUM(F180)</f>
        <v>187500000</v>
      </c>
      <c r="G181" s="27">
        <f t="shared" si="79"/>
        <v>0.71644363200000005</v>
      </c>
      <c r="H181" s="42"/>
      <c r="I181" s="23">
        <f>SUM(I166:I180)</f>
        <v>360000</v>
      </c>
      <c r="J181" s="23">
        <f t="shared" ref="J181:K181" si="82">SUM(J166:J180)</f>
        <v>360000</v>
      </c>
      <c r="K181" s="23">
        <f t="shared" si="82"/>
        <v>0</v>
      </c>
    </row>
    <row r="182" spans="2:11" ht="14.5" customHeight="1" x14ac:dyDescent="0.2">
      <c r="B182" s="392" t="s">
        <v>555</v>
      </c>
      <c r="C182" s="321" t="s">
        <v>408</v>
      </c>
      <c r="D182" s="74" t="s">
        <v>330</v>
      </c>
      <c r="E182" s="15">
        <v>33455296</v>
      </c>
      <c r="F182" s="15">
        <v>14000000</v>
      </c>
      <c r="G182" s="20">
        <f t="shared" si="79"/>
        <v>2.3896639999999998</v>
      </c>
      <c r="H182" s="12" t="s">
        <v>571</v>
      </c>
      <c r="I182" s="15">
        <v>330000</v>
      </c>
      <c r="J182" s="15">
        <f t="shared" ref="J182:J189" si="83">I182</f>
        <v>330000</v>
      </c>
      <c r="K182" s="15">
        <v>0</v>
      </c>
    </row>
    <row r="183" spans="2:11" ht="14.5" customHeight="1" x14ac:dyDescent="0.2">
      <c r="B183" s="392"/>
      <c r="C183" s="321"/>
      <c r="D183" s="323" t="s">
        <v>560</v>
      </c>
      <c r="E183" s="15">
        <v>21004576</v>
      </c>
      <c r="F183" s="15">
        <v>15000000</v>
      </c>
      <c r="G183" s="20">
        <f t="shared" si="79"/>
        <v>1.4003050666666668</v>
      </c>
      <c r="H183" s="12" t="s">
        <v>675</v>
      </c>
      <c r="I183" s="15">
        <v>90000</v>
      </c>
      <c r="J183" s="15">
        <f t="shared" si="83"/>
        <v>90000</v>
      </c>
      <c r="K183" s="15">
        <v>0</v>
      </c>
    </row>
    <row r="184" spans="2:11" ht="14.5" customHeight="1" x14ac:dyDescent="0.2">
      <c r="B184" s="392"/>
      <c r="C184" s="321"/>
      <c r="D184" s="323" t="s">
        <v>562</v>
      </c>
      <c r="E184" s="15">
        <v>2843340</v>
      </c>
      <c r="F184" s="15">
        <v>10000000</v>
      </c>
      <c r="G184" s="20">
        <f t="shared" si="79"/>
        <v>0.28433399999999998</v>
      </c>
      <c r="H184" s="12" t="s">
        <v>675</v>
      </c>
      <c r="I184" s="15">
        <v>0</v>
      </c>
      <c r="J184" s="15">
        <f t="shared" si="83"/>
        <v>0</v>
      </c>
      <c r="K184" s="15">
        <v>0</v>
      </c>
    </row>
    <row r="185" spans="2:11" ht="14.5" customHeight="1" x14ac:dyDescent="0.2">
      <c r="B185" s="392"/>
      <c r="C185" s="321"/>
      <c r="D185" s="323" t="s">
        <v>561</v>
      </c>
      <c r="E185" s="15">
        <v>1289230</v>
      </c>
      <c r="F185" s="15">
        <v>15000000</v>
      </c>
      <c r="G185" s="20">
        <f t="shared" si="79"/>
        <v>8.5948666666666673E-2</v>
      </c>
      <c r="H185" s="12" t="s">
        <v>675</v>
      </c>
      <c r="I185" s="15">
        <v>0</v>
      </c>
      <c r="J185" s="15">
        <f t="shared" si="83"/>
        <v>0</v>
      </c>
      <c r="K185" s="15">
        <v>0</v>
      </c>
    </row>
    <row r="186" spans="2:11" ht="14.5" customHeight="1" x14ac:dyDescent="0.2">
      <c r="B186" s="392"/>
      <c r="C186" s="321"/>
      <c r="D186" s="323" t="s">
        <v>803</v>
      </c>
      <c r="E186" s="15">
        <v>411602</v>
      </c>
      <c r="F186" s="15">
        <v>0</v>
      </c>
      <c r="G186" s="20" t="e">
        <f t="shared" si="79"/>
        <v>#DIV/0!</v>
      </c>
      <c r="H186" s="12"/>
      <c r="I186" s="15">
        <v>0</v>
      </c>
      <c r="J186" s="15">
        <f t="shared" si="83"/>
        <v>0</v>
      </c>
      <c r="K186" s="15">
        <v>0</v>
      </c>
    </row>
    <row r="187" spans="2:11" ht="14.5" customHeight="1" x14ac:dyDescent="0.2">
      <c r="B187" s="392"/>
      <c r="C187" s="321"/>
      <c r="D187" s="323" t="s">
        <v>790</v>
      </c>
      <c r="E187" s="15">
        <v>11882857</v>
      </c>
      <c r="F187" s="15">
        <v>15000000</v>
      </c>
      <c r="G187" s="20">
        <f t="shared" si="79"/>
        <v>0.7921904666666667</v>
      </c>
      <c r="H187" s="12" t="s">
        <v>675</v>
      </c>
      <c r="I187" s="15">
        <v>0</v>
      </c>
      <c r="J187" s="15">
        <f t="shared" si="83"/>
        <v>0</v>
      </c>
      <c r="K187" s="15">
        <v>0</v>
      </c>
    </row>
    <row r="188" spans="2:11" ht="14.5" customHeight="1" x14ac:dyDescent="0.2">
      <c r="B188" s="392"/>
      <c r="C188" s="321"/>
      <c r="D188" s="323" t="s">
        <v>559</v>
      </c>
      <c r="E188" s="15">
        <v>221600</v>
      </c>
      <c r="F188" s="15">
        <v>19000000</v>
      </c>
      <c r="G188" s="20">
        <f t="shared" si="79"/>
        <v>1.1663157894736842E-2</v>
      </c>
      <c r="H188" s="12" t="s">
        <v>675</v>
      </c>
      <c r="I188" s="15">
        <v>0</v>
      </c>
      <c r="J188" s="15">
        <f t="shared" si="83"/>
        <v>0</v>
      </c>
      <c r="K188" s="15">
        <v>0</v>
      </c>
    </row>
    <row r="189" spans="2:11" ht="14.5" customHeight="1" x14ac:dyDescent="0.2">
      <c r="B189" s="393"/>
      <c r="C189" s="324"/>
      <c r="D189" s="324" t="s">
        <v>719</v>
      </c>
      <c r="E189" s="67">
        <f>SUM(E182:E188)</f>
        <v>71108501</v>
      </c>
      <c r="F189" s="67">
        <f>SUM(F182:F188)</f>
        <v>88000000</v>
      </c>
      <c r="G189" s="66">
        <f t="shared" si="79"/>
        <v>0.80805114772727271</v>
      </c>
      <c r="H189" s="64" t="s">
        <v>673</v>
      </c>
      <c r="I189" s="63">
        <v>0</v>
      </c>
      <c r="J189" s="63">
        <f t="shared" si="83"/>
        <v>0</v>
      </c>
      <c r="K189" s="63">
        <v>0</v>
      </c>
    </row>
    <row r="190" spans="2:11" ht="14.5" customHeight="1" x14ac:dyDescent="0.2">
      <c r="B190" s="326"/>
      <c r="C190" s="326"/>
      <c r="D190" s="326" t="s">
        <v>619</v>
      </c>
      <c r="E190" s="208">
        <f>SUM(E189,E181,E165)</f>
        <v>576864237</v>
      </c>
      <c r="F190" s="208">
        <f>SUM(F189,F181,F165)</f>
        <v>650500000</v>
      </c>
      <c r="G190" s="44">
        <f t="shared" si="79"/>
        <v>0.88680128670253655</v>
      </c>
      <c r="H190" s="209"/>
      <c r="I190" s="208">
        <f>SUM(I181,I165)</f>
        <v>1166000</v>
      </c>
      <c r="J190" s="208">
        <f t="shared" ref="J190:K190" si="84">SUM(J181,J165)</f>
        <v>1166000</v>
      </c>
      <c r="K190" s="208">
        <f t="shared" si="84"/>
        <v>0</v>
      </c>
    </row>
    <row r="191" spans="2:11" ht="14.5" customHeight="1" x14ac:dyDescent="0.2">
      <c r="B191" s="392" t="s">
        <v>555</v>
      </c>
      <c r="C191" s="321"/>
      <c r="D191" s="323" t="s">
        <v>842</v>
      </c>
      <c r="E191" s="15">
        <v>23000</v>
      </c>
      <c r="F191" s="15">
        <v>0</v>
      </c>
      <c r="G191" s="20" t="e">
        <f t="shared" si="79"/>
        <v>#DIV/0!</v>
      </c>
      <c r="H191" s="12" t="s">
        <v>675</v>
      </c>
      <c r="I191" s="15">
        <v>0</v>
      </c>
      <c r="J191" s="15">
        <f t="shared" ref="J191:J198" si="85">I191</f>
        <v>0</v>
      </c>
      <c r="K191" s="15">
        <v>0</v>
      </c>
    </row>
    <row r="192" spans="2:11" ht="14.5" customHeight="1" x14ac:dyDescent="0.2">
      <c r="B192" s="392"/>
      <c r="C192" s="321"/>
      <c r="D192" s="323" t="s">
        <v>563</v>
      </c>
      <c r="E192" s="15">
        <v>1090726</v>
      </c>
      <c r="F192" s="15">
        <v>8000000</v>
      </c>
      <c r="G192" s="20">
        <f t="shared" si="79"/>
        <v>0.13634075000000001</v>
      </c>
      <c r="H192" s="12" t="s">
        <v>675</v>
      </c>
      <c r="I192" s="15">
        <v>0</v>
      </c>
      <c r="J192" s="15">
        <f t="shared" si="85"/>
        <v>0</v>
      </c>
      <c r="K192" s="15">
        <v>0</v>
      </c>
    </row>
    <row r="193" spans="2:11" ht="14.5" customHeight="1" x14ac:dyDescent="0.2">
      <c r="B193" s="392"/>
      <c r="C193" s="321"/>
      <c r="D193" s="323" t="s">
        <v>804</v>
      </c>
      <c r="E193" s="15"/>
      <c r="F193" s="15">
        <v>0</v>
      </c>
      <c r="G193" s="20" t="e">
        <f t="shared" si="79"/>
        <v>#DIV/0!</v>
      </c>
      <c r="H193" s="12"/>
      <c r="I193" s="15">
        <v>0</v>
      </c>
      <c r="J193" s="15">
        <f t="shared" si="85"/>
        <v>0</v>
      </c>
      <c r="K193" s="15">
        <v>0</v>
      </c>
    </row>
    <row r="194" spans="2:11" ht="14.5" customHeight="1" x14ac:dyDescent="0.2">
      <c r="B194" s="392"/>
      <c r="C194" s="321"/>
      <c r="D194" s="323" t="s">
        <v>565</v>
      </c>
      <c r="E194" s="15">
        <v>6652030</v>
      </c>
      <c r="F194" s="15">
        <v>2500000</v>
      </c>
      <c r="G194" s="20">
        <f t="shared" si="79"/>
        <v>2.660812</v>
      </c>
      <c r="H194" s="12" t="s">
        <v>675</v>
      </c>
      <c r="I194" s="15">
        <v>90000</v>
      </c>
      <c r="J194" s="15">
        <f t="shared" si="85"/>
        <v>90000</v>
      </c>
      <c r="K194" s="15">
        <v>0</v>
      </c>
    </row>
    <row r="195" spans="2:11" ht="14.5" customHeight="1" x14ac:dyDescent="0.2">
      <c r="B195" s="392"/>
      <c r="C195" s="321"/>
      <c r="D195" s="323" t="s">
        <v>843</v>
      </c>
      <c r="E195" s="15">
        <v>4930880</v>
      </c>
      <c r="F195" s="15">
        <v>6000000</v>
      </c>
      <c r="G195" s="20">
        <f t="shared" si="79"/>
        <v>0.82181333333333328</v>
      </c>
      <c r="H195" s="12" t="s">
        <v>675</v>
      </c>
      <c r="I195" s="15">
        <v>60000</v>
      </c>
      <c r="J195" s="15">
        <f t="shared" si="85"/>
        <v>60000</v>
      </c>
      <c r="K195" s="15">
        <v>0</v>
      </c>
    </row>
    <row r="196" spans="2:11" ht="14.5" customHeight="1" x14ac:dyDescent="0.2">
      <c r="B196" s="392"/>
      <c r="C196" s="321"/>
      <c r="D196" s="323" t="s">
        <v>564</v>
      </c>
      <c r="E196" s="15">
        <v>1268200</v>
      </c>
      <c r="F196" s="15">
        <v>6000000</v>
      </c>
      <c r="G196" s="20">
        <f t="shared" si="79"/>
        <v>0.21136666666666667</v>
      </c>
      <c r="H196" s="12" t="s">
        <v>675</v>
      </c>
      <c r="I196" s="15">
        <v>0</v>
      </c>
      <c r="J196" s="15">
        <f t="shared" si="85"/>
        <v>0</v>
      </c>
      <c r="K196" s="15">
        <v>0</v>
      </c>
    </row>
    <row r="197" spans="2:11" ht="14.5" customHeight="1" x14ac:dyDescent="0.2">
      <c r="B197" s="392"/>
      <c r="C197" s="324"/>
      <c r="D197" s="324" t="s">
        <v>726</v>
      </c>
      <c r="E197" s="67">
        <f>SUM(E191:E196)</f>
        <v>13964836</v>
      </c>
      <c r="F197" s="67">
        <f>SUM(F191:F196)</f>
        <v>22500000</v>
      </c>
      <c r="G197" s="66">
        <f t="shared" si="79"/>
        <v>0.6206593777777778</v>
      </c>
      <c r="H197" s="64" t="s">
        <v>673</v>
      </c>
      <c r="I197" s="63">
        <v>0</v>
      </c>
      <c r="J197" s="63">
        <f t="shared" si="85"/>
        <v>0</v>
      </c>
      <c r="K197" s="63">
        <v>0</v>
      </c>
    </row>
    <row r="198" spans="2:11" ht="14.5" customHeight="1" x14ac:dyDescent="0.2">
      <c r="B198" s="392"/>
      <c r="C198" s="324"/>
      <c r="D198" s="324" t="s">
        <v>155</v>
      </c>
      <c r="E198" s="67">
        <f>SUM(E197,E189)</f>
        <v>85073337</v>
      </c>
      <c r="F198" s="67">
        <f>SUM(F197,F189)</f>
        <v>110500000</v>
      </c>
      <c r="G198" s="66">
        <f t="shared" si="79"/>
        <v>0.76989445248868782</v>
      </c>
      <c r="H198" s="64" t="s">
        <v>20</v>
      </c>
      <c r="I198" s="63">
        <v>120000</v>
      </c>
      <c r="J198" s="63">
        <f t="shared" si="85"/>
        <v>120000</v>
      </c>
      <c r="K198" s="63">
        <v>0</v>
      </c>
    </row>
    <row r="199" spans="2:11" ht="14.5" customHeight="1" x14ac:dyDescent="0.2">
      <c r="B199" s="393"/>
      <c r="C199" s="325"/>
      <c r="D199" s="325" t="s">
        <v>558</v>
      </c>
      <c r="E199" s="22">
        <f>SUM(E198)</f>
        <v>85073337</v>
      </c>
      <c r="F199" s="22">
        <f>SUM(F198)</f>
        <v>110500000</v>
      </c>
      <c r="G199" s="27">
        <f t="shared" si="79"/>
        <v>0.76989445248868782</v>
      </c>
      <c r="H199" s="42"/>
      <c r="I199" s="23">
        <f>SUM(I191:I198,I182:I189)</f>
        <v>690000</v>
      </c>
      <c r="J199" s="23">
        <f>SUM(J191:J198,J182:J189)</f>
        <v>690000</v>
      </c>
      <c r="K199" s="23">
        <f>SUM(K191:K198,K182:K189)</f>
        <v>0</v>
      </c>
    </row>
    <row r="200" spans="2:11" ht="14.5" customHeight="1" x14ac:dyDescent="0.2">
      <c r="B200" s="395" t="s">
        <v>554</v>
      </c>
      <c r="C200" s="321"/>
      <c r="D200" s="323" t="s">
        <v>550</v>
      </c>
      <c r="E200" s="15">
        <v>969022</v>
      </c>
      <c r="F200" s="15">
        <v>10000000</v>
      </c>
      <c r="G200" s="20">
        <f t="shared" si="79"/>
        <v>9.6902199999999994E-2</v>
      </c>
      <c r="H200" s="12" t="s">
        <v>675</v>
      </c>
      <c r="I200" s="15">
        <v>0</v>
      </c>
      <c r="J200" s="15">
        <f t="shared" ref="J200:J214" si="86">I200</f>
        <v>0</v>
      </c>
      <c r="K200" s="15">
        <v>0</v>
      </c>
    </row>
    <row r="201" spans="2:11" ht="14.5" customHeight="1" x14ac:dyDescent="0.2">
      <c r="B201" s="392"/>
      <c r="C201" s="321"/>
      <c r="D201" s="323" t="s">
        <v>900</v>
      </c>
      <c r="E201" s="15">
        <v>368280</v>
      </c>
      <c r="F201" s="15">
        <v>0</v>
      </c>
      <c r="G201" s="20" t="e">
        <f t="shared" si="79"/>
        <v>#DIV/0!</v>
      </c>
      <c r="H201" s="12"/>
      <c r="I201" s="15">
        <v>0</v>
      </c>
      <c r="J201" s="15">
        <f t="shared" si="86"/>
        <v>0</v>
      </c>
      <c r="K201" s="15">
        <v>0</v>
      </c>
    </row>
    <row r="202" spans="2:11" ht="14.5" customHeight="1" x14ac:dyDescent="0.2">
      <c r="B202" s="392"/>
      <c r="C202" s="321"/>
      <c r="D202" s="323" t="s">
        <v>551</v>
      </c>
      <c r="E202" s="15">
        <v>1951400</v>
      </c>
      <c r="F202" s="15">
        <v>5000000</v>
      </c>
      <c r="G202" s="20">
        <f t="shared" si="79"/>
        <v>0.39028000000000002</v>
      </c>
      <c r="H202" s="12" t="s">
        <v>675</v>
      </c>
      <c r="I202" s="15">
        <v>0</v>
      </c>
      <c r="J202" s="15">
        <f t="shared" si="86"/>
        <v>0</v>
      </c>
      <c r="K202" s="15">
        <v>0</v>
      </c>
    </row>
    <row r="203" spans="2:11" ht="14.5" customHeight="1" x14ac:dyDescent="0.2">
      <c r="B203" s="392"/>
      <c r="C203" s="321"/>
      <c r="D203" s="323" t="s">
        <v>548</v>
      </c>
      <c r="E203" s="15">
        <v>335290</v>
      </c>
      <c r="F203" s="15">
        <v>10000000</v>
      </c>
      <c r="G203" s="20">
        <f t="shared" si="79"/>
        <v>3.3529000000000003E-2</v>
      </c>
      <c r="H203" s="12" t="s">
        <v>675</v>
      </c>
      <c r="I203" s="15">
        <v>0</v>
      </c>
      <c r="J203" s="15">
        <f t="shared" si="86"/>
        <v>0</v>
      </c>
      <c r="K203" s="15">
        <v>0</v>
      </c>
    </row>
    <row r="204" spans="2:11" ht="14.5" customHeight="1" x14ac:dyDescent="0.2">
      <c r="B204" s="392"/>
      <c r="C204" s="321"/>
      <c r="D204" s="323" t="s">
        <v>549</v>
      </c>
      <c r="E204" s="15">
        <v>8713478</v>
      </c>
      <c r="F204" s="15">
        <v>10000000</v>
      </c>
      <c r="G204" s="20">
        <f t="shared" si="79"/>
        <v>0.87134780000000001</v>
      </c>
      <c r="H204" s="12" t="s">
        <v>675</v>
      </c>
      <c r="I204" s="15">
        <v>60000</v>
      </c>
      <c r="J204" s="15">
        <f t="shared" si="86"/>
        <v>60000</v>
      </c>
      <c r="K204" s="15">
        <v>0</v>
      </c>
    </row>
    <row r="205" spans="2:11" ht="14.5" customHeight="1" x14ac:dyDescent="0.2">
      <c r="B205" s="392"/>
      <c r="C205" s="324"/>
      <c r="D205" s="324" t="s">
        <v>708</v>
      </c>
      <c r="E205" s="67">
        <f>SUM(E200:E204)</f>
        <v>12337470</v>
      </c>
      <c r="F205" s="67">
        <f>SUM(F200:F204)</f>
        <v>35000000</v>
      </c>
      <c r="G205" s="66">
        <f t="shared" si="79"/>
        <v>0.35249914285714284</v>
      </c>
      <c r="H205" s="64" t="s">
        <v>673</v>
      </c>
      <c r="I205" s="63">
        <v>0</v>
      </c>
      <c r="J205" s="63">
        <f t="shared" si="86"/>
        <v>0</v>
      </c>
      <c r="K205" s="63">
        <v>0</v>
      </c>
    </row>
    <row r="206" spans="2:11" ht="14.5" customHeight="1" x14ac:dyDescent="0.2">
      <c r="B206" s="392"/>
      <c r="C206" s="321" t="s">
        <v>407</v>
      </c>
      <c r="D206" s="12" t="s">
        <v>326</v>
      </c>
      <c r="E206" s="15">
        <v>27411956</v>
      </c>
      <c r="F206" s="15">
        <v>9000000</v>
      </c>
      <c r="G206" s="20">
        <f t="shared" si="79"/>
        <v>3.0457728888888891</v>
      </c>
      <c r="H206" s="12" t="s">
        <v>571</v>
      </c>
      <c r="I206" s="15">
        <v>330000</v>
      </c>
      <c r="J206" s="15">
        <f t="shared" si="86"/>
        <v>330000</v>
      </c>
      <c r="K206" s="15">
        <v>0</v>
      </c>
    </row>
    <row r="207" spans="2:11" ht="14.5" customHeight="1" x14ac:dyDescent="0.2">
      <c r="B207" s="392"/>
      <c r="C207" s="321"/>
      <c r="D207" s="323" t="s">
        <v>553</v>
      </c>
      <c r="E207" s="15">
        <v>15850</v>
      </c>
      <c r="F207" s="15">
        <v>10000000</v>
      </c>
      <c r="G207" s="20">
        <f t="shared" si="79"/>
        <v>1.585E-3</v>
      </c>
      <c r="H207" s="12" t="s">
        <v>675</v>
      </c>
      <c r="I207" s="15">
        <v>0</v>
      </c>
      <c r="J207" s="15">
        <f t="shared" si="86"/>
        <v>0</v>
      </c>
      <c r="K207" s="15">
        <v>0</v>
      </c>
    </row>
    <row r="208" spans="2:11" ht="14.5" customHeight="1" x14ac:dyDescent="0.2">
      <c r="B208" s="392"/>
      <c r="C208" s="321"/>
      <c r="D208" s="323" t="s">
        <v>552</v>
      </c>
      <c r="E208" s="15">
        <v>-134500</v>
      </c>
      <c r="F208" s="15">
        <v>10000000</v>
      </c>
      <c r="G208" s="20">
        <f t="shared" si="79"/>
        <v>-1.345E-2</v>
      </c>
      <c r="H208" s="12" t="s">
        <v>675</v>
      </c>
      <c r="I208" s="15">
        <v>0</v>
      </c>
      <c r="J208" s="15">
        <f t="shared" si="86"/>
        <v>0</v>
      </c>
      <c r="K208" s="15">
        <v>0</v>
      </c>
    </row>
    <row r="209" spans="2:11" ht="14.5" customHeight="1" x14ac:dyDescent="0.2">
      <c r="B209" s="392"/>
      <c r="C209" s="321"/>
      <c r="D209" s="323" t="s">
        <v>620</v>
      </c>
      <c r="E209" s="15">
        <v>2750</v>
      </c>
      <c r="F209" s="15">
        <v>10000000</v>
      </c>
      <c r="G209" s="20">
        <f t="shared" si="79"/>
        <v>2.7500000000000002E-4</v>
      </c>
      <c r="H209" s="12" t="s">
        <v>675</v>
      </c>
      <c r="I209" s="15">
        <v>0</v>
      </c>
      <c r="J209" s="15">
        <f t="shared" si="86"/>
        <v>0</v>
      </c>
      <c r="K209" s="15">
        <v>0</v>
      </c>
    </row>
    <row r="210" spans="2:11" ht="14.5" customHeight="1" x14ac:dyDescent="0.2">
      <c r="B210" s="392"/>
      <c r="C210" s="321"/>
      <c r="D210" s="323" t="s">
        <v>216</v>
      </c>
      <c r="E210" s="15">
        <v>901800</v>
      </c>
      <c r="F210" s="15">
        <v>10000000</v>
      </c>
      <c r="G210" s="20">
        <f t="shared" si="79"/>
        <v>9.0179999999999996E-2</v>
      </c>
      <c r="H210" s="12" t="s">
        <v>675</v>
      </c>
      <c r="I210" s="15">
        <v>0</v>
      </c>
      <c r="J210" s="15">
        <f t="shared" si="86"/>
        <v>0</v>
      </c>
      <c r="K210" s="15">
        <v>0</v>
      </c>
    </row>
    <row r="211" spans="2:11" ht="14.5" customHeight="1" x14ac:dyDescent="0.2">
      <c r="B211" s="392"/>
      <c r="C211" s="321"/>
      <c r="D211" s="323" t="s">
        <v>805</v>
      </c>
      <c r="E211" s="15">
        <v>1498320</v>
      </c>
      <c r="F211" s="15">
        <v>0</v>
      </c>
      <c r="G211" s="20" t="e">
        <f t="shared" si="79"/>
        <v>#DIV/0!</v>
      </c>
      <c r="H211" s="12"/>
      <c r="I211" s="15">
        <v>0</v>
      </c>
      <c r="J211" s="15">
        <f t="shared" si="86"/>
        <v>0</v>
      </c>
      <c r="K211" s="15">
        <v>0</v>
      </c>
    </row>
    <row r="212" spans="2:11" ht="14.5" customHeight="1" x14ac:dyDescent="0.2">
      <c r="B212" s="392"/>
      <c r="C212" s="321"/>
      <c r="D212" s="323" t="s">
        <v>844</v>
      </c>
      <c r="E212" s="15">
        <v>10000</v>
      </c>
      <c r="F212" s="15">
        <v>4000000</v>
      </c>
      <c r="G212" s="20">
        <f t="shared" si="79"/>
        <v>2.5000000000000001E-3</v>
      </c>
      <c r="H212" s="12" t="s">
        <v>675</v>
      </c>
      <c r="I212" s="15">
        <v>0</v>
      </c>
      <c r="J212" s="15">
        <f t="shared" si="86"/>
        <v>0</v>
      </c>
      <c r="K212" s="15">
        <v>0</v>
      </c>
    </row>
    <row r="213" spans="2:11" ht="14.5" customHeight="1" x14ac:dyDescent="0.2">
      <c r="B213" s="392"/>
      <c r="C213" s="324"/>
      <c r="D213" s="324" t="s">
        <v>715</v>
      </c>
      <c r="E213" s="67">
        <f>SUM(E206:E212)</f>
        <v>29706176</v>
      </c>
      <c r="F213" s="67">
        <f>SUM(F206:F212)</f>
        <v>53000000</v>
      </c>
      <c r="G213" s="66">
        <f t="shared" ref="G213:G260" si="87">E213/F213*100%</f>
        <v>0.56049388679245282</v>
      </c>
      <c r="H213" s="64" t="s">
        <v>673</v>
      </c>
      <c r="I213" s="63">
        <v>0</v>
      </c>
      <c r="J213" s="63">
        <f t="shared" si="86"/>
        <v>0</v>
      </c>
      <c r="K213" s="63">
        <v>0</v>
      </c>
    </row>
    <row r="214" spans="2:11" ht="14.5" customHeight="1" x14ac:dyDescent="0.2">
      <c r="B214" s="392"/>
      <c r="C214" s="324"/>
      <c r="D214" s="324" t="s">
        <v>74</v>
      </c>
      <c r="E214" s="67">
        <f>SUM(E213,E205)</f>
        <v>42043646</v>
      </c>
      <c r="F214" s="67">
        <f>SUM(F213,F205)</f>
        <v>88000000</v>
      </c>
      <c r="G214" s="66">
        <f t="shared" si="87"/>
        <v>0.47776870454545456</v>
      </c>
      <c r="H214" s="64" t="s">
        <v>20</v>
      </c>
      <c r="I214" s="63">
        <v>0</v>
      </c>
      <c r="J214" s="63">
        <f t="shared" si="86"/>
        <v>0</v>
      </c>
      <c r="K214" s="63">
        <v>0</v>
      </c>
    </row>
    <row r="215" spans="2:11" ht="14.5" customHeight="1" x14ac:dyDescent="0.2">
      <c r="B215" s="393"/>
      <c r="C215" s="325"/>
      <c r="D215" s="325" t="s">
        <v>557</v>
      </c>
      <c r="E215" s="22">
        <f>SUM(E214)</f>
        <v>42043646</v>
      </c>
      <c r="F215" s="22">
        <f>SUM(F214)</f>
        <v>88000000</v>
      </c>
      <c r="G215" s="27">
        <f t="shared" si="87"/>
        <v>0.47776870454545456</v>
      </c>
      <c r="H215" s="42"/>
      <c r="I215" s="23">
        <f>SUM(I200:I214)</f>
        <v>390000</v>
      </c>
      <c r="J215" s="23">
        <f>SUM(J200:J214)</f>
        <v>390000</v>
      </c>
      <c r="K215" s="23">
        <f>SUM(K200:K214)</f>
        <v>0</v>
      </c>
    </row>
    <row r="216" spans="2:11" ht="14.5" customHeight="1" x14ac:dyDescent="0.2">
      <c r="B216" s="395" t="s">
        <v>621</v>
      </c>
      <c r="C216" s="321"/>
      <c r="D216" s="323" t="s">
        <v>623</v>
      </c>
      <c r="E216" s="15"/>
      <c r="F216" s="15">
        <v>2000000</v>
      </c>
      <c r="G216" s="20">
        <f t="shared" si="87"/>
        <v>0</v>
      </c>
      <c r="H216" s="12" t="s">
        <v>675</v>
      </c>
      <c r="I216" s="15">
        <v>0</v>
      </c>
      <c r="J216" s="15">
        <f t="shared" ref="J216:J219" si="88">I216</f>
        <v>0</v>
      </c>
      <c r="K216" s="15">
        <v>0</v>
      </c>
    </row>
    <row r="217" spans="2:11" ht="14.5" customHeight="1" x14ac:dyDescent="0.2">
      <c r="B217" s="392"/>
      <c r="C217" s="321"/>
      <c r="D217" s="323" t="s">
        <v>624</v>
      </c>
      <c r="E217" s="15">
        <v>2063656</v>
      </c>
      <c r="F217" s="15">
        <v>3000000</v>
      </c>
      <c r="G217" s="20">
        <f t="shared" si="87"/>
        <v>0.68788533333333335</v>
      </c>
      <c r="H217" s="12" t="s">
        <v>675</v>
      </c>
      <c r="I217" s="15">
        <v>0</v>
      </c>
      <c r="J217" s="15">
        <f t="shared" si="88"/>
        <v>0</v>
      </c>
      <c r="K217" s="15">
        <v>0</v>
      </c>
    </row>
    <row r="218" spans="2:11" ht="14.5" customHeight="1" x14ac:dyDescent="0.2">
      <c r="B218" s="392"/>
      <c r="C218" s="321"/>
      <c r="D218" s="323" t="s">
        <v>845</v>
      </c>
      <c r="E218" s="15">
        <v>-127050</v>
      </c>
      <c r="F218" s="15">
        <v>3000000</v>
      </c>
      <c r="G218" s="20">
        <f t="shared" si="87"/>
        <v>-4.2349999999999999E-2</v>
      </c>
      <c r="H218" s="12" t="s">
        <v>675</v>
      </c>
      <c r="I218" s="15">
        <v>0</v>
      </c>
      <c r="J218" s="15">
        <f t="shared" si="88"/>
        <v>0</v>
      </c>
      <c r="K218" s="15">
        <v>0</v>
      </c>
    </row>
    <row r="219" spans="2:11" ht="14.5" customHeight="1" x14ac:dyDescent="0.2">
      <c r="B219" s="392"/>
      <c r="C219" s="324"/>
      <c r="D219" s="324" t="s">
        <v>730</v>
      </c>
      <c r="E219" s="67">
        <f>SUM(E216:E218)</f>
        <v>1936606</v>
      </c>
      <c r="F219" s="67">
        <f>SUM(F216:F218)</f>
        <v>8000000</v>
      </c>
      <c r="G219" s="66">
        <f t="shared" si="87"/>
        <v>0.24207575000000001</v>
      </c>
      <c r="H219" s="64" t="s">
        <v>673</v>
      </c>
      <c r="I219" s="63">
        <v>0</v>
      </c>
      <c r="J219" s="63">
        <f t="shared" si="88"/>
        <v>0</v>
      </c>
      <c r="K219" s="63">
        <v>0</v>
      </c>
    </row>
    <row r="220" spans="2:11" ht="14.5" customHeight="1" x14ac:dyDescent="0.2">
      <c r="B220" s="393"/>
      <c r="C220" s="325"/>
      <c r="D220" s="325" t="s">
        <v>622</v>
      </c>
      <c r="E220" s="22">
        <f>SUM(E219)</f>
        <v>1936606</v>
      </c>
      <c r="F220" s="22">
        <f>SUM(F219)</f>
        <v>8000000</v>
      </c>
      <c r="G220" s="27">
        <f t="shared" si="87"/>
        <v>0.24207575000000001</v>
      </c>
      <c r="H220" s="42"/>
      <c r="I220" s="23">
        <f>SUM(I216:I219)</f>
        <v>0</v>
      </c>
      <c r="J220" s="23">
        <f>SUM(J216:J219)</f>
        <v>0</v>
      </c>
      <c r="K220" s="23">
        <f>SUM(K216:K219)</f>
        <v>0</v>
      </c>
    </row>
    <row r="221" spans="2:11" ht="14.5" customHeight="1" x14ac:dyDescent="0.2">
      <c r="B221" s="395" t="s">
        <v>625</v>
      </c>
      <c r="C221" s="321"/>
      <c r="D221" s="323" t="s">
        <v>626</v>
      </c>
      <c r="E221" s="15">
        <v>-123418</v>
      </c>
      <c r="F221" s="15">
        <v>3000000</v>
      </c>
      <c r="G221" s="20">
        <f t="shared" si="87"/>
        <v>-4.1139333333333333E-2</v>
      </c>
      <c r="H221" s="12" t="s">
        <v>675</v>
      </c>
      <c r="I221" s="15">
        <v>0</v>
      </c>
      <c r="J221" s="15">
        <f t="shared" ref="J221:J224" si="89">I221</f>
        <v>0</v>
      </c>
      <c r="K221" s="15">
        <v>0</v>
      </c>
    </row>
    <row r="222" spans="2:11" ht="14.5" customHeight="1" x14ac:dyDescent="0.2">
      <c r="B222" s="392"/>
      <c r="C222" s="321"/>
      <c r="D222" s="323" t="s">
        <v>627</v>
      </c>
      <c r="E222" s="15">
        <v>130800</v>
      </c>
      <c r="F222" s="15">
        <v>2000000</v>
      </c>
      <c r="G222" s="20">
        <f t="shared" si="87"/>
        <v>6.54E-2</v>
      </c>
      <c r="H222" s="12" t="s">
        <v>675</v>
      </c>
      <c r="I222" s="15">
        <v>0</v>
      </c>
      <c r="J222" s="15">
        <f t="shared" si="89"/>
        <v>0</v>
      </c>
      <c r="K222" s="15">
        <v>0</v>
      </c>
    </row>
    <row r="223" spans="2:11" ht="14.5" customHeight="1" x14ac:dyDescent="0.2">
      <c r="B223" s="392"/>
      <c r="C223" s="321"/>
      <c r="D223" s="323" t="s">
        <v>846</v>
      </c>
      <c r="E223" s="15">
        <v>-15500</v>
      </c>
      <c r="F223" s="15">
        <v>3000000</v>
      </c>
      <c r="G223" s="20">
        <f t="shared" si="87"/>
        <v>-5.1666666666666666E-3</v>
      </c>
      <c r="H223" s="12" t="s">
        <v>675</v>
      </c>
      <c r="I223" s="15">
        <v>0</v>
      </c>
      <c r="J223" s="15">
        <f t="shared" si="89"/>
        <v>0</v>
      </c>
      <c r="K223" s="15">
        <v>0</v>
      </c>
    </row>
    <row r="224" spans="2:11" ht="14.5" customHeight="1" x14ac:dyDescent="0.2">
      <c r="B224" s="392"/>
      <c r="C224" s="324"/>
      <c r="D224" s="324" t="s">
        <v>732</v>
      </c>
      <c r="E224" s="67">
        <f>SUM(E221:E223)</f>
        <v>-8118</v>
      </c>
      <c r="F224" s="67">
        <f>SUM(F221:F223)</f>
        <v>8000000</v>
      </c>
      <c r="G224" s="66">
        <f t="shared" si="87"/>
        <v>-1.01475E-3</v>
      </c>
      <c r="H224" s="64" t="s">
        <v>673</v>
      </c>
      <c r="I224" s="63">
        <v>0</v>
      </c>
      <c r="J224" s="63">
        <f t="shared" si="89"/>
        <v>0</v>
      </c>
      <c r="K224" s="63">
        <v>0</v>
      </c>
    </row>
    <row r="225" spans="2:11" ht="14.5" customHeight="1" x14ac:dyDescent="0.2">
      <c r="B225" s="393"/>
      <c r="C225" s="325"/>
      <c r="D225" s="325" t="s">
        <v>628</v>
      </c>
      <c r="E225" s="22">
        <f>SUM(E224)</f>
        <v>-8118</v>
      </c>
      <c r="F225" s="22">
        <f>SUM(F224)</f>
        <v>8000000</v>
      </c>
      <c r="G225" s="27">
        <f t="shared" si="87"/>
        <v>-1.01475E-3</v>
      </c>
      <c r="H225" s="42"/>
      <c r="I225" s="23">
        <f>SUM(I221:I224)</f>
        <v>0</v>
      </c>
      <c r="J225" s="23">
        <f>SUM(J221:J224)</f>
        <v>0</v>
      </c>
      <c r="K225" s="23">
        <f>SUM(K221:K224)</f>
        <v>0</v>
      </c>
    </row>
    <row r="226" spans="2:11" ht="14.5" customHeight="1" x14ac:dyDescent="0.2">
      <c r="B226" s="326"/>
      <c r="C226" s="326"/>
      <c r="D226" s="326" t="s">
        <v>629</v>
      </c>
      <c r="E226" s="208">
        <f>SUM(E225,E220,E215,E197)</f>
        <v>57936970</v>
      </c>
      <c r="F226" s="208">
        <f>SUM(F225,F220,F215,F197)</f>
        <v>126500000</v>
      </c>
      <c r="G226" s="44">
        <f t="shared" si="87"/>
        <v>0.45799976284584981</v>
      </c>
      <c r="H226" s="209"/>
      <c r="I226" s="208">
        <f>SUM(I225,I220,I215,I199)</f>
        <v>1080000</v>
      </c>
      <c r="J226" s="208">
        <f>SUM(J225,J220,J215,J199)</f>
        <v>1080000</v>
      </c>
      <c r="K226" s="208">
        <f>SUM(K225,K220,K215,K199)</f>
        <v>0</v>
      </c>
    </row>
    <row r="227" spans="2:11" ht="14.5" customHeight="1" x14ac:dyDescent="0.2">
      <c r="B227" s="395" t="s">
        <v>603</v>
      </c>
      <c r="C227" s="321" t="s">
        <v>406</v>
      </c>
      <c r="D227" s="321" t="s">
        <v>895</v>
      </c>
      <c r="E227" s="15"/>
      <c r="F227" s="15">
        <v>0</v>
      </c>
      <c r="G227" s="20" t="e">
        <f t="shared" si="87"/>
        <v>#DIV/0!</v>
      </c>
      <c r="H227" s="12" t="s">
        <v>571</v>
      </c>
      <c r="I227" s="15">
        <v>0</v>
      </c>
      <c r="J227" s="15">
        <f t="shared" ref="J227:J241" si="90">I227</f>
        <v>0</v>
      </c>
      <c r="K227" s="15">
        <v>0</v>
      </c>
    </row>
    <row r="228" spans="2:11" ht="14.5" customHeight="1" x14ac:dyDescent="0.2">
      <c r="B228" s="392"/>
      <c r="C228" s="321"/>
      <c r="D228" s="323" t="s">
        <v>544</v>
      </c>
      <c r="E228" s="15">
        <v>8662556</v>
      </c>
      <c r="F228" s="15">
        <v>16000000</v>
      </c>
      <c r="G228" s="20">
        <f t="shared" si="87"/>
        <v>0.54140975000000002</v>
      </c>
      <c r="H228" s="12" t="s">
        <v>675</v>
      </c>
      <c r="I228" s="15">
        <v>0</v>
      </c>
      <c r="J228" s="15">
        <f t="shared" si="90"/>
        <v>0</v>
      </c>
      <c r="K228" s="15">
        <v>0</v>
      </c>
    </row>
    <row r="229" spans="2:11" ht="14.5" customHeight="1" x14ac:dyDescent="0.2">
      <c r="B229" s="392"/>
      <c r="C229" s="321"/>
      <c r="D229" s="323" t="s">
        <v>545</v>
      </c>
      <c r="E229" s="15">
        <v>2763320</v>
      </c>
      <c r="F229" s="15">
        <v>16000000</v>
      </c>
      <c r="G229" s="20">
        <f t="shared" si="87"/>
        <v>0.17270750000000001</v>
      </c>
      <c r="H229" s="12" t="s">
        <v>675</v>
      </c>
      <c r="I229" s="15">
        <v>0</v>
      </c>
      <c r="J229" s="15">
        <f t="shared" si="90"/>
        <v>0</v>
      </c>
      <c r="K229" s="15">
        <v>0</v>
      </c>
    </row>
    <row r="230" spans="2:11" ht="14.5" customHeight="1" x14ac:dyDescent="0.2">
      <c r="B230" s="392"/>
      <c r="C230" s="321"/>
      <c r="D230" s="323" t="s">
        <v>806</v>
      </c>
      <c r="E230" s="15">
        <v>2648112</v>
      </c>
      <c r="F230" s="15">
        <v>0</v>
      </c>
      <c r="G230" s="20" t="e">
        <f t="shared" si="87"/>
        <v>#DIV/0!</v>
      </c>
      <c r="H230" s="12"/>
      <c r="I230" s="15">
        <v>0</v>
      </c>
      <c r="J230" s="15">
        <f t="shared" si="90"/>
        <v>0</v>
      </c>
      <c r="K230" s="15">
        <v>0</v>
      </c>
    </row>
    <row r="231" spans="2:11" ht="14.5" customHeight="1" x14ac:dyDescent="0.2">
      <c r="B231" s="392"/>
      <c r="C231" s="321"/>
      <c r="D231" s="323" t="s">
        <v>630</v>
      </c>
      <c r="E231" s="15">
        <v>3820930</v>
      </c>
      <c r="F231" s="15">
        <v>16000000</v>
      </c>
      <c r="G231" s="20">
        <f t="shared" si="87"/>
        <v>0.23880812500000001</v>
      </c>
      <c r="H231" s="12" t="s">
        <v>675</v>
      </c>
      <c r="I231" s="15">
        <v>0</v>
      </c>
      <c r="J231" s="15">
        <f t="shared" si="90"/>
        <v>0</v>
      </c>
      <c r="K231" s="15">
        <v>0</v>
      </c>
    </row>
    <row r="232" spans="2:11" ht="14.5" customHeight="1" x14ac:dyDescent="0.2">
      <c r="B232" s="392"/>
      <c r="C232" s="321"/>
      <c r="D232" s="323" t="s">
        <v>546</v>
      </c>
      <c r="E232" s="15">
        <v>7569536</v>
      </c>
      <c r="F232" s="15">
        <v>16000000</v>
      </c>
      <c r="G232" s="20">
        <f t="shared" si="87"/>
        <v>0.47309600000000002</v>
      </c>
      <c r="H232" s="12" t="s">
        <v>675</v>
      </c>
      <c r="I232" s="15">
        <v>0</v>
      </c>
      <c r="J232" s="15">
        <f t="shared" si="90"/>
        <v>0</v>
      </c>
      <c r="K232" s="15">
        <v>0</v>
      </c>
    </row>
    <row r="233" spans="2:11" ht="14.5" customHeight="1" x14ac:dyDescent="0.2">
      <c r="B233" s="392"/>
      <c r="C233" s="321"/>
      <c r="D233" s="323" t="s">
        <v>547</v>
      </c>
      <c r="E233" s="15">
        <v>17196500</v>
      </c>
      <c r="F233" s="15">
        <v>17000000</v>
      </c>
      <c r="G233" s="20">
        <f t="shared" si="87"/>
        <v>1.0115588235294117</v>
      </c>
      <c r="H233" s="12" t="s">
        <v>675</v>
      </c>
      <c r="I233" s="15">
        <v>90000</v>
      </c>
      <c r="J233" s="15">
        <f t="shared" si="90"/>
        <v>90000</v>
      </c>
      <c r="K233" s="15">
        <v>0</v>
      </c>
    </row>
    <row r="234" spans="2:11" ht="14.5" customHeight="1" x14ac:dyDescent="0.2">
      <c r="B234" s="392"/>
      <c r="C234" s="324"/>
      <c r="D234" s="324" t="s">
        <v>694</v>
      </c>
      <c r="E234" s="67">
        <f>SUM(E227:E233)</f>
        <v>42660954</v>
      </c>
      <c r="F234" s="67">
        <f>SUM(F227:F233)</f>
        <v>81000000</v>
      </c>
      <c r="G234" s="66">
        <f t="shared" si="87"/>
        <v>0.52667844444444445</v>
      </c>
      <c r="H234" s="64" t="s">
        <v>673</v>
      </c>
      <c r="I234" s="63">
        <v>0</v>
      </c>
      <c r="J234" s="63">
        <f t="shared" si="90"/>
        <v>0</v>
      </c>
      <c r="K234" s="63">
        <v>0</v>
      </c>
    </row>
    <row r="235" spans="2:11" ht="14.5" customHeight="1" x14ac:dyDescent="0.2">
      <c r="B235" s="392"/>
      <c r="C235" s="321"/>
      <c r="D235" s="323" t="s">
        <v>631</v>
      </c>
      <c r="E235" s="15">
        <v>-484700</v>
      </c>
      <c r="F235" s="15">
        <v>5000000</v>
      </c>
      <c r="G235" s="20">
        <f t="shared" si="87"/>
        <v>-9.6939999999999998E-2</v>
      </c>
      <c r="H235" s="12" t="s">
        <v>675</v>
      </c>
      <c r="I235" s="15">
        <v>0</v>
      </c>
      <c r="J235" s="15">
        <f t="shared" si="90"/>
        <v>0</v>
      </c>
      <c r="K235" s="15">
        <v>0</v>
      </c>
    </row>
    <row r="236" spans="2:11" ht="14.5" customHeight="1" x14ac:dyDescent="0.2">
      <c r="B236" s="392"/>
      <c r="C236" s="321"/>
      <c r="D236" s="323" t="s">
        <v>847</v>
      </c>
      <c r="E236" s="15">
        <v>-150000</v>
      </c>
      <c r="F236" s="15">
        <v>5000000</v>
      </c>
      <c r="G236" s="20">
        <f t="shared" si="87"/>
        <v>-0.03</v>
      </c>
      <c r="H236" s="12" t="s">
        <v>675</v>
      </c>
      <c r="I236" s="15">
        <v>0</v>
      </c>
      <c r="J236" s="15">
        <f t="shared" si="90"/>
        <v>0</v>
      </c>
      <c r="K236" s="15">
        <v>0</v>
      </c>
    </row>
    <row r="237" spans="2:11" ht="14.5" customHeight="1" x14ac:dyDescent="0.2">
      <c r="B237" s="392"/>
      <c r="C237" s="321"/>
      <c r="D237" s="323" t="s">
        <v>848</v>
      </c>
      <c r="E237" s="15">
        <v>962280</v>
      </c>
      <c r="F237" s="15">
        <v>3000000</v>
      </c>
      <c r="G237" s="20">
        <f t="shared" si="87"/>
        <v>0.32075999999999999</v>
      </c>
      <c r="H237" s="12" t="s">
        <v>675</v>
      </c>
      <c r="I237" s="15">
        <v>0</v>
      </c>
      <c r="J237" s="15">
        <f t="shared" si="90"/>
        <v>0</v>
      </c>
      <c r="K237" s="15">
        <v>0</v>
      </c>
    </row>
    <row r="238" spans="2:11" ht="14.5" customHeight="1" x14ac:dyDescent="0.2">
      <c r="B238" s="392"/>
      <c r="C238" s="321"/>
      <c r="D238" s="323" t="s">
        <v>849</v>
      </c>
      <c r="E238" s="15">
        <v>-134550</v>
      </c>
      <c r="F238" s="15">
        <v>5000000</v>
      </c>
      <c r="G238" s="20">
        <f t="shared" si="87"/>
        <v>-2.691E-2</v>
      </c>
      <c r="H238" s="12" t="s">
        <v>675</v>
      </c>
      <c r="I238" s="15">
        <v>0</v>
      </c>
      <c r="J238" s="15">
        <f t="shared" si="90"/>
        <v>0</v>
      </c>
      <c r="K238" s="15">
        <v>0</v>
      </c>
    </row>
    <row r="239" spans="2:11" ht="14.5" customHeight="1" x14ac:dyDescent="0.2">
      <c r="B239" s="392"/>
      <c r="C239" s="321"/>
      <c r="D239" s="323" t="s">
        <v>605</v>
      </c>
      <c r="E239" s="15">
        <v>-278590</v>
      </c>
      <c r="F239" s="15">
        <v>5000000</v>
      </c>
      <c r="G239" s="20">
        <f t="shared" si="87"/>
        <v>-5.5717999999999997E-2</v>
      </c>
      <c r="H239" s="12" t="s">
        <v>675</v>
      </c>
      <c r="I239" s="15">
        <v>0</v>
      </c>
      <c r="J239" s="15">
        <f t="shared" si="90"/>
        <v>0</v>
      </c>
      <c r="K239" s="15">
        <v>0</v>
      </c>
    </row>
    <row r="240" spans="2:11" ht="14.5" customHeight="1" x14ac:dyDescent="0.2">
      <c r="B240" s="392"/>
      <c r="C240" s="324"/>
      <c r="D240" s="324" t="s">
        <v>896</v>
      </c>
      <c r="E240" s="67">
        <f>SUM(E235:E239)</f>
        <v>-85560</v>
      </c>
      <c r="F240" s="67">
        <f>SUM(F235:F239)</f>
        <v>23000000</v>
      </c>
      <c r="G240" s="66">
        <f t="shared" si="87"/>
        <v>-3.7200000000000002E-3</v>
      </c>
      <c r="H240" s="64" t="s">
        <v>673</v>
      </c>
      <c r="I240" s="63">
        <v>0</v>
      </c>
      <c r="J240" s="63">
        <f t="shared" si="90"/>
        <v>0</v>
      </c>
      <c r="K240" s="63">
        <v>0</v>
      </c>
    </row>
    <row r="241" spans="2:11" ht="14.5" customHeight="1" x14ac:dyDescent="0.2">
      <c r="B241" s="392"/>
      <c r="C241" s="324"/>
      <c r="D241" s="324" t="s">
        <v>73</v>
      </c>
      <c r="E241" s="67">
        <f>SUM(E240,E234)</f>
        <v>42575394</v>
      </c>
      <c r="F241" s="67">
        <f>SUM(F240,F234)</f>
        <v>104000000</v>
      </c>
      <c r="G241" s="66">
        <f t="shared" si="87"/>
        <v>0.40937878846153847</v>
      </c>
      <c r="H241" s="64" t="s">
        <v>20</v>
      </c>
      <c r="I241" s="63">
        <v>0</v>
      </c>
      <c r="J241" s="63">
        <f t="shared" si="90"/>
        <v>0</v>
      </c>
      <c r="K241" s="63">
        <v>0</v>
      </c>
    </row>
    <row r="242" spans="2:11" ht="14.5" customHeight="1" x14ac:dyDescent="0.2">
      <c r="B242" s="393"/>
      <c r="C242" s="325"/>
      <c r="D242" s="325" t="s">
        <v>604</v>
      </c>
      <c r="E242" s="22">
        <f>SUM(E241)</f>
        <v>42575394</v>
      </c>
      <c r="F242" s="22">
        <f>SUM(F241)</f>
        <v>104000000</v>
      </c>
      <c r="G242" s="27">
        <f t="shared" si="87"/>
        <v>0.40937878846153847</v>
      </c>
      <c r="H242" s="42"/>
      <c r="I242" s="23">
        <f>SUM(I227:I241)</f>
        <v>90000</v>
      </c>
      <c r="J242" s="23">
        <f>SUM(J227:J241)</f>
        <v>90000</v>
      </c>
      <c r="K242" s="23">
        <f>SUM(K227:K241)</f>
        <v>0</v>
      </c>
    </row>
    <row r="243" spans="2:11" ht="14.5" customHeight="1" x14ac:dyDescent="0.2">
      <c r="B243" s="395" t="s">
        <v>632</v>
      </c>
      <c r="C243" s="321"/>
      <c r="D243" s="323" t="s">
        <v>634</v>
      </c>
      <c r="E243" s="15">
        <v>55750</v>
      </c>
      <c r="F243" s="15">
        <v>3000000</v>
      </c>
      <c r="G243" s="20">
        <f t="shared" si="87"/>
        <v>1.8583333333333334E-2</v>
      </c>
      <c r="H243" s="12" t="s">
        <v>675</v>
      </c>
      <c r="I243" s="15">
        <v>0</v>
      </c>
      <c r="J243" s="15">
        <f t="shared" ref="J243:J248" si="91">I243</f>
        <v>0</v>
      </c>
      <c r="K243" s="15">
        <v>0</v>
      </c>
    </row>
    <row r="244" spans="2:11" ht="14.5" customHeight="1" x14ac:dyDescent="0.2">
      <c r="B244" s="392"/>
      <c r="C244" s="321"/>
      <c r="D244" s="323" t="s">
        <v>635</v>
      </c>
      <c r="E244" s="15">
        <v>149800</v>
      </c>
      <c r="F244" s="15">
        <v>5000000</v>
      </c>
      <c r="G244" s="20">
        <f t="shared" si="87"/>
        <v>2.9960000000000001E-2</v>
      </c>
      <c r="H244" s="12" t="s">
        <v>675</v>
      </c>
      <c r="I244" s="15">
        <v>0</v>
      </c>
      <c r="J244" s="15">
        <f t="shared" si="91"/>
        <v>0</v>
      </c>
      <c r="K244" s="15">
        <v>0</v>
      </c>
    </row>
    <row r="245" spans="2:11" ht="14.5" customHeight="1" x14ac:dyDescent="0.2">
      <c r="B245" s="392"/>
      <c r="C245" s="321"/>
      <c r="D245" s="323" t="s">
        <v>636</v>
      </c>
      <c r="E245" s="15">
        <v>4188900</v>
      </c>
      <c r="F245" s="15">
        <v>5000000</v>
      </c>
      <c r="G245" s="20">
        <f t="shared" si="87"/>
        <v>0.83777999999999997</v>
      </c>
      <c r="H245" s="12" t="s">
        <v>675</v>
      </c>
      <c r="I245" s="15">
        <v>60000</v>
      </c>
      <c r="J245" s="15">
        <f t="shared" si="91"/>
        <v>60000</v>
      </c>
      <c r="K245" s="15">
        <v>0</v>
      </c>
    </row>
    <row r="246" spans="2:11" ht="14.5" customHeight="1" x14ac:dyDescent="0.2">
      <c r="B246" s="392"/>
      <c r="C246" s="321"/>
      <c r="D246" s="323" t="s">
        <v>807</v>
      </c>
      <c r="E246" s="15"/>
      <c r="F246" s="15">
        <v>0</v>
      </c>
      <c r="G246" s="20" t="e">
        <f t="shared" si="87"/>
        <v>#DIV/0!</v>
      </c>
      <c r="H246" s="12"/>
      <c r="I246" s="15">
        <v>0</v>
      </c>
      <c r="J246" s="15">
        <f t="shared" si="91"/>
        <v>0</v>
      </c>
      <c r="K246" s="15">
        <v>0</v>
      </c>
    </row>
    <row r="247" spans="2:11" ht="14.5" customHeight="1" x14ac:dyDescent="0.2">
      <c r="B247" s="392"/>
      <c r="C247" s="321"/>
      <c r="D247" s="323" t="s">
        <v>637</v>
      </c>
      <c r="E247" s="15">
        <v>-34000</v>
      </c>
      <c r="F247" s="15">
        <v>5000000</v>
      </c>
      <c r="G247" s="20">
        <f t="shared" si="87"/>
        <v>-6.7999999999999996E-3</v>
      </c>
      <c r="H247" s="12" t="s">
        <v>675</v>
      </c>
      <c r="I247" s="15">
        <v>0</v>
      </c>
      <c r="J247" s="15">
        <f t="shared" si="91"/>
        <v>0</v>
      </c>
      <c r="K247" s="15">
        <v>0</v>
      </c>
    </row>
    <row r="248" spans="2:11" ht="14.5" customHeight="1" x14ac:dyDescent="0.2">
      <c r="B248" s="392"/>
      <c r="C248" s="324"/>
      <c r="D248" s="324" t="s">
        <v>702</v>
      </c>
      <c r="E248" s="67">
        <f>SUM(E243:E247)</f>
        <v>4360450</v>
      </c>
      <c r="F248" s="67">
        <f>SUM(F243:F247)</f>
        <v>18000000</v>
      </c>
      <c r="G248" s="66">
        <f t="shared" si="87"/>
        <v>0.24224722222222222</v>
      </c>
      <c r="H248" s="64" t="s">
        <v>673</v>
      </c>
      <c r="I248" s="63">
        <v>0</v>
      </c>
      <c r="J248" s="63">
        <f t="shared" si="91"/>
        <v>0</v>
      </c>
      <c r="K248" s="63">
        <v>0</v>
      </c>
    </row>
    <row r="249" spans="2:11" ht="14.5" customHeight="1" x14ac:dyDescent="0.2">
      <c r="B249" s="393"/>
      <c r="C249" s="325"/>
      <c r="D249" s="325" t="s">
        <v>633</v>
      </c>
      <c r="E249" s="22">
        <f>SUM(E248)</f>
        <v>4360450</v>
      </c>
      <c r="F249" s="22">
        <f>SUM(F248)</f>
        <v>18000000</v>
      </c>
      <c r="G249" s="27">
        <f t="shared" si="87"/>
        <v>0.24224722222222222</v>
      </c>
      <c r="H249" s="42"/>
      <c r="I249" s="23">
        <f>SUM(I243:I248)</f>
        <v>60000</v>
      </c>
      <c r="J249" s="23">
        <f>SUM(J243:J248)</f>
        <v>60000</v>
      </c>
      <c r="K249" s="23">
        <f>SUM(K243:K248)</f>
        <v>0</v>
      </c>
    </row>
    <row r="250" spans="2:11" ht="14.5" customHeight="1" x14ac:dyDescent="0.2">
      <c r="B250" s="395" t="s">
        <v>787</v>
      </c>
      <c r="C250" s="321" t="s">
        <v>409</v>
      </c>
      <c r="D250" s="321" t="s">
        <v>117</v>
      </c>
      <c r="E250" s="15">
        <v>0</v>
      </c>
      <c r="F250" s="15">
        <v>0</v>
      </c>
      <c r="G250" s="20" t="e">
        <f t="shared" si="87"/>
        <v>#DIV/0!</v>
      </c>
      <c r="H250" s="12" t="s">
        <v>571</v>
      </c>
      <c r="I250" s="15">
        <v>0</v>
      </c>
      <c r="J250" s="15">
        <f t="shared" ref="J250:J257" si="92">I250</f>
        <v>0</v>
      </c>
      <c r="K250" s="15">
        <v>0</v>
      </c>
    </row>
    <row r="251" spans="2:11" ht="14.5" customHeight="1" x14ac:dyDescent="0.2">
      <c r="B251" s="392"/>
      <c r="C251" s="321"/>
      <c r="D251" s="323" t="s">
        <v>567</v>
      </c>
      <c r="E251" s="15">
        <v>9183236</v>
      </c>
      <c r="F251" s="15">
        <v>19400000</v>
      </c>
      <c r="G251" s="20">
        <f t="shared" si="87"/>
        <v>0.47336268041237112</v>
      </c>
      <c r="H251" s="12" t="s">
        <v>675</v>
      </c>
      <c r="I251" s="15">
        <v>0</v>
      </c>
      <c r="J251" s="15">
        <f t="shared" si="92"/>
        <v>0</v>
      </c>
      <c r="K251" s="15">
        <v>0</v>
      </c>
    </row>
    <row r="252" spans="2:11" ht="14.5" customHeight="1" x14ac:dyDescent="0.2">
      <c r="B252" s="392"/>
      <c r="C252" s="321"/>
      <c r="D252" s="323" t="s">
        <v>569</v>
      </c>
      <c r="E252" s="15">
        <v>13276660</v>
      </c>
      <c r="F252" s="15">
        <v>19400000</v>
      </c>
      <c r="G252" s="20">
        <f t="shared" si="87"/>
        <v>0.68436391752577319</v>
      </c>
      <c r="H252" s="12" t="s">
        <v>675</v>
      </c>
      <c r="I252" s="15">
        <v>0</v>
      </c>
      <c r="J252" s="15">
        <f t="shared" si="92"/>
        <v>0</v>
      </c>
      <c r="K252" s="15">
        <v>0</v>
      </c>
    </row>
    <row r="253" spans="2:11" ht="14.5" customHeight="1" x14ac:dyDescent="0.2">
      <c r="B253" s="392"/>
      <c r="C253" s="321"/>
      <c r="D253" s="323" t="s">
        <v>808</v>
      </c>
      <c r="E253" s="15">
        <v>4361004</v>
      </c>
      <c r="F253" s="15">
        <v>0</v>
      </c>
      <c r="G253" s="20" t="e">
        <f t="shared" si="87"/>
        <v>#DIV/0!</v>
      </c>
      <c r="H253" s="12"/>
      <c r="I253" s="15">
        <v>0</v>
      </c>
      <c r="J253" s="15">
        <f t="shared" si="92"/>
        <v>0</v>
      </c>
      <c r="K253" s="15">
        <v>0</v>
      </c>
    </row>
    <row r="254" spans="2:11" ht="14.5" customHeight="1" x14ac:dyDescent="0.2">
      <c r="B254" s="392"/>
      <c r="C254" s="321"/>
      <c r="D254" s="323" t="s">
        <v>568</v>
      </c>
      <c r="E254" s="15">
        <v>12357388</v>
      </c>
      <c r="F254" s="15">
        <v>19400000</v>
      </c>
      <c r="G254" s="20">
        <f t="shared" si="87"/>
        <v>0.63697876288659794</v>
      </c>
      <c r="H254" s="12" t="s">
        <v>675</v>
      </c>
      <c r="I254" s="15">
        <v>0</v>
      </c>
      <c r="J254" s="15">
        <f t="shared" si="92"/>
        <v>0</v>
      </c>
      <c r="K254" s="15">
        <v>0</v>
      </c>
    </row>
    <row r="255" spans="2:11" ht="14.5" customHeight="1" x14ac:dyDescent="0.2">
      <c r="B255" s="392"/>
      <c r="C255" s="321"/>
      <c r="D255" s="323" t="s">
        <v>566</v>
      </c>
      <c r="E255" s="15">
        <v>4485179</v>
      </c>
      <c r="F255" s="15">
        <v>65000000</v>
      </c>
      <c r="G255" s="20">
        <f t="shared" si="87"/>
        <v>6.9002753846153841E-2</v>
      </c>
      <c r="H255" s="12" t="s">
        <v>675</v>
      </c>
      <c r="I255" s="15">
        <v>0</v>
      </c>
      <c r="J255" s="15">
        <f t="shared" si="92"/>
        <v>0</v>
      </c>
      <c r="K255" s="15">
        <v>0</v>
      </c>
    </row>
    <row r="256" spans="2:11" ht="14.5" customHeight="1" x14ac:dyDescent="0.2">
      <c r="B256" s="392"/>
      <c r="C256" s="321"/>
      <c r="D256" s="323" t="s">
        <v>570</v>
      </c>
      <c r="E256" s="15">
        <v>95593640</v>
      </c>
      <c r="F256" s="15">
        <v>137000000</v>
      </c>
      <c r="G256" s="20">
        <f t="shared" si="87"/>
        <v>0.697763795620438</v>
      </c>
      <c r="H256" s="12" t="s">
        <v>675</v>
      </c>
      <c r="I256" s="15">
        <v>0</v>
      </c>
      <c r="J256" s="15">
        <f t="shared" si="92"/>
        <v>0</v>
      </c>
      <c r="K256" s="15">
        <v>0</v>
      </c>
    </row>
    <row r="257" spans="2:11" ht="14.5" customHeight="1" x14ac:dyDescent="0.2">
      <c r="B257" s="392"/>
      <c r="C257" s="324"/>
      <c r="D257" s="324" t="s">
        <v>734</v>
      </c>
      <c r="E257" s="67">
        <f>SUM(E250:E256)</f>
        <v>139257107</v>
      </c>
      <c r="F257" s="67">
        <f>SUM(F250:F256)</f>
        <v>260200000</v>
      </c>
      <c r="G257" s="66">
        <f t="shared" si="87"/>
        <v>0.53519257109915452</v>
      </c>
      <c r="H257" s="64" t="s">
        <v>673</v>
      </c>
      <c r="I257" s="63">
        <v>0</v>
      </c>
      <c r="J257" s="63">
        <f t="shared" si="92"/>
        <v>0</v>
      </c>
      <c r="K257" s="63">
        <v>0</v>
      </c>
    </row>
    <row r="258" spans="2:11" ht="14.5" customHeight="1" x14ac:dyDescent="0.2">
      <c r="B258" s="393"/>
      <c r="C258" s="325"/>
      <c r="D258" s="325" t="s">
        <v>51</v>
      </c>
      <c r="E258" s="22">
        <f>SUM(E257)</f>
        <v>139257107</v>
      </c>
      <c r="F258" s="22">
        <f>SUM(F257)</f>
        <v>260200000</v>
      </c>
      <c r="G258" s="27">
        <f t="shared" si="87"/>
        <v>0.53519257109915452</v>
      </c>
      <c r="H258" s="42"/>
      <c r="I258" s="23">
        <f>SUM(I250:I257)</f>
        <v>0</v>
      </c>
      <c r="J258" s="23">
        <f>SUM(J250:J257)</f>
        <v>0</v>
      </c>
      <c r="K258" s="23">
        <f>SUM(K250:K257)</f>
        <v>0</v>
      </c>
    </row>
    <row r="259" spans="2:11" ht="14.5" customHeight="1" x14ac:dyDescent="0.2">
      <c r="B259" s="326"/>
      <c r="C259" s="326"/>
      <c r="D259" s="326" t="s">
        <v>638</v>
      </c>
      <c r="E259" s="208">
        <f>SUM(E249,E242,E258)</f>
        <v>186192951</v>
      </c>
      <c r="F259" s="208">
        <f>SUM(F249,F242,F258)</f>
        <v>382200000</v>
      </c>
      <c r="G259" s="44">
        <f t="shared" si="87"/>
        <v>0.48716104395604398</v>
      </c>
      <c r="H259" s="209"/>
      <c r="I259" s="208">
        <f>SUM(I249,I242,I258)</f>
        <v>150000</v>
      </c>
      <c r="J259" s="208">
        <f>SUM(J249,J242,J258)</f>
        <v>150000</v>
      </c>
      <c r="K259" s="208">
        <f>SUM(K249,K242,K258)</f>
        <v>0</v>
      </c>
    </row>
    <row r="260" spans="2:11" ht="14.5" customHeight="1" x14ac:dyDescent="0.2">
      <c r="B260" s="392" t="s">
        <v>787</v>
      </c>
      <c r="C260" s="321"/>
      <c r="D260" s="323" t="s">
        <v>612</v>
      </c>
      <c r="E260" s="15">
        <v>914900</v>
      </c>
      <c r="F260" s="15">
        <v>5000000</v>
      </c>
      <c r="G260" s="20">
        <f t="shared" si="87"/>
        <v>0.18298</v>
      </c>
      <c r="H260" s="12" t="s">
        <v>675</v>
      </c>
      <c r="I260" s="15">
        <v>0</v>
      </c>
      <c r="J260" s="15">
        <f t="shared" ref="J260:J273" si="93">I260</f>
        <v>0</v>
      </c>
      <c r="K260" s="15">
        <v>0</v>
      </c>
    </row>
    <row r="261" spans="2:11" ht="14.5" customHeight="1" x14ac:dyDescent="0.2">
      <c r="B261" s="392"/>
      <c r="C261" s="321"/>
      <c r="D261" s="323" t="s">
        <v>609</v>
      </c>
      <c r="E261" s="15">
        <v>2517030</v>
      </c>
      <c r="F261" s="15">
        <v>5000000</v>
      </c>
      <c r="G261" s="20">
        <f t="shared" ref="G261:G307" si="94">E261/F261*100%</f>
        <v>0.50340600000000002</v>
      </c>
      <c r="H261" s="12" t="s">
        <v>675</v>
      </c>
      <c r="I261" s="15">
        <v>0</v>
      </c>
      <c r="J261" s="15">
        <f t="shared" si="93"/>
        <v>0</v>
      </c>
      <c r="K261" s="15">
        <v>0</v>
      </c>
    </row>
    <row r="262" spans="2:11" ht="14.5" customHeight="1" x14ac:dyDescent="0.2">
      <c r="B262" s="392"/>
      <c r="C262" s="321"/>
      <c r="D262" s="323" t="s">
        <v>610</v>
      </c>
      <c r="E262" s="15">
        <v>6585336</v>
      </c>
      <c r="F262" s="15">
        <v>5000000</v>
      </c>
      <c r="G262" s="20">
        <f t="shared" si="94"/>
        <v>1.3170672000000001</v>
      </c>
      <c r="H262" s="12" t="s">
        <v>675</v>
      </c>
      <c r="I262" s="15">
        <v>90000</v>
      </c>
      <c r="J262" s="15">
        <f t="shared" si="93"/>
        <v>90000</v>
      </c>
      <c r="K262" s="15">
        <v>0</v>
      </c>
    </row>
    <row r="263" spans="2:11" ht="14.5" customHeight="1" x14ac:dyDescent="0.2">
      <c r="B263" s="392"/>
      <c r="C263" s="321"/>
      <c r="D263" s="323" t="s">
        <v>611</v>
      </c>
      <c r="E263" s="15">
        <v>48000</v>
      </c>
      <c r="F263" s="15">
        <v>4000000</v>
      </c>
      <c r="G263" s="20">
        <f t="shared" si="94"/>
        <v>1.2E-2</v>
      </c>
      <c r="H263" s="12" t="s">
        <v>675</v>
      </c>
      <c r="I263" s="15">
        <v>0</v>
      </c>
      <c r="J263" s="15">
        <f t="shared" si="93"/>
        <v>0</v>
      </c>
      <c r="K263" s="15">
        <v>0</v>
      </c>
    </row>
    <row r="264" spans="2:11" ht="14.5" customHeight="1" x14ac:dyDescent="0.2">
      <c r="B264" s="392"/>
      <c r="C264" s="321"/>
      <c r="D264" s="323" t="s">
        <v>850</v>
      </c>
      <c r="E264" s="15">
        <v>232300</v>
      </c>
      <c r="F264" s="15">
        <v>5000000</v>
      </c>
      <c r="G264" s="20">
        <f t="shared" si="94"/>
        <v>4.6460000000000001E-2</v>
      </c>
      <c r="H264" s="12" t="s">
        <v>675</v>
      </c>
      <c r="I264" s="15">
        <v>0</v>
      </c>
      <c r="J264" s="15">
        <f t="shared" si="93"/>
        <v>0</v>
      </c>
      <c r="K264" s="15">
        <v>0</v>
      </c>
    </row>
    <row r="265" spans="2:11" ht="14.5" customHeight="1" x14ac:dyDescent="0.2">
      <c r="B265" s="392"/>
      <c r="C265" s="324"/>
      <c r="D265" s="324" t="s">
        <v>743</v>
      </c>
      <c r="E265" s="67">
        <f>SUM(E260:E264)</f>
        <v>10297566</v>
      </c>
      <c r="F265" s="67">
        <f>SUM(F260:F264)</f>
        <v>24000000</v>
      </c>
      <c r="G265" s="66">
        <f t="shared" si="94"/>
        <v>0.42906525000000001</v>
      </c>
      <c r="H265" s="64" t="s">
        <v>673</v>
      </c>
      <c r="I265" s="63">
        <v>0</v>
      </c>
      <c r="J265" s="63">
        <f t="shared" si="93"/>
        <v>0</v>
      </c>
      <c r="K265" s="63">
        <v>0</v>
      </c>
    </row>
    <row r="266" spans="2:11" ht="14.5" customHeight="1" x14ac:dyDescent="0.2">
      <c r="B266" s="392"/>
      <c r="C266" s="321"/>
      <c r="D266" s="323" t="s">
        <v>606</v>
      </c>
      <c r="E266" s="15">
        <v>11807600</v>
      </c>
      <c r="F266" s="15">
        <v>9000000</v>
      </c>
      <c r="G266" s="20">
        <f t="shared" si="94"/>
        <v>1.3119555555555555</v>
      </c>
      <c r="H266" s="12" t="s">
        <v>675</v>
      </c>
      <c r="I266" s="15">
        <v>90000</v>
      </c>
      <c r="J266" s="15">
        <f t="shared" si="93"/>
        <v>90000</v>
      </c>
      <c r="K266" s="15">
        <v>0</v>
      </c>
    </row>
    <row r="267" spans="2:11" ht="14.5" customHeight="1" x14ac:dyDescent="0.2">
      <c r="B267" s="392"/>
      <c r="C267" s="321"/>
      <c r="D267" s="323" t="s">
        <v>901</v>
      </c>
      <c r="E267" s="15">
        <v>1222920</v>
      </c>
      <c r="F267" s="15"/>
      <c r="G267" s="20" t="e">
        <f t="shared" si="94"/>
        <v>#DIV/0!</v>
      </c>
      <c r="H267" s="12"/>
      <c r="I267" s="15">
        <v>0</v>
      </c>
      <c r="J267" s="15">
        <f t="shared" si="93"/>
        <v>0</v>
      </c>
      <c r="K267" s="15">
        <v>0</v>
      </c>
    </row>
    <row r="268" spans="2:11" ht="14.5" customHeight="1" x14ac:dyDescent="0.2">
      <c r="B268" s="392"/>
      <c r="C268" s="321"/>
      <c r="D268" s="323" t="s">
        <v>607</v>
      </c>
      <c r="E268" s="15">
        <v>2439470</v>
      </c>
      <c r="F268" s="15">
        <v>5000000</v>
      </c>
      <c r="G268" s="20">
        <f t="shared" si="94"/>
        <v>0.48789399999999999</v>
      </c>
      <c r="H268" s="12" t="s">
        <v>675</v>
      </c>
      <c r="I268" s="15">
        <v>0</v>
      </c>
      <c r="J268" s="15">
        <f t="shared" si="93"/>
        <v>0</v>
      </c>
      <c r="K268" s="15">
        <v>0</v>
      </c>
    </row>
    <row r="269" spans="2:11" ht="14.5" customHeight="1" x14ac:dyDescent="0.2">
      <c r="B269" s="392"/>
      <c r="C269" s="321"/>
      <c r="D269" s="323" t="s">
        <v>608</v>
      </c>
      <c r="E269" s="15">
        <v>2646730</v>
      </c>
      <c r="F269" s="15">
        <v>5000000</v>
      </c>
      <c r="G269" s="20">
        <f t="shared" si="94"/>
        <v>0.52934599999999998</v>
      </c>
      <c r="H269" s="12" t="s">
        <v>675</v>
      </c>
      <c r="I269" s="15">
        <v>0</v>
      </c>
      <c r="J269" s="15">
        <f t="shared" si="93"/>
        <v>0</v>
      </c>
      <c r="K269" s="15">
        <v>0</v>
      </c>
    </row>
    <row r="270" spans="2:11" ht="14.5" customHeight="1" x14ac:dyDescent="0.2">
      <c r="B270" s="392"/>
      <c r="C270" s="321"/>
      <c r="D270" s="323" t="s">
        <v>640</v>
      </c>
      <c r="E270" s="15">
        <v>223854</v>
      </c>
      <c r="F270" s="15">
        <v>3000000</v>
      </c>
      <c r="G270" s="20">
        <f t="shared" si="94"/>
        <v>7.4618000000000004E-2</v>
      </c>
      <c r="H270" s="12" t="s">
        <v>675</v>
      </c>
      <c r="I270" s="15">
        <v>0</v>
      </c>
      <c r="J270" s="15">
        <f t="shared" si="93"/>
        <v>0</v>
      </c>
      <c r="K270" s="15">
        <v>0</v>
      </c>
    </row>
    <row r="271" spans="2:11" ht="14.5" customHeight="1" x14ac:dyDescent="0.2">
      <c r="B271" s="392"/>
      <c r="C271" s="321"/>
      <c r="D271" s="323" t="s">
        <v>851</v>
      </c>
      <c r="E271" s="15">
        <v>1346906</v>
      </c>
      <c r="F271" s="15">
        <v>5000000</v>
      </c>
      <c r="G271" s="20">
        <f t="shared" si="94"/>
        <v>0.26938119999999999</v>
      </c>
      <c r="H271" s="12" t="s">
        <v>675</v>
      </c>
      <c r="I271" s="15">
        <v>0</v>
      </c>
      <c r="J271" s="15">
        <f t="shared" si="93"/>
        <v>0</v>
      </c>
      <c r="K271" s="15">
        <v>0</v>
      </c>
    </row>
    <row r="272" spans="2:11" ht="14.5" customHeight="1" x14ac:dyDescent="0.2">
      <c r="B272" s="392"/>
      <c r="C272" s="324"/>
      <c r="D272" s="324" t="s">
        <v>898</v>
      </c>
      <c r="E272" s="67">
        <f>SUM(E266:E271)</f>
        <v>19687480</v>
      </c>
      <c r="F272" s="67">
        <f>SUM(F266:F271)</f>
        <v>27000000</v>
      </c>
      <c r="G272" s="66">
        <f t="shared" si="94"/>
        <v>0.72916592592592588</v>
      </c>
      <c r="H272" s="64" t="s">
        <v>673</v>
      </c>
      <c r="I272" s="63">
        <v>0</v>
      </c>
      <c r="J272" s="63">
        <f t="shared" si="93"/>
        <v>0</v>
      </c>
      <c r="K272" s="63">
        <v>0</v>
      </c>
    </row>
    <row r="273" spans="2:11" ht="14.5" customHeight="1" x14ac:dyDescent="0.2">
      <c r="B273" s="392"/>
      <c r="C273" s="324"/>
      <c r="D273" s="324" t="s">
        <v>897</v>
      </c>
      <c r="E273" s="67">
        <f>SUM(E272,E265,E257)</f>
        <v>169242153</v>
      </c>
      <c r="F273" s="67">
        <f>SUM(F272,F265,F257)</f>
        <v>311200000</v>
      </c>
      <c r="G273" s="66">
        <f t="shared" si="94"/>
        <v>0.54383725257069404</v>
      </c>
      <c r="H273" s="64" t="s">
        <v>20</v>
      </c>
      <c r="I273" s="63">
        <v>0</v>
      </c>
      <c r="J273" s="63">
        <f t="shared" si="93"/>
        <v>0</v>
      </c>
      <c r="K273" s="63">
        <v>0</v>
      </c>
    </row>
    <row r="274" spans="2:11" ht="14.5" customHeight="1" x14ac:dyDescent="0.2">
      <c r="B274" s="393"/>
      <c r="C274" s="325"/>
      <c r="D274" s="325" t="s">
        <v>639</v>
      </c>
      <c r="E274" s="22">
        <f>SUM(E272,E265)</f>
        <v>29985046</v>
      </c>
      <c r="F274" s="22">
        <f>SUM(F272,F265)</f>
        <v>51000000</v>
      </c>
      <c r="G274" s="27">
        <f t="shared" si="94"/>
        <v>0.58794207843137258</v>
      </c>
      <c r="H274" s="42"/>
      <c r="I274" s="23">
        <f>SUM(I260:I273)</f>
        <v>180000</v>
      </c>
      <c r="J274" s="23">
        <f>SUM(J260:J273)</f>
        <v>180000</v>
      </c>
      <c r="K274" s="23">
        <f>SUM(K260:K273)</f>
        <v>0</v>
      </c>
    </row>
    <row r="275" spans="2:11" ht="14.5" customHeight="1" x14ac:dyDescent="0.2">
      <c r="B275" s="395" t="s">
        <v>641</v>
      </c>
      <c r="C275" s="321"/>
      <c r="D275" s="323" t="s">
        <v>902</v>
      </c>
      <c r="E275" s="15">
        <v>127906</v>
      </c>
      <c r="F275" s="15">
        <v>0</v>
      </c>
      <c r="G275" s="20" t="e">
        <f t="shared" si="94"/>
        <v>#DIV/0!</v>
      </c>
      <c r="H275" s="12"/>
      <c r="I275" s="15">
        <v>0</v>
      </c>
      <c r="J275" s="15">
        <f t="shared" ref="J275:J279" si="95">I275</f>
        <v>0</v>
      </c>
      <c r="K275" s="15">
        <v>0</v>
      </c>
    </row>
    <row r="276" spans="2:11" ht="14.5" customHeight="1" x14ac:dyDescent="0.2">
      <c r="B276" s="392"/>
      <c r="C276" s="321"/>
      <c r="D276" s="323" t="s">
        <v>852</v>
      </c>
      <c r="E276" s="15">
        <v>990886</v>
      </c>
      <c r="F276" s="15">
        <v>3000000</v>
      </c>
      <c r="G276" s="20">
        <f t="shared" si="94"/>
        <v>0.33029533333333333</v>
      </c>
      <c r="H276" s="12" t="s">
        <v>675</v>
      </c>
      <c r="I276" s="15">
        <v>0</v>
      </c>
      <c r="J276" s="15">
        <f t="shared" si="95"/>
        <v>0</v>
      </c>
      <c r="K276" s="15">
        <v>0</v>
      </c>
    </row>
    <row r="277" spans="2:11" ht="14.5" customHeight="1" x14ac:dyDescent="0.2">
      <c r="B277" s="392"/>
      <c r="C277" s="321"/>
      <c r="D277" s="323" t="s">
        <v>853</v>
      </c>
      <c r="E277" s="15">
        <v>627690</v>
      </c>
      <c r="F277" s="15">
        <v>3000000</v>
      </c>
      <c r="G277" s="20">
        <f t="shared" si="94"/>
        <v>0.20923</v>
      </c>
      <c r="H277" s="12" t="s">
        <v>675</v>
      </c>
      <c r="I277" s="15">
        <v>0</v>
      </c>
      <c r="J277" s="15">
        <f t="shared" si="95"/>
        <v>0</v>
      </c>
      <c r="K277" s="15">
        <v>0</v>
      </c>
    </row>
    <row r="278" spans="2:11" ht="14.5" customHeight="1" x14ac:dyDescent="0.2">
      <c r="B278" s="392"/>
      <c r="C278" s="321"/>
      <c r="D278" s="323" t="s">
        <v>854</v>
      </c>
      <c r="E278" s="15">
        <v>52500</v>
      </c>
      <c r="F278" s="15">
        <v>0</v>
      </c>
      <c r="G278" s="20" t="e">
        <f t="shared" si="94"/>
        <v>#DIV/0!</v>
      </c>
      <c r="H278" s="12" t="s">
        <v>675</v>
      </c>
      <c r="I278" s="15">
        <v>0</v>
      </c>
      <c r="J278" s="15">
        <f t="shared" si="95"/>
        <v>0</v>
      </c>
      <c r="K278" s="15">
        <v>0</v>
      </c>
    </row>
    <row r="279" spans="2:11" ht="14.5" customHeight="1" x14ac:dyDescent="0.2">
      <c r="B279" s="392"/>
      <c r="C279" s="324"/>
      <c r="D279" s="324" t="s">
        <v>746</v>
      </c>
      <c r="E279" s="67">
        <f>SUM(E275:E278)</f>
        <v>1798982</v>
      </c>
      <c r="F279" s="67">
        <f>SUM(F275:F278)</f>
        <v>6000000</v>
      </c>
      <c r="G279" s="66">
        <f t="shared" si="94"/>
        <v>0.29983033333333331</v>
      </c>
      <c r="H279" s="64" t="s">
        <v>673</v>
      </c>
      <c r="I279" s="63">
        <v>0</v>
      </c>
      <c r="J279" s="63">
        <f t="shared" si="95"/>
        <v>0</v>
      </c>
      <c r="K279" s="63">
        <v>0</v>
      </c>
    </row>
    <row r="280" spans="2:11" ht="14.5" customHeight="1" x14ac:dyDescent="0.2">
      <c r="B280" s="393"/>
      <c r="C280" s="325"/>
      <c r="D280" s="325" t="s">
        <v>642</v>
      </c>
      <c r="E280" s="22">
        <f>SUM(E279)</f>
        <v>1798982</v>
      </c>
      <c r="F280" s="22">
        <f>SUM(F279)</f>
        <v>6000000</v>
      </c>
      <c r="G280" s="27">
        <f t="shared" si="94"/>
        <v>0.29983033333333331</v>
      </c>
      <c r="H280" s="42"/>
      <c r="I280" s="23">
        <f>SUM(I275:I279)</f>
        <v>0</v>
      </c>
      <c r="J280" s="23">
        <f>SUM(J275:J279)</f>
        <v>0</v>
      </c>
      <c r="K280" s="23">
        <f>SUM(K275:K279)</f>
        <v>0</v>
      </c>
    </row>
    <row r="281" spans="2:11" ht="14.5" customHeight="1" x14ac:dyDescent="0.2">
      <c r="B281" s="326"/>
      <c r="C281" s="326"/>
      <c r="D281" s="326" t="s">
        <v>643</v>
      </c>
      <c r="E281" s="208">
        <f>SUM(E280,E274)</f>
        <v>31784028</v>
      </c>
      <c r="F281" s="208">
        <f>SUM(F280,F274)</f>
        <v>57000000</v>
      </c>
      <c r="G281" s="44">
        <f t="shared" si="94"/>
        <v>0.55761452631578945</v>
      </c>
      <c r="H281" s="209"/>
      <c r="I281" s="208">
        <f>SUM(I280,I274)</f>
        <v>180000</v>
      </c>
      <c r="J281" s="208">
        <f>SUM(J280,J274)</f>
        <v>180000</v>
      </c>
      <c r="K281" s="208">
        <f>SUM(K280,K274)</f>
        <v>0</v>
      </c>
    </row>
    <row r="282" spans="2:11" ht="14.5" customHeight="1" x14ac:dyDescent="0.2">
      <c r="B282" s="395" t="s">
        <v>644</v>
      </c>
      <c r="C282" s="321"/>
      <c r="D282" s="323" t="s">
        <v>646</v>
      </c>
      <c r="E282" s="15">
        <v>218700</v>
      </c>
      <c r="F282" s="15">
        <v>3000000</v>
      </c>
      <c r="G282" s="20">
        <f t="shared" si="94"/>
        <v>7.2900000000000006E-2</v>
      </c>
      <c r="H282" s="12" t="s">
        <v>675</v>
      </c>
      <c r="I282" s="15">
        <v>0</v>
      </c>
      <c r="J282" s="15">
        <f t="shared" ref="J282:J287" si="96">I282</f>
        <v>0</v>
      </c>
      <c r="K282" s="15">
        <v>0</v>
      </c>
    </row>
    <row r="283" spans="2:11" ht="14.5" customHeight="1" x14ac:dyDescent="0.2">
      <c r="B283" s="392"/>
      <c r="C283" s="321"/>
      <c r="D283" s="323" t="s">
        <v>791</v>
      </c>
      <c r="E283" s="15">
        <v>81503</v>
      </c>
      <c r="F283" s="15">
        <v>3000000</v>
      </c>
      <c r="G283" s="20">
        <f t="shared" si="94"/>
        <v>2.7167666666666666E-2</v>
      </c>
      <c r="H283" s="12" t="s">
        <v>675</v>
      </c>
      <c r="I283" s="15">
        <v>0</v>
      </c>
      <c r="J283" s="15">
        <f t="shared" si="96"/>
        <v>0</v>
      </c>
      <c r="K283" s="15">
        <v>0</v>
      </c>
    </row>
    <row r="284" spans="2:11" ht="14.5" customHeight="1" x14ac:dyDescent="0.2">
      <c r="B284" s="392"/>
      <c r="C284" s="321"/>
      <c r="D284" s="323" t="s">
        <v>647</v>
      </c>
      <c r="E284" s="15">
        <v>396900</v>
      </c>
      <c r="F284" s="15">
        <v>4000000</v>
      </c>
      <c r="G284" s="20">
        <f t="shared" si="94"/>
        <v>9.9224999999999994E-2</v>
      </c>
      <c r="H284" s="12" t="s">
        <v>675</v>
      </c>
      <c r="I284" s="15">
        <v>0</v>
      </c>
      <c r="J284" s="15">
        <f t="shared" si="96"/>
        <v>0</v>
      </c>
      <c r="K284" s="15">
        <v>0</v>
      </c>
    </row>
    <row r="285" spans="2:11" ht="14.5" customHeight="1" x14ac:dyDescent="0.2">
      <c r="B285" s="392"/>
      <c r="C285" s="321"/>
      <c r="D285" s="323" t="s">
        <v>857</v>
      </c>
      <c r="E285" s="15">
        <v>-16500</v>
      </c>
      <c r="F285" s="15">
        <v>3000000</v>
      </c>
      <c r="G285" s="20">
        <f t="shared" si="94"/>
        <v>-5.4999999999999997E-3</v>
      </c>
      <c r="H285" s="12" t="s">
        <v>675</v>
      </c>
      <c r="I285" s="15">
        <v>0</v>
      </c>
      <c r="J285" s="15">
        <f t="shared" si="96"/>
        <v>0</v>
      </c>
      <c r="K285" s="15">
        <v>0</v>
      </c>
    </row>
    <row r="286" spans="2:11" ht="14.5" customHeight="1" x14ac:dyDescent="0.2">
      <c r="B286" s="392"/>
      <c r="C286" s="321"/>
      <c r="D286" s="323" t="s">
        <v>648</v>
      </c>
      <c r="E286" s="15">
        <v>16350</v>
      </c>
      <c r="F286" s="15">
        <v>2000000</v>
      </c>
      <c r="G286" s="20">
        <f t="shared" si="94"/>
        <v>8.175E-3</v>
      </c>
      <c r="H286" s="12" t="s">
        <v>675</v>
      </c>
      <c r="I286" s="15">
        <v>0</v>
      </c>
      <c r="J286" s="15">
        <f t="shared" si="96"/>
        <v>0</v>
      </c>
      <c r="K286" s="15">
        <v>0</v>
      </c>
    </row>
    <row r="287" spans="2:11" ht="14.5" customHeight="1" x14ac:dyDescent="0.2">
      <c r="B287" s="392"/>
      <c r="C287" s="324"/>
      <c r="D287" s="324" t="s">
        <v>747</v>
      </c>
      <c r="E287" s="67">
        <f>SUM(E282:E286)</f>
        <v>696953</v>
      </c>
      <c r="F287" s="67">
        <f>SUM(F282:F286)</f>
        <v>15000000</v>
      </c>
      <c r="G287" s="66">
        <f t="shared" si="94"/>
        <v>4.6463533333333334E-2</v>
      </c>
      <c r="H287" s="64" t="s">
        <v>673</v>
      </c>
      <c r="I287" s="63">
        <v>0</v>
      </c>
      <c r="J287" s="63">
        <f t="shared" si="96"/>
        <v>0</v>
      </c>
      <c r="K287" s="63">
        <v>0</v>
      </c>
    </row>
    <row r="288" spans="2:11" ht="14.5" customHeight="1" x14ac:dyDescent="0.2">
      <c r="B288" s="393"/>
      <c r="C288" s="325"/>
      <c r="D288" s="325" t="s">
        <v>645</v>
      </c>
      <c r="E288" s="22">
        <f>SUM(E287)</f>
        <v>696953</v>
      </c>
      <c r="F288" s="22">
        <f>SUM(F287)</f>
        <v>15000000</v>
      </c>
      <c r="G288" s="27">
        <f t="shared" si="94"/>
        <v>4.6463533333333334E-2</v>
      </c>
      <c r="H288" s="42"/>
      <c r="I288" s="23">
        <f>SUM(I282:I287)</f>
        <v>0</v>
      </c>
      <c r="J288" s="23">
        <f>SUM(J282:J287)</f>
        <v>0</v>
      </c>
      <c r="K288" s="23">
        <f>SUM(K282:K287)</f>
        <v>0</v>
      </c>
    </row>
    <row r="289" spans="2:11" ht="14.5" customHeight="1" x14ac:dyDescent="0.2">
      <c r="B289" s="392" t="s">
        <v>858</v>
      </c>
      <c r="C289" s="321"/>
      <c r="D289" s="323" t="s">
        <v>855</v>
      </c>
      <c r="E289" s="15"/>
      <c r="F289" s="15">
        <v>0</v>
      </c>
      <c r="G289" s="20" t="e">
        <f t="shared" si="94"/>
        <v>#DIV/0!</v>
      </c>
      <c r="H289" s="12" t="s">
        <v>675</v>
      </c>
      <c r="I289" s="15">
        <v>0</v>
      </c>
      <c r="J289" s="15">
        <f t="shared" ref="J289:J291" si="97">I289</f>
        <v>0</v>
      </c>
      <c r="K289" s="15">
        <v>0</v>
      </c>
    </row>
    <row r="290" spans="2:11" ht="14.5" customHeight="1" x14ac:dyDescent="0.2">
      <c r="B290" s="392"/>
      <c r="C290" s="321"/>
      <c r="D290" s="323" t="s">
        <v>856</v>
      </c>
      <c r="E290" s="15">
        <v>-480200</v>
      </c>
      <c r="F290" s="15">
        <v>0</v>
      </c>
      <c r="G290" s="20" t="e">
        <f t="shared" si="94"/>
        <v>#DIV/0!</v>
      </c>
      <c r="H290" s="12" t="s">
        <v>675</v>
      </c>
      <c r="I290" s="15">
        <v>0</v>
      </c>
      <c r="J290" s="15">
        <f t="shared" si="97"/>
        <v>0</v>
      </c>
      <c r="K290" s="15">
        <v>0</v>
      </c>
    </row>
    <row r="291" spans="2:11" ht="14.5" customHeight="1" x14ac:dyDescent="0.2">
      <c r="B291" s="392"/>
      <c r="C291" s="324"/>
      <c r="D291" s="324" t="s">
        <v>899</v>
      </c>
      <c r="E291" s="67">
        <f>SUM(E289:E290)</f>
        <v>-480200</v>
      </c>
      <c r="F291" s="67">
        <f>SUM(F289:F290)</f>
        <v>0</v>
      </c>
      <c r="G291" s="66" t="e">
        <f t="shared" si="94"/>
        <v>#DIV/0!</v>
      </c>
      <c r="H291" s="64" t="s">
        <v>673</v>
      </c>
      <c r="I291" s="63">
        <v>0</v>
      </c>
      <c r="J291" s="63">
        <f t="shared" si="97"/>
        <v>0</v>
      </c>
      <c r="K291" s="63">
        <v>0</v>
      </c>
    </row>
    <row r="292" spans="2:11" ht="14.5" customHeight="1" x14ac:dyDescent="0.2">
      <c r="B292" s="393"/>
      <c r="C292" s="325"/>
      <c r="D292" s="325" t="s">
        <v>860</v>
      </c>
      <c r="E292" s="22">
        <f>SUM(E291)</f>
        <v>-480200</v>
      </c>
      <c r="F292" s="22">
        <f>SUM(F291)</f>
        <v>0</v>
      </c>
      <c r="G292" s="27" t="e">
        <f t="shared" si="94"/>
        <v>#DIV/0!</v>
      </c>
      <c r="H292" s="42"/>
      <c r="I292" s="23">
        <f>SUM(I289:I291)</f>
        <v>0</v>
      </c>
      <c r="J292" s="23">
        <f>SUM(J289:J291)</f>
        <v>0</v>
      </c>
      <c r="K292" s="23">
        <f>SUM(K289:K291)</f>
        <v>0</v>
      </c>
    </row>
    <row r="293" spans="2:11" ht="14.5" customHeight="1" x14ac:dyDescent="0.2">
      <c r="B293" s="395" t="s">
        <v>649</v>
      </c>
      <c r="C293" s="321"/>
      <c r="D293" s="323" t="s">
        <v>650</v>
      </c>
      <c r="E293" s="15">
        <v>2085808</v>
      </c>
      <c r="F293" s="15">
        <v>2000000</v>
      </c>
      <c r="G293" s="20">
        <f t="shared" si="94"/>
        <v>1.0429040000000001</v>
      </c>
      <c r="H293" s="12" t="s">
        <v>675</v>
      </c>
      <c r="I293" s="15">
        <v>90000</v>
      </c>
      <c r="J293" s="15">
        <f t="shared" ref="J293:J298" si="98">I293</f>
        <v>90000</v>
      </c>
      <c r="K293" s="15">
        <v>0</v>
      </c>
    </row>
    <row r="294" spans="2:11" ht="14.5" customHeight="1" x14ac:dyDescent="0.2">
      <c r="B294" s="392"/>
      <c r="C294" s="321"/>
      <c r="D294" s="323" t="s">
        <v>861</v>
      </c>
      <c r="E294" s="15">
        <v>-66750</v>
      </c>
      <c r="F294" s="15">
        <v>3000000</v>
      </c>
      <c r="G294" s="20">
        <f t="shared" si="94"/>
        <v>-2.2249999999999999E-2</v>
      </c>
      <c r="H294" s="12" t="s">
        <v>675</v>
      </c>
      <c r="I294" s="15">
        <v>0</v>
      </c>
      <c r="J294" s="15">
        <f t="shared" si="98"/>
        <v>0</v>
      </c>
      <c r="K294" s="15">
        <v>0</v>
      </c>
    </row>
    <row r="295" spans="2:11" ht="14.5" customHeight="1" x14ac:dyDescent="0.2">
      <c r="B295" s="392"/>
      <c r="C295" s="321"/>
      <c r="D295" s="323" t="s">
        <v>651</v>
      </c>
      <c r="E295" s="15">
        <v>205250</v>
      </c>
      <c r="F295" s="15">
        <v>3000000</v>
      </c>
      <c r="G295" s="20">
        <f t="shared" si="94"/>
        <v>6.8416666666666667E-2</v>
      </c>
      <c r="H295" s="12" t="s">
        <v>675</v>
      </c>
      <c r="I295" s="15">
        <v>0</v>
      </c>
      <c r="J295" s="15">
        <f t="shared" si="98"/>
        <v>0</v>
      </c>
      <c r="K295" s="15">
        <v>0</v>
      </c>
    </row>
    <row r="296" spans="2:11" ht="14.5" customHeight="1" x14ac:dyDescent="0.2">
      <c r="B296" s="392"/>
      <c r="C296" s="321"/>
      <c r="D296" s="323" t="s">
        <v>652</v>
      </c>
      <c r="E296" s="15">
        <v>76250</v>
      </c>
      <c r="F296" s="15">
        <v>3000000</v>
      </c>
      <c r="G296" s="20">
        <f t="shared" si="94"/>
        <v>2.5416666666666667E-2</v>
      </c>
      <c r="H296" s="12" t="s">
        <v>675</v>
      </c>
      <c r="I296" s="15">
        <v>0</v>
      </c>
      <c r="J296" s="15">
        <f t="shared" si="98"/>
        <v>0</v>
      </c>
      <c r="K296" s="15">
        <v>0</v>
      </c>
    </row>
    <row r="297" spans="2:11" ht="14.5" customHeight="1" x14ac:dyDescent="0.2">
      <c r="B297" s="392"/>
      <c r="C297" s="321"/>
      <c r="D297" s="323" t="s">
        <v>653</v>
      </c>
      <c r="E297" s="15">
        <v>-337600</v>
      </c>
      <c r="F297" s="15">
        <v>3000000</v>
      </c>
      <c r="G297" s="20">
        <f t="shared" si="94"/>
        <v>-0.11253333333333333</v>
      </c>
      <c r="H297" s="12" t="s">
        <v>675</v>
      </c>
      <c r="I297" s="15">
        <v>0</v>
      </c>
      <c r="J297" s="15">
        <f t="shared" si="98"/>
        <v>0</v>
      </c>
      <c r="K297" s="15">
        <v>0</v>
      </c>
    </row>
    <row r="298" spans="2:11" ht="14.5" customHeight="1" x14ac:dyDescent="0.2">
      <c r="B298" s="392"/>
      <c r="C298" s="324"/>
      <c r="D298" s="324" t="s">
        <v>754</v>
      </c>
      <c r="E298" s="67">
        <f>SUM(E293:E297)</f>
        <v>1962958</v>
      </c>
      <c r="F298" s="67">
        <f>SUM(F293:F297)</f>
        <v>14000000</v>
      </c>
      <c r="G298" s="66">
        <f t="shared" si="94"/>
        <v>0.1402112857142857</v>
      </c>
      <c r="H298" s="64" t="s">
        <v>673</v>
      </c>
      <c r="I298" s="63">
        <v>0</v>
      </c>
      <c r="J298" s="63">
        <f t="shared" si="98"/>
        <v>0</v>
      </c>
      <c r="K298" s="63">
        <v>0</v>
      </c>
    </row>
    <row r="299" spans="2:11" ht="14.5" customHeight="1" x14ac:dyDescent="0.2">
      <c r="B299" s="393"/>
      <c r="C299" s="325"/>
      <c r="D299" s="325" t="s">
        <v>654</v>
      </c>
      <c r="E299" s="22">
        <f>SUM(E298)</f>
        <v>1962958</v>
      </c>
      <c r="F299" s="22">
        <f>SUM(F298)</f>
        <v>14000000</v>
      </c>
      <c r="G299" s="27">
        <f t="shared" si="94"/>
        <v>0.1402112857142857</v>
      </c>
      <c r="H299" s="42"/>
      <c r="I299" s="23">
        <f>SUM(I293:I298)</f>
        <v>90000</v>
      </c>
      <c r="J299" s="23">
        <f>SUM(J293:J298)</f>
        <v>90000</v>
      </c>
      <c r="K299" s="23">
        <f>SUM(K293:K298)</f>
        <v>0</v>
      </c>
    </row>
    <row r="300" spans="2:11" ht="14.5" customHeight="1" x14ac:dyDescent="0.2">
      <c r="B300" s="392" t="s">
        <v>655</v>
      </c>
      <c r="C300" s="321"/>
      <c r="D300" s="323" t="s">
        <v>792</v>
      </c>
      <c r="E300" s="15">
        <v>444226</v>
      </c>
      <c r="F300" s="15">
        <v>2000000</v>
      </c>
      <c r="G300" s="20">
        <f t="shared" si="94"/>
        <v>0.222113</v>
      </c>
      <c r="H300" s="12" t="s">
        <v>675</v>
      </c>
      <c r="I300" s="15">
        <v>0</v>
      </c>
      <c r="J300" s="15">
        <f t="shared" ref="J300:J306" si="99">I300</f>
        <v>0</v>
      </c>
      <c r="K300" s="15">
        <v>0</v>
      </c>
    </row>
    <row r="301" spans="2:11" ht="14.5" customHeight="1" x14ac:dyDescent="0.2">
      <c r="B301" s="392"/>
      <c r="C301" s="321"/>
      <c r="D301" s="323" t="s">
        <v>657</v>
      </c>
      <c r="E301" s="15">
        <v>62400</v>
      </c>
      <c r="F301" s="15">
        <v>3000000</v>
      </c>
      <c r="G301" s="20">
        <f t="shared" si="94"/>
        <v>2.0799999999999999E-2</v>
      </c>
      <c r="H301" s="12" t="s">
        <v>675</v>
      </c>
      <c r="I301" s="15">
        <v>0</v>
      </c>
      <c r="J301" s="15">
        <f t="shared" si="99"/>
        <v>0</v>
      </c>
      <c r="K301" s="15">
        <v>0</v>
      </c>
    </row>
    <row r="302" spans="2:11" ht="14.5" customHeight="1" x14ac:dyDescent="0.2">
      <c r="B302" s="392"/>
      <c r="C302" s="321"/>
      <c r="D302" s="323" t="s">
        <v>793</v>
      </c>
      <c r="E302" s="15">
        <v>26650</v>
      </c>
      <c r="F302" s="15">
        <v>3000000</v>
      </c>
      <c r="G302" s="20">
        <f t="shared" si="94"/>
        <v>8.8833333333333334E-3</v>
      </c>
      <c r="H302" s="12" t="s">
        <v>675</v>
      </c>
      <c r="I302" s="15">
        <v>0</v>
      </c>
      <c r="J302" s="15">
        <f t="shared" si="99"/>
        <v>0</v>
      </c>
      <c r="K302" s="15">
        <v>0</v>
      </c>
    </row>
    <row r="303" spans="2:11" ht="14.5" customHeight="1" x14ac:dyDescent="0.2">
      <c r="B303" s="392"/>
      <c r="C303" s="321"/>
      <c r="D303" s="323" t="s">
        <v>862</v>
      </c>
      <c r="E303" s="15">
        <v>-95400</v>
      </c>
      <c r="F303" s="15">
        <v>3000000</v>
      </c>
      <c r="G303" s="20">
        <f t="shared" si="94"/>
        <v>-3.1800000000000002E-2</v>
      </c>
      <c r="H303" s="12" t="s">
        <v>675</v>
      </c>
      <c r="I303" s="15">
        <v>0</v>
      </c>
      <c r="J303" s="15">
        <f t="shared" si="99"/>
        <v>0</v>
      </c>
      <c r="K303" s="15">
        <v>0</v>
      </c>
    </row>
    <row r="304" spans="2:11" ht="14.5" customHeight="1" x14ac:dyDescent="0.2">
      <c r="B304" s="392"/>
      <c r="C304" s="321"/>
      <c r="D304" s="323" t="s">
        <v>809</v>
      </c>
      <c r="E304" s="15">
        <v>15000</v>
      </c>
      <c r="F304" s="15">
        <v>0</v>
      </c>
      <c r="G304" s="20" t="e">
        <f t="shared" si="94"/>
        <v>#DIV/0!</v>
      </c>
      <c r="H304" s="12"/>
      <c r="I304" s="15">
        <v>0</v>
      </c>
      <c r="J304" s="15">
        <f t="shared" si="99"/>
        <v>0</v>
      </c>
      <c r="K304" s="15">
        <v>0</v>
      </c>
    </row>
    <row r="305" spans="2:11" ht="14.5" customHeight="1" x14ac:dyDescent="0.2">
      <c r="B305" s="392"/>
      <c r="C305" s="321"/>
      <c r="D305" s="323" t="s">
        <v>794</v>
      </c>
      <c r="E305" s="15">
        <v>395950</v>
      </c>
      <c r="F305" s="15">
        <v>3000000</v>
      </c>
      <c r="G305" s="20">
        <f t="shared" si="94"/>
        <v>0.13198333333333334</v>
      </c>
      <c r="H305" s="12" t="s">
        <v>675</v>
      </c>
      <c r="I305" s="15">
        <v>0</v>
      </c>
      <c r="J305" s="15">
        <f t="shared" si="99"/>
        <v>0</v>
      </c>
      <c r="K305" s="15">
        <v>0</v>
      </c>
    </row>
    <row r="306" spans="2:11" ht="14.5" customHeight="1" x14ac:dyDescent="0.2">
      <c r="B306" s="392"/>
      <c r="C306" s="324"/>
      <c r="D306" s="324" t="s">
        <v>752</v>
      </c>
      <c r="E306" s="67">
        <f>SUM(E300:E305)</f>
        <v>848826</v>
      </c>
      <c r="F306" s="67">
        <f>SUM(F300:F305)</f>
        <v>14000000</v>
      </c>
      <c r="G306" s="66">
        <f t="shared" si="94"/>
        <v>6.0630428571428571E-2</v>
      </c>
      <c r="H306" s="64" t="s">
        <v>673</v>
      </c>
      <c r="I306" s="63">
        <v>0</v>
      </c>
      <c r="J306" s="63">
        <f t="shared" si="99"/>
        <v>0</v>
      </c>
      <c r="K306" s="63">
        <v>0</v>
      </c>
    </row>
    <row r="307" spans="2:11" ht="14.5" customHeight="1" x14ac:dyDescent="0.2">
      <c r="B307" s="393"/>
      <c r="C307" s="325"/>
      <c r="D307" s="325" t="s">
        <v>656</v>
      </c>
      <c r="E307" s="22">
        <f>SUM(E306)</f>
        <v>848826</v>
      </c>
      <c r="F307" s="22">
        <f>SUM(F306)</f>
        <v>14000000</v>
      </c>
      <c r="G307" s="27">
        <f t="shared" si="94"/>
        <v>6.0630428571428571E-2</v>
      </c>
      <c r="H307" s="42"/>
      <c r="I307" s="23">
        <f>SUM(I300:I306)</f>
        <v>0</v>
      </c>
      <c r="J307" s="23">
        <f>SUM(J300:J306)</f>
        <v>0</v>
      </c>
      <c r="K307" s="23">
        <f>SUM(K300:K306)</f>
        <v>0</v>
      </c>
    </row>
    <row r="308" spans="2:11" ht="14.5" customHeight="1" x14ac:dyDescent="0.2">
      <c r="B308" s="392" t="s">
        <v>658</v>
      </c>
      <c r="C308" s="321"/>
      <c r="D308" s="323" t="s">
        <v>660</v>
      </c>
      <c r="E308" s="15">
        <v>50550</v>
      </c>
      <c r="F308" s="15">
        <v>3000000</v>
      </c>
      <c r="G308" s="20">
        <f t="shared" ref="G308:G315" si="100">E308/F308*100%</f>
        <v>1.685E-2</v>
      </c>
      <c r="H308" s="12" t="s">
        <v>675</v>
      </c>
      <c r="I308" s="15">
        <v>0</v>
      </c>
      <c r="J308" s="15">
        <f t="shared" ref="J308:J312" si="101">I308</f>
        <v>0</v>
      </c>
      <c r="K308" s="15">
        <v>0</v>
      </c>
    </row>
    <row r="309" spans="2:11" ht="14.5" customHeight="1" x14ac:dyDescent="0.2">
      <c r="B309" s="392"/>
      <c r="C309" s="321"/>
      <c r="D309" s="323" t="s">
        <v>795</v>
      </c>
      <c r="E309" s="15">
        <v>-290300</v>
      </c>
      <c r="F309" s="15">
        <v>3000000</v>
      </c>
      <c r="G309" s="20">
        <f t="shared" si="100"/>
        <v>-9.6766666666666667E-2</v>
      </c>
      <c r="H309" s="12" t="s">
        <v>675</v>
      </c>
      <c r="I309" s="15">
        <v>0</v>
      </c>
      <c r="J309" s="15">
        <f t="shared" si="101"/>
        <v>0</v>
      </c>
      <c r="K309" s="15">
        <v>0</v>
      </c>
    </row>
    <row r="310" spans="2:11" ht="14.5" customHeight="1" x14ac:dyDescent="0.2">
      <c r="B310" s="392"/>
      <c r="C310" s="321"/>
      <c r="D310" s="323" t="s">
        <v>661</v>
      </c>
      <c r="E310" s="15">
        <v>77600</v>
      </c>
      <c r="F310" s="15">
        <v>2000000</v>
      </c>
      <c r="G310" s="20">
        <f t="shared" si="100"/>
        <v>3.8800000000000001E-2</v>
      </c>
      <c r="H310" s="12" t="s">
        <v>675</v>
      </c>
      <c r="I310" s="15">
        <v>0</v>
      </c>
      <c r="J310" s="15">
        <f t="shared" si="101"/>
        <v>0</v>
      </c>
      <c r="K310" s="15">
        <v>0</v>
      </c>
    </row>
    <row r="311" spans="2:11" ht="14.5" customHeight="1" x14ac:dyDescent="0.2">
      <c r="B311" s="392"/>
      <c r="C311" s="321"/>
      <c r="D311" s="323" t="s">
        <v>662</v>
      </c>
      <c r="E311" s="15"/>
      <c r="F311" s="15">
        <v>3000000</v>
      </c>
      <c r="G311" s="20">
        <f t="shared" si="100"/>
        <v>0</v>
      </c>
      <c r="H311" s="12" t="s">
        <v>675</v>
      </c>
      <c r="I311" s="15">
        <v>0</v>
      </c>
      <c r="J311" s="15">
        <f t="shared" si="101"/>
        <v>0</v>
      </c>
      <c r="K311" s="15">
        <v>0</v>
      </c>
    </row>
    <row r="312" spans="2:11" ht="14.5" customHeight="1" x14ac:dyDescent="0.2">
      <c r="B312" s="392"/>
      <c r="C312" s="324"/>
      <c r="D312" s="324" t="s">
        <v>759</v>
      </c>
      <c r="E312" s="67">
        <f>SUM(E308:E311)</f>
        <v>-162150</v>
      </c>
      <c r="F312" s="67">
        <f>SUM(F308:F311)</f>
        <v>11000000</v>
      </c>
      <c r="G312" s="66">
        <f t="shared" si="100"/>
        <v>-1.4740909090909091E-2</v>
      </c>
      <c r="H312" s="64" t="s">
        <v>673</v>
      </c>
      <c r="I312" s="63">
        <v>0</v>
      </c>
      <c r="J312" s="63">
        <f t="shared" si="101"/>
        <v>0</v>
      </c>
      <c r="K312" s="63">
        <v>0</v>
      </c>
    </row>
    <row r="313" spans="2:11" ht="14.5" customHeight="1" x14ac:dyDescent="0.2">
      <c r="B313" s="393"/>
      <c r="C313" s="325"/>
      <c r="D313" s="325" t="s">
        <v>659</v>
      </c>
      <c r="E313" s="22">
        <f>SUM(E312)</f>
        <v>-162150</v>
      </c>
      <c r="F313" s="22">
        <f>SUM(F312)</f>
        <v>11000000</v>
      </c>
      <c r="G313" s="27">
        <f t="shared" si="100"/>
        <v>-1.4740909090909091E-2</v>
      </c>
      <c r="H313" s="42"/>
      <c r="I313" s="23">
        <f>SUM(I308:I312)</f>
        <v>0</v>
      </c>
      <c r="J313" s="23">
        <f>SUM(J308:J312)</f>
        <v>0</v>
      </c>
      <c r="K313" s="23">
        <f>SUM(K308:K312)</f>
        <v>0</v>
      </c>
    </row>
    <row r="314" spans="2:11" ht="14.5" customHeight="1" x14ac:dyDescent="0.2">
      <c r="B314" s="326"/>
      <c r="C314" s="326"/>
      <c r="D314" s="326" t="s">
        <v>863</v>
      </c>
      <c r="E314" s="208">
        <f>SUM(E313,E307,E299,E292,E288)</f>
        <v>2866387</v>
      </c>
      <c r="F314" s="208">
        <f>SUM(F313,F307,F299,F292,F288)</f>
        <v>54000000</v>
      </c>
      <c r="G314" s="44">
        <f t="shared" si="100"/>
        <v>5.3081240740740741E-2</v>
      </c>
      <c r="H314" s="209"/>
      <c r="I314" s="208">
        <f>SUM(I313,I307,I299,I292,I288)</f>
        <v>90000</v>
      </c>
      <c r="J314" s="208">
        <f>SUM(J313,J307,J299,J292,J288)</f>
        <v>90000</v>
      </c>
      <c r="K314" s="208">
        <f>SUM(K313,K307,K299,K292,K288)</f>
        <v>0</v>
      </c>
    </row>
    <row r="315" spans="2:11" ht="14.5" customHeight="1" x14ac:dyDescent="0.2">
      <c r="B315" s="326"/>
      <c r="C315" s="326"/>
      <c r="D315" s="326" t="s">
        <v>55</v>
      </c>
      <c r="E315" s="208">
        <f>SUM(E314,E281,E259,E226,E190)</f>
        <v>855644573</v>
      </c>
      <c r="F315" s="208">
        <f>SUM(F314,F281,F259,F226,F190)</f>
        <v>1270200000</v>
      </c>
      <c r="G315" s="44">
        <f t="shared" si="100"/>
        <v>0.67362980081876866</v>
      </c>
      <c r="H315" s="209"/>
      <c r="I315" s="208">
        <f>SUM(I314,I281,I259,I226,I190)</f>
        <v>2666000</v>
      </c>
      <c r="J315" s="208">
        <f>SUM(J314,J281,J259,J226,J190)</f>
        <v>2666000</v>
      </c>
      <c r="K315" s="208">
        <f>SUM(K314,K281,K259,K226,K190)</f>
        <v>0</v>
      </c>
    </row>
    <row r="321" spans="2:11" ht="14.5" customHeight="1" x14ac:dyDescent="0.2">
      <c r="B321" s="4" t="s">
        <v>864</v>
      </c>
      <c r="C321" s="5"/>
      <c r="D321" s="5"/>
      <c r="E321" s="33"/>
      <c r="F321" s="33"/>
      <c r="G321" s="34"/>
    </row>
    <row r="322" spans="2:11" ht="14.5" customHeight="1" x14ac:dyDescent="0.2">
      <c r="B322" s="8"/>
      <c r="C322" s="8"/>
      <c r="D322" s="8"/>
      <c r="E322" s="35"/>
      <c r="F322" s="35"/>
      <c r="G322" s="34"/>
    </row>
    <row r="323" spans="2:11" ht="14.5" customHeight="1" x14ac:dyDescent="0.2">
      <c r="B323" s="388" t="s">
        <v>0</v>
      </c>
      <c r="C323" s="388" t="s">
        <v>270</v>
      </c>
      <c r="D323" s="388" t="s">
        <v>2</v>
      </c>
      <c r="E323" s="385" t="s">
        <v>4</v>
      </c>
      <c r="F323" s="385"/>
      <c r="G323" s="417" t="s">
        <v>56</v>
      </c>
      <c r="H323" s="394" t="s">
        <v>3</v>
      </c>
      <c r="I323" s="398" t="s">
        <v>92</v>
      </c>
      <c r="J323" s="398" t="s">
        <v>8</v>
      </c>
      <c r="K323" s="398" t="s">
        <v>75</v>
      </c>
    </row>
    <row r="324" spans="2:11" ht="14.5" customHeight="1" x14ac:dyDescent="0.2">
      <c r="B324" s="388"/>
      <c r="C324" s="388"/>
      <c r="D324" s="388"/>
      <c r="E324" s="36" t="s">
        <v>77</v>
      </c>
      <c r="F324" s="54" t="s">
        <v>58</v>
      </c>
      <c r="G324" s="417"/>
      <c r="H324" s="394"/>
      <c r="I324" s="398"/>
      <c r="J324" s="398"/>
      <c r="K324" s="398"/>
    </row>
    <row r="325" spans="2:11" ht="14.5" customHeight="1" x14ac:dyDescent="0.2">
      <c r="B325" s="386" t="s">
        <v>865</v>
      </c>
      <c r="C325" s="117"/>
      <c r="D325" s="117" t="s">
        <v>868</v>
      </c>
      <c r="E325" s="117"/>
      <c r="F325" s="117"/>
      <c r="G325" s="117"/>
      <c r="H325" s="117"/>
      <c r="I325" s="117"/>
      <c r="J325" s="117"/>
      <c r="K325" s="117"/>
    </row>
    <row r="326" spans="2:11" ht="14.5" customHeight="1" x14ac:dyDescent="0.2">
      <c r="B326" s="386"/>
      <c r="C326" s="117"/>
      <c r="D326" s="117" t="s">
        <v>869</v>
      </c>
      <c r="E326" s="117"/>
      <c r="F326" s="117"/>
      <c r="G326" s="117"/>
      <c r="H326" s="117"/>
      <c r="I326" s="117"/>
      <c r="J326" s="117"/>
      <c r="K326" s="117"/>
    </row>
    <row r="327" spans="2:11" ht="14.5" customHeight="1" x14ac:dyDescent="0.2">
      <c r="B327" s="386"/>
      <c r="C327" s="52"/>
      <c r="D327" s="69" t="s">
        <v>870</v>
      </c>
      <c r="E327" s="15">
        <v>143576576.50000012</v>
      </c>
      <c r="F327" s="15">
        <v>135000000</v>
      </c>
      <c r="G327" s="20">
        <f t="shared" ref="G327:G338" si="102">E327/F327*100%</f>
        <v>1.0635301962962971</v>
      </c>
      <c r="H327" s="12" t="s">
        <v>571</v>
      </c>
      <c r="I327" s="15">
        <v>264000</v>
      </c>
      <c r="J327" s="15">
        <f t="shared" ref="J327" si="103">I327</f>
        <v>264000</v>
      </c>
      <c r="K327" s="15">
        <v>0</v>
      </c>
    </row>
    <row r="328" spans="2:11" ht="14.5" customHeight="1" x14ac:dyDescent="0.2">
      <c r="B328" s="386"/>
      <c r="C328" s="117"/>
      <c r="D328" s="117" t="s">
        <v>871</v>
      </c>
      <c r="E328" s="117"/>
      <c r="F328" s="117"/>
      <c r="G328" s="117"/>
      <c r="H328" s="117"/>
      <c r="I328" s="117"/>
      <c r="J328" s="117"/>
      <c r="K328" s="117"/>
    </row>
    <row r="329" spans="2:11" ht="14.5" customHeight="1" x14ac:dyDescent="0.2">
      <c r="B329" s="386"/>
      <c r="C329" s="117"/>
      <c r="D329" s="117" t="s">
        <v>872</v>
      </c>
      <c r="E329" s="117"/>
      <c r="F329" s="117"/>
      <c r="G329" s="117"/>
      <c r="H329" s="117"/>
      <c r="I329" s="117"/>
      <c r="J329" s="117"/>
      <c r="K329" s="117"/>
    </row>
    <row r="330" spans="2:11" ht="14.5" customHeight="1" x14ac:dyDescent="0.2">
      <c r="B330" s="386"/>
      <c r="C330" s="117"/>
      <c r="D330" s="117" t="s">
        <v>873</v>
      </c>
      <c r="E330" s="117"/>
      <c r="F330" s="117"/>
      <c r="G330" s="117"/>
      <c r="H330" s="117"/>
      <c r="I330" s="117"/>
      <c r="J330" s="117"/>
      <c r="K330" s="117"/>
    </row>
    <row r="331" spans="2:11" ht="14.5" customHeight="1" x14ac:dyDescent="0.2">
      <c r="B331" s="386"/>
      <c r="C331" s="117"/>
      <c r="D331" s="117" t="s">
        <v>874</v>
      </c>
      <c r="E331" s="117"/>
      <c r="F331" s="117"/>
      <c r="G331" s="117"/>
      <c r="H331" s="117"/>
      <c r="I331" s="117"/>
      <c r="J331" s="117"/>
      <c r="K331" s="117"/>
    </row>
    <row r="332" spans="2:11" ht="14.5" customHeight="1" x14ac:dyDescent="0.2">
      <c r="B332" s="386"/>
      <c r="C332" s="117"/>
      <c r="D332" s="117" t="s">
        <v>875</v>
      </c>
      <c r="E332" s="117"/>
      <c r="F332" s="117"/>
      <c r="G332" s="117"/>
      <c r="H332" s="117"/>
      <c r="I332" s="117"/>
      <c r="J332" s="117"/>
      <c r="K332" s="117"/>
    </row>
    <row r="333" spans="2:11" ht="14.5" customHeight="1" x14ac:dyDescent="0.2">
      <c r="B333" s="386"/>
      <c r="C333" s="117"/>
      <c r="D333" s="117" t="s">
        <v>876</v>
      </c>
      <c r="E333" s="117"/>
      <c r="F333" s="117"/>
      <c r="G333" s="117"/>
      <c r="H333" s="117"/>
      <c r="I333" s="117"/>
      <c r="J333" s="117"/>
      <c r="K333" s="117"/>
    </row>
    <row r="334" spans="2:11" ht="14.5" customHeight="1" x14ac:dyDescent="0.2">
      <c r="B334" s="386"/>
      <c r="C334" s="117"/>
      <c r="D334" s="117" t="s">
        <v>877</v>
      </c>
      <c r="E334" s="117"/>
      <c r="F334" s="117"/>
      <c r="G334" s="117"/>
      <c r="H334" s="117"/>
      <c r="I334" s="117"/>
      <c r="J334" s="117"/>
      <c r="K334" s="117"/>
    </row>
    <row r="335" spans="2:11" ht="14.5" customHeight="1" x14ac:dyDescent="0.2">
      <c r="B335" s="386"/>
      <c r="C335" s="78"/>
      <c r="D335" s="78" t="s">
        <v>892</v>
      </c>
      <c r="E335" s="67">
        <f>SUM(E325:E334)</f>
        <v>143576576.50000012</v>
      </c>
      <c r="F335" s="67">
        <f>SUM(F325:F334)</f>
        <v>135000000</v>
      </c>
      <c r="G335" s="66">
        <f t="shared" ref="G335" si="104">E335/F335*100%</f>
        <v>1.0635301962962971</v>
      </c>
      <c r="H335" s="64" t="s">
        <v>673</v>
      </c>
      <c r="I335" s="63">
        <v>180000</v>
      </c>
      <c r="J335" s="63">
        <f t="shared" ref="J335:J336" si="105">I335</f>
        <v>180000</v>
      </c>
      <c r="K335" s="63">
        <v>0</v>
      </c>
    </row>
    <row r="336" spans="2:11" ht="14.5" customHeight="1" x14ac:dyDescent="0.2">
      <c r="B336" s="386"/>
      <c r="C336" s="78"/>
      <c r="D336" s="78" t="s">
        <v>74</v>
      </c>
      <c r="E336" s="67">
        <f>SUM(E325:E334)</f>
        <v>143576576.50000012</v>
      </c>
      <c r="F336" s="67">
        <f>SUM(F325:F334)</f>
        <v>135000000</v>
      </c>
      <c r="G336" s="66">
        <f t="shared" si="102"/>
        <v>1.0635301962962971</v>
      </c>
      <c r="H336" s="64" t="s">
        <v>20</v>
      </c>
      <c r="I336" s="63">
        <v>480000</v>
      </c>
      <c r="J336" s="63">
        <f t="shared" si="105"/>
        <v>480000</v>
      </c>
      <c r="K336" s="63">
        <v>0</v>
      </c>
    </row>
    <row r="337" spans="2:11" ht="14.5" customHeight="1" x14ac:dyDescent="0.2">
      <c r="B337" s="387"/>
      <c r="C337" s="71"/>
      <c r="D337" s="71" t="s">
        <v>866</v>
      </c>
      <c r="E337" s="22">
        <f>SUM(E336)</f>
        <v>143576576.50000012</v>
      </c>
      <c r="F337" s="22">
        <f>SUM(F336)</f>
        <v>135000000</v>
      </c>
      <c r="G337" s="27">
        <f t="shared" si="102"/>
        <v>1.0635301962962971</v>
      </c>
      <c r="H337" s="42"/>
      <c r="I337" s="23">
        <f>SUM(I325:I336)</f>
        <v>924000</v>
      </c>
      <c r="J337" s="23">
        <f>SUM(J325:J336)</f>
        <v>924000</v>
      </c>
      <c r="K337" s="23">
        <f>SUM(K325:K336)</f>
        <v>0</v>
      </c>
    </row>
    <row r="338" spans="2:11" ht="14.5" customHeight="1" x14ac:dyDescent="0.2">
      <c r="B338" s="206"/>
      <c r="C338" s="206"/>
      <c r="D338" s="206" t="s">
        <v>867</v>
      </c>
      <c r="E338" s="208">
        <f>SUM(E337)</f>
        <v>143576576.50000012</v>
      </c>
      <c r="F338" s="208">
        <f>SUM(F337)</f>
        <v>135000000</v>
      </c>
      <c r="G338" s="44">
        <f t="shared" si="102"/>
        <v>1.0635301962962971</v>
      </c>
      <c r="H338" s="209"/>
      <c r="I338" s="208">
        <f t="shared" ref="I338:K338" si="106">SUM(I337)</f>
        <v>924000</v>
      </c>
      <c r="J338" s="208">
        <f t="shared" si="106"/>
        <v>924000</v>
      </c>
      <c r="K338" s="208">
        <f t="shared" si="106"/>
        <v>0</v>
      </c>
    </row>
    <row r="340" spans="2:11" ht="14.5" customHeight="1" x14ac:dyDescent="0.2">
      <c r="G340" s="228" t="s">
        <v>78</v>
      </c>
      <c r="H340" s="48"/>
      <c r="I340" s="128">
        <f>SUM(I338,I315,I147,I95,I77,I40)</f>
        <v>18617500</v>
      </c>
    </row>
    <row r="341" spans="2:11" ht="14.5" customHeight="1" x14ac:dyDescent="0.2">
      <c r="G341" s="228" t="s">
        <v>80</v>
      </c>
      <c r="H341" s="48"/>
      <c r="I341" s="128">
        <f>'Pencapaian Product Focus'!N340</f>
        <v>5062000</v>
      </c>
    </row>
    <row r="342" spans="2:11" ht="14.5" customHeight="1" x14ac:dyDescent="0.2">
      <c r="G342" s="228" t="s">
        <v>138</v>
      </c>
      <c r="H342" s="48"/>
      <c r="I342" s="128">
        <f>'Pencapaian Effective Call'!I341</f>
        <v>4324500</v>
      </c>
    </row>
    <row r="343" spans="2:11" ht="14.5" customHeight="1" x14ac:dyDescent="0.2">
      <c r="G343" s="228" t="s">
        <v>153</v>
      </c>
      <c r="H343" s="48"/>
      <c r="I343" s="128">
        <f>'Pencapaian New Open Outlet'!I342</f>
        <v>1949250</v>
      </c>
    </row>
    <row r="344" spans="2:11" ht="14.5" customHeight="1" x14ac:dyDescent="0.2">
      <c r="G344" s="228" t="s">
        <v>79</v>
      </c>
      <c r="H344" s="48"/>
      <c r="I344" s="128">
        <f>'Pencapaian Active Outlet'!I343</f>
        <v>7007500</v>
      </c>
    </row>
    <row r="345" spans="2:11" ht="14.5" customHeight="1" x14ac:dyDescent="0.2">
      <c r="G345" s="228" t="s">
        <v>136</v>
      </c>
      <c r="H345" s="48"/>
      <c r="I345" s="128">
        <f>'Pencapaian Item per Outlet'!I344</f>
        <v>1646000</v>
      </c>
    </row>
    <row r="346" spans="2:11" ht="14.5" customHeight="1" x14ac:dyDescent="0.2">
      <c r="G346" s="228" t="s">
        <v>414</v>
      </c>
      <c r="H346" s="45"/>
      <c r="I346" s="128">
        <f>'Pencapaian Product Display'!I345</f>
        <v>40000</v>
      </c>
    </row>
    <row r="347" spans="2:11" ht="14.5" customHeight="1" x14ac:dyDescent="0.2">
      <c r="G347" s="228" t="s">
        <v>415</v>
      </c>
      <c r="H347" s="45"/>
      <c r="I347" s="128">
        <f>'Pencapaian Sales Contract'!I346</f>
        <v>0</v>
      </c>
    </row>
    <row r="348" spans="2:11" ht="14.5" customHeight="1" x14ac:dyDescent="0.2">
      <c r="G348" s="228" t="s">
        <v>416</v>
      </c>
      <c r="H348" s="45"/>
      <c r="I348" s="128">
        <f>'Pencapaian Co-Branding'!I347</f>
        <v>0</v>
      </c>
    </row>
    <row r="349" spans="2:11" ht="14.5" customHeight="1" x14ac:dyDescent="0.2">
      <c r="G349" s="228" t="s">
        <v>417</v>
      </c>
      <c r="H349" s="45"/>
      <c r="I349" s="128">
        <f>'Pencapaian Join Event Activity'!I348</f>
        <v>50000</v>
      </c>
    </row>
    <row r="350" spans="2:11" ht="14.5" customHeight="1" x14ac:dyDescent="0.2">
      <c r="G350" s="228" t="s">
        <v>418</v>
      </c>
      <c r="H350" s="45"/>
      <c r="I350" s="128">
        <f>'Pencapaian Loading &amp; Drop Point'!J164</f>
        <v>220000</v>
      </c>
    </row>
    <row r="351" spans="2:11" ht="14.5" customHeight="1" x14ac:dyDescent="0.2">
      <c r="G351" s="47"/>
      <c r="I351" s="229"/>
    </row>
    <row r="352" spans="2:11" ht="14.5" customHeight="1" x14ac:dyDescent="0.2">
      <c r="G352" s="50" t="s">
        <v>62</v>
      </c>
      <c r="I352" s="72">
        <f>SUM(I340:I350)</f>
        <v>38916750</v>
      </c>
    </row>
  </sheetData>
  <mergeCells count="86">
    <mergeCell ref="B300:B307"/>
    <mergeCell ref="B308:B313"/>
    <mergeCell ref="B243:B249"/>
    <mergeCell ref="B260:B274"/>
    <mergeCell ref="B275:B280"/>
    <mergeCell ref="B289:B292"/>
    <mergeCell ref="B293:B299"/>
    <mergeCell ref="B282:B288"/>
    <mergeCell ref="B182:B189"/>
    <mergeCell ref="B191:B199"/>
    <mergeCell ref="B216:B220"/>
    <mergeCell ref="B221:B225"/>
    <mergeCell ref="B250:B258"/>
    <mergeCell ref="B227:B242"/>
    <mergeCell ref="B200:B215"/>
    <mergeCell ref="B72:B76"/>
    <mergeCell ref="H48:H49"/>
    <mergeCell ref="I48:I49"/>
    <mergeCell ref="J48:J49"/>
    <mergeCell ref="K48:K49"/>
    <mergeCell ref="B65:B71"/>
    <mergeCell ref="B50:B64"/>
    <mergeCell ref="B35:B39"/>
    <mergeCell ref="B48:B49"/>
    <mergeCell ref="D48:D49"/>
    <mergeCell ref="E48:F48"/>
    <mergeCell ref="G48:G49"/>
    <mergeCell ref="C48:C49"/>
    <mergeCell ref="K3:K4"/>
    <mergeCell ref="B5:B28"/>
    <mergeCell ref="B29:B34"/>
    <mergeCell ref="H3:H4"/>
    <mergeCell ref="I3:I4"/>
    <mergeCell ref="B3:B4"/>
    <mergeCell ref="D3:D4"/>
    <mergeCell ref="E3:F3"/>
    <mergeCell ref="G3:G4"/>
    <mergeCell ref="J3:J4"/>
    <mergeCell ref="C3:C4"/>
    <mergeCell ref="D155:D156"/>
    <mergeCell ref="B116:B120"/>
    <mergeCell ref="B129:B133"/>
    <mergeCell ref="C155:C156"/>
    <mergeCell ref="B85:B86"/>
    <mergeCell ref="D85:D86"/>
    <mergeCell ref="B91:B94"/>
    <mergeCell ref="B87:B90"/>
    <mergeCell ref="C85:C86"/>
    <mergeCell ref="D103:D104"/>
    <mergeCell ref="B157:B165"/>
    <mergeCell ref="B166:B181"/>
    <mergeCell ref="C103:C104"/>
    <mergeCell ref="B121:B128"/>
    <mergeCell ref="B155:B156"/>
    <mergeCell ref="B105:B109"/>
    <mergeCell ref="B110:B115"/>
    <mergeCell ref="B103:B104"/>
    <mergeCell ref="B134:B146"/>
    <mergeCell ref="K85:K86"/>
    <mergeCell ref="E85:F85"/>
    <mergeCell ref="G85:G86"/>
    <mergeCell ref="H85:H86"/>
    <mergeCell ref="I85:I86"/>
    <mergeCell ref="J85:J86"/>
    <mergeCell ref="K155:K156"/>
    <mergeCell ref="E155:F155"/>
    <mergeCell ref="G155:G156"/>
    <mergeCell ref="H155:H156"/>
    <mergeCell ref="K103:K104"/>
    <mergeCell ref="I155:I156"/>
    <mergeCell ref="J155:J156"/>
    <mergeCell ref="H103:H104"/>
    <mergeCell ref="I103:I104"/>
    <mergeCell ref="J103:J104"/>
    <mergeCell ref="E103:F103"/>
    <mergeCell ref="G103:G104"/>
    <mergeCell ref="H323:H324"/>
    <mergeCell ref="I323:I324"/>
    <mergeCell ref="J323:J324"/>
    <mergeCell ref="K323:K324"/>
    <mergeCell ref="B325:B337"/>
    <mergeCell ref="B323:B324"/>
    <mergeCell ref="C323:C324"/>
    <mergeCell ref="D323:D324"/>
    <mergeCell ref="E323:F323"/>
    <mergeCell ref="G323:G324"/>
  </mergeCells>
  <phoneticPr fontId="22" type="noConversion"/>
  <conditionalFormatting sqref="G5:G12 G14:G20 G29:G30 G32 G51:G54 G56:G57 G59:G61 G63 G66:G67 G69 G105:G106 G110:G113 G130:G131">
    <cfRule type="cellIs" dxfId="331" priority="373" operator="greaterThanOrEqual">
      <formula>1</formula>
    </cfRule>
    <cfRule type="cellIs" dxfId="330" priority="374" operator="greaterThan">
      <formula>0.7</formula>
    </cfRule>
  </conditionalFormatting>
  <conditionalFormatting sqref="G5:G12 G14:G20 G29:G30 G32 G51:G54 G56:G57 G59:G61 G63 G105:G106 G110:G113 G130:G131">
    <cfRule type="cellIs" dxfId="329" priority="375" operator="lessThan">
      <formula>0.7</formula>
    </cfRule>
  </conditionalFormatting>
  <conditionalFormatting sqref="G22:G23">
    <cfRule type="cellIs" dxfId="328" priority="364" operator="greaterThan">
      <formula>1</formula>
    </cfRule>
    <cfRule type="cellIs" dxfId="327" priority="365" operator="greaterThan">
      <formula>0.7</formula>
    </cfRule>
    <cfRule type="cellIs" dxfId="326" priority="366" operator="lessThan">
      <formula>0.7</formula>
    </cfRule>
  </conditionalFormatting>
  <conditionalFormatting sqref="G25:G26">
    <cfRule type="cellIs" dxfId="325" priority="358" operator="greaterThan">
      <formula>1</formula>
    </cfRule>
    <cfRule type="cellIs" dxfId="324" priority="359" operator="greaterThan">
      <formula>0.7</formula>
    </cfRule>
    <cfRule type="cellIs" dxfId="323" priority="360" operator="lessThan">
      <formula>0.7</formula>
    </cfRule>
  </conditionalFormatting>
  <conditionalFormatting sqref="G35:G37">
    <cfRule type="cellIs" dxfId="322" priority="367" operator="greaterThan">
      <formula>1</formula>
    </cfRule>
    <cfRule type="cellIs" dxfId="321" priority="368" operator="greaterThan">
      <formula>0.7</formula>
    </cfRule>
    <cfRule type="cellIs" dxfId="320" priority="369" operator="lessThan">
      <formula>0.7</formula>
    </cfRule>
  </conditionalFormatting>
  <conditionalFormatting sqref="G65">
    <cfRule type="cellIs" dxfId="319" priority="370" operator="greaterThan">
      <formula>1</formula>
    </cfRule>
    <cfRule type="cellIs" dxfId="318" priority="371" operator="greaterThan">
      <formula>0.7</formula>
    </cfRule>
  </conditionalFormatting>
  <conditionalFormatting sqref="G65:G69">
    <cfRule type="cellIs" dxfId="317" priority="330" operator="lessThan">
      <formula>0.7</formula>
    </cfRule>
  </conditionalFormatting>
  <conditionalFormatting sqref="G68">
    <cfRule type="cellIs" dxfId="316" priority="328" operator="greaterThan">
      <formula>1</formula>
    </cfRule>
    <cfRule type="cellIs" dxfId="315" priority="329" operator="greaterThan">
      <formula>0.7</formula>
    </cfRule>
  </conditionalFormatting>
  <conditionalFormatting sqref="G72:G74">
    <cfRule type="cellIs" dxfId="314" priority="331" operator="greaterThan">
      <formula>1</formula>
    </cfRule>
    <cfRule type="cellIs" dxfId="313" priority="332" operator="greaterThan">
      <formula>0.7</formula>
    </cfRule>
    <cfRule type="cellIs" dxfId="312" priority="333" operator="lessThan">
      <formula>0.7</formula>
    </cfRule>
  </conditionalFormatting>
  <conditionalFormatting sqref="G87:G88 G91:G92">
    <cfRule type="cellIs" dxfId="311" priority="349" operator="greaterThan">
      <formula>1</formula>
    </cfRule>
    <cfRule type="cellIs" dxfId="310" priority="350" operator="greaterThan">
      <formula>0.7</formula>
    </cfRule>
    <cfRule type="cellIs" dxfId="309" priority="351" operator="lessThan">
      <formula>0.7</formula>
    </cfRule>
  </conditionalFormatting>
  <conditionalFormatting sqref="G116:G119">
    <cfRule type="cellIs" dxfId="308" priority="1" operator="greaterThanOrEqual">
      <formula>1</formula>
    </cfRule>
    <cfRule type="cellIs" dxfId="307" priority="2" operator="greaterThan">
      <formula>0.7</formula>
    </cfRule>
    <cfRule type="cellIs" dxfId="306" priority="3" operator="lessThan">
      <formula>0.7</formula>
    </cfRule>
  </conditionalFormatting>
  <conditionalFormatting sqref="G124">
    <cfRule type="cellIs" dxfId="305" priority="169" operator="greaterThanOrEqual">
      <formula>1</formula>
    </cfRule>
    <cfRule type="cellIs" dxfId="304" priority="170" operator="greaterThan">
      <formula>0.7</formula>
    </cfRule>
    <cfRule type="cellIs" dxfId="303" priority="171" operator="lessThan">
      <formula>0.7</formula>
    </cfRule>
  </conditionalFormatting>
  <conditionalFormatting sqref="G134:G144">
    <cfRule type="cellIs" dxfId="302" priority="118" operator="greaterThanOrEqual">
      <formula>1</formula>
    </cfRule>
    <cfRule type="cellIs" dxfId="301" priority="119" operator="greaterThan">
      <formula>0.7</formula>
    </cfRule>
    <cfRule type="cellIs" dxfId="300" priority="120" operator="lessThan">
      <formula>0.7</formula>
    </cfRule>
  </conditionalFormatting>
  <conditionalFormatting sqref="G157:G162">
    <cfRule type="cellIs" dxfId="299" priority="166" operator="greaterThan">
      <formula>1</formula>
    </cfRule>
    <cfRule type="cellIs" dxfId="298" priority="167" operator="greaterThan">
      <formula>0.8</formula>
    </cfRule>
    <cfRule type="cellIs" dxfId="297" priority="168" operator="lessThan">
      <formula>0.8</formula>
    </cfRule>
  </conditionalFormatting>
  <conditionalFormatting sqref="G166:G172">
    <cfRule type="cellIs" dxfId="296" priority="235" operator="greaterThan">
      <formula>1</formula>
    </cfRule>
    <cfRule type="cellIs" dxfId="295" priority="236" operator="greaterThan">
      <formula>0.8</formula>
    </cfRule>
    <cfRule type="cellIs" dxfId="294" priority="237" operator="lessThan">
      <formula>0.8</formula>
    </cfRule>
  </conditionalFormatting>
  <conditionalFormatting sqref="G174:G178">
    <cfRule type="cellIs" dxfId="293" priority="232" operator="greaterThan">
      <formula>1</formula>
    </cfRule>
    <cfRule type="cellIs" dxfId="292" priority="233" operator="greaterThan">
      <formula>0.8</formula>
    </cfRule>
    <cfRule type="cellIs" dxfId="291" priority="234" operator="lessThan">
      <formula>0.8</formula>
    </cfRule>
  </conditionalFormatting>
  <conditionalFormatting sqref="G182:G188">
    <cfRule type="cellIs" dxfId="290" priority="229" operator="greaterThan">
      <formula>1</formula>
    </cfRule>
    <cfRule type="cellIs" dxfId="289" priority="230" operator="greaterThan">
      <formula>0.8</formula>
    </cfRule>
    <cfRule type="cellIs" dxfId="288" priority="231" operator="lessThan">
      <formula>0.8</formula>
    </cfRule>
  </conditionalFormatting>
  <conditionalFormatting sqref="G191:G196">
    <cfRule type="cellIs" dxfId="287" priority="112" operator="greaterThan">
      <formula>1</formula>
    </cfRule>
    <cfRule type="cellIs" dxfId="286" priority="113" operator="greaterThan">
      <formula>0.8</formula>
    </cfRule>
    <cfRule type="cellIs" dxfId="285" priority="114" operator="lessThan">
      <formula>0.8</formula>
    </cfRule>
  </conditionalFormatting>
  <conditionalFormatting sqref="G200:G204">
    <cfRule type="cellIs" dxfId="284" priority="223" operator="greaterThan">
      <formula>1</formula>
    </cfRule>
    <cfRule type="cellIs" dxfId="283" priority="224" operator="greaterThan">
      <formula>0.8</formula>
    </cfRule>
    <cfRule type="cellIs" dxfId="282" priority="225" operator="lessThan">
      <formula>0.8</formula>
    </cfRule>
  </conditionalFormatting>
  <conditionalFormatting sqref="G206:G212">
    <cfRule type="cellIs" dxfId="281" priority="103" operator="greaterThanOrEqual">
      <formula>1</formula>
    </cfRule>
    <cfRule type="cellIs" dxfId="280" priority="104" operator="greaterThan">
      <formula>0.7</formula>
    </cfRule>
    <cfRule type="cellIs" dxfId="279" priority="105" operator="lessThan">
      <formula>0.7</formula>
    </cfRule>
  </conditionalFormatting>
  <conditionalFormatting sqref="G216:G218">
    <cfRule type="cellIs" dxfId="278" priority="97" operator="greaterThan">
      <formula>1</formula>
    </cfRule>
    <cfRule type="cellIs" dxfId="277" priority="98" operator="greaterThan">
      <formula>0.8</formula>
    </cfRule>
    <cfRule type="cellIs" dxfId="276" priority="99" operator="lessThan">
      <formula>0.8</formula>
    </cfRule>
  </conditionalFormatting>
  <conditionalFormatting sqref="G221:G223">
    <cfRule type="cellIs" dxfId="275" priority="85" operator="greaterThan">
      <formula>1</formula>
    </cfRule>
    <cfRule type="cellIs" dxfId="274" priority="86" operator="greaterThan">
      <formula>0.8</formula>
    </cfRule>
    <cfRule type="cellIs" dxfId="273" priority="87" operator="lessThan">
      <formula>0.8</formula>
    </cfRule>
  </conditionalFormatting>
  <conditionalFormatting sqref="G227:G232">
    <cfRule type="cellIs" dxfId="272" priority="82" operator="greaterThanOrEqual">
      <formula>1</formula>
    </cfRule>
    <cfRule type="cellIs" dxfId="271" priority="83" operator="greaterThan">
      <formula>0.7</formula>
    </cfRule>
    <cfRule type="cellIs" dxfId="270" priority="84" operator="lessThan">
      <formula>0.7</formula>
    </cfRule>
  </conditionalFormatting>
  <conditionalFormatting sqref="G233">
    <cfRule type="cellIs" dxfId="269" priority="184" operator="greaterThan">
      <formula>1</formula>
    </cfRule>
    <cfRule type="cellIs" dxfId="268" priority="185" operator="greaterThan">
      <formula>0.8</formula>
    </cfRule>
    <cfRule type="cellIs" dxfId="267" priority="186" operator="lessThan">
      <formula>0.8</formula>
    </cfRule>
  </conditionalFormatting>
  <conditionalFormatting sqref="G235:G239">
    <cfRule type="cellIs" dxfId="266" priority="79" operator="greaterThan">
      <formula>1</formula>
    </cfRule>
    <cfRule type="cellIs" dxfId="265" priority="80" operator="greaterThan">
      <formula>0.8</formula>
    </cfRule>
    <cfRule type="cellIs" dxfId="264" priority="81" operator="lessThan">
      <formula>0.8</formula>
    </cfRule>
  </conditionalFormatting>
  <conditionalFormatting sqref="G243:G247">
    <cfRule type="cellIs" dxfId="263" priority="73" operator="greaterThan">
      <formula>1</formula>
    </cfRule>
    <cfRule type="cellIs" dxfId="262" priority="74" operator="greaterThan">
      <formula>0.8</formula>
    </cfRule>
    <cfRule type="cellIs" dxfId="261" priority="75" operator="lessThan">
      <formula>0.8</formula>
    </cfRule>
  </conditionalFormatting>
  <conditionalFormatting sqref="G250:G256">
    <cfRule type="cellIs" dxfId="260" priority="214" operator="greaterThan">
      <formula>1</formula>
    </cfRule>
    <cfRule type="cellIs" dxfId="259" priority="215" operator="greaterThan">
      <formula>0.8</formula>
    </cfRule>
    <cfRule type="cellIs" dxfId="258" priority="216" operator="lessThan">
      <formula>0.8</formula>
    </cfRule>
  </conditionalFormatting>
  <conditionalFormatting sqref="G260:G264">
    <cfRule type="cellIs" dxfId="257" priority="67" operator="greaterThan">
      <formula>1</formula>
    </cfRule>
    <cfRule type="cellIs" dxfId="256" priority="68" operator="greaterThan">
      <formula>0.8</formula>
    </cfRule>
    <cfRule type="cellIs" dxfId="255" priority="69" operator="lessThan">
      <formula>0.8</formula>
    </cfRule>
  </conditionalFormatting>
  <conditionalFormatting sqref="G266:G271">
    <cfRule type="cellIs" dxfId="254" priority="58" operator="greaterThan">
      <formula>1</formula>
    </cfRule>
    <cfRule type="cellIs" dxfId="253" priority="59" operator="greaterThan">
      <formula>0.8</formula>
    </cfRule>
    <cfRule type="cellIs" dxfId="252" priority="60" operator="lessThan">
      <formula>0.8</formula>
    </cfRule>
  </conditionalFormatting>
  <conditionalFormatting sqref="G275:G278">
    <cfRule type="cellIs" dxfId="251" priority="52" operator="greaterThan">
      <formula>1</formula>
    </cfRule>
    <cfRule type="cellIs" dxfId="250" priority="53" operator="greaterThan">
      <formula>0.8</formula>
    </cfRule>
    <cfRule type="cellIs" dxfId="249" priority="54" operator="lessThan">
      <formula>0.8</formula>
    </cfRule>
  </conditionalFormatting>
  <conditionalFormatting sqref="G282:G286">
    <cfRule type="cellIs" dxfId="248" priority="31" operator="greaterThan">
      <formula>1</formula>
    </cfRule>
    <cfRule type="cellIs" dxfId="247" priority="32" operator="greaterThan">
      <formula>0.8</formula>
    </cfRule>
    <cfRule type="cellIs" dxfId="246" priority="33" operator="lessThan">
      <formula>0.8</formula>
    </cfRule>
  </conditionalFormatting>
  <conditionalFormatting sqref="G289:G290">
    <cfRule type="cellIs" dxfId="245" priority="46" operator="greaterThan">
      <formula>1</formula>
    </cfRule>
    <cfRule type="cellIs" dxfId="244" priority="47" operator="greaterThan">
      <formula>0.8</formula>
    </cfRule>
    <cfRule type="cellIs" dxfId="243" priority="48" operator="lessThan">
      <formula>0.8</formula>
    </cfRule>
  </conditionalFormatting>
  <conditionalFormatting sqref="G293:G297">
    <cfRule type="cellIs" dxfId="242" priority="193" operator="greaterThan">
      <formula>1</formula>
    </cfRule>
    <cfRule type="cellIs" dxfId="241" priority="194" operator="greaterThan">
      <formula>0.8</formula>
    </cfRule>
    <cfRule type="cellIs" dxfId="240" priority="195" operator="lessThan">
      <formula>0.8</formula>
    </cfRule>
  </conditionalFormatting>
  <conditionalFormatting sqref="G300:G305">
    <cfRule type="cellIs" dxfId="239" priority="22" operator="greaterThan">
      <formula>1</formula>
    </cfRule>
    <cfRule type="cellIs" dxfId="238" priority="23" operator="greaterThan">
      <formula>0.8</formula>
    </cfRule>
    <cfRule type="cellIs" dxfId="237" priority="24" operator="lessThan">
      <formula>0.8</formula>
    </cfRule>
  </conditionalFormatting>
  <conditionalFormatting sqref="G308:G311">
    <cfRule type="cellIs" dxfId="236" priority="19" operator="greaterThan">
      <formula>1</formula>
    </cfRule>
    <cfRule type="cellIs" dxfId="235" priority="20" operator="greaterThan">
      <formula>0.8</formula>
    </cfRule>
    <cfRule type="cellIs" dxfId="234" priority="21" operator="lessThan">
      <formula>0.8</formula>
    </cfRule>
  </conditionalFormatting>
  <conditionalFormatting sqref="G327">
    <cfRule type="cellIs" dxfId="233" priority="4" operator="greaterThan">
      <formula>1</formula>
    </cfRule>
    <cfRule type="cellIs" dxfId="232" priority="5" operator="greaterThan">
      <formula>0.8</formula>
    </cfRule>
    <cfRule type="cellIs" dxfId="231" priority="6" operator="lessThan">
      <formula>0.8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75A1-4C15-4C3B-A94C-1869527B3BE8}">
  <dimension ref="B1:Q351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R12" sqref="R12"/>
    </sheetView>
  </sheetViews>
  <sheetFormatPr baseColWidth="10" defaultColWidth="8.83203125" defaultRowHeight="14.5" customHeight="1" x14ac:dyDescent="0.2"/>
  <cols>
    <col min="1" max="1" width="3.83203125" customWidth="1"/>
    <col min="2" max="2" width="21" customWidth="1"/>
    <col min="3" max="3" width="17.33203125" bestFit="1" customWidth="1"/>
    <col min="4" max="4" width="28.6640625" bestFit="1" customWidth="1"/>
    <col min="5" max="5" width="7.83203125" style="89" customWidth="1"/>
    <col min="6" max="7" width="11.33203125" style="53" bestFit="1" customWidth="1"/>
    <col min="8" max="8" width="13.1640625" style="1" customWidth="1"/>
    <col min="9" max="9" width="7.83203125" style="89" customWidth="1"/>
    <col min="10" max="11" width="10.6640625" style="2" customWidth="1"/>
    <col min="12" max="12" width="13.1640625" style="1" customWidth="1"/>
    <col min="13" max="13" width="10.83203125" customWidth="1"/>
    <col min="14" max="16" width="12.83203125" style="2" customWidth="1"/>
    <col min="17" max="17" width="3.5" customWidth="1"/>
  </cols>
  <sheetData>
    <row r="1" spans="2:16" ht="14.5" customHeight="1" x14ac:dyDescent="0.2">
      <c r="B1" s="4" t="s">
        <v>118</v>
      </c>
      <c r="C1" s="5"/>
      <c r="D1" s="5"/>
      <c r="E1" s="105"/>
      <c r="F1" s="98"/>
      <c r="G1" s="98"/>
      <c r="H1" s="34"/>
      <c r="I1" s="105"/>
      <c r="J1" s="33"/>
      <c r="K1" s="33"/>
      <c r="L1" s="34"/>
    </row>
    <row r="2" spans="2:16" ht="14.5" customHeight="1" x14ac:dyDescent="0.2">
      <c r="B2" s="8"/>
      <c r="C2" s="8"/>
      <c r="D2" s="8"/>
      <c r="E2" s="106"/>
      <c r="F2" s="99"/>
      <c r="G2" s="99"/>
      <c r="H2" s="34"/>
      <c r="I2" s="106"/>
      <c r="J2" s="35"/>
      <c r="K2" s="35"/>
      <c r="L2" s="34"/>
    </row>
    <row r="3" spans="2:16" ht="14.5" customHeight="1" x14ac:dyDescent="0.2">
      <c r="B3" s="388" t="s">
        <v>0</v>
      </c>
      <c r="C3" s="388" t="s">
        <v>270</v>
      </c>
      <c r="D3" s="388" t="s">
        <v>2</v>
      </c>
      <c r="E3" s="420" t="s">
        <v>410</v>
      </c>
      <c r="F3" s="420"/>
      <c r="G3" s="420"/>
      <c r="H3" s="417" t="s">
        <v>56</v>
      </c>
      <c r="I3" s="420" t="s">
        <v>411</v>
      </c>
      <c r="J3" s="420"/>
      <c r="K3" s="420"/>
      <c r="L3" s="417" t="s">
        <v>56</v>
      </c>
      <c r="M3" s="394" t="s">
        <v>3</v>
      </c>
      <c r="N3" s="398" t="s">
        <v>412</v>
      </c>
      <c r="O3" s="398" t="s">
        <v>8</v>
      </c>
      <c r="P3" s="398" t="s">
        <v>75</v>
      </c>
    </row>
    <row r="4" spans="2:16" ht="14.5" customHeight="1" x14ac:dyDescent="0.2">
      <c r="B4" s="388"/>
      <c r="C4" s="388"/>
      <c r="D4" s="388"/>
      <c r="E4" s="9"/>
      <c r="F4" s="91" t="s">
        <v>77</v>
      </c>
      <c r="G4" s="90" t="s">
        <v>58</v>
      </c>
      <c r="H4" s="417"/>
      <c r="I4" s="9"/>
      <c r="J4" s="36" t="s">
        <v>77</v>
      </c>
      <c r="K4" s="54" t="s">
        <v>58</v>
      </c>
      <c r="L4" s="417"/>
      <c r="M4" s="394"/>
      <c r="N4" s="398"/>
      <c r="O4" s="398"/>
      <c r="P4" s="398"/>
    </row>
    <row r="5" spans="2:16" ht="14.5" customHeight="1" x14ac:dyDescent="0.2">
      <c r="B5" s="397" t="s">
        <v>13</v>
      </c>
      <c r="C5" s="52" t="s">
        <v>342</v>
      </c>
      <c r="D5" s="52" t="s">
        <v>233</v>
      </c>
      <c r="E5" s="97" t="s">
        <v>93</v>
      </c>
      <c r="F5" s="100">
        <v>2479.8333333333335</v>
      </c>
      <c r="G5" s="100">
        <v>2729.3029166666674</v>
      </c>
      <c r="H5" s="20">
        <f t="shared" ref="H5:H10" si="0">F5/G5*100%</f>
        <v>0.90859586093946132</v>
      </c>
      <c r="I5" s="97" t="s">
        <v>93</v>
      </c>
      <c r="J5" s="15">
        <v>115</v>
      </c>
      <c r="K5" s="15">
        <v>115</v>
      </c>
      <c r="L5" s="20">
        <f t="shared" ref="L5:L10" si="1">J5/K5*100%</f>
        <v>1</v>
      </c>
      <c r="M5" s="12" t="s">
        <v>14</v>
      </c>
      <c r="N5" s="15">
        <v>210000</v>
      </c>
      <c r="O5" s="15">
        <f>N5*55%</f>
        <v>115500.00000000001</v>
      </c>
      <c r="P5" s="15">
        <f>N5*45%</f>
        <v>94500</v>
      </c>
    </row>
    <row r="6" spans="2:16" ht="14.5" customHeight="1" x14ac:dyDescent="0.2">
      <c r="B6" s="397"/>
      <c r="C6" s="52" t="s">
        <v>343</v>
      </c>
      <c r="D6" s="52" t="s">
        <v>234</v>
      </c>
      <c r="E6" s="97" t="s">
        <v>93</v>
      </c>
      <c r="F6" s="100">
        <v>1829.3333333333335</v>
      </c>
      <c r="G6" s="100">
        <v>1943.3589583333332</v>
      </c>
      <c r="H6" s="20">
        <f t="shared" si="0"/>
        <v>0.94132549495756013</v>
      </c>
      <c r="I6" s="97" t="s">
        <v>93</v>
      </c>
      <c r="J6" s="15">
        <v>136</v>
      </c>
      <c r="K6" s="15">
        <v>142</v>
      </c>
      <c r="L6" s="20">
        <f t="shared" si="1"/>
        <v>0.95774647887323938</v>
      </c>
      <c r="M6" s="12" t="s">
        <v>14</v>
      </c>
      <c r="N6" s="15">
        <v>180000</v>
      </c>
      <c r="O6" s="15">
        <f t="shared" ref="O6:O8" si="2">N6*55%</f>
        <v>99000.000000000015</v>
      </c>
      <c r="P6" s="15">
        <f t="shared" ref="P6:P8" si="3">N6*45%</f>
        <v>81000</v>
      </c>
    </row>
    <row r="7" spans="2:16" ht="14.5" customHeight="1" x14ac:dyDescent="0.2">
      <c r="B7" s="397"/>
      <c r="C7" s="52" t="s">
        <v>344</v>
      </c>
      <c r="D7" s="52" t="s">
        <v>235</v>
      </c>
      <c r="E7" s="97" t="s">
        <v>93</v>
      </c>
      <c r="F7" s="100">
        <v>1434.8333333333333</v>
      </c>
      <c r="G7" s="100">
        <v>1464.2337500000001</v>
      </c>
      <c r="H7" s="20">
        <f t="shared" si="0"/>
        <v>0.9799209541054037</v>
      </c>
      <c r="I7" s="97" t="s">
        <v>93</v>
      </c>
      <c r="J7" s="15">
        <v>110</v>
      </c>
      <c r="K7" s="15">
        <v>110</v>
      </c>
      <c r="L7" s="20">
        <f t="shared" si="1"/>
        <v>1</v>
      </c>
      <c r="M7" s="12" t="s">
        <v>14</v>
      </c>
      <c r="N7" s="15">
        <v>210000</v>
      </c>
      <c r="O7" s="15">
        <f t="shared" si="2"/>
        <v>115500.00000000001</v>
      </c>
      <c r="P7" s="15">
        <f t="shared" si="3"/>
        <v>94500</v>
      </c>
    </row>
    <row r="8" spans="2:16" ht="14.5" customHeight="1" x14ac:dyDescent="0.2">
      <c r="B8" s="397"/>
      <c r="C8" s="52" t="s">
        <v>345</v>
      </c>
      <c r="D8" s="52" t="s">
        <v>236</v>
      </c>
      <c r="E8" s="97" t="s">
        <v>93</v>
      </c>
      <c r="F8" s="100">
        <v>1196.8333333333333</v>
      </c>
      <c r="G8" s="100">
        <v>1226.0587500000001</v>
      </c>
      <c r="H8" s="20">
        <f t="shared" si="0"/>
        <v>0.97616311888262541</v>
      </c>
      <c r="I8" s="97" t="s">
        <v>93</v>
      </c>
      <c r="J8" s="15">
        <v>110</v>
      </c>
      <c r="K8" s="15">
        <v>114</v>
      </c>
      <c r="L8" s="20">
        <f t="shared" si="1"/>
        <v>0.96491228070175439</v>
      </c>
      <c r="M8" s="12" t="s">
        <v>14</v>
      </c>
      <c r="N8" s="15">
        <v>180000</v>
      </c>
      <c r="O8" s="15">
        <f t="shared" si="2"/>
        <v>99000.000000000015</v>
      </c>
      <c r="P8" s="15">
        <f t="shared" si="3"/>
        <v>81000</v>
      </c>
    </row>
    <row r="9" spans="2:16" ht="14.5" customHeight="1" x14ac:dyDescent="0.2">
      <c r="B9" s="397"/>
      <c r="C9" s="52" t="s">
        <v>346</v>
      </c>
      <c r="D9" s="52" t="s">
        <v>237</v>
      </c>
      <c r="E9" s="97" t="s">
        <v>93</v>
      </c>
      <c r="F9" s="100">
        <v>582.5</v>
      </c>
      <c r="G9" s="100">
        <v>638.52833333333342</v>
      </c>
      <c r="H9" s="20">
        <f t="shared" si="0"/>
        <v>0.91225395897336836</v>
      </c>
      <c r="I9" s="97" t="s">
        <v>93</v>
      </c>
      <c r="J9" s="15">
        <v>89</v>
      </c>
      <c r="K9" s="15">
        <v>98</v>
      </c>
      <c r="L9" s="20">
        <f t="shared" si="1"/>
        <v>0.90816326530612246</v>
      </c>
      <c r="M9" s="12" t="s">
        <v>18</v>
      </c>
      <c r="N9" s="15">
        <v>135000</v>
      </c>
      <c r="O9" s="15">
        <f t="shared" ref="O9:O12" si="4">N9*70%</f>
        <v>94500</v>
      </c>
      <c r="P9" s="15">
        <f t="shared" ref="P9:P12" si="5">N9*30%</f>
        <v>40500</v>
      </c>
    </row>
    <row r="10" spans="2:16" ht="14.5" customHeight="1" x14ac:dyDescent="0.2">
      <c r="B10" s="397"/>
      <c r="C10" s="52" t="s">
        <v>347</v>
      </c>
      <c r="D10" s="52" t="s">
        <v>101</v>
      </c>
      <c r="E10" s="97" t="s">
        <v>93</v>
      </c>
      <c r="F10" s="100">
        <v>775.16666666666674</v>
      </c>
      <c r="G10" s="100">
        <v>804.75</v>
      </c>
      <c r="H10" s="20">
        <f t="shared" si="0"/>
        <v>0.96323910117013578</v>
      </c>
      <c r="I10" s="97" t="s">
        <v>93</v>
      </c>
      <c r="J10" s="15">
        <v>76</v>
      </c>
      <c r="K10" s="15">
        <v>80</v>
      </c>
      <c r="L10" s="20">
        <f t="shared" si="1"/>
        <v>0.95</v>
      </c>
      <c r="M10" s="12" t="s">
        <v>18</v>
      </c>
      <c r="N10" s="15">
        <v>135000</v>
      </c>
      <c r="O10" s="15">
        <f t="shared" si="4"/>
        <v>94500</v>
      </c>
      <c r="P10" s="15">
        <f t="shared" si="5"/>
        <v>40500</v>
      </c>
    </row>
    <row r="11" spans="2:16" ht="14.5" customHeight="1" x14ac:dyDescent="0.2">
      <c r="B11" s="397"/>
      <c r="C11" s="117" t="s">
        <v>348</v>
      </c>
      <c r="D11" s="117" t="s">
        <v>157</v>
      </c>
      <c r="E11" s="122"/>
      <c r="F11" s="174"/>
      <c r="G11" s="174"/>
      <c r="H11" s="122"/>
      <c r="I11" s="122"/>
      <c r="J11" s="170"/>
      <c r="K11" s="170"/>
      <c r="L11" s="122"/>
      <c r="M11" s="122"/>
      <c r="N11" s="170"/>
      <c r="O11" s="170">
        <f t="shared" si="4"/>
        <v>0</v>
      </c>
      <c r="P11" s="170">
        <f t="shared" si="5"/>
        <v>0</v>
      </c>
    </row>
    <row r="12" spans="2:16" ht="14.5" customHeight="1" x14ac:dyDescent="0.2">
      <c r="B12" s="397"/>
      <c r="C12" s="117" t="s">
        <v>349</v>
      </c>
      <c r="D12" s="117" t="s">
        <v>158</v>
      </c>
      <c r="E12" s="122"/>
      <c r="F12" s="174"/>
      <c r="G12" s="174"/>
      <c r="H12" s="122"/>
      <c r="I12" s="122"/>
      <c r="J12" s="170"/>
      <c r="K12" s="170"/>
      <c r="L12" s="122"/>
      <c r="M12" s="122"/>
      <c r="N12" s="170"/>
      <c r="O12" s="170">
        <f t="shared" si="4"/>
        <v>0</v>
      </c>
      <c r="P12" s="170">
        <f t="shared" si="5"/>
        <v>0</v>
      </c>
    </row>
    <row r="13" spans="2:16" s="37" customFormat="1" ht="14.5" customHeight="1" x14ac:dyDescent="0.2">
      <c r="B13" s="397"/>
      <c r="C13" s="78"/>
      <c r="D13" s="78" t="s">
        <v>289</v>
      </c>
      <c r="E13" s="78"/>
      <c r="F13" s="68">
        <f>SUM(F5:F12)</f>
        <v>8298.5</v>
      </c>
      <c r="G13" s="68">
        <f>SUM(G5:G12)</f>
        <v>8806.2327083333348</v>
      </c>
      <c r="H13" s="66">
        <f t="shared" ref="H13:H21" si="6">F13/G13*100%</f>
        <v>0.9423439369421992</v>
      </c>
      <c r="I13" s="78"/>
      <c r="J13" s="65">
        <f>SUM(J5:J12)</f>
        <v>636</v>
      </c>
      <c r="K13" s="65">
        <f>SUM(K5:K12)</f>
        <v>659</v>
      </c>
      <c r="L13" s="66">
        <f t="shared" ref="L13:L21" si="7">J13/K13*100%</f>
        <v>0.96509863429438547</v>
      </c>
      <c r="M13" s="64" t="s">
        <v>20</v>
      </c>
      <c r="N13" s="63">
        <v>168000</v>
      </c>
      <c r="O13" s="63">
        <f>N13</f>
        <v>168000</v>
      </c>
      <c r="P13" s="63">
        <v>0</v>
      </c>
    </row>
    <row r="14" spans="2:16" s="21" customFormat="1" ht="14.5" customHeight="1" x14ac:dyDescent="0.2">
      <c r="B14" s="397"/>
      <c r="C14" s="38" t="s">
        <v>350</v>
      </c>
      <c r="D14" s="38" t="s">
        <v>99</v>
      </c>
      <c r="E14" s="97" t="s">
        <v>93</v>
      </c>
      <c r="F14" s="100">
        <v>1469.0833333333333</v>
      </c>
      <c r="G14" s="100">
        <v>1585.1305555555555</v>
      </c>
      <c r="H14" s="20">
        <f t="shared" si="6"/>
        <v>0.92679011718277671</v>
      </c>
      <c r="I14" s="97" t="s">
        <v>93</v>
      </c>
      <c r="J14" s="15">
        <v>97</v>
      </c>
      <c r="K14" s="15">
        <v>98</v>
      </c>
      <c r="L14" s="20">
        <f t="shared" si="7"/>
        <v>0.98979591836734693</v>
      </c>
      <c r="M14" s="12" t="s">
        <v>14</v>
      </c>
      <c r="N14" s="15">
        <v>180000</v>
      </c>
      <c r="O14" s="15">
        <f>N14*55%</f>
        <v>99000.000000000015</v>
      </c>
      <c r="P14" s="15">
        <f>N14*45%</f>
        <v>81000</v>
      </c>
    </row>
    <row r="15" spans="2:16" ht="14.5" customHeight="1" x14ac:dyDescent="0.2">
      <c r="B15" s="397"/>
      <c r="C15" s="52" t="s">
        <v>351</v>
      </c>
      <c r="D15" s="52" t="s">
        <v>100</v>
      </c>
      <c r="E15" s="97" t="s">
        <v>93</v>
      </c>
      <c r="F15" s="100">
        <v>1423.5</v>
      </c>
      <c r="G15" s="100">
        <v>1623.752777777778</v>
      </c>
      <c r="H15" s="20">
        <f t="shared" si="6"/>
        <v>0.87667286515633358</v>
      </c>
      <c r="I15" s="97" t="s">
        <v>93</v>
      </c>
      <c r="J15" s="15">
        <v>122</v>
      </c>
      <c r="K15" s="15">
        <v>121</v>
      </c>
      <c r="L15" s="20">
        <f t="shared" si="7"/>
        <v>1.0082644628099173</v>
      </c>
      <c r="M15" s="12" t="s">
        <v>14</v>
      </c>
      <c r="N15" s="15">
        <v>180000</v>
      </c>
      <c r="O15" s="15">
        <f>N15*55%</f>
        <v>99000.000000000015</v>
      </c>
      <c r="P15" s="15">
        <f>N15*45%</f>
        <v>81000</v>
      </c>
    </row>
    <row r="16" spans="2:16" ht="14.5" customHeight="1" x14ac:dyDescent="0.2">
      <c r="B16" s="397"/>
      <c r="C16" s="52" t="s">
        <v>352</v>
      </c>
      <c r="D16" s="52" t="s">
        <v>238</v>
      </c>
      <c r="E16" s="97" t="s">
        <v>93</v>
      </c>
      <c r="F16" s="100">
        <v>1879.416666666667</v>
      </c>
      <c r="G16" s="100">
        <v>2056.541666666667</v>
      </c>
      <c r="H16" s="20">
        <f t="shared" si="6"/>
        <v>0.91387239905180628</v>
      </c>
      <c r="I16" s="97" t="s">
        <v>93</v>
      </c>
      <c r="J16" s="15">
        <v>117</v>
      </c>
      <c r="K16" s="15">
        <v>125</v>
      </c>
      <c r="L16" s="20">
        <f t="shared" si="7"/>
        <v>0.93600000000000005</v>
      </c>
      <c r="M16" s="12" t="s">
        <v>14</v>
      </c>
      <c r="N16" s="15">
        <v>180000</v>
      </c>
      <c r="O16" s="15">
        <f t="shared" ref="O16:O18" si="8">N16*55%</f>
        <v>99000.000000000015</v>
      </c>
      <c r="P16" s="15">
        <f t="shared" ref="P16:P18" si="9">N16*45%</f>
        <v>81000</v>
      </c>
    </row>
    <row r="17" spans="2:16" ht="14.5" customHeight="1" x14ac:dyDescent="0.2">
      <c r="B17" s="397"/>
      <c r="C17" s="52" t="s">
        <v>353</v>
      </c>
      <c r="D17" s="52" t="s">
        <v>239</v>
      </c>
      <c r="E17" s="97" t="s">
        <v>93</v>
      </c>
      <c r="F17" s="100">
        <v>1047.4999999999998</v>
      </c>
      <c r="G17" s="100">
        <v>1254.2138888888892</v>
      </c>
      <c r="H17" s="20">
        <f t="shared" si="6"/>
        <v>0.83518450025137447</v>
      </c>
      <c r="I17" s="97" t="s">
        <v>93</v>
      </c>
      <c r="J17" s="15">
        <v>104</v>
      </c>
      <c r="K17" s="15">
        <v>101</v>
      </c>
      <c r="L17" s="20">
        <f t="shared" si="7"/>
        <v>1.0297029702970297</v>
      </c>
      <c r="M17" s="83" t="s">
        <v>14</v>
      </c>
      <c r="N17" s="15">
        <v>180000</v>
      </c>
      <c r="O17" s="15">
        <f t="shared" si="8"/>
        <v>99000.000000000015</v>
      </c>
      <c r="P17" s="15">
        <f t="shared" si="9"/>
        <v>81000</v>
      </c>
    </row>
    <row r="18" spans="2:16" ht="14.5" customHeight="1" x14ac:dyDescent="0.2">
      <c r="B18" s="397"/>
      <c r="C18" s="52" t="s">
        <v>354</v>
      </c>
      <c r="D18" s="52" t="s">
        <v>294</v>
      </c>
      <c r="E18" s="97" t="s">
        <v>93</v>
      </c>
      <c r="F18" s="100">
        <v>879.5</v>
      </c>
      <c r="G18" s="100">
        <v>988.90000000000009</v>
      </c>
      <c r="H18" s="20">
        <f t="shared" si="6"/>
        <v>0.88937202952775807</v>
      </c>
      <c r="I18" s="97" t="s">
        <v>93</v>
      </c>
      <c r="J18" s="15">
        <v>73</v>
      </c>
      <c r="K18" s="15">
        <v>70</v>
      </c>
      <c r="L18" s="20">
        <f t="shared" si="7"/>
        <v>1.0428571428571429</v>
      </c>
      <c r="M18" s="83" t="s">
        <v>14</v>
      </c>
      <c r="N18" s="15">
        <v>180000</v>
      </c>
      <c r="O18" s="15">
        <f t="shared" si="8"/>
        <v>99000.000000000015</v>
      </c>
      <c r="P18" s="15">
        <f t="shared" si="9"/>
        <v>81000</v>
      </c>
    </row>
    <row r="19" spans="2:16" ht="14.5" customHeight="1" x14ac:dyDescent="0.2">
      <c r="B19" s="397"/>
      <c r="C19" s="52" t="s">
        <v>355</v>
      </c>
      <c r="D19" s="52" t="s">
        <v>273</v>
      </c>
      <c r="E19" s="97" t="s">
        <v>93</v>
      </c>
      <c r="F19" s="100">
        <v>63.083333333333336</v>
      </c>
      <c r="G19" s="100">
        <v>55</v>
      </c>
      <c r="H19" s="20">
        <f t="shared" si="6"/>
        <v>1.146969696969697</v>
      </c>
      <c r="I19" s="97" t="s">
        <v>93</v>
      </c>
      <c r="J19" s="15">
        <v>27</v>
      </c>
      <c r="K19" s="15">
        <v>26</v>
      </c>
      <c r="L19" s="20">
        <f t="shared" si="7"/>
        <v>1.0384615384615385</v>
      </c>
      <c r="M19" s="12" t="s">
        <v>18</v>
      </c>
      <c r="N19" s="15">
        <v>202500</v>
      </c>
      <c r="O19" s="15">
        <f t="shared" ref="O19" si="10">N19*70%</f>
        <v>141750</v>
      </c>
      <c r="P19" s="15">
        <f t="shared" ref="P19" si="11">N19*30%</f>
        <v>60750</v>
      </c>
    </row>
    <row r="20" spans="2:16" ht="14.5" customHeight="1" x14ac:dyDescent="0.2">
      <c r="B20" s="397"/>
      <c r="C20" s="52"/>
      <c r="D20" s="52" t="s">
        <v>243</v>
      </c>
      <c r="E20" s="97" t="s">
        <v>93</v>
      </c>
      <c r="F20" s="100">
        <v>1652.5</v>
      </c>
      <c r="G20" s="100">
        <v>1668.4250000000002</v>
      </c>
      <c r="H20" s="20">
        <f t="shared" si="6"/>
        <v>0.99045506990125409</v>
      </c>
      <c r="I20" s="97" t="s">
        <v>93</v>
      </c>
      <c r="J20" s="15">
        <v>137</v>
      </c>
      <c r="K20" s="15">
        <v>126</v>
      </c>
      <c r="L20" s="20">
        <f t="shared" si="7"/>
        <v>1.0873015873015872</v>
      </c>
      <c r="M20" s="12" t="s">
        <v>14</v>
      </c>
      <c r="N20" s="15">
        <v>210000</v>
      </c>
      <c r="O20" s="15">
        <f t="shared" ref="O20" si="12">N20*55%</f>
        <v>115500.00000000001</v>
      </c>
      <c r="P20" s="15">
        <f t="shared" ref="P20" si="13">N20*45%</f>
        <v>94500</v>
      </c>
    </row>
    <row r="21" spans="2:16" s="37" customFormat="1" ht="14.5" customHeight="1" x14ac:dyDescent="0.2">
      <c r="B21" s="397"/>
      <c r="C21" s="78"/>
      <c r="D21" s="78" t="s">
        <v>293</v>
      </c>
      <c r="E21" s="78"/>
      <c r="F21" s="68">
        <f>SUM(F14:F20)</f>
        <v>8414.5833333333321</v>
      </c>
      <c r="G21" s="68">
        <f>SUM(G14:G20)</f>
        <v>9231.9638888888912</v>
      </c>
      <c r="H21" s="66">
        <f t="shared" si="6"/>
        <v>0.91146189853067827</v>
      </c>
      <c r="I21" s="78"/>
      <c r="J21" s="65">
        <f>SUM(J14:J20)</f>
        <v>677</v>
      </c>
      <c r="K21" s="65">
        <f>SUM(K14:K20)</f>
        <v>667</v>
      </c>
      <c r="L21" s="66">
        <f t="shared" si="7"/>
        <v>1.014992503748126</v>
      </c>
      <c r="M21" s="64" t="s">
        <v>20</v>
      </c>
      <c r="N21" s="63">
        <v>204000</v>
      </c>
      <c r="O21" s="63">
        <f t="shared" ref="O21:O27" si="14">N21</f>
        <v>204000</v>
      </c>
      <c r="P21" s="63">
        <v>0</v>
      </c>
    </row>
    <row r="22" spans="2:16" s="37" customFormat="1" ht="14.5" customHeight="1" x14ac:dyDescent="0.2">
      <c r="B22" s="397"/>
      <c r="C22" s="117" t="s">
        <v>356</v>
      </c>
      <c r="D22" s="117" t="s">
        <v>147</v>
      </c>
      <c r="E22" s="122"/>
      <c r="F22" s="174"/>
      <c r="G22" s="174"/>
      <c r="H22" s="122"/>
      <c r="I22" s="122"/>
      <c r="J22" s="170"/>
      <c r="K22" s="170"/>
      <c r="L22" s="122"/>
      <c r="M22" s="122"/>
      <c r="N22" s="170"/>
      <c r="O22" s="170">
        <f t="shared" si="14"/>
        <v>0</v>
      </c>
      <c r="P22" s="170">
        <v>0</v>
      </c>
    </row>
    <row r="23" spans="2:16" s="37" customFormat="1" ht="14.5" customHeight="1" x14ac:dyDescent="0.2">
      <c r="B23" s="397"/>
      <c r="C23" s="117" t="s">
        <v>357</v>
      </c>
      <c r="D23" s="117" t="s">
        <v>813</v>
      </c>
      <c r="E23" s="122"/>
      <c r="F23" s="174"/>
      <c r="G23" s="174"/>
      <c r="H23" s="122"/>
      <c r="I23" s="122"/>
      <c r="J23" s="170"/>
      <c r="K23" s="170"/>
      <c r="L23" s="122"/>
      <c r="M23" s="122"/>
      <c r="N23" s="170"/>
      <c r="O23" s="170">
        <f t="shared" si="14"/>
        <v>0</v>
      </c>
      <c r="P23" s="170">
        <v>0</v>
      </c>
    </row>
    <row r="24" spans="2:16" s="37" customFormat="1" ht="14.5" customHeight="1" x14ac:dyDescent="0.2">
      <c r="B24" s="397"/>
      <c r="C24" s="119"/>
      <c r="D24" s="119" t="s">
        <v>146</v>
      </c>
      <c r="E24" s="119"/>
      <c r="F24" s="171">
        <f>SUM(F22:F23)</f>
        <v>0</v>
      </c>
      <c r="G24" s="171">
        <f>SUM(G22:G23)</f>
        <v>0</v>
      </c>
      <c r="H24" s="150"/>
      <c r="I24" s="119"/>
      <c r="J24" s="149">
        <f>SUM(J22:J23)</f>
        <v>0</v>
      </c>
      <c r="K24" s="149">
        <f>SUM(K22:K23)</f>
        <v>0</v>
      </c>
      <c r="L24" s="150"/>
      <c r="M24" s="151"/>
      <c r="N24" s="152"/>
      <c r="O24" s="152">
        <f t="shared" si="14"/>
        <v>0</v>
      </c>
      <c r="P24" s="152">
        <v>0</v>
      </c>
    </row>
    <row r="25" spans="2:16" s="37" customFormat="1" ht="14.5" customHeight="1" x14ac:dyDescent="0.2">
      <c r="B25" s="397"/>
      <c r="C25" s="52" t="s">
        <v>358</v>
      </c>
      <c r="D25" s="52" t="s">
        <v>258</v>
      </c>
      <c r="E25" s="97" t="s">
        <v>413</v>
      </c>
      <c r="F25" s="100">
        <v>13.166666666666666</v>
      </c>
      <c r="G25" s="100">
        <v>15</v>
      </c>
      <c r="H25" s="20">
        <f t="shared" ref="H25:H30" si="15">F25/G25*100%</f>
        <v>0.87777777777777777</v>
      </c>
      <c r="I25" s="97" t="s">
        <v>413</v>
      </c>
      <c r="J25" s="15">
        <v>11</v>
      </c>
      <c r="K25" s="15">
        <v>15</v>
      </c>
      <c r="L25" s="20">
        <f t="shared" ref="L25:L30" si="16">J25/K25*100%</f>
        <v>0.73333333333333328</v>
      </c>
      <c r="M25" s="12" t="s">
        <v>469</v>
      </c>
      <c r="N25" s="15">
        <v>48500</v>
      </c>
      <c r="O25" s="15">
        <f t="shared" si="14"/>
        <v>48500</v>
      </c>
      <c r="P25" s="15">
        <v>0</v>
      </c>
    </row>
    <row r="26" spans="2:16" s="37" customFormat="1" ht="14.5" customHeight="1" x14ac:dyDescent="0.2">
      <c r="B26" s="397"/>
      <c r="C26" s="52" t="s">
        <v>525</v>
      </c>
      <c r="D26" s="52" t="s">
        <v>578</v>
      </c>
      <c r="E26" s="97" t="s">
        <v>413</v>
      </c>
      <c r="F26" s="100">
        <v>4</v>
      </c>
      <c r="G26" s="100">
        <v>10</v>
      </c>
      <c r="H26" s="20">
        <f t="shared" si="15"/>
        <v>0.4</v>
      </c>
      <c r="I26" s="97" t="s">
        <v>413</v>
      </c>
      <c r="J26" s="15">
        <v>10</v>
      </c>
      <c r="K26" s="15">
        <v>10</v>
      </c>
      <c r="L26" s="20">
        <f t="shared" si="16"/>
        <v>1</v>
      </c>
      <c r="M26" s="12" t="s">
        <v>469</v>
      </c>
      <c r="N26" s="15">
        <v>65000</v>
      </c>
      <c r="O26" s="15">
        <f t="shared" si="14"/>
        <v>65000</v>
      </c>
      <c r="P26" s="15">
        <v>0</v>
      </c>
    </row>
    <row r="27" spans="2:16" s="37" customFormat="1" ht="14.5" customHeight="1" x14ac:dyDescent="0.2">
      <c r="B27" s="397"/>
      <c r="C27" s="78"/>
      <c r="D27" s="78" t="s">
        <v>587</v>
      </c>
      <c r="E27" s="78"/>
      <c r="F27" s="68">
        <f t="shared" ref="F27:G27" si="17">SUM(F25:F26)</f>
        <v>17.166666666666664</v>
      </c>
      <c r="G27" s="68">
        <f t="shared" si="17"/>
        <v>25</v>
      </c>
      <c r="H27" s="66">
        <f t="shared" si="15"/>
        <v>0.68666666666666654</v>
      </c>
      <c r="I27" s="119"/>
      <c r="J27" s="149">
        <f t="shared" ref="J27:K27" si="18">SUM(J25:J26)</f>
        <v>21</v>
      </c>
      <c r="K27" s="149">
        <f t="shared" si="18"/>
        <v>25</v>
      </c>
      <c r="L27" s="150">
        <f t="shared" si="16"/>
        <v>0.84</v>
      </c>
      <c r="M27" s="64" t="s">
        <v>20</v>
      </c>
      <c r="N27" s="63">
        <v>0</v>
      </c>
      <c r="O27" s="63">
        <f t="shared" si="14"/>
        <v>0</v>
      </c>
      <c r="P27" s="63">
        <v>0</v>
      </c>
    </row>
    <row r="28" spans="2:16" s="21" customFormat="1" ht="14.5" customHeight="1" x14ac:dyDescent="0.2">
      <c r="B28" s="397"/>
      <c r="C28" s="73"/>
      <c r="D28" s="73" t="s">
        <v>24</v>
      </c>
      <c r="E28" s="103"/>
      <c r="F28" s="101">
        <f>SUM(F27,F24,F21,F13)</f>
        <v>16730.25</v>
      </c>
      <c r="G28" s="101">
        <f>SUM(G27,G24,G21,G13)</f>
        <v>18063.196597222224</v>
      </c>
      <c r="H28" s="76">
        <f t="shared" si="15"/>
        <v>0.92620649451231651</v>
      </c>
      <c r="I28" s="103"/>
      <c r="J28" s="40">
        <f>SUM(J27,J24,J21,J13)</f>
        <v>1334</v>
      </c>
      <c r="K28" s="40">
        <f>SUM(K27,K24,K21,K13)</f>
        <v>1351</v>
      </c>
      <c r="L28" s="76">
        <f t="shared" si="16"/>
        <v>0.98741672834937089</v>
      </c>
      <c r="M28" s="41"/>
      <c r="N28" s="39">
        <f>SUM(N5:N27)</f>
        <v>2848000</v>
      </c>
      <c r="O28" s="39">
        <f>SUM(O5:O27)</f>
        <v>1855750</v>
      </c>
      <c r="P28" s="39">
        <f>SUM(P5:P27)</f>
        <v>992250</v>
      </c>
    </row>
    <row r="29" spans="2:16" ht="14.5" customHeight="1" x14ac:dyDescent="0.2">
      <c r="B29" s="397" t="s">
        <v>32</v>
      </c>
      <c r="C29" s="52" t="s">
        <v>359</v>
      </c>
      <c r="D29" s="52" t="s">
        <v>103</v>
      </c>
      <c r="E29" s="97" t="s">
        <v>93</v>
      </c>
      <c r="F29" s="100">
        <v>1378.5</v>
      </c>
      <c r="G29" s="100">
        <v>1250</v>
      </c>
      <c r="H29" s="20">
        <f t="shared" si="15"/>
        <v>1.1028</v>
      </c>
      <c r="I29" s="97" t="s">
        <v>93</v>
      </c>
      <c r="J29" s="15">
        <v>135</v>
      </c>
      <c r="K29" s="15">
        <v>140</v>
      </c>
      <c r="L29" s="20">
        <f t="shared" si="16"/>
        <v>0.9642857142857143</v>
      </c>
      <c r="M29" s="12" t="s">
        <v>14</v>
      </c>
      <c r="N29" s="15">
        <v>240000</v>
      </c>
      <c r="O29" s="15">
        <f t="shared" ref="O29" si="19">N29*55%</f>
        <v>132000</v>
      </c>
      <c r="P29" s="15">
        <f t="shared" ref="P29" si="20">N29*45%</f>
        <v>108000</v>
      </c>
    </row>
    <row r="30" spans="2:16" ht="14.5" customHeight="1" x14ac:dyDescent="0.2">
      <c r="B30" s="397"/>
      <c r="C30" s="52" t="s">
        <v>360</v>
      </c>
      <c r="D30" s="52" t="s">
        <v>104</v>
      </c>
      <c r="E30" s="97" t="s">
        <v>93</v>
      </c>
      <c r="F30" s="100">
        <v>240</v>
      </c>
      <c r="G30" s="100">
        <v>220</v>
      </c>
      <c r="H30" s="20">
        <f t="shared" si="15"/>
        <v>1.0909090909090908</v>
      </c>
      <c r="I30" s="97" t="s">
        <v>93</v>
      </c>
      <c r="J30" s="15">
        <v>84</v>
      </c>
      <c r="K30" s="15">
        <v>90</v>
      </c>
      <c r="L30" s="20">
        <f t="shared" si="16"/>
        <v>0.93333333333333335</v>
      </c>
      <c r="M30" s="12" t="s">
        <v>18</v>
      </c>
      <c r="N30" s="15">
        <v>157500</v>
      </c>
      <c r="O30" s="15">
        <f t="shared" ref="O30" si="21">N30*70%</f>
        <v>110250</v>
      </c>
      <c r="P30" s="15">
        <f t="shared" ref="P30" si="22">N30*30%</f>
        <v>47250</v>
      </c>
    </row>
    <row r="31" spans="2:16" ht="14.5" customHeight="1" x14ac:dyDescent="0.2">
      <c r="B31" s="397"/>
      <c r="C31" s="194"/>
      <c r="D31" s="194" t="s">
        <v>148</v>
      </c>
      <c r="E31" s="122"/>
      <c r="F31" s="174"/>
      <c r="G31" s="174"/>
      <c r="H31" s="122"/>
      <c r="I31" s="122"/>
      <c r="J31" s="170"/>
      <c r="K31" s="170"/>
      <c r="L31" s="122"/>
      <c r="M31" s="122"/>
      <c r="N31" s="170"/>
      <c r="O31" s="170"/>
      <c r="P31" s="170"/>
    </row>
    <row r="32" spans="2:16" ht="14.5" customHeight="1" x14ac:dyDescent="0.2">
      <c r="B32" s="397"/>
      <c r="C32" s="52" t="s">
        <v>361</v>
      </c>
      <c r="D32" s="52" t="s">
        <v>295</v>
      </c>
      <c r="E32" s="97" t="s">
        <v>93</v>
      </c>
      <c r="F32" s="100">
        <v>46</v>
      </c>
      <c r="G32" s="100">
        <v>50</v>
      </c>
      <c r="H32" s="20">
        <f>F32/G32*100%</f>
        <v>0.92</v>
      </c>
      <c r="I32" s="97" t="s">
        <v>93</v>
      </c>
      <c r="J32" s="15">
        <v>51</v>
      </c>
      <c r="K32" s="15">
        <v>50</v>
      </c>
      <c r="L32" s="20">
        <f>J32/K32*100%</f>
        <v>1.02</v>
      </c>
      <c r="M32" s="12" t="s">
        <v>18</v>
      </c>
      <c r="N32" s="15">
        <v>157500</v>
      </c>
      <c r="O32" s="15">
        <f t="shared" ref="O32" si="23">N32*70%</f>
        <v>110250</v>
      </c>
      <c r="P32" s="15">
        <f t="shared" ref="P32" si="24">N32*30%</f>
        <v>47250</v>
      </c>
    </row>
    <row r="33" spans="2:16" s="37" customFormat="1" ht="14.5" customHeight="1" x14ac:dyDescent="0.2">
      <c r="B33" s="397"/>
      <c r="C33" s="78"/>
      <c r="D33" s="78" t="s">
        <v>72</v>
      </c>
      <c r="E33" s="78"/>
      <c r="F33" s="68">
        <f>SUM(F29:F32)</f>
        <v>1664.5</v>
      </c>
      <c r="G33" s="68">
        <f>SUM(G29:G32)</f>
        <v>1520</v>
      </c>
      <c r="H33" s="66">
        <f>F33/G33*100%</f>
        <v>1.0950657894736842</v>
      </c>
      <c r="I33" s="78"/>
      <c r="J33" s="65">
        <f>SUM(J29:J32)</f>
        <v>270</v>
      </c>
      <c r="K33" s="65">
        <f>SUM(K29:K32)</f>
        <v>280</v>
      </c>
      <c r="L33" s="66">
        <f>J33/K33*100%</f>
        <v>0.9642857142857143</v>
      </c>
      <c r="M33" s="64" t="s">
        <v>20</v>
      </c>
      <c r="N33" s="63">
        <v>204000</v>
      </c>
      <c r="O33" s="63">
        <f>N33</f>
        <v>204000</v>
      </c>
      <c r="P33" s="63">
        <v>0</v>
      </c>
    </row>
    <row r="34" spans="2:16" ht="14.5" customHeight="1" x14ac:dyDescent="0.2">
      <c r="B34" s="397"/>
      <c r="C34" s="77"/>
      <c r="D34" s="77" t="s">
        <v>34</v>
      </c>
      <c r="E34" s="104"/>
      <c r="F34" s="28">
        <f>SUM(F33)</f>
        <v>1664.5</v>
      </c>
      <c r="G34" s="28">
        <f>SUM(G33)</f>
        <v>1520</v>
      </c>
      <c r="H34" s="76">
        <f>F34/G34*100%</f>
        <v>1.0950657894736842</v>
      </c>
      <c r="I34" s="104"/>
      <c r="J34" s="22">
        <f>SUM(J33)</f>
        <v>270</v>
      </c>
      <c r="K34" s="22">
        <f>SUM(K33)</f>
        <v>280</v>
      </c>
      <c r="L34" s="76">
        <f>J34/K34*100%</f>
        <v>0.9642857142857143</v>
      </c>
      <c r="M34" s="42"/>
      <c r="N34" s="23">
        <f>SUM(N29:N33)</f>
        <v>759000</v>
      </c>
      <c r="O34" s="23">
        <f t="shared" ref="O34:P34" si="25">SUM(O29:O33)</f>
        <v>556500</v>
      </c>
      <c r="P34" s="23">
        <f t="shared" si="25"/>
        <v>202500</v>
      </c>
    </row>
    <row r="35" spans="2:16" ht="14.5" customHeight="1" x14ac:dyDescent="0.2">
      <c r="B35" s="422" t="s">
        <v>256</v>
      </c>
      <c r="C35" s="118" t="s">
        <v>362</v>
      </c>
      <c r="D35" s="118" t="s">
        <v>106</v>
      </c>
      <c r="E35" s="122"/>
      <c r="F35" s="174"/>
      <c r="G35" s="174"/>
      <c r="H35" s="122"/>
      <c r="I35" s="122"/>
      <c r="J35" s="170"/>
      <c r="K35" s="170"/>
      <c r="L35" s="122"/>
      <c r="M35" s="122"/>
      <c r="N35" s="170"/>
      <c r="O35" s="170">
        <f t="shared" ref="O35" si="26">N35*55%</f>
        <v>0</v>
      </c>
      <c r="P35" s="170">
        <f t="shared" ref="P35" si="27">N35*45%</f>
        <v>0</v>
      </c>
    </row>
    <row r="36" spans="2:16" ht="14.5" customHeight="1" x14ac:dyDescent="0.2">
      <c r="B36" s="422"/>
      <c r="C36" s="117" t="s">
        <v>363</v>
      </c>
      <c r="D36" s="117" t="s">
        <v>298</v>
      </c>
      <c r="E36" s="122"/>
      <c r="F36" s="174"/>
      <c r="G36" s="174"/>
      <c r="H36" s="122"/>
      <c r="I36" s="122"/>
      <c r="J36" s="170"/>
      <c r="K36" s="170"/>
      <c r="L36" s="122"/>
      <c r="M36" s="122"/>
      <c r="N36" s="170"/>
      <c r="O36" s="170">
        <f t="shared" ref="O36:O37" si="28">N36*70%</f>
        <v>0</v>
      </c>
      <c r="P36" s="170">
        <f t="shared" ref="P36:P37" si="29">N36*30%</f>
        <v>0</v>
      </c>
    </row>
    <row r="37" spans="2:16" ht="14.5" customHeight="1" x14ac:dyDescent="0.2">
      <c r="B37" s="422"/>
      <c r="C37" s="117" t="s">
        <v>364</v>
      </c>
      <c r="D37" s="117" t="s">
        <v>274</v>
      </c>
      <c r="E37" s="122"/>
      <c r="F37" s="174"/>
      <c r="G37" s="174"/>
      <c r="H37" s="122"/>
      <c r="I37" s="122"/>
      <c r="J37" s="170"/>
      <c r="K37" s="170"/>
      <c r="L37" s="122"/>
      <c r="M37" s="122"/>
      <c r="N37" s="170"/>
      <c r="O37" s="170">
        <f t="shared" si="28"/>
        <v>0</v>
      </c>
      <c r="P37" s="170">
        <f t="shared" si="29"/>
        <v>0</v>
      </c>
    </row>
    <row r="38" spans="2:16" s="37" customFormat="1" ht="14.5" customHeight="1" x14ac:dyDescent="0.2">
      <c r="B38" s="422"/>
      <c r="C38" s="119"/>
      <c r="D38" s="119" t="s">
        <v>259</v>
      </c>
      <c r="E38" s="123"/>
      <c r="F38" s="175">
        <f>SUM(F35:F37)</f>
        <v>0</v>
      </c>
      <c r="G38" s="175">
        <f>SUM(G35:G37)</f>
        <v>0</v>
      </c>
      <c r="H38" s="123"/>
      <c r="I38" s="123"/>
      <c r="J38" s="189">
        <f>SUM(J35:J37)</f>
        <v>0</v>
      </c>
      <c r="K38" s="189">
        <f>SUM(K35:K37)</f>
        <v>0</v>
      </c>
      <c r="L38" s="123"/>
      <c r="M38" s="123"/>
      <c r="N38" s="189"/>
      <c r="O38" s="189">
        <f>N38</f>
        <v>0</v>
      </c>
      <c r="P38" s="189">
        <v>0</v>
      </c>
    </row>
    <row r="39" spans="2:16" ht="14.5" customHeight="1" x14ac:dyDescent="0.2">
      <c r="B39" s="422"/>
      <c r="C39" s="121"/>
      <c r="D39" s="121" t="s">
        <v>257</v>
      </c>
      <c r="E39" s="124"/>
      <c r="F39" s="176">
        <f>SUM(F38)</f>
        <v>0</v>
      </c>
      <c r="G39" s="176">
        <f>SUM(G38)</f>
        <v>0</v>
      </c>
      <c r="H39" s="124"/>
      <c r="I39" s="124"/>
      <c r="J39" s="190">
        <f>SUM(J38)</f>
        <v>0</v>
      </c>
      <c r="K39" s="190">
        <f>SUM(K38)</f>
        <v>0</v>
      </c>
      <c r="L39" s="124"/>
      <c r="M39" s="124"/>
      <c r="N39" s="190"/>
      <c r="O39" s="190">
        <f t="shared" ref="O39:P39" si="30">SUM(O35:O38)</f>
        <v>0</v>
      </c>
      <c r="P39" s="190">
        <f t="shared" si="30"/>
        <v>0</v>
      </c>
    </row>
    <row r="40" spans="2:16" s="21" customFormat="1" ht="14.5" customHeight="1" x14ac:dyDescent="0.2">
      <c r="B40" s="144"/>
      <c r="C40" s="126"/>
      <c r="D40" s="126" t="s">
        <v>110</v>
      </c>
      <c r="E40" s="145"/>
      <c r="F40" s="146">
        <f>SUM(F39,F34,F28)</f>
        <v>18394.75</v>
      </c>
      <c r="G40" s="146">
        <f>SUM(G39,G34,G28)</f>
        <v>19583.196597222224</v>
      </c>
      <c r="H40" s="147">
        <f>F40/G40*100%</f>
        <v>0.93931294151482914</v>
      </c>
      <c r="I40" s="145"/>
      <c r="J40" s="148">
        <f>SUM(J39,J34,J28)</f>
        <v>1604</v>
      </c>
      <c r="K40" s="148">
        <f>SUM(K39,K34,K28)</f>
        <v>1631</v>
      </c>
      <c r="L40" s="147">
        <f>J40/K40*100%</f>
        <v>0.98344573881054564</v>
      </c>
      <c r="M40" s="154"/>
      <c r="N40" s="148">
        <f t="shared" ref="N40:P40" si="31">SUM(N39,N34,N28)</f>
        <v>3607000</v>
      </c>
      <c r="O40" s="148">
        <f t="shared" si="31"/>
        <v>2412250</v>
      </c>
      <c r="P40" s="148">
        <f t="shared" si="31"/>
        <v>1194750</v>
      </c>
    </row>
    <row r="46" spans="2:16" ht="14.5" customHeight="1" x14ac:dyDescent="0.2">
      <c r="B46" s="4" t="s">
        <v>119</v>
      </c>
      <c r="C46" s="5"/>
      <c r="D46" s="5"/>
      <c r="E46" s="105"/>
      <c r="F46" s="98"/>
      <c r="G46" s="98"/>
      <c r="H46" s="34"/>
      <c r="I46" s="105"/>
      <c r="J46" s="33"/>
      <c r="K46" s="33"/>
      <c r="L46" s="34"/>
    </row>
    <row r="47" spans="2:16" ht="14.5" customHeight="1" x14ac:dyDescent="0.2">
      <c r="B47" s="8"/>
      <c r="C47" s="8"/>
      <c r="D47" s="8"/>
      <c r="E47" s="106"/>
      <c r="F47" s="99"/>
      <c r="G47" s="99"/>
      <c r="H47" s="34"/>
      <c r="I47" s="106"/>
      <c r="J47" s="35"/>
      <c r="K47" s="35"/>
      <c r="L47" s="34"/>
    </row>
    <row r="48" spans="2:16" ht="14.5" customHeight="1" x14ac:dyDescent="0.2">
      <c r="B48" s="388" t="s">
        <v>0</v>
      </c>
      <c r="C48" s="388" t="s">
        <v>270</v>
      </c>
      <c r="D48" s="388" t="s">
        <v>2</v>
      </c>
      <c r="E48" s="420" t="s">
        <v>410</v>
      </c>
      <c r="F48" s="420"/>
      <c r="G48" s="420"/>
      <c r="H48" s="417" t="s">
        <v>56</v>
      </c>
      <c r="I48" s="420" t="s">
        <v>411</v>
      </c>
      <c r="J48" s="420"/>
      <c r="K48" s="420"/>
      <c r="L48" s="417" t="s">
        <v>56</v>
      </c>
      <c r="M48" s="394" t="s">
        <v>3</v>
      </c>
      <c r="N48" s="398" t="s">
        <v>412</v>
      </c>
      <c r="O48" s="398" t="s">
        <v>8</v>
      </c>
      <c r="P48" s="398" t="s">
        <v>75</v>
      </c>
    </row>
    <row r="49" spans="2:16" ht="14.5" customHeight="1" x14ac:dyDescent="0.2">
      <c r="B49" s="388"/>
      <c r="C49" s="388"/>
      <c r="D49" s="388"/>
      <c r="E49" s="9"/>
      <c r="F49" s="91" t="s">
        <v>77</v>
      </c>
      <c r="G49" s="90" t="s">
        <v>58</v>
      </c>
      <c r="H49" s="417"/>
      <c r="I49" s="9"/>
      <c r="J49" s="36" t="s">
        <v>77</v>
      </c>
      <c r="K49" s="54" t="s">
        <v>58</v>
      </c>
      <c r="L49" s="417"/>
      <c r="M49" s="394"/>
      <c r="N49" s="398"/>
      <c r="O49" s="398"/>
      <c r="P49" s="398"/>
    </row>
    <row r="50" spans="2:16" ht="14.5" customHeight="1" x14ac:dyDescent="0.2">
      <c r="B50" s="397" t="s">
        <v>25</v>
      </c>
      <c r="C50" s="193"/>
      <c r="D50" s="193" t="s">
        <v>148</v>
      </c>
      <c r="E50" s="179"/>
      <c r="F50" s="174"/>
      <c r="G50" s="174"/>
      <c r="H50" s="122"/>
      <c r="I50" s="179"/>
      <c r="J50" s="170"/>
      <c r="K50" s="170"/>
      <c r="L50" s="122"/>
      <c r="M50" s="122"/>
      <c r="N50" s="170"/>
      <c r="O50" s="170"/>
      <c r="P50" s="170"/>
    </row>
    <row r="51" spans="2:16" s="21" customFormat="1" ht="14.5" customHeight="1" x14ac:dyDescent="0.2">
      <c r="B51" s="397"/>
      <c r="C51" s="38" t="s">
        <v>365</v>
      </c>
      <c r="D51" s="38" t="s">
        <v>151</v>
      </c>
      <c r="E51" s="107" t="s">
        <v>887</v>
      </c>
      <c r="F51" s="100">
        <v>71.999999999999986</v>
      </c>
      <c r="G51" s="100">
        <v>120</v>
      </c>
      <c r="H51" s="20">
        <f t="shared" ref="H51:H77" si="32">F51/G51*100%</f>
        <v>0.59999999999999987</v>
      </c>
      <c r="I51" s="107" t="s">
        <v>887</v>
      </c>
      <c r="J51" s="15">
        <v>32</v>
      </c>
      <c r="K51" s="15">
        <v>50</v>
      </c>
      <c r="L51" s="20">
        <f t="shared" ref="L51:L77" si="33">J51/K51*100%</f>
        <v>0.64</v>
      </c>
      <c r="M51" s="12" t="s">
        <v>18</v>
      </c>
      <c r="N51" s="15">
        <v>0</v>
      </c>
      <c r="O51" s="15">
        <f>N51*70%</f>
        <v>0</v>
      </c>
      <c r="P51" s="15">
        <f>N51*30%</f>
        <v>0</v>
      </c>
    </row>
    <row r="52" spans="2:16" ht="14.5" customHeight="1" x14ac:dyDescent="0.2">
      <c r="B52" s="397"/>
      <c r="C52" s="52" t="s">
        <v>366</v>
      </c>
      <c r="D52" s="52" t="s">
        <v>241</v>
      </c>
      <c r="E52" s="97" t="s">
        <v>887</v>
      </c>
      <c r="F52" s="100">
        <v>64.75</v>
      </c>
      <c r="G52" s="100">
        <v>120</v>
      </c>
      <c r="H52" s="20">
        <f t="shared" si="32"/>
        <v>0.5395833333333333</v>
      </c>
      <c r="I52" s="97" t="s">
        <v>887</v>
      </c>
      <c r="J52" s="15">
        <v>25</v>
      </c>
      <c r="K52" s="15">
        <v>35</v>
      </c>
      <c r="L52" s="20">
        <f t="shared" si="33"/>
        <v>0.7142857142857143</v>
      </c>
      <c r="M52" s="12" t="s">
        <v>18</v>
      </c>
      <c r="N52" s="15">
        <v>22500</v>
      </c>
      <c r="O52" s="15">
        <f>N52*70%</f>
        <v>15749.999999999998</v>
      </c>
      <c r="P52" s="15">
        <f>N52*30%</f>
        <v>6750</v>
      </c>
    </row>
    <row r="53" spans="2:16" ht="14.5" customHeight="1" x14ac:dyDescent="0.2">
      <c r="B53" s="397"/>
      <c r="C53" s="52" t="s">
        <v>368</v>
      </c>
      <c r="D53" s="52" t="s">
        <v>107</v>
      </c>
      <c r="E53" s="97" t="s">
        <v>887</v>
      </c>
      <c r="F53" s="100">
        <v>31.083333333333336</v>
      </c>
      <c r="G53" s="100">
        <v>80</v>
      </c>
      <c r="H53" s="20">
        <f t="shared" si="32"/>
        <v>0.38854166666666667</v>
      </c>
      <c r="I53" s="97" t="s">
        <v>887</v>
      </c>
      <c r="J53" s="15">
        <v>30</v>
      </c>
      <c r="K53" s="15">
        <v>50</v>
      </c>
      <c r="L53" s="20">
        <f t="shared" si="33"/>
        <v>0.6</v>
      </c>
      <c r="M53" s="12" t="s">
        <v>18</v>
      </c>
      <c r="N53" s="15">
        <v>0</v>
      </c>
      <c r="O53" s="15">
        <f>N53*70%</f>
        <v>0</v>
      </c>
      <c r="P53" s="15">
        <f>N53*30%</f>
        <v>0</v>
      </c>
    </row>
    <row r="54" spans="2:16" ht="14.5" customHeight="1" x14ac:dyDescent="0.2">
      <c r="B54" s="397"/>
      <c r="C54" s="52" t="s">
        <v>369</v>
      </c>
      <c r="D54" s="52" t="s">
        <v>262</v>
      </c>
      <c r="E54" s="97" t="s">
        <v>887</v>
      </c>
      <c r="F54" s="100">
        <v>42.499999999999993</v>
      </c>
      <c r="G54" s="100">
        <v>50</v>
      </c>
      <c r="H54" s="20">
        <f t="shared" si="32"/>
        <v>0.84999999999999987</v>
      </c>
      <c r="I54" s="97" t="s">
        <v>887</v>
      </c>
      <c r="J54" s="15">
        <v>23</v>
      </c>
      <c r="K54" s="15">
        <v>35</v>
      </c>
      <c r="L54" s="20">
        <f t="shared" si="33"/>
        <v>0.65714285714285714</v>
      </c>
      <c r="M54" s="12" t="s">
        <v>18</v>
      </c>
      <c r="N54" s="15">
        <v>45000</v>
      </c>
      <c r="O54" s="15">
        <f>N54*70%</f>
        <v>31499.999999999996</v>
      </c>
      <c r="P54" s="15">
        <f>N54*30%</f>
        <v>13500</v>
      </c>
    </row>
    <row r="55" spans="2:16" s="37" customFormat="1" ht="14.5" customHeight="1" x14ac:dyDescent="0.2">
      <c r="B55" s="397"/>
      <c r="C55" s="78"/>
      <c r="D55" s="78" t="s">
        <v>177</v>
      </c>
      <c r="E55" s="78"/>
      <c r="F55" s="68">
        <f>SUM(F50:F54)</f>
        <v>210.33333333333334</v>
      </c>
      <c r="G55" s="68">
        <f>SUM(G50:G54)</f>
        <v>370</v>
      </c>
      <c r="H55" s="66">
        <f t="shared" si="32"/>
        <v>0.56846846846846855</v>
      </c>
      <c r="I55" s="78"/>
      <c r="J55" s="65">
        <f>SUM(J50:J54)</f>
        <v>110</v>
      </c>
      <c r="K55" s="65">
        <f>SUM(K50:K54)</f>
        <v>170</v>
      </c>
      <c r="L55" s="66">
        <f t="shared" si="33"/>
        <v>0.6470588235294118</v>
      </c>
      <c r="M55" s="64" t="s">
        <v>20</v>
      </c>
      <c r="N55" s="63">
        <v>0</v>
      </c>
      <c r="O55" s="63">
        <f>N55</f>
        <v>0</v>
      </c>
      <c r="P55" s="63">
        <v>0</v>
      </c>
    </row>
    <row r="56" spans="2:16" ht="14.5" customHeight="1" x14ac:dyDescent="0.2">
      <c r="B56" s="397"/>
      <c r="C56" s="52" t="s">
        <v>370</v>
      </c>
      <c r="D56" s="52" t="s">
        <v>244</v>
      </c>
      <c r="E56" s="97" t="s">
        <v>887</v>
      </c>
      <c r="F56" s="100">
        <v>40.583333333333336</v>
      </c>
      <c r="G56" s="100">
        <v>100</v>
      </c>
      <c r="H56" s="20">
        <f t="shared" si="32"/>
        <v>0.40583333333333338</v>
      </c>
      <c r="I56" s="97" t="s">
        <v>887</v>
      </c>
      <c r="J56" s="15">
        <v>24</v>
      </c>
      <c r="K56" s="15">
        <v>35</v>
      </c>
      <c r="L56" s="20">
        <f t="shared" si="33"/>
        <v>0.68571428571428572</v>
      </c>
      <c r="M56" s="12" t="s">
        <v>18</v>
      </c>
      <c r="N56" s="15">
        <v>0</v>
      </c>
      <c r="O56" s="15">
        <f t="shared" ref="O56" si="34">N56*70%</f>
        <v>0</v>
      </c>
      <c r="P56" s="15">
        <f t="shared" ref="P56" si="35">N56*30%</f>
        <v>0</v>
      </c>
    </row>
    <row r="57" spans="2:16" ht="14.5" customHeight="1" x14ac:dyDescent="0.2">
      <c r="B57" s="397"/>
      <c r="C57" s="52" t="s">
        <v>367</v>
      </c>
      <c r="D57" s="52" t="s">
        <v>242</v>
      </c>
      <c r="E57" s="97" t="s">
        <v>887</v>
      </c>
      <c r="F57" s="100">
        <v>30.500000000000004</v>
      </c>
      <c r="G57" s="100">
        <v>75</v>
      </c>
      <c r="H57" s="20">
        <f t="shared" si="32"/>
        <v>0.40666666666666673</v>
      </c>
      <c r="I57" s="97" t="s">
        <v>887</v>
      </c>
      <c r="J57" s="15">
        <v>17</v>
      </c>
      <c r="K57" s="15">
        <v>35</v>
      </c>
      <c r="L57" s="20">
        <f t="shared" si="33"/>
        <v>0.48571428571428571</v>
      </c>
      <c r="M57" s="12" t="s">
        <v>18</v>
      </c>
      <c r="N57" s="15">
        <v>0</v>
      </c>
      <c r="O57" s="15">
        <f>N57*70%</f>
        <v>0</v>
      </c>
      <c r="P57" s="15">
        <f>N57*30%</f>
        <v>0</v>
      </c>
    </row>
    <row r="58" spans="2:16" ht="14.5" customHeight="1" x14ac:dyDescent="0.2">
      <c r="B58" s="397"/>
      <c r="C58" s="193"/>
      <c r="D58" s="193" t="s">
        <v>148</v>
      </c>
      <c r="E58" s="179"/>
      <c r="F58" s="174"/>
      <c r="G58" s="174"/>
      <c r="H58" s="122"/>
      <c r="I58" s="179"/>
      <c r="J58" s="170"/>
      <c r="K58" s="170"/>
      <c r="L58" s="122"/>
      <c r="M58" s="122"/>
      <c r="N58" s="170"/>
      <c r="O58" s="170"/>
      <c r="P58" s="170"/>
    </row>
    <row r="59" spans="2:16" ht="14.5" customHeight="1" x14ac:dyDescent="0.2">
      <c r="B59" s="397"/>
      <c r="C59" s="52" t="s">
        <v>371</v>
      </c>
      <c r="D59" s="52" t="s">
        <v>303</v>
      </c>
      <c r="E59" s="97" t="s">
        <v>887</v>
      </c>
      <c r="F59" s="100">
        <v>184.75</v>
      </c>
      <c r="G59" s="100">
        <v>250</v>
      </c>
      <c r="H59" s="20">
        <f t="shared" si="32"/>
        <v>0.73899999999999999</v>
      </c>
      <c r="I59" s="97" t="s">
        <v>887</v>
      </c>
      <c r="J59" s="15">
        <v>49</v>
      </c>
      <c r="K59" s="15">
        <v>75</v>
      </c>
      <c r="L59" s="20">
        <f t="shared" si="33"/>
        <v>0.65333333333333332</v>
      </c>
      <c r="M59" s="12" t="s">
        <v>471</v>
      </c>
      <c r="N59" s="15">
        <v>20000</v>
      </c>
      <c r="O59" s="15">
        <f>N59*55%</f>
        <v>11000</v>
      </c>
      <c r="P59" s="15">
        <f>N59*45%</f>
        <v>9000</v>
      </c>
    </row>
    <row r="60" spans="2:16" ht="14.5" customHeight="1" x14ac:dyDescent="0.2">
      <c r="B60" s="397"/>
      <c r="C60" s="52" t="s">
        <v>372</v>
      </c>
      <c r="D60" s="52" t="s">
        <v>108</v>
      </c>
      <c r="E60" s="97" t="s">
        <v>887</v>
      </c>
      <c r="F60" s="100">
        <v>417.83333333333331</v>
      </c>
      <c r="G60" s="100">
        <v>375</v>
      </c>
      <c r="H60" s="20">
        <f t="shared" si="32"/>
        <v>1.1142222222222222</v>
      </c>
      <c r="I60" s="97" t="s">
        <v>887</v>
      </c>
      <c r="J60" s="15">
        <v>47</v>
      </c>
      <c r="K60" s="15">
        <v>55</v>
      </c>
      <c r="L60" s="20">
        <f t="shared" si="33"/>
        <v>0.8545454545454545</v>
      </c>
      <c r="M60" s="12" t="s">
        <v>471</v>
      </c>
      <c r="N60" s="15">
        <v>175000</v>
      </c>
      <c r="O60" s="15">
        <f>N60*55%</f>
        <v>96250.000000000015</v>
      </c>
      <c r="P60" s="15">
        <f>N60*45%</f>
        <v>78750</v>
      </c>
    </row>
    <row r="61" spans="2:16" ht="14.5" customHeight="1" x14ac:dyDescent="0.2">
      <c r="B61" s="397"/>
      <c r="C61" s="118" t="s">
        <v>373</v>
      </c>
      <c r="D61" s="118" t="s">
        <v>268</v>
      </c>
      <c r="E61" s="122"/>
      <c r="F61" s="174"/>
      <c r="G61" s="174"/>
      <c r="H61" s="122"/>
      <c r="I61" s="122"/>
      <c r="J61" s="170"/>
      <c r="K61" s="170"/>
      <c r="L61" s="122"/>
      <c r="M61" s="122"/>
      <c r="N61" s="170"/>
      <c r="O61" s="170">
        <f>N61</f>
        <v>0</v>
      </c>
      <c r="P61" s="170">
        <v>0</v>
      </c>
    </row>
    <row r="62" spans="2:16" s="37" customFormat="1" ht="14.5" customHeight="1" x14ac:dyDescent="0.2">
      <c r="B62" s="397"/>
      <c r="C62" s="78"/>
      <c r="D62" s="78" t="s">
        <v>177</v>
      </c>
      <c r="E62" s="78"/>
      <c r="F62" s="68">
        <f>SUM(F56:F61)</f>
        <v>673.66666666666663</v>
      </c>
      <c r="G62" s="68">
        <f>SUM(G56:G61)</f>
        <v>800</v>
      </c>
      <c r="H62" s="66">
        <f t="shared" si="32"/>
        <v>0.84208333333333329</v>
      </c>
      <c r="I62" s="78"/>
      <c r="J62" s="65">
        <f>SUM(J56:J61)</f>
        <v>137</v>
      </c>
      <c r="K62" s="65">
        <f>SUM(K56:K61)</f>
        <v>200</v>
      </c>
      <c r="L62" s="66">
        <f t="shared" si="33"/>
        <v>0.68500000000000005</v>
      </c>
      <c r="M62" s="64" t="s">
        <v>20</v>
      </c>
      <c r="N62" s="63">
        <v>54000</v>
      </c>
      <c r="O62" s="63">
        <f>N62</f>
        <v>54000</v>
      </c>
      <c r="P62" s="63">
        <v>0</v>
      </c>
    </row>
    <row r="63" spans="2:16" ht="14.5" customHeight="1" x14ac:dyDescent="0.2">
      <c r="B63" s="397"/>
      <c r="C63" s="52" t="s">
        <v>374</v>
      </c>
      <c r="D63" s="52" t="s">
        <v>249</v>
      </c>
      <c r="E63" s="97" t="s">
        <v>887</v>
      </c>
      <c r="F63" s="100">
        <v>16.25</v>
      </c>
      <c r="G63" s="100">
        <v>30</v>
      </c>
      <c r="H63" s="20">
        <f t="shared" si="32"/>
        <v>0.54166666666666663</v>
      </c>
      <c r="I63" s="97" t="s">
        <v>887</v>
      </c>
      <c r="J63" s="15">
        <v>2</v>
      </c>
      <c r="K63" s="15">
        <v>25</v>
      </c>
      <c r="L63" s="20">
        <f t="shared" si="33"/>
        <v>0.08</v>
      </c>
      <c r="M63" s="12" t="s">
        <v>471</v>
      </c>
      <c r="N63" s="15">
        <v>0</v>
      </c>
      <c r="O63" s="15">
        <f t="shared" ref="O63" si="36">N63*70%</f>
        <v>0</v>
      </c>
      <c r="P63" s="15">
        <f t="shared" ref="P63" si="37">N63*30%</f>
        <v>0</v>
      </c>
    </row>
    <row r="64" spans="2:16" s="21" customFormat="1" ht="14.5" customHeight="1" x14ac:dyDescent="0.2">
      <c r="B64" s="397"/>
      <c r="C64" s="73"/>
      <c r="D64" s="73" t="s">
        <v>30</v>
      </c>
      <c r="E64" s="103"/>
      <c r="F64" s="101">
        <f>SUM(F63,F62,F55)</f>
        <v>900.25</v>
      </c>
      <c r="G64" s="101">
        <f>SUM(G63,G62,G55)</f>
        <v>1200</v>
      </c>
      <c r="H64" s="76">
        <f t="shared" si="32"/>
        <v>0.75020833333333337</v>
      </c>
      <c r="I64" s="103"/>
      <c r="J64" s="40">
        <f>SUM(J63,J62,J55)</f>
        <v>249</v>
      </c>
      <c r="K64" s="40">
        <f>SUM(K63,K62,K55)</f>
        <v>395</v>
      </c>
      <c r="L64" s="76">
        <f t="shared" si="33"/>
        <v>0.63037974683544307</v>
      </c>
      <c r="M64" s="41"/>
      <c r="N64" s="39">
        <f>SUM(N50:N63)</f>
        <v>316500</v>
      </c>
      <c r="O64" s="39">
        <f t="shared" ref="O64:P64" si="38">SUM(O50:O63)</f>
        <v>208500</v>
      </c>
      <c r="P64" s="39">
        <f t="shared" si="38"/>
        <v>108000</v>
      </c>
    </row>
    <row r="65" spans="2:17" ht="14.5" customHeight="1" x14ac:dyDescent="0.2">
      <c r="B65" s="397" t="s">
        <v>59</v>
      </c>
      <c r="C65" s="52" t="s">
        <v>375</v>
      </c>
      <c r="D65" s="52" t="s">
        <v>211</v>
      </c>
      <c r="E65" s="97" t="s">
        <v>93</v>
      </c>
      <c r="F65" s="100">
        <v>548</v>
      </c>
      <c r="G65" s="100">
        <v>850</v>
      </c>
      <c r="H65" s="20">
        <f t="shared" si="32"/>
        <v>0.64470588235294113</v>
      </c>
      <c r="I65" s="97" t="s">
        <v>93</v>
      </c>
      <c r="J65" s="15">
        <v>60</v>
      </c>
      <c r="K65" s="15">
        <v>60</v>
      </c>
      <c r="L65" s="20">
        <f t="shared" si="33"/>
        <v>1</v>
      </c>
      <c r="M65" s="12" t="s">
        <v>470</v>
      </c>
      <c r="N65" s="15">
        <v>66000</v>
      </c>
      <c r="O65" s="15">
        <f>N65</f>
        <v>66000</v>
      </c>
      <c r="P65" s="15">
        <v>0</v>
      </c>
    </row>
    <row r="66" spans="2:17" ht="14.5" customHeight="1" x14ac:dyDescent="0.2">
      <c r="B66" s="397"/>
      <c r="C66" s="52" t="s">
        <v>376</v>
      </c>
      <c r="D66" s="52" t="s">
        <v>145</v>
      </c>
      <c r="E66" s="97" t="s">
        <v>225</v>
      </c>
      <c r="F66" s="100">
        <v>231.5</v>
      </c>
      <c r="G66" s="100">
        <v>225</v>
      </c>
      <c r="H66" s="20">
        <f t="shared" si="32"/>
        <v>1.028888888888889</v>
      </c>
      <c r="I66" s="97" t="s">
        <v>225</v>
      </c>
      <c r="J66" s="15">
        <v>127</v>
      </c>
      <c r="K66" s="15">
        <v>125</v>
      </c>
      <c r="L66" s="20">
        <f t="shared" si="33"/>
        <v>1.016</v>
      </c>
      <c r="M66" s="12" t="s">
        <v>18</v>
      </c>
      <c r="N66" s="15">
        <v>180000</v>
      </c>
      <c r="O66" s="15">
        <f t="shared" ref="O66:O67" si="39">N66*70%</f>
        <v>125999.99999999999</v>
      </c>
      <c r="P66" s="15">
        <f t="shared" ref="P66:P67" si="40">N66*30%</f>
        <v>54000</v>
      </c>
    </row>
    <row r="67" spans="2:17" ht="14.5" customHeight="1" x14ac:dyDescent="0.2">
      <c r="B67" s="397"/>
      <c r="C67" s="52" t="s">
        <v>377</v>
      </c>
      <c r="D67" s="52" t="s">
        <v>287</v>
      </c>
      <c r="E67" s="97" t="s">
        <v>796</v>
      </c>
      <c r="F67" s="100">
        <v>10</v>
      </c>
      <c r="G67" s="100">
        <v>25</v>
      </c>
      <c r="H67" s="20">
        <f t="shared" si="32"/>
        <v>0.4</v>
      </c>
      <c r="I67" s="97" t="s">
        <v>796</v>
      </c>
      <c r="J67" s="15">
        <v>10</v>
      </c>
      <c r="K67" s="15">
        <v>15</v>
      </c>
      <c r="L67" s="20">
        <f t="shared" si="33"/>
        <v>0.66666666666666663</v>
      </c>
      <c r="M67" s="12" t="s">
        <v>18</v>
      </c>
      <c r="N67" s="15">
        <v>0</v>
      </c>
      <c r="O67" s="15">
        <f t="shared" si="39"/>
        <v>0</v>
      </c>
      <c r="P67" s="15">
        <f t="shared" si="40"/>
        <v>0</v>
      </c>
    </row>
    <row r="68" spans="2:17" ht="14.5" customHeight="1" x14ac:dyDescent="0.2">
      <c r="B68" s="397"/>
      <c r="C68" s="52" t="s">
        <v>379</v>
      </c>
      <c r="D68" s="52" t="s">
        <v>380</v>
      </c>
      <c r="E68" s="97" t="s">
        <v>225</v>
      </c>
      <c r="F68" s="100">
        <v>54.583333333333336</v>
      </c>
      <c r="G68" s="100">
        <v>100</v>
      </c>
      <c r="H68" s="20">
        <f t="shared" si="32"/>
        <v>0.54583333333333339</v>
      </c>
      <c r="I68" s="97" t="s">
        <v>225</v>
      </c>
      <c r="J68" s="15">
        <v>20</v>
      </c>
      <c r="K68" s="15">
        <v>50</v>
      </c>
      <c r="L68" s="20">
        <f t="shared" si="33"/>
        <v>0.4</v>
      </c>
      <c r="M68" s="83" t="s">
        <v>469</v>
      </c>
      <c r="N68" s="15">
        <v>0</v>
      </c>
      <c r="O68" s="15">
        <f>N68</f>
        <v>0</v>
      </c>
      <c r="P68" s="15">
        <v>0</v>
      </c>
      <c r="Q68" s="37"/>
    </row>
    <row r="69" spans="2:17" ht="14.5" customHeight="1" x14ac:dyDescent="0.2">
      <c r="B69" s="397"/>
      <c r="C69" s="118" t="s">
        <v>378</v>
      </c>
      <c r="D69" s="118" t="s">
        <v>210</v>
      </c>
      <c r="E69" s="122"/>
      <c r="F69" s="174"/>
      <c r="G69" s="174"/>
      <c r="H69" s="122"/>
      <c r="I69" s="122"/>
      <c r="J69" s="170"/>
      <c r="K69" s="170"/>
      <c r="L69" s="122"/>
      <c r="M69" s="122"/>
      <c r="N69" s="170"/>
      <c r="O69" s="170">
        <f>N69</f>
        <v>0</v>
      </c>
      <c r="P69" s="170">
        <v>0</v>
      </c>
    </row>
    <row r="70" spans="2:17" s="37" customFormat="1" ht="14.5" customHeight="1" x14ac:dyDescent="0.2">
      <c r="B70" s="397"/>
      <c r="C70" s="78"/>
      <c r="D70" s="78" t="s">
        <v>74</v>
      </c>
      <c r="E70" s="78"/>
      <c r="F70" s="68">
        <f>SUM(F65:F69)</f>
        <v>844.08333333333337</v>
      </c>
      <c r="G70" s="68">
        <f>SUM(G65:G69)</f>
        <v>1200</v>
      </c>
      <c r="H70" s="66">
        <f t="shared" si="32"/>
        <v>0.70340277777777782</v>
      </c>
      <c r="I70" s="78"/>
      <c r="J70" s="65">
        <f>SUM(J65:J69)</f>
        <v>217</v>
      </c>
      <c r="K70" s="65">
        <f>SUM(K65:K69)</f>
        <v>250</v>
      </c>
      <c r="L70" s="66">
        <f t="shared" si="33"/>
        <v>0.86799999999999999</v>
      </c>
      <c r="M70" s="64" t="s">
        <v>20</v>
      </c>
      <c r="N70" s="63">
        <v>84000</v>
      </c>
      <c r="O70" s="63">
        <f>N70</f>
        <v>84000</v>
      </c>
      <c r="P70" s="63">
        <v>0</v>
      </c>
    </row>
    <row r="71" spans="2:17" ht="14.5" customHeight="1" x14ac:dyDescent="0.2">
      <c r="B71" s="397"/>
      <c r="C71" s="77"/>
      <c r="D71" s="77" t="s">
        <v>36</v>
      </c>
      <c r="E71" s="104"/>
      <c r="F71" s="28">
        <f>SUM(F70)</f>
        <v>844.08333333333337</v>
      </c>
      <c r="G71" s="28">
        <f>SUM(G70)</f>
        <v>1200</v>
      </c>
      <c r="H71" s="76">
        <f t="shared" si="32"/>
        <v>0.70340277777777782</v>
      </c>
      <c r="I71" s="104"/>
      <c r="J71" s="22">
        <f>SUM(J70)</f>
        <v>217</v>
      </c>
      <c r="K71" s="22">
        <f>SUM(K70)</f>
        <v>250</v>
      </c>
      <c r="L71" s="76">
        <f t="shared" si="33"/>
        <v>0.86799999999999999</v>
      </c>
      <c r="M71" s="42"/>
      <c r="N71" s="23">
        <f>SUM(N65:N70)</f>
        <v>330000</v>
      </c>
      <c r="O71" s="23">
        <f t="shared" ref="O71:P71" si="41">SUM(O65:O70)</f>
        <v>276000</v>
      </c>
      <c r="P71" s="23">
        <f t="shared" si="41"/>
        <v>54000</v>
      </c>
      <c r="Q71" s="37"/>
    </row>
    <row r="72" spans="2:17" ht="14.5" customHeight="1" x14ac:dyDescent="0.2">
      <c r="B72" s="422" t="s">
        <v>131</v>
      </c>
      <c r="C72" s="118" t="s">
        <v>381</v>
      </c>
      <c r="D72" s="118" t="s">
        <v>132</v>
      </c>
      <c r="E72" s="122"/>
      <c r="F72" s="174"/>
      <c r="G72" s="174"/>
      <c r="H72" s="122"/>
      <c r="I72" s="122"/>
      <c r="J72" s="170"/>
      <c r="K72" s="170"/>
      <c r="L72" s="122"/>
      <c r="M72" s="122"/>
      <c r="N72" s="170"/>
      <c r="O72" s="170">
        <f t="shared" ref="O72:O74" si="42">N72*70%</f>
        <v>0</v>
      </c>
      <c r="P72" s="170">
        <f t="shared" ref="P72:P74" si="43">N72*30%</f>
        <v>0</v>
      </c>
    </row>
    <row r="73" spans="2:17" ht="14.5" customHeight="1" x14ac:dyDescent="0.2">
      <c r="B73" s="422"/>
      <c r="C73" s="117" t="s">
        <v>382</v>
      </c>
      <c r="D73" s="117" t="s">
        <v>667</v>
      </c>
      <c r="E73" s="122"/>
      <c r="F73" s="174"/>
      <c r="G73" s="174"/>
      <c r="H73" s="122"/>
      <c r="I73" s="122"/>
      <c r="J73" s="170"/>
      <c r="K73" s="170"/>
      <c r="L73" s="122"/>
      <c r="M73" s="122"/>
      <c r="N73" s="170"/>
      <c r="O73" s="170">
        <f t="shared" si="42"/>
        <v>0</v>
      </c>
      <c r="P73" s="170">
        <f t="shared" si="43"/>
        <v>0</v>
      </c>
    </row>
    <row r="74" spans="2:17" ht="14.5" customHeight="1" x14ac:dyDescent="0.2">
      <c r="B74" s="422"/>
      <c r="C74" s="117" t="s">
        <v>383</v>
      </c>
      <c r="D74" s="117" t="s">
        <v>613</v>
      </c>
      <c r="E74" s="122"/>
      <c r="F74" s="174"/>
      <c r="G74" s="174"/>
      <c r="H74" s="122"/>
      <c r="I74" s="122"/>
      <c r="J74" s="170"/>
      <c r="K74" s="170"/>
      <c r="L74" s="122"/>
      <c r="M74" s="122"/>
      <c r="N74" s="170"/>
      <c r="O74" s="170">
        <f t="shared" si="42"/>
        <v>0</v>
      </c>
      <c r="P74" s="170">
        <f t="shared" si="43"/>
        <v>0</v>
      </c>
    </row>
    <row r="75" spans="2:17" s="37" customFormat="1" ht="14.5" customHeight="1" x14ac:dyDescent="0.2">
      <c r="B75" s="422"/>
      <c r="C75" s="119"/>
      <c r="D75" s="119" t="s">
        <v>483</v>
      </c>
      <c r="E75" s="123"/>
      <c r="F75" s="175">
        <f>SUM(F72:F74)</f>
        <v>0</v>
      </c>
      <c r="G75" s="175">
        <f>SUM(G72:G74)</f>
        <v>0</v>
      </c>
      <c r="H75" s="123"/>
      <c r="I75" s="123"/>
      <c r="J75" s="189">
        <f>SUM(J72:J74)</f>
        <v>0</v>
      </c>
      <c r="K75" s="189">
        <f>SUM(K72:K74)</f>
        <v>0</v>
      </c>
      <c r="L75" s="123"/>
      <c r="M75" s="123"/>
      <c r="N75" s="189"/>
      <c r="O75" s="189">
        <f>N75</f>
        <v>0</v>
      </c>
      <c r="P75" s="189">
        <v>0</v>
      </c>
    </row>
    <row r="76" spans="2:17" ht="14.5" customHeight="1" x14ac:dyDescent="0.2">
      <c r="B76" s="422"/>
      <c r="C76" s="121"/>
      <c r="D76" s="121" t="s">
        <v>133</v>
      </c>
      <c r="E76" s="124"/>
      <c r="F76" s="176">
        <f>SUM(F75)</f>
        <v>0</v>
      </c>
      <c r="G76" s="176">
        <f>SUM(G75)</f>
        <v>0</v>
      </c>
      <c r="H76" s="124"/>
      <c r="I76" s="124"/>
      <c r="J76" s="190">
        <f>SUM(J75)</f>
        <v>0</v>
      </c>
      <c r="K76" s="190">
        <f>SUM(K75)</f>
        <v>0</v>
      </c>
      <c r="L76" s="124"/>
      <c r="M76" s="124"/>
      <c r="N76" s="190"/>
      <c r="O76" s="190">
        <f t="shared" ref="O76:P76" si="44">SUM(O72:O75)</f>
        <v>0</v>
      </c>
      <c r="P76" s="190">
        <f t="shared" si="44"/>
        <v>0</v>
      </c>
    </row>
    <row r="77" spans="2:17" s="21" customFormat="1" ht="14.5" customHeight="1" x14ac:dyDescent="0.2">
      <c r="B77" s="144"/>
      <c r="C77" s="126"/>
      <c r="D77" s="126" t="s">
        <v>109</v>
      </c>
      <c r="E77" s="145"/>
      <c r="F77" s="146">
        <f>SUM(F76,F71,F64)</f>
        <v>1744.3333333333335</v>
      </c>
      <c r="G77" s="146">
        <f>SUM(G76,G71,G64)</f>
        <v>2400</v>
      </c>
      <c r="H77" s="147">
        <f t="shared" si="32"/>
        <v>0.72680555555555559</v>
      </c>
      <c r="I77" s="145"/>
      <c r="J77" s="148">
        <f>SUM(J76,J71,J64)</f>
        <v>466</v>
      </c>
      <c r="K77" s="148">
        <f>SUM(K76,K71,K64)</f>
        <v>645</v>
      </c>
      <c r="L77" s="147">
        <f t="shared" si="33"/>
        <v>0.72248062015503878</v>
      </c>
      <c r="M77" s="154"/>
      <c r="N77" s="148">
        <f>SUM(N76,N71,N64)</f>
        <v>646500</v>
      </c>
      <c r="O77" s="148">
        <f t="shared" ref="O77:P77" si="45">SUM(O76,O71,O64)</f>
        <v>484500</v>
      </c>
      <c r="P77" s="148">
        <f t="shared" si="45"/>
        <v>162000</v>
      </c>
      <c r="Q77" s="37"/>
    </row>
    <row r="78" spans="2:17" ht="14.5" customHeight="1" x14ac:dyDescent="0.2">
      <c r="Q78" s="37"/>
    </row>
    <row r="83" spans="2:16" ht="14.5" customHeight="1" x14ac:dyDescent="0.2">
      <c r="B83" s="4" t="s">
        <v>220</v>
      </c>
      <c r="C83" s="5"/>
      <c r="D83" s="5"/>
      <c r="E83" s="105"/>
      <c r="F83" s="98"/>
      <c r="G83" s="98"/>
      <c r="H83" s="34"/>
      <c r="I83" s="105"/>
      <c r="J83" s="33"/>
      <c r="K83" s="33"/>
      <c r="L83" s="34"/>
    </row>
    <row r="84" spans="2:16" ht="14.5" customHeight="1" x14ac:dyDescent="0.2">
      <c r="B84" s="8"/>
      <c r="C84" s="8"/>
      <c r="D84" s="8"/>
      <c r="E84" s="106"/>
      <c r="F84" s="99"/>
      <c r="G84" s="99"/>
      <c r="H84" s="34"/>
      <c r="I84" s="106"/>
      <c r="J84" s="35"/>
      <c r="K84" s="35"/>
      <c r="L84" s="34"/>
    </row>
    <row r="85" spans="2:16" ht="14.5" customHeight="1" x14ac:dyDescent="0.2">
      <c r="B85" s="388" t="s">
        <v>0</v>
      </c>
      <c r="C85" s="388" t="s">
        <v>270</v>
      </c>
      <c r="D85" s="388" t="s">
        <v>2</v>
      </c>
      <c r="E85" s="420" t="s">
        <v>410</v>
      </c>
      <c r="F85" s="420"/>
      <c r="G85" s="420"/>
      <c r="H85" s="417" t="s">
        <v>56</v>
      </c>
      <c r="I85" s="420" t="s">
        <v>411</v>
      </c>
      <c r="J85" s="420"/>
      <c r="K85" s="420"/>
      <c r="L85" s="417" t="s">
        <v>56</v>
      </c>
      <c r="M85" s="394" t="s">
        <v>3</v>
      </c>
      <c r="N85" s="398" t="s">
        <v>412</v>
      </c>
      <c r="O85" s="398" t="s">
        <v>8</v>
      </c>
      <c r="P85" s="398" t="s">
        <v>75</v>
      </c>
    </row>
    <row r="86" spans="2:16" ht="14.5" customHeight="1" x14ac:dyDescent="0.2">
      <c r="B86" s="388"/>
      <c r="C86" s="388"/>
      <c r="D86" s="388"/>
      <c r="E86" s="9"/>
      <c r="F86" s="91" t="s">
        <v>77</v>
      </c>
      <c r="G86" s="90" t="s">
        <v>58</v>
      </c>
      <c r="H86" s="417"/>
      <c r="I86" s="9"/>
      <c r="J86" s="36" t="s">
        <v>77</v>
      </c>
      <c r="K86" s="54" t="s">
        <v>58</v>
      </c>
      <c r="L86" s="417"/>
      <c r="M86" s="394"/>
      <c r="N86" s="398"/>
      <c r="O86" s="398"/>
      <c r="P86" s="398"/>
    </row>
    <row r="87" spans="2:16" ht="14.5" customHeight="1" x14ac:dyDescent="0.2">
      <c r="B87" s="422" t="s">
        <v>37</v>
      </c>
      <c r="C87" s="118" t="s">
        <v>385</v>
      </c>
      <c r="D87" s="118" t="s">
        <v>98</v>
      </c>
      <c r="E87" s="122"/>
      <c r="F87" s="174"/>
      <c r="G87" s="174"/>
      <c r="H87" s="122"/>
      <c r="I87" s="122"/>
      <c r="J87" s="170"/>
      <c r="K87" s="170"/>
      <c r="L87" s="122"/>
      <c r="M87" s="122"/>
      <c r="N87" s="170"/>
      <c r="O87" s="170"/>
      <c r="P87" s="170"/>
    </row>
    <row r="88" spans="2:16" ht="14.5" customHeight="1" x14ac:dyDescent="0.2">
      <c r="B88" s="422"/>
      <c r="C88" s="117" t="s">
        <v>384</v>
      </c>
      <c r="D88" s="117" t="s">
        <v>310</v>
      </c>
      <c r="E88" s="122"/>
      <c r="F88" s="174"/>
      <c r="G88" s="174"/>
      <c r="H88" s="122"/>
      <c r="I88" s="122"/>
      <c r="J88" s="170"/>
      <c r="K88" s="170"/>
      <c r="L88" s="122"/>
      <c r="M88" s="122"/>
      <c r="N88" s="170"/>
      <c r="O88" s="170"/>
      <c r="P88" s="170"/>
    </row>
    <row r="89" spans="2:16" s="37" customFormat="1" ht="14.5" customHeight="1" x14ac:dyDescent="0.2">
      <c r="B89" s="422"/>
      <c r="C89" s="119"/>
      <c r="D89" s="119" t="s">
        <v>230</v>
      </c>
      <c r="E89" s="123"/>
      <c r="F89" s="175"/>
      <c r="G89" s="175"/>
      <c r="H89" s="123"/>
      <c r="I89" s="123"/>
      <c r="J89" s="189"/>
      <c r="K89" s="189"/>
      <c r="L89" s="123"/>
      <c r="M89" s="123"/>
      <c r="N89" s="189"/>
      <c r="O89" s="189"/>
      <c r="P89" s="189"/>
    </row>
    <row r="90" spans="2:16" ht="14.5" customHeight="1" x14ac:dyDescent="0.2">
      <c r="B90" s="422"/>
      <c r="C90" s="121"/>
      <c r="D90" s="121" t="s">
        <v>38</v>
      </c>
      <c r="E90" s="124"/>
      <c r="F90" s="176"/>
      <c r="G90" s="176"/>
      <c r="H90" s="124"/>
      <c r="I90" s="124"/>
      <c r="J90" s="190"/>
      <c r="K90" s="190"/>
      <c r="L90" s="124"/>
      <c r="M90" s="124"/>
      <c r="N90" s="190"/>
      <c r="O90" s="190"/>
      <c r="P90" s="190"/>
    </row>
    <row r="91" spans="2:16" s="21" customFormat="1" ht="14.5" customHeight="1" x14ac:dyDescent="0.2">
      <c r="B91" s="422" t="s">
        <v>614</v>
      </c>
      <c r="C91" s="116" t="s">
        <v>386</v>
      </c>
      <c r="D91" s="116" t="s">
        <v>265</v>
      </c>
      <c r="E91" s="122"/>
      <c r="F91" s="174"/>
      <c r="G91" s="174"/>
      <c r="H91" s="122"/>
      <c r="I91" s="122"/>
      <c r="J91" s="170"/>
      <c r="K91" s="170"/>
      <c r="L91" s="122"/>
      <c r="M91" s="122"/>
      <c r="N91" s="170"/>
      <c r="O91" s="170"/>
      <c r="P91" s="170"/>
    </row>
    <row r="92" spans="2:16" ht="14.5" customHeight="1" x14ac:dyDescent="0.2">
      <c r="B92" s="422"/>
      <c r="C92" s="117" t="s">
        <v>387</v>
      </c>
      <c r="D92" s="117" t="s">
        <v>97</v>
      </c>
      <c r="E92" s="122"/>
      <c r="F92" s="174"/>
      <c r="G92" s="174"/>
      <c r="H92" s="122"/>
      <c r="I92" s="122"/>
      <c r="J92" s="170"/>
      <c r="K92" s="170"/>
      <c r="L92" s="122"/>
      <c r="M92" s="122"/>
      <c r="N92" s="170"/>
      <c r="O92" s="170"/>
      <c r="P92" s="170"/>
    </row>
    <row r="93" spans="2:16" s="37" customFormat="1" ht="14.5" customHeight="1" x14ac:dyDescent="0.2">
      <c r="B93" s="422"/>
      <c r="C93" s="211"/>
      <c r="D93" s="119" t="s">
        <v>497</v>
      </c>
      <c r="E93" s="221"/>
      <c r="F93" s="222"/>
      <c r="G93" s="222"/>
      <c r="H93" s="223"/>
      <c r="I93" s="221"/>
      <c r="J93" s="224"/>
      <c r="K93" s="224"/>
      <c r="L93" s="223"/>
      <c r="M93" s="221"/>
      <c r="N93" s="224"/>
      <c r="O93" s="224"/>
      <c r="P93" s="224"/>
    </row>
    <row r="94" spans="2:16" ht="14.5" customHeight="1" x14ac:dyDescent="0.2">
      <c r="B94" s="422"/>
      <c r="C94" s="212"/>
      <c r="D94" s="121" t="s">
        <v>615</v>
      </c>
      <c r="E94" s="225"/>
      <c r="F94" s="226"/>
      <c r="G94" s="226"/>
      <c r="H94" s="181"/>
      <c r="I94" s="225"/>
      <c r="J94" s="227"/>
      <c r="K94" s="227"/>
      <c r="L94" s="181"/>
      <c r="M94" s="225"/>
      <c r="N94" s="227"/>
      <c r="O94" s="227"/>
      <c r="P94" s="227"/>
    </row>
    <row r="95" spans="2:16" s="21" customFormat="1" ht="14.5" customHeight="1" x14ac:dyDescent="0.2">
      <c r="B95" s="144"/>
      <c r="C95" s="126"/>
      <c r="D95" s="126" t="s">
        <v>219</v>
      </c>
      <c r="E95" s="145"/>
      <c r="F95" s="146"/>
      <c r="G95" s="146"/>
      <c r="H95" s="147"/>
      <c r="I95" s="145"/>
      <c r="J95" s="148"/>
      <c r="K95" s="148"/>
      <c r="L95" s="147"/>
      <c r="M95" s="154"/>
      <c r="N95" s="148"/>
      <c r="O95" s="148"/>
      <c r="P95" s="148"/>
    </row>
    <row r="101" spans="2:17" ht="14.5" customHeight="1" x14ac:dyDescent="0.2">
      <c r="B101" s="4" t="s">
        <v>120</v>
      </c>
      <c r="C101" s="5"/>
      <c r="D101" s="5"/>
      <c r="E101" s="105"/>
      <c r="F101" s="98"/>
      <c r="G101" s="98"/>
      <c r="I101" s="105"/>
      <c r="J101" s="33"/>
      <c r="K101" s="33"/>
    </row>
    <row r="102" spans="2:17" ht="14.5" customHeight="1" x14ac:dyDescent="0.2">
      <c r="B102" s="8"/>
      <c r="C102" s="8"/>
      <c r="D102" s="8"/>
      <c r="E102" s="106"/>
      <c r="F102" s="99"/>
      <c r="G102" s="99"/>
      <c r="I102" s="106"/>
      <c r="J102" s="35"/>
      <c r="K102" s="35"/>
    </row>
    <row r="103" spans="2:17" ht="14.5" customHeight="1" x14ac:dyDescent="0.2">
      <c r="B103" s="388" t="s">
        <v>0</v>
      </c>
      <c r="C103" s="388" t="s">
        <v>270</v>
      </c>
      <c r="D103" s="388" t="s">
        <v>2</v>
      </c>
      <c r="E103" s="420" t="s">
        <v>410</v>
      </c>
      <c r="F103" s="420"/>
      <c r="G103" s="420"/>
      <c r="H103" s="417" t="s">
        <v>56</v>
      </c>
      <c r="I103" s="420" t="s">
        <v>411</v>
      </c>
      <c r="J103" s="420"/>
      <c r="K103" s="420"/>
      <c r="L103" s="417" t="s">
        <v>56</v>
      </c>
      <c r="M103" s="394" t="s">
        <v>3</v>
      </c>
      <c r="N103" s="398" t="s">
        <v>412</v>
      </c>
      <c r="O103" s="398" t="s">
        <v>8</v>
      </c>
      <c r="P103" s="398" t="s">
        <v>75</v>
      </c>
    </row>
    <row r="104" spans="2:17" ht="14.5" customHeight="1" x14ac:dyDescent="0.2">
      <c r="B104" s="388"/>
      <c r="C104" s="388"/>
      <c r="D104" s="388"/>
      <c r="E104" s="9"/>
      <c r="F104" s="91" t="s">
        <v>77</v>
      </c>
      <c r="G104" s="90" t="s">
        <v>58</v>
      </c>
      <c r="H104" s="417"/>
      <c r="I104" s="9"/>
      <c r="J104" s="36" t="s">
        <v>77</v>
      </c>
      <c r="K104" s="54" t="s">
        <v>58</v>
      </c>
      <c r="L104" s="417"/>
      <c r="M104" s="394"/>
      <c r="N104" s="398"/>
      <c r="O104" s="398"/>
      <c r="P104" s="398"/>
    </row>
    <row r="105" spans="2:17" ht="14.5" customHeight="1" x14ac:dyDescent="0.2">
      <c r="B105" s="397" t="s">
        <v>39</v>
      </c>
      <c r="C105" s="52" t="s">
        <v>388</v>
      </c>
      <c r="D105" s="52" t="s">
        <v>389</v>
      </c>
      <c r="E105" s="97" t="s">
        <v>225</v>
      </c>
      <c r="F105" s="100">
        <v>340.08333333333297</v>
      </c>
      <c r="G105" s="100">
        <v>450</v>
      </c>
      <c r="H105" s="20">
        <f t="shared" ref="H105:H147" si="46">F105/G105*100%</f>
        <v>0.75574074074073994</v>
      </c>
      <c r="I105" s="97" t="s">
        <v>225</v>
      </c>
      <c r="J105" s="15">
        <v>45</v>
      </c>
      <c r="K105" s="15">
        <v>120</v>
      </c>
      <c r="L105" s="20">
        <f t="shared" ref="L105:L147" si="47">J105/K105*100%</f>
        <v>0.375</v>
      </c>
      <c r="M105" s="12" t="s">
        <v>18</v>
      </c>
      <c r="N105" s="15">
        <v>22500</v>
      </c>
      <c r="O105" s="15">
        <f t="shared" ref="O105:O106" si="48">N105*70%</f>
        <v>15749.999999999998</v>
      </c>
      <c r="P105" s="15">
        <f t="shared" ref="P105:P106" si="49">N105*30%</f>
        <v>6750</v>
      </c>
      <c r="Q105" s="2"/>
    </row>
    <row r="106" spans="2:17" ht="14.5" customHeight="1" x14ac:dyDescent="0.2">
      <c r="B106" s="397"/>
      <c r="C106" s="52" t="s">
        <v>390</v>
      </c>
      <c r="D106" s="52" t="s">
        <v>111</v>
      </c>
      <c r="E106" s="97" t="s">
        <v>225</v>
      </c>
      <c r="F106" s="100">
        <v>549.66666667000004</v>
      </c>
      <c r="G106" s="100">
        <v>450</v>
      </c>
      <c r="H106" s="20">
        <f t="shared" si="46"/>
        <v>1.221481481488889</v>
      </c>
      <c r="I106" s="97" t="s">
        <v>225</v>
      </c>
      <c r="J106" s="15">
        <v>96</v>
      </c>
      <c r="K106" s="15">
        <v>130</v>
      </c>
      <c r="L106" s="20">
        <f t="shared" si="47"/>
        <v>0.7384615384615385</v>
      </c>
      <c r="M106" s="12" t="s">
        <v>18</v>
      </c>
      <c r="N106" s="15">
        <v>135000</v>
      </c>
      <c r="O106" s="15">
        <f t="shared" si="48"/>
        <v>94500</v>
      </c>
      <c r="P106" s="15">
        <f t="shared" si="49"/>
        <v>40500</v>
      </c>
      <c r="Q106" s="2"/>
    </row>
    <row r="107" spans="2:17" ht="14.5" customHeight="1" x14ac:dyDescent="0.2">
      <c r="B107" s="397"/>
      <c r="C107" s="182" t="s">
        <v>391</v>
      </c>
      <c r="D107" s="182" t="s">
        <v>271</v>
      </c>
      <c r="E107" s="122"/>
      <c r="F107" s="174"/>
      <c r="G107" s="174"/>
      <c r="H107" s="122"/>
      <c r="I107" s="122"/>
      <c r="J107" s="170"/>
      <c r="K107" s="170"/>
      <c r="L107" s="122"/>
      <c r="M107" s="122"/>
      <c r="N107" s="170"/>
      <c r="O107" s="170"/>
      <c r="P107" s="170"/>
      <c r="Q107" s="2"/>
    </row>
    <row r="108" spans="2:17" ht="14.5" customHeight="1" x14ac:dyDescent="0.2">
      <c r="B108" s="397"/>
      <c r="C108" s="78"/>
      <c r="D108" s="78" t="s">
        <v>891</v>
      </c>
      <c r="E108" s="78"/>
      <c r="F108" s="68">
        <f>SUM(F105:F107)</f>
        <v>889.75000000333307</v>
      </c>
      <c r="G108" s="68">
        <f>SUM(G105:G107)</f>
        <v>900</v>
      </c>
      <c r="H108" s="66">
        <f t="shared" si="46"/>
        <v>0.98861111111481448</v>
      </c>
      <c r="I108" s="78"/>
      <c r="J108" s="65">
        <f>SUM(J105:J107)</f>
        <v>141</v>
      </c>
      <c r="K108" s="65">
        <f>SUM(K105:K107)</f>
        <v>250</v>
      </c>
      <c r="L108" s="66">
        <f t="shared" si="47"/>
        <v>0.56399999999999995</v>
      </c>
      <c r="M108" s="64" t="s">
        <v>20</v>
      </c>
      <c r="N108" s="63">
        <v>84000</v>
      </c>
      <c r="O108" s="63">
        <f>N108</f>
        <v>84000</v>
      </c>
      <c r="P108" s="63">
        <v>0</v>
      </c>
      <c r="Q108" s="2"/>
    </row>
    <row r="109" spans="2:17" ht="14.5" customHeight="1" x14ac:dyDescent="0.2">
      <c r="B109" s="397"/>
      <c r="C109" s="71"/>
      <c r="D109" s="71" t="s">
        <v>40</v>
      </c>
      <c r="E109" s="104"/>
      <c r="F109" s="28">
        <f>SUM(F108)</f>
        <v>889.75000000333307</v>
      </c>
      <c r="G109" s="28">
        <f>SUM(G108)</f>
        <v>900</v>
      </c>
      <c r="H109" s="27">
        <f t="shared" si="46"/>
        <v>0.98861111111481448</v>
      </c>
      <c r="I109" s="104"/>
      <c r="J109" s="22">
        <f>SUM(J108)</f>
        <v>141</v>
      </c>
      <c r="K109" s="22">
        <f>SUM(K108)</f>
        <v>250</v>
      </c>
      <c r="L109" s="27">
        <f t="shared" si="47"/>
        <v>0.56399999999999995</v>
      </c>
      <c r="M109" s="42"/>
      <c r="N109" s="23">
        <f>SUM(N105:N108)</f>
        <v>241500</v>
      </c>
      <c r="O109" s="23">
        <f t="shared" ref="O109:P109" si="50">SUM(O105:O108)</f>
        <v>194250</v>
      </c>
      <c r="P109" s="23">
        <f t="shared" si="50"/>
        <v>47250</v>
      </c>
      <c r="Q109" s="2"/>
    </row>
    <row r="110" spans="2:17" ht="14.5" customHeight="1" x14ac:dyDescent="0.2">
      <c r="B110" s="397" t="s">
        <v>41</v>
      </c>
      <c r="C110" s="52" t="s">
        <v>392</v>
      </c>
      <c r="D110" s="52" t="s">
        <v>112</v>
      </c>
      <c r="E110" s="97" t="s">
        <v>225</v>
      </c>
      <c r="F110" s="100">
        <v>56.25</v>
      </c>
      <c r="G110" s="100">
        <v>70</v>
      </c>
      <c r="H110" s="20">
        <f t="shared" si="46"/>
        <v>0.8035714285714286</v>
      </c>
      <c r="I110" s="97" t="s">
        <v>225</v>
      </c>
      <c r="J110" s="15">
        <v>52</v>
      </c>
      <c r="K110" s="15">
        <v>70</v>
      </c>
      <c r="L110" s="20">
        <f t="shared" si="47"/>
        <v>0.74285714285714288</v>
      </c>
      <c r="M110" s="12" t="s">
        <v>470</v>
      </c>
      <c r="N110" s="15">
        <v>49500</v>
      </c>
      <c r="O110" s="15">
        <f t="shared" ref="O110:O113" si="51">N110</f>
        <v>49500</v>
      </c>
      <c r="P110" s="15">
        <v>0</v>
      </c>
      <c r="Q110" s="2"/>
    </row>
    <row r="111" spans="2:17" ht="14.5" customHeight="1" x14ac:dyDescent="0.2">
      <c r="B111" s="397"/>
      <c r="C111" s="52" t="s">
        <v>393</v>
      </c>
      <c r="D111" s="52" t="s">
        <v>394</v>
      </c>
      <c r="E111" s="97" t="s">
        <v>225</v>
      </c>
      <c r="F111" s="100">
        <v>39</v>
      </c>
      <c r="G111" s="100">
        <v>70</v>
      </c>
      <c r="H111" s="20">
        <f t="shared" si="46"/>
        <v>0.55714285714285716</v>
      </c>
      <c r="I111" s="97" t="s">
        <v>225</v>
      </c>
      <c r="J111" s="15">
        <v>30</v>
      </c>
      <c r="K111" s="15">
        <v>55</v>
      </c>
      <c r="L111" s="20">
        <f t="shared" si="47"/>
        <v>0.54545454545454541</v>
      </c>
      <c r="M111" s="12" t="s">
        <v>470</v>
      </c>
      <c r="N111" s="15">
        <v>0</v>
      </c>
      <c r="O111" s="15">
        <f t="shared" si="51"/>
        <v>0</v>
      </c>
      <c r="P111" s="15">
        <v>0</v>
      </c>
      <c r="Q111" s="2"/>
    </row>
    <row r="112" spans="2:17" ht="14.5" customHeight="1" x14ac:dyDescent="0.2">
      <c r="B112" s="397"/>
      <c r="C112" s="52" t="s">
        <v>395</v>
      </c>
      <c r="D112" s="52" t="s">
        <v>113</v>
      </c>
      <c r="E112" s="97" t="s">
        <v>225</v>
      </c>
      <c r="F112" s="100">
        <v>77.5</v>
      </c>
      <c r="G112" s="100">
        <v>80</v>
      </c>
      <c r="H112" s="20">
        <f t="shared" si="46"/>
        <v>0.96875</v>
      </c>
      <c r="I112" s="97" t="s">
        <v>225</v>
      </c>
      <c r="J112" s="15">
        <v>60</v>
      </c>
      <c r="K112" s="15">
        <v>80</v>
      </c>
      <c r="L112" s="20">
        <f t="shared" si="47"/>
        <v>0.75</v>
      </c>
      <c r="M112" s="12" t="s">
        <v>470</v>
      </c>
      <c r="N112" s="15">
        <v>66000</v>
      </c>
      <c r="O112" s="15">
        <f t="shared" si="51"/>
        <v>66000</v>
      </c>
      <c r="P112" s="15">
        <v>0</v>
      </c>
      <c r="Q112" s="2"/>
    </row>
    <row r="113" spans="2:17" ht="14.5" customHeight="1" x14ac:dyDescent="0.2">
      <c r="B113" s="397"/>
      <c r="C113" s="52" t="s">
        <v>396</v>
      </c>
      <c r="D113" s="52" t="s">
        <v>253</v>
      </c>
      <c r="E113" s="97" t="s">
        <v>225</v>
      </c>
      <c r="F113" s="100">
        <v>51.916666666666664</v>
      </c>
      <c r="G113" s="100">
        <v>80</v>
      </c>
      <c r="H113" s="20">
        <f t="shared" si="46"/>
        <v>0.6489583333333333</v>
      </c>
      <c r="I113" s="97" t="s">
        <v>225</v>
      </c>
      <c r="J113" s="15">
        <v>53</v>
      </c>
      <c r="K113" s="15">
        <v>80</v>
      </c>
      <c r="L113" s="20">
        <f t="shared" si="47"/>
        <v>0.66249999999999998</v>
      </c>
      <c r="M113" s="12" t="s">
        <v>470</v>
      </c>
      <c r="N113" s="15">
        <v>0</v>
      </c>
      <c r="O113" s="15">
        <f t="shared" si="51"/>
        <v>0</v>
      </c>
      <c r="P113" s="15">
        <v>0</v>
      </c>
      <c r="Q113" s="2"/>
    </row>
    <row r="114" spans="2:17" ht="14.5" customHeight="1" x14ac:dyDescent="0.2">
      <c r="B114" s="397"/>
      <c r="C114" s="78"/>
      <c r="D114" s="78" t="s">
        <v>316</v>
      </c>
      <c r="E114" s="78"/>
      <c r="F114" s="68">
        <f>SUM(F110:F113)</f>
        <v>224.66666666666666</v>
      </c>
      <c r="G114" s="68">
        <f>SUM(G110:G113)</f>
        <v>300</v>
      </c>
      <c r="H114" s="66">
        <f t="shared" si="46"/>
        <v>0.74888888888888883</v>
      </c>
      <c r="I114" s="78"/>
      <c r="J114" s="65">
        <f>SUM(J110:J113)</f>
        <v>195</v>
      </c>
      <c r="K114" s="65">
        <f>SUM(K110:K113)</f>
        <v>285</v>
      </c>
      <c r="L114" s="66">
        <f t="shared" si="47"/>
        <v>0.68421052631578949</v>
      </c>
      <c r="M114" s="64" t="s">
        <v>20</v>
      </c>
      <c r="N114" s="63">
        <v>30000</v>
      </c>
      <c r="O114" s="63">
        <f>N114</f>
        <v>30000</v>
      </c>
      <c r="P114" s="63">
        <v>0</v>
      </c>
      <c r="Q114" s="2"/>
    </row>
    <row r="115" spans="2:17" ht="14.5" customHeight="1" x14ac:dyDescent="0.2">
      <c r="B115" s="397"/>
      <c r="C115" s="71"/>
      <c r="D115" s="71" t="s">
        <v>42</v>
      </c>
      <c r="E115" s="104"/>
      <c r="F115" s="28">
        <f>SUM(F114)</f>
        <v>224.66666666666666</v>
      </c>
      <c r="G115" s="28">
        <f>SUM(G114)</f>
        <v>300</v>
      </c>
      <c r="H115" s="27">
        <f t="shared" si="46"/>
        <v>0.74888888888888883</v>
      </c>
      <c r="I115" s="104"/>
      <c r="J115" s="22">
        <f>SUM(J114)</f>
        <v>195</v>
      </c>
      <c r="K115" s="22">
        <f>SUM(K114)</f>
        <v>285</v>
      </c>
      <c r="L115" s="27">
        <f t="shared" si="47"/>
        <v>0.68421052631578949</v>
      </c>
      <c r="M115" s="42"/>
      <c r="N115" s="23">
        <f>SUM(N110:N114)</f>
        <v>145500</v>
      </c>
      <c r="O115" s="23">
        <f t="shared" ref="O115:P115" si="52">SUM(O110:O114)</f>
        <v>145500</v>
      </c>
      <c r="P115" s="23">
        <f t="shared" si="52"/>
        <v>0</v>
      </c>
      <c r="Q115" s="2"/>
    </row>
    <row r="116" spans="2:17" ht="14.5" customHeight="1" x14ac:dyDescent="0.2">
      <c r="B116" s="397" t="s">
        <v>43</v>
      </c>
      <c r="C116" s="52" t="s">
        <v>397</v>
      </c>
      <c r="D116" s="52" t="s">
        <v>114</v>
      </c>
      <c r="E116" s="97" t="s">
        <v>225</v>
      </c>
      <c r="F116" s="100">
        <v>95</v>
      </c>
      <c r="G116" s="100">
        <v>110</v>
      </c>
      <c r="H116" s="20">
        <f t="shared" si="46"/>
        <v>0.86363636363636365</v>
      </c>
      <c r="I116" s="97" t="s">
        <v>225</v>
      </c>
      <c r="J116" s="15">
        <v>30</v>
      </c>
      <c r="K116" s="15">
        <v>55</v>
      </c>
      <c r="L116" s="20">
        <f t="shared" si="47"/>
        <v>0.54545454545454541</v>
      </c>
      <c r="M116" s="12" t="s">
        <v>470</v>
      </c>
      <c r="N116" s="15">
        <v>33000</v>
      </c>
      <c r="O116" s="15">
        <f t="shared" ref="O116:O117" si="53">N116</f>
        <v>33000</v>
      </c>
      <c r="P116" s="15">
        <v>0</v>
      </c>
      <c r="Q116" s="2"/>
    </row>
    <row r="117" spans="2:17" ht="14.5" customHeight="1" x14ac:dyDescent="0.2">
      <c r="B117" s="397"/>
      <c r="C117" s="52" t="s">
        <v>398</v>
      </c>
      <c r="D117" s="52" t="s">
        <v>341</v>
      </c>
      <c r="E117" s="97" t="s">
        <v>225</v>
      </c>
      <c r="F117" s="100">
        <v>111</v>
      </c>
      <c r="G117" s="100">
        <v>110</v>
      </c>
      <c r="H117" s="20">
        <f t="shared" si="46"/>
        <v>1.009090909090909</v>
      </c>
      <c r="I117" s="97" t="s">
        <v>225</v>
      </c>
      <c r="J117" s="15">
        <v>15</v>
      </c>
      <c r="K117" s="15">
        <v>35</v>
      </c>
      <c r="L117" s="20">
        <f t="shared" si="47"/>
        <v>0.42857142857142855</v>
      </c>
      <c r="M117" s="12" t="s">
        <v>470</v>
      </c>
      <c r="N117" s="15">
        <v>66000</v>
      </c>
      <c r="O117" s="15">
        <f t="shared" si="53"/>
        <v>66000</v>
      </c>
      <c r="P117" s="15">
        <v>0</v>
      </c>
      <c r="Q117" s="2"/>
    </row>
    <row r="118" spans="2:17" ht="14.5" customHeight="1" x14ac:dyDescent="0.2">
      <c r="B118" s="397"/>
      <c r="C118" s="52" t="s">
        <v>399</v>
      </c>
      <c r="D118" s="52" t="s">
        <v>321</v>
      </c>
      <c r="E118" s="97" t="s">
        <v>225</v>
      </c>
      <c r="F118" s="100">
        <v>248.91666666666677</v>
      </c>
      <c r="G118" s="100">
        <v>190</v>
      </c>
      <c r="H118" s="20">
        <f t="shared" si="46"/>
        <v>1.3100877192982461</v>
      </c>
      <c r="I118" s="97" t="s">
        <v>225</v>
      </c>
      <c r="J118" s="15">
        <v>73</v>
      </c>
      <c r="K118" s="15">
        <v>105</v>
      </c>
      <c r="L118" s="20">
        <f t="shared" si="47"/>
        <v>0.69523809523809521</v>
      </c>
      <c r="M118" s="12" t="s">
        <v>18</v>
      </c>
      <c r="N118" s="15">
        <v>112500</v>
      </c>
      <c r="O118" s="15">
        <f t="shared" ref="O118" si="54">N118*70%</f>
        <v>78750</v>
      </c>
      <c r="P118" s="15">
        <f t="shared" ref="P118" si="55">N118*30%</f>
        <v>33750</v>
      </c>
      <c r="Q118" s="2"/>
    </row>
    <row r="119" spans="2:17" ht="14.5" customHeight="1" x14ac:dyDescent="0.2">
      <c r="B119" s="397"/>
      <c r="C119" s="52" t="s">
        <v>400</v>
      </c>
      <c r="D119" s="52" t="s">
        <v>322</v>
      </c>
      <c r="E119" s="97" t="s">
        <v>225</v>
      </c>
      <c r="F119" s="100">
        <v>178.41666666666674</v>
      </c>
      <c r="G119" s="100">
        <v>170</v>
      </c>
      <c r="H119" s="20">
        <f t="shared" ref="H119" si="56">F119/G119*100%</f>
        <v>1.0495098039215691</v>
      </c>
      <c r="I119" s="97" t="s">
        <v>225</v>
      </c>
      <c r="J119" s="15">
        <v>45</v>
      </c>
      <c r="K119" s="15">
        <v>105</v>
      </c>
      <c r="L119" s="20">
        <f t="shared" ref="L119" si="57">J119/K119*100%</f>
        <v>0.42857142857142855</v>
      </c>
      <c r="M119" s="12" t="s">
        <v>18</v>
      </c>
      <c r="N119" s="15">
        <v>90000</v>
      </c>
      <c r="O119" s="15">
        <f t="shared" ref="O119" si="58">N119*70%</f>
        <v>62999.999999999993</v>
      </c>
      <c r="P119" s="15">
        <f t="shared" ref="P119" si="59">N119*30%</f>
        <v>27000</v>
      </c>
      <c r="Q119" s="2"/>
    </row>
    <row r="120" spans="2:17" ht="14.5" customHeight="1" x14ac:dyDescent="0.2">
      <c r="B120" s="397"/>
      <c r="C120" s="117"/>
      <c r="D120" s="117" t="s">
        <v>474</v>
      </c>
      <c r="E120" s="122"/>
      <c r="F120" s="174"/>
      <c r="G120" s="174"/>
      <c r="H120" s="122"/>
      <c r="I120" s="122"/>
      <c r="J120" s="170"/>
      <c r="K120" s="170"/>
      <c r="L120" s="122"/>
      <c r="M120" s="122"/>
      <c r="N120" s="170"/>
      <c r="O120" s="170"/>
      <c r="P120" s="170"/>
      <c r="Q120" s="2"/>
    </row>
    <row r="121" spans="2:17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74"/>
      <c r="H121" s="122"/>
      <c r="I121" s="122"/>
      <c r="J121" s="170"/>
      <c r="K121" s="170"/>
      <c r="L121" s="122"/>
      <c r="M121" s="122"/>
      <c r="N121" s="170"/>
      <c r="O121" s="170"/>
      <c r="P121" s="170"/>
    </row>
    <row r="122" spans="2:17" s="21" customFormat="1" ht="14.5" customHeight="1" x14ac:dyDescent="0.2">
      <c r="B122" s="418"/>
      <c r="C122" s="117"/>
      <c r="D122" s="117" t="s">
        <v>838</v>
      </c>
      <c r="E122" s="122"/>
      <c r="F122" s="174"/>
      <c r="G122" s="174"/>
      <c r="H122" s="122"/>
      <c r="I122" s="122"/>
      <c r="J122" s="170"/>
      <c r="K122" s="170"/>
      <c r="L122" s="122"/>
      <c r="M122" s="122"/>
      <c r="N122" s="170"/>
      <c r="O122" s="170"/>
      <c r="P122" s="170"/>
    </row>
    <row r="123" spans="2:17" s="21" customFormat="1" ht="14.5" customHeight="1" x14ac:dyDescent="0.2">
      <c r="B123" s="418"/>
      <c r="C123" s="117"/>
      <c r="D123" s="117" t="s">
        <v>839</v>
      </c>
      <c r="E123" s="122"/>
      <c r="F123" s="174"/>
      <c r="G123" s="174"/>
      <c r="H123" s="122"/>
      <c r="I123" s="122"/>
      <c r="J123" s="170"/>
      <c r="K123" s="170"/>
      <c r="L123" s="122"/>
      <c r="M123" s="122"/>
      <c r="N123" s="170"/>
      <c r="O123" s="170"/>
      <c r="P123" s="170"/>
    </row>
    <row r="124" spans="2:17" s="21" customFormat="1" ht="14.5" customHeight="1" x14ac:dyDescent="0.2">
      <c r="B124" s="418"/>
      <c r="C124" s="117"/>
      <c r="D124" s="117" t="s">
        <v>893</v>
      </c>
      <c r="E124" s="122"/>
      <c r="F124" s="174"/>
      <c r="G124" s="174"/>
      <c r="H124" s="122"/>
      <c r="I124" s="122"/>
      <c r="J124" s="170"/>
      <c r="K124" s="170"/>
      <c r="L124" s="122"/>
      <c r="M124" s="122"/>
      <c r="N124" s="170"/>
      <c r="O124" s="170">
        <f t="shared" ref="O124" si="60">N124</f>
        <v>0</v>
      </c>
      <c r="P124" s="170">
        <v>0</v>
      </c>
    </row>
    <row r="125" spans="2:17" s="21" customFormat="1" ht="14.5" customHeight="1" x14ac:dyDescent="0.2">
      <c r="B125" s="418"/>
      <c r="C125" s="117"/>
      <c r="D125" s="117" t="s">
        <v>840</v>
      </c>
      <c r="E125" s="122"/>
      <c r="F125" s="174"/>
      <c r="G125" s="174"/>
      <c r="H125" s="122"/>
      <c r="I125" s="122"/>
      <c r="J125" s="170"/>
      <c r="K125" s="170"/>
      <c r="L125" s="122"/>
      <c r="M125" s="122"/>
      <c r="N125" s="170"/>
      <c r="O125" s="170"/>
      <c r="P125" s="170"/>
    </row>
    <row r="126" spans="2:17" s="21" customFormat="1" ht="14.5" customHeight="1" x14ac:dyDescent="0.2">
      <c r="B126" s="418"/>
      <c r="C126" s="117"/>
      <c r="D126" s="117" t="s">
        <v>841</v>
      </c>
      <c r="E126" s="122"/>
      <c r="F126" s="174"/>
      <c r="G126" s="174"/>
      <c r="H126" s="122"/>
      <c r="I126" s="122"/>
      <c r="J126" s="170"/>
      <c r="K126" s="170"/>
      <c r="L126" s="122"/>
      <c r="M126" s="122"/>
      <c r="N126" s="170"/>
      <c r="O126" s="170"/>
      <c r="P126" s="170"/>
    </row>
    <row r="127" spans="2:17" ht="14.5" customHeight="1" x14ac:dyDescent="0.2">
      <c r="B127" s="418"/>
      <c r="C127" s="78"/>
      <c r="D127" s="78" t="s">
        <v>275</v>
      </c>
      <c r="E127" s="78"/>
      <c r="F127" s="68">
        <f>SUM(F116:F126)</f>
        <v>633.33333333333348</v>
      </c>
      <c r="G127" s="68">
        <f>SUM(G116:G126)</f>
        <v>580</v>
      </c>
      <c r="H127" s="66">
        <f t="shared" ref="H127" si="61">F127/G127*100%</f>
        <v>1.0919540229885061</v>
      </c>
      <c r="I127" s="78"/>
      <c r="J127" s="65">
        <f t="shared" ref="J127:K127" si="62">SUM(J116:J126)</f>
        <v>163</v>
      </c>
      <c r="K127" s="65">
        <f t="shared" si="62"/>
        <v>300</v>
      </c>
      <c r="L127" s="66">
        <f t="shared" ref="L127" si="63">J127/K127*100%</f>
        <v>0.54333333333333333</v>
      </c>
      <c r="M127" s="64" t="s">
        <v>20</v>
      </c>
      <c r="N127" s="63">
        <v>120000</v>
      </c>
      <c r="O127" s="63">
        <f>N127</f>
        <v>120000</v>
      </c>
      <c r="P127" s="65">
        <f t="shared" ref="P127" si="64">SUM(P116:P126)</f>
        <v>60750</v>
      </c>
      <c r="Q127" s="2"/>
    </row>
    <row r="128" spans="2:17" ht="14.5" customHeight="1" x14ac:dyDescent="0.2">
      <c r="B128" s="419"/>
      <c r="C128" s="71"/>
      <c r="D128" s="71" t="s">
        <v>964</v>
      </c>
      <c r="E128" s="104"/>
      <c r="F128" s="28">
        <f>SUM(F127)</f>
        <v>633.33333333333348</v>
      </c>
      <c r="G128" s="28">
        <f>SUM(G127)</f>
        <v>580</v>
      </c>
      <c r="H128" s="27">
        <f t="shared" si="46"/>
        <v>1.0919540229885061</v>
      </c>
      <c r="I128" s="104"/>
      <c r="J128" s="22">
        <f t="shared" ref="J128:K128" si="65">SUM(J127)</f>
        <v>163</v>
      </c>
      <c r="K128" s="22">
        <f t="shared" si="65"/>
        <v>300</v>
      </c>
      <c r="L128" s="27">
        <f t="shared" ref="L128" si="66">J128/K128*100%</f>
        <v>0.54333333333333333</v>
      </c>
      <c r="M128" s="42"/>
      <c r="N128" s="23">
        <f>SUM(N116:N127)</f>
        <v>421500</v>
      </c>
      <c r="O128" s="23">
        <f t="shared" ref="O128:P128" si="67">SUM(O116:O127)</f>
        <v>360750</v>
      </c>
      <c r="P128" s="23">
        <f t="shared" si="67"/>
        <v>121500</v>
      </c>
    </row>
    <row r="129" spans="2:17" ht="14.5" customHeight="1" x14ac:dyDescent="0.2">
      <c r="B129" s="422" t="s">
        <v>45</v>
      </c>
      <c r="C129" s="117"/>
      <c r="D129" s="117" t="s">
        <v>175</v>
      </c>
      <c r="E129" s="122"/>
      <c r="F129" s="174"/>
      <c r="G129" s="174"/>
      <c r="H129" s="122"/>
      <c r="I129" s="122"/>
      <c r="J129" s="170"/>
      <c r="K129" s="170"/>
      <c r="L129" s="122"/>
      <c r="M129" s="122"/>
      <c r="N129" s="170"/>
      <c r="O129" s="170"/>
      <c r="P129" s="170"/>
      <c r="Q129" s="2"/>
    </row>
    <row r="130" spans="2:17" ht="14.5" customHeight="1" x14ac:dyDescent="0.2">
      <c r="B130" s="422"/>
      <c r="C130" s="117" t="s">
        <v>401</v>
      </c>
      <c r="D130" s="117" t="s">
        <v>288</v>
      </c>
      <c r="E130" s="122"/>
      <c r="F130" s="174"/>
      <c r="G130" s="174"/>
      <c r="H130" s="122"/>
      <c r="I130" s="122"/>
      <c r="J130" s="170"/>
      <c r="K130" s="170"/>
      <c r="L130" s="122"/>
      <c r="M130" s="122"/>
      <c r="N130" s="170"/>
      <c r="O130" s="170">
        <f t="shared" ref="O130:O131" si="68">N130*70%</f>
        <v>0</v>
      </c>
      <c r="P130" s="170">
        <f t="shared" ref="P130:P131" si="69">N130*30%</f>
        <v>0</v>
      </c>
      <c r="Q130" s="2"/>
    </row>
    <row r="131" spans="2:17" ht="14.5" customHeight="1" x14ac:dyDescent="0.2">
      <c r="B131" s="422"/>
      <c r="C131" s="117" t="s">
        <v>402</v>
      </c>
      <c r="D131" s="117" t="s">
        <v>251</v>
      </c>
      <c r="E131" s="122"/>
      <c r="F131" s="174"/>
      <c r="G131" s="174"/>
      <c r="H131" s="122"/>
      <c r="I131" s="122"/>
      <c r="J131" s="170"/>
      <c r="K131" s="170"/>
      <c r="L131" s="122"/>
      <c r="M131" s="122"/>
      <c r="N131" s="170"/>
      <c r="O131" s="170">
        <f t="shared" si="68"/>
        <v>0</v>
      </c>
      <c r="P131" s="170">
        <f t="shared" si="69"/>
        <v>0</v>
      </c>
      <c r="Q131" s="2"/>
    </row>
    <row r="132" spans="2:17" ht="14.5" customHeight="1" x14ac:dyDescent="0.2">
      <c r="B132" s="422"/>
      <c r="C132" s="119"/>
      <c r="D132" s="119" t="s">
        <v>315</v>
      </c>
      <c r="E132" s="123"/>
      <c r="F132" s="175"/>
      <c r="G132" s="175"/>
      <c r="H132" s="123"/>
      <c r="I132" s="123"/>
      <c r="J132" s="189"/>
      <c r="K132" s="189"/>
      <c r="L132" s="123"/>
      <c r="M132" s="123"/>
      <c r="N132" s="189"/>
      <c r="O132" s="189">
        <f>N132</f>
        <v>0</v>
      </c>
      <c r="P132" s="189">
        <v>0</v>
      </c>
      <c r="Q132" s="2"/>
    </row>
    <row r="133" spans="2:17" ht="14.5" customHeight="1" x14ac:dyDescent="0.2">
      <c r="B133" s="422"/>
      <c r="C133" s="127"/>
      <c r="D133" s="127" t="s">
        <v>46</v>
      </c>
      <c r="E133" s="124"/>
      <c r="F133" s="176"/>
      <c r="G133" s="176"/>
      <c r="H133" s="124"/>
      <c r="I133" s="124"/>
      <c r="J133" s="190"/>
      <c r="K133" s="190"/>
      <c r="L133" s="124"/>
      <c r="M133" s="124"/>
      <c r="N133" s="190"/>
      <c r="O133" s="190">
        <f t="shared" ref="O133:P133" si="70">SUM(O129:O132)</f>
        <v>0</v>
      </c>
      <c r="P133" s="190">
        <f t="shared" si="70"/>
        <v>0</v>
      </c>
      <c r="Q133" s="2"/>
    </row>
    <row r="134" spans="2:17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74"/>
      <c r="H134" s="122"/>
      <c r="I134" s="122"/>
      <c r="J134" s="170"/>
      <c r="K134" s="170"/>
      <c r="L134" s="122"/>
      <c r="M134" s="122"/>
      <c r="N134" s="170"/>
      <c r="O134" s="170">
        <f t="shared" ref="O134:O145" si="71">N134</f>
        <v>0</v>
      </c>
      <c r="P134" s="170">
        <v>0</v>
      </c>
    </row>
    <row r="135" spans="2:17" s="21" customFormat="1" ht="14.5" customHeight="1" x14ac:dyDescent="0.2">
      <c r="B135" s="418"/>
      <c r="C135" s="117"/>
      <c r="D135" s="117" t="s">
        <v>526</v>
      </c>
      <c r="E135" s="122"/>
      <c r="F135" s="174"/>
      <c r="G135" s="174"/>
      <c r="H135" s="122"/>
      <c r="I135" s="122"/>
      <c r="J135" s="170"/>
      <c r="K135" s="170"/>
      <c r="L135" s="122"/>
      <c r="M135" s="122"/>
      <c r="N135" s="170"/>
      <c r="O135" s="170">
        <f t="shared" si="71"/>
        <v>0</v>
      </c>
      <c r="P135" s="170">
        <v>0</v>
      </c>
    </row>
    <row r="136" spans="2:17" s="21" customFormat="1" ht="14.5" customHeight="1" x14ac:dyDescent="0.2">
      <c r="B136" s="418"/>
      <c r="C136" s="117"/>
      <c r="D136" s="117" t="s">
        <v>616</v>
      </c>
      <c r="E136" s="122"/>
      <c r="F136" s="174"/>
      <c r="G136" s="174"/>
      <c r="H136" s="122"/>
      <c r="I136" s="122"/>
      <c r="J136" s="170"/>
      <c r="K136" s="170"/>
      <c r="L136" s="122"/>
      <c r="M136" s="122"/>
      <c r="N136" s="170"/>
      <c r="O136" s="170">
        <f t="shared" si="71"/>
        <v>0</v>
      </c>
      <c r="P136" s="170">
        <v>0</v>
      </c>
    </row>
    <row r="137" spans="2:17" s="21" customFormat="1" ht="14.5" customHeight="1" x14ac:dyDescent="0.2">
      <c r="B137" s="418"/>
      <c r="C137" s="117"/>
      <c r="D137" s="117" t="s">
        <v>499</v>
      </c>
      <c r="E137" s="122"/>
      <c r="F137" s="174"/>
      <c r="G137" s="174"/>
      <c r="H137" s="122"/>
      <c r="I137" s="122"/>
      <c r="J137" s="170"/>
      <c r="K137" s="170"/>
      <c r="L137" s="122"/>
      <c r="M137" s="122"/>
      <c r="N137" s="170"/>
      <c r="O137" s="170">
        <f t="shared" si="71"/>
        <v>0</v>
      </c>
      <c r="P137" s="170">
        <v>0</v>
      </c>
    </row>
    <row r="138" spans="2:17" s="21" customFormat="1" ht="14.5" customHeight="1" x14ac:dyDescent="0.2">
      <c r="B138" s="418"/>
      <c r="C138" s="117"/>
      <c r="D138" s="117" t="s">
        <v>527</v>
      </c>
      <c r="E138" s="122"/>
      <c r="F138" s="174"/>
      <c r="G138" s="174"/>
      <c r="H138" s="122"/>
      <c r="I138" s="122"/>
      <c r="J138" s="170"/>
      <c r="K138" s="170"/>
      <c r="L138" s="122"/>
      <c r="M138" s="122"/>
      <c r="N138" s="170"/>
      <c r="O138" s="170">
        <f t="shared" si="71"/>
        <v>0</v>
      </c>
      <c r="P138" s="170">
        <v>0</v>
      </c>
    </row>
    <row r="139" spans="2:17" s="21" customFormat="1" ht="14.5" customHeight="1" x14ac:dyDescent="0.2">
      <c r="B139" s="418"/>
      <c r="C139" s="117"/>
      <c r="D139" s="117" t="s">
        <v>528</v>
      </c>
      <c r="E139" s="122"/>
      <c r="F139" s="174"/>
      <c r="G139" s="174"/>
      <c r="H139" s="122"/>
      <c r="I139" s="122"/>
      <c r="J139" s="170"/>
      <c r="K139" s="170"/>
      <c r="L139" s="122"/>
      <c r="M139" s="122"/>
      <c r="N139" s="170"/>
      <c r="O139" s="170">
        <f t="shared" si="71"/>
        <v>0</v>
      </c>
      <c r="P139" s="170">
        <v>0</v>
      </c>
    </row>
    <row r="140" spans="2:17" s="21" customFormat="1" ht="14.5" customHeight="1" x14ac:dyDescent="0.2">
      <c r="B140" s="418"/>
      <c r="C140" s="117"/>
      <c r="D140" s="117" t="s">
        <v>789</v>
      </c>
      <c r="E140" s="122"/>
      <c r="F140" s="174"/>
      <c r="G140" s="174"/>
      <c r="H140" s="122"/>
      <c r="I140" s="122"/>
      <c r="J140" s="170"/>
      <c r="K140" s="170"/>
      <c r="L140" s="122"/>
      <c r="M140" s="122"/>
      <c r="N140" s="170"/>
      <c r="O140" s="170">
        <f t="shared" si="71"/>
        <v>0</v>
      </c>
      <c r="P140" s="170">
        <v>0</v>
      </c>
    </row>
    <row r="141" spans="2:17" s="21" customFormat="1" ht="14.5" customHeight="1" x14ac:dyDescent="0.2">
      <c r="B141" s="418"/>
      <c r="C141" s="117"/>
      <c r="D141" s="117" t="s">
        <v>835</v>
      </c>
      <c r="E141" s="122"/>
      <c r="F141" s="174"/>
      <c r="G141" s="174"/>
      <c r="H141" s="122"/>
      <c r="I141" s="122"/>
      <c r="J141" s="170"/>
      <c r="K141" s="170"/>
      <c r="L141" s="122"/>
      <c r="M141" s="122"/>
      <c r="N141" s="170"/>
      <c r="O141" s="170">
        <f t="shared" si="71"/>
        <v>0</v>
      </c>
      <c r="P141" s="170">
        <v>0</v>
      </c>
    </row>
    <row r="142" spans="2:17" s="21" customFormat="1" ht="14.5" customHeight="1" x14ac:dyDescent="0.2">
      <c r="B142" s="418"/>
      <c r="C142" s="117"/>
      <c r="D142" s="117" t="s">
        <v>529</v>
      </c>
      <c r="E142" s="122"/>
      <c r="F142" s="174"/>
      <c r="G142" s="174"/>
      <c r="H142" s="122"/>
      <c r="I142" s="122"/>
      <c r="J142" s="170"/>
      <c r="K142" s="170"/>
      <c r="L142" s="122"/>
      <c r="M142" s="122"/>
      <c r="N142" s="170"/>
      <c r="O142" s="170">
        <f t="shared" si="71"/>
        <v>0</v>
      </c>
      <c r="P142" s="170">
        <v>0</v>
      </c>
    </row>
    <row r="143" spans="2:17" s="21" customFormat="1" ht="14.5" customHeight="1" x14ac:dyDescent="0.2">
      <c r="B143" s="418"/>
      <c r="C143" s="117"/>
      <c r="D143" s="117" t="s">
        <v>530</v>
      </c>
      <c r="E143" s="122"/>
      <c r="F143" s="174"/>
      <c r="G143" s="174"/>
      <c r="H143" s="122"/>
      <c r="I143" s="122"/>
      <c r="J143" s="170"/>
      <c r="K143" s="170"/>
      <c r="L143" s="122"/>
      <c r="M143" s="122"/>
      <c r="N143" s="170"/>
      <c r="O143" s="170">
        <f t="shared" si="71"/>
        <v>0</v>
      </c>
      <c r="P143" s="170">
        <v>0</v>
      </c>
    </row>
    <row r="144" spans="2:17" s="21" customFormat="1" ht="14.5" customHeight="1" x14ac:dyDescent="0.2">
      <c r="B144" s="418"/>
      <c r="C144" s="117"/>
      <c r="D144" s="117" t="s">
        <v>531</v>
      </c>
      <c r="E144" s="122"/>
      <c r="F144" s="174"/>
      <c r="G144" s="174"/>
      <c r="H144" s="122"/>
      <c r="I144" s="122"/>
      <c r="J144" s="170"/>
      <c r="K144" s="170"/>
      <c r="L144" s="122"/>
      <c r="M144" s="122"/>
      <c r="N144" s="170"/>
      <c r="O144" s="170">
        <f t="shared" si="71"/>
        <v>0</v>
      </c>
      <c r="P144" s="170">
        <v>0</v>
      </c>
    </row>
    <row r="145" spans="2:17" ht="14.5" customHeight="1" x14ac:dyDescent="0.2">
      <c r="B145" s="418"/>
      <c r="C145" s="119"/>
      <c r="D145" s="119" t="s">
        <v>74</v>
      </c>
      <c r="E145" s="123"/>
      <c r="F145" s="175"/>
      <c r="G145" s="175"/>
      <c r="H145" s="123"/>
      <c r="I145" s="123"/>
      <c r="J145" s="189"/>
      <c r="K145" s="189"/>
      <c r="L145" s="123"/>
      <c r="M145" s="123"/>
      <c r="N145" s="189"/>
      <c r="O145" s="189">
        <f t="shared" si="71"/>
        <v>0</v>
      </c>
      <c r="P145" s="189">
        <v>0</v>
      </c>
    </row>
    <row r="146" spans="2:17" ht="14.5" customHeight="1" x14ac:dyDescent="0.2">
      <c r="B146" s="419"/>
      <c r="C146" s="127"/>
      <c r="D146" s="127" t="s">
        <v>48</v>
      </c>
      <c r="E146" s="124"/>
      <c r="F146" s="176"/>
      <c r="G146" s="176"/>
      <c r="H146" s="124"/>
      <c r="I146" s="124"/>
      <c r="J146" s="190"/>
      <c r="K146" s="190"/>
      <c r="L146" s="124"/>
      <c r="M146" s="124"/>
      <c r="N146" s="190"/>
      <c r="O146" s="190">
        <f>SUM(O134:O145)</f>
        <v>0</v>
      </c>
      <c r="P146" s="190">
        <f>SUM(P134:P145)</f>
        <v>0</v>
      </c>
    </row>
    <row r="147" spans="2:17" s="21" customFormat="1" ht="14.5" customHeight="1" x14ac:dyDescent="0.2">
      <c r="B147" s="144"/>
      <c r="C147" s="126"/>
      <c r="D147" s="126" t="s">
        <v>49</v>
      </c>
      <c r="E147" s="145"/>
      <c r="F147" s="146">
        <f>SUM(F146,F133,F128,F115,F109)</f>
        <v>1747.7500000033333</v>
      </c>
      <c r="G147" s="146">
        <f>SUM(G146,G133,G128,G115,G109)</f>
        <v>1780</v>
      </c>
      <c r="H147" s="147">
        <f t="shared" si="46"/>
        <v>0.98188202247378276</v>
      </c>
      <c r="I147" s="145"/>
      <c r="J147" s="148">
        <f>SUM(J146,J133,J128,J115,J109)</f>
        <v>499</v>
      </c>
      <c r="K147" s="148">
        <f>SUM(K146,K133,K128,K115,K109)</f>
        <v>835</v>
      </c>
      <c r="L147" s="147">
        <f t="shared" si="47"/>
        <v>0.5976047904191617</v>
      </c>
      <c r="M147" s="154"/>
      <c r="N147" s="148">
        <f>SUM(N146,N133,N128,N115,N109)</f>
        <v>808500</v>
      </c>
      <c r="O147" s="148">
        <f>SUM(O146,O133,O128,O115,O109)</f>
        <v>700500</v>
      </c>
      <c r="P147" s="148">
        <f>SUM(P146,P133,P128,P115,P109)</f>
        <v>168750</v>
      </c>
      <c r="Q147" s="37"/>
    </row>
    <row r="153" spans="2:17" ht="14.5" customHeight="1" x14ac:dyDescent="0.2">
      <c r="B153" s="4" t="s">
        <v>121</v>
      </c>
      <c r="C153" s="5"/>
      <c r="D153" s="5"/>
      <c r="E153" s="105"/>
      <c r="F153" s="98"/>
      <c r="G153" s="98"/>
      <c r="I153" s="105"/>
      <c r="J153" s="33"/>
      <c r="K153" s="33"/>
    </row>
    <row r="154" spans="2:17" ht="14.5" customHeight="1" x14ac:dyDescent="0.2">
      <c r="B154" s="8"/>
      <c r="C154" s="8"/>
      <c r="D154" s="8"/>
      <c r="E154" s="106"/>
      <c r="F154" s="99"/>
      <c r="G154" s="99"/>
      <c r="I154" s="106"/>
      <c r="J154" s="35"/>
      <c r="K154" s="35"/>
    </row>
    <row r="155" spans="2:17" ht="14.5" customHeight="1" x14ac:dyDescent="0.2">
      <c r="B155" s="388" t="s">
        <v>0</v>
      </c>
      <c r="C155" s="388" t="s">
        <v>270</v>
      </c>
      <c r="D155" s="388" t="s">
        <v>2</v>
      </c>
      <c r="E155" s="420" t="s">
        <v>410</v>
      </c>
      <c r="F155" s="420"/>
      <c r="G155" s="420"/>
      <c r="H155" s="417" t="s">
        <v>56</v>
      </c>
      <c r="I155" s="420" t="s">
        <v>411</v>
      </c>
      <c r="J155" s="420"/>
      <c r="K155" s="420"/>
      <c r="L155" s="417" t="s">
        <v>56</v>
      </c>
      <c r="M155" s="394" t="s">
        <v>3</v>
      </c>
      <c r="N155" s="398" t="s">
        <v>412</v>
      </c>
      <c r="O155" s="398" t="s">
        <v>8</v>
      </c>
      <c r="P155" s="398" t="s">
        <v>75</v>
      </c>
    </row>
    <row r="156" spans="2:17" ht="14.5" customHeight="1" x14ac:dyDescent="0.2">
      <c r="B156" s="388"/>
      <c r="C156" s="388"/>
      <c r="D156" s="388"/>
      <c r="E156" s="9"/>
      <c r="F156" s="91" t="s">
        <v>77</v>
      </c>
      <c r="G156" s="90" t="s">
        <v>58</v>
      </c>
      <c r="H156" s="417"/>
      <c r="I156" s="9"/>
      <c r="J156" s="36" t="s">
        <v>77</v>
      </c>
      <c r="K156" s="54" t="s">
        <v>58</v>
      </c>
      <c r="L156" s="417"/>
      <c r="M156" s="394"/>
      <c r="N156" s="398"/>
      <c r="O156" s="398"/>
      <c r="P156" s="398"/>
    </row>
    <row r="157" spans="2:17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74"/>
      <c r="H157" s="122"/>
      <c r="I157" s="122"/>
      <c r="J157" s="170"/>
      <c r="K157" s="170"/>
      <c r="L157" s="122"/>
      <c r="M157" s="122"/>
      <c r="N157" s="170"/>
      <c r="O157" s="170"/>
      <c r="P157" s="170"/>
    </row>
    <row r="158" spans="2:17" ht="14.5" customHeight="1" x14ac:dyDescent="0.2">
      <c r="B158" s="418"/>
      <c r="C158" s="117"/>
      <c r="D158" s="117" t="s">
        <v>800</v>
      </c>
      <c r="E158" s="122"/>
      <c r="F158" s="174"/>
      <c r="G158" s="174"/>
      <c r="H158" s="122"/>
      <c r="I158" s="122"/>
      <c r="J158" s="170"/>
      <c r="K158" s="170"/>
      <c r="L158" s="122"/>
      <c r="M158" s="122"/>
      <c r="N158" s="170"/>
      <c r="O158" s="170"/>
      <c r="P158" s="170"/>
    </row>
    <row r="159" spans="2:17" ht="14.5" customHeight="1" x14ac:dyDescent="0.2">
      <c r="B159" s="418"/>
      <c r="C159" s="117"/>
      <c r="D159" s="117" t="s">
        <v>532</v>
      </c>
      <c r="E159" s="122"/>
      <c r="F159" s="174"/>
      <c r="G159" s="174"/>
      <c r="H159" s="122"/>
      <c r="I159" s="122"/>
      <c r="J159" s="170"/>
      <c r="K159" s="170"/>
      <c r="L159" s="122"/>
      <c r="M159" s="122"/>
      <c r="N159" s="170"/>
      <c r="O159" s="170"/>
      <c r="P159" s="170"/>
    </row>
    <row r="160" spans="2:17" ht="14.5" customHeight="1" x14ac:dyDescent="0.2">
      <c r="B160" s="418"/>
      <c r="C160" s="117"/>
      <c r="D160" s="117" t="s">
        <v>535</v>
      </c>
      <c r="E160" s="122"/>
      <c r="F160" s="174"/>
      <c r="G160" s="174"/>
      <c r="H160" s="122"/>
      <c r="I160" s="122"/>
      <c r="J160" s="170"/>
      <c r="K160" s="170"/>
      <c r="L160" s="122"/>
      <c r="M160" s="122"/>
      <c r="N160" s="170"/>
      <c r="O160" s="170"/>
      <c r="P160" s="170"/>
    </row>
    <row r="161" spans="2:16" ht="14.5" customHeight="1" x14ac:dyDescent="0.2">
      <c r="B161" s="418"/>
      <c r="C161" s="117"/>
      <c r="D161" s="117" t="s">
        <v>533</v>
      </c>
      <c r="E161" s="122"/>
      <c r="F161" s="174"/>
      <c r="G161" s="174"/>
      <c r="H161" s="122"/>
      <c r="I161" s="122"/>
      <c r="J161" s="170"/>
      <c r="K161" s="170"/>
      <c r="L161" s="122"/>
      <c r="M161" s="122"/>
      <c r="N161" s="170"/>
      <c r="O161" s="170"/>
      <c r="P161" s="170"/>
    </row>
    <row r="162" spans="2:16" ht="14.5" customHeight="1" x14ac:dyDescent="0.2">
      <c r="B162" s="418"/>
      <c r="C162" s="117"/>
      <c r="D162" s="117" t="s">
        <v>534</v>
      </c>
      <c r="E162" s="122"/>
      <c r="F162" s="174"/>
      <c r="G162" s="174"/>
      <c r="H162" s="122"/>
      <c r="I162" s="122"/>
      <c r="J162" s="170"/>
      <c r="K162" s="170"/>
      <c r="L162" s="122"/>
      <c r="M162" s="122"/>
      <c r="N162" s="170"/>
      <c r="O162" s="170"/>
      <c r="P162" s="170"/>
    </row>
    <row r="163" spans="2:16" ht="14.5" customHeight="1" x14ac:dyDescent="0.2">
      <c r="B163" s="418"/>
      <c r="C163" s="119"/>
      <c r="D163" s="119" t="s">
        <v>894</v>
      </c>
      <c r="E163" s="123"/>
      <c r="F163" s="175"/>
      <c r="G163" s="175"/>
      <c r="H163" s="123"/>
      <c r="I163" s="123"/>
      <c r="J163" s="189"/>
      <c r="K163" s="189"/>
      <c r="L163" s="123"/>
      <c r="M163" s="123"/>
      <c r="N163" s="189"/>
      <c r="O163" s="189"/>
      <c r="P163" s="189"/>
    </row>
    <row r="164" spans="2:16" ht="14.5" customHeight="1" x14ac:dyDescent="0.2">
      <c r="B164" s="418"/>
      <c r="C164" s="119"/>
      <c r="D164" s="119" t="s">
        <v>154</v>
      </c>
      <c r="E164" s="123"/>
      <c r="F164" s="175"/>
      <c r="G164" s="175"/>
      <c r="H164" s="123"/>
      <c r="I164" s="123"/>
      <c r="J164" s="189"/>
      <c r="K164" s="189"/>
      <c r="L164" s="123"/>
      <c r="M164" s="123"/>
      <c r="N164" s="189"/>
      <c r="O164" s="189"/>
      <c r="P164" s="189"/>
    </row>
    <row r="165" spans="2:16" ht="14.5" customHeight="1" x14ac:dyDescent="0.2">
      <c r="B165" s="419"/>
      <c r="C165" s="127"/>
      <c r="D165" s="127" t="s">
        <v>54</v>
      </c>
      <c r="E165" s="124"/>
      <c r="F165" s="176"/>
      <c r="G165" s="176"/>
      <c r="H165" s="124"/>
      <c r="I165" s="124"/>
      <c r="J165" s="190"/>
      <c r="K165" s="190"/>
      <c r="L165" s="124"/>
      <c r="M165" s="124"/>
      <c r="N165" s="190"/>
      <c r="O165" s="190"/>
      <c r="P165" s="190"/>
    </row>
    <row r="166" spans="2:16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74"/>
      <c r="H166" s="122"/>
      <c r="I166" s="122"/>
      <c r="J166" s="170"/>
      <c r="K166" s="170"/>
      <c r="L166" s="122"/>
      <c r="M166" s="122"/>
      <c r="N166" s="170"/>
      <c r="O166" s="170"/>
      <c r="P166" s="170"/>
    </row>
    <row r="167" spans="2:16" ht="14.5" customHeight="1" x14ac:dyDescent="0.2">
      <c r="B167" s="418"/>
      <c r="C167" s="117"/>
      <c r="D167" s="117" t="s">
        <v>801</v>
      </c>
      <c r="E167" s="122"/>
      <c r="F167" s="174"/>
      <c r="G167" s="174"/>
      <c r="H167" s="122"/>
      <c r="I167" s="122"/>
      <c r="J167" s="170"/>
      <c r="K167" s="170"/>
      <c r="L167" s="122"/>
      <c r="M167" s="122"/>
      <c r="N167" s="170"/>
      <c r="O167" s="170"/>
      <c r="P167" s="170"/>
    </row>
    <row r="168" spans="2:16" ht="14.5" customHeight="1" x14ac:dyDescent="0.2">
      <c r="B168" s="418"/>
      <c r="C168" s="117"/>
      <c r="D168" s="117" t="s">
        <v>541</v>
      </c>
      <c r="E168" s="122"/>
      <c r="F168" s="174"/>
      <c r="G168" s="174"/>
      <c r="H168" s="122"/>
      <c r="I168" s="122"/>
      <c r="J168" s="170"/>
      <c r="K168" s="170"/>
      <c r="L168" s="122"/>
      <c r="M168" s="122"/>
      <c r="N168" s="170"/>
      <c r="O168" s="170"/>
      <c r="P168" s="170"/>
    </row>
    <row r="169" spans="2:16" ht="14.5" customHeight="1" x14ac:dyDescent="0.2">
      <c r="B169" s="418"/>
      <c r="C169" s="117"/>
      <c r="D169" s="117" t="s">
        <v>538</v>
      </c>
      <c r="E169" s="122"/>
      <c r="F169" s="174"/>
      <c r="G169" s="174"/>
      <c r="H169" s="122"/>
      <c r="I169" s="122"/>
      <c r="J169" s="170"/>
      <c r="K169" s="170"/>
      <c r="L169" s="122"/>
      <c r="M169" s="122"/>
      <c r="N169" s="170"/>
      <c r="O169" s="170"/>
      <c r="P169" s="170"/>
    </row>
    <row r="170" spans="2:16" ht="14.5" customHeight="1" x14ac:dyDescent="0.2">
      <c r="B170" s="418"/>
      <c r="C170" s="117"/>
      <c r="D170" s="117" t="s">
        <v>539</v>
      </c>
      <c r="E170" s="122"/>
      <c r="F170" s="174"/>
      <c r="G170" s="174"/>
      <c r="H170" s="122"/>
      <c r="I170" s="122"/>
      <c r="J170" s="170"/>
      <c r="K170" s="170"/>
      <c r="L170" s="122"/>
      <c r="M170" s="122"/>
      <c r="N170" s="170"/>
      <c r="O170" s="170"/>
      <c r="P170" s="170"/>
    </row>
    <row r="171" spans="2:16" ht="14.5" customHeight="1" x14ac:dyDescent="0.2">
      <c r="B171" s="418"/>
      <c r="C171" s="117"/>
      <c r="D171" s="117" t="s">
        <v>537</v>
      </c>
      <c r="E171" s="122"/>
      <c r="F171" s="174"/>
      <c r="G171" s="174"/>
      <c r="H171" s="122"/>
      <c r="I171" s="122"/>
      <c r="J171" s="170"/>
      <c r="K171" s="170"/>
      <c r="L171" s="122"/>
      <c r="M171" s="122"/>
      <c r="N171" s="170"/>
      <c r="O171" s="170"/>
      <c r="P171" s="170"/>
    </row>
    <row r="172" spans="2:16" ht="14.5" customHeight="1" x14ac:dyDescent="0.2">
      <c r="B172" s="418"/>
      <c r="C172" s="117"/>
      <c r="D172" s="117" t="s">
        <v>540</v>
      </c>
      <c r="E172" s="122"/>
      <c r="F172" s="174"/>
      <c r="G172" s="174"/>
      <c r="H172" s="122"/>
      <c r="I172" s="122"/>
      <c r="J172" s="170"/>
      <c r="K172" s="170"/>
      <c r="L172" s="122"/>
      <c r="M172" s="122"/>
      <c r="N172" s="170"/>
      <c r="O172" s="170"/>
      <c r="P172" s="170"/>
    </row>
    <row r="173" spans="2:16" ht="14.5" customHeight="1" x14ac:dyDescent="0.2">
      <c r="B173" s="418"/>
      <c r="C173" s="119"/>
      <c r="D173" s="119" t="s">
        <v>680</v>
      </c>
      <c r="E173" s="123"/>
      <c r="F173" s="175"/>
      <c r="G173" s="175"/>
      <c r="H173" s="123"/>
      <c r="I173" s="123"/>
      <c r="J173" s="189"/>
      <c r="K173" s="189"/>
      <c r="L173" s="123"/>
      <c r="M173" s="123"/>
      <c r="N173" s="189"/>
      <c r="O173" s="189"/>
      <c r="P173" s="189"/>
    </row>
    <row r="174" spans="2:16" ht="14.5" customHeight="1" x14ac:dyDescent="0.2">
      <c r="B174" s="418"/>
      <c r="C174" s="117"/>
      <c r="D174" s="117" t="s">
        <v>617</v>
      </c>
      <c r="E174" s="122"/>
      <c r="F174" s="174"/>
      <c r="G174" s="174"/>
      <c r="H174" s="122"/>
      <c r="I174" s="122"/>
      <c r="J174" s="170"/>
      <c r="K174" s="170"/>
      <c r="L174" s="122"/>
      <c r="M174" s="122"/>
      <c r="N174" s="170"/>
      <c r="O174" s="170"/>
      <c r="P174" s="170"/>
    </row>
    <row r="175" spans="2:16" ht="14.5" customHeight="1" x14ac:dyDescent="0.2">
      <c r="B175" s="418"/>
      <c r="C175" s="117"/>
      <c r="D175" s="117" t="s">
        <v>802</v>
      </c>
      <c r="E175" s="122"/>
      <c r="F175" s="174"/>
      <c r="G175" s="174"/>
      <c r="H175" s="122"/>
      <c r="I175" s="122"/>
      <c r="J175" s="170"/>
      <c r="K175" s="170"/>
      <c r="L175" s="122"/>
      <c r="M175" s="122"/>
      <c r="N175" s="170"/>
      <c r="O175" s="170"/>
      <c r="P175" s="170"/>
    </row>
    <row r="176" spans="2:16" ht="14.5" customHeight="1" x14ac:dyDescent="0.2">
      <c r="B176" s="418"/>
      <c r="C176" s="117"/>
      <c r="D176" s="117" t="s">
        <v>542</v>
      </c>
      <c r="E176" s="122"/>
      <c r="F176" s="174"/>
      <c r="G176" s="174"/>
      <c r="H176" s="122"/>
      <c r="I176" s="122"/>
      <c r="J176" s="170"/>
      <c r="K176" s="170"/>
      <c r="L176" s="122"/>
      <c r="M176" s="122"/>
      <c r="N176" s="170"/>
      <c r="O176" s="170"/>
      <c r="P176" s="170"/>
    </row>
    <row r="177" spans="2:16" ht="14.5" customHeight="1" x14ac:dyDescent="0.2">
      <c r="B177" s="418"/>
      <c r="C177" s="117"/>
      <c r="D177" s="117" t="s">
        <v>543</v>
      </c>
      <c r="E177" s="122"/>
      <c r="F177" s="174"/>
      <c r="G177" s="174"/>
      <c r="H177" s="122"/>
      <c r="I177" s="122"/>
      <c r="J177" s="170"/>
      <c r="K177" s="170"/>
      <c r="L177" s="122"/>
      <c r="M177" s="122"/>
      <c r="N177" s="170"/>
      <c r="O177" s="170"/>
      <c r="P177" s="170"/>
    </row>
    <row r="178" spans="2:16" ht="14.5" customHeight="1" x14ac:dyDescent="0.2">
      <c r="B178" s="418"/>
      <c r="C178" s="117"/>
      <c r="D178" s="117" t="s">
        <v>618</v>
      </c>
      <c r="E178" s="122"/>
      <c r="F178" s="174"/>
      <c r="G178" s="174"/>
      <c r="H178" s="122"/>
      <c r="I178" s="122"/>
      <c r="J178" s="170"/>
      <c r="K178" s="170"/>
      <c r="L178" s="122"/>
      <c r="M178" s="122"/>
      <c r="N178" s="170"/>
      <c r="O178" s="170"/>
      <c r="P178" s="170"/>
    </row>
    <row r="179" spans="2:16" ht="14.5" customHeight="1" x14ac:dyDescent="0.2">
      <c r="B179" s="418"/>
      <c r="C179" s="119"/>
      <c r="D179" s="119" t="s">
        <v>687</v>
      </c>
      <c r="E179" s="123"/>
      <c r="F179" s="175"/>
      <c r="G179" s="175"/>
      <c r="H179" s="123"/>
      <c r="I179" s="123"/>
      <c r="J179" s="189"/>
      <c r="K179" s="189"/>
      <c r="L179" s="123"/>
      <c r="M179" s="123"/>
      <c r="N179" s="189"/>
      <c r="O179" s="189"/>
      <c r="P179" s="189"/>
    </row>
    <row r="180" spans="2:16" ht="14.5" customHeight="1" x14ac:dyDescent="0.2">
      <c r="B180" s="418"/>
      <c r="C180" s="119"/>
      <c r="D180" s="119" t="s">
        <v>95</v>
      </c>
      <c r="E180" s="123"/>
      <c r="F180" s="175"/>
      <c r="G180" s="175"/>
      <c r="H180" s="123"/>
      <c r="I180" s="123"/>
      <c r="J180" s="189"/>
      <c r="K180" s="189"/>
      <c r="L180" s="123"/>
      <c r="M180" s="123"/>
      <c r="N180" s="189"/>
      <c r="O180" s="189"/>
      <c r="P180" s="189"/>
    </row>
    <row r="181" spans="2:16" ht="14.5" customHeight="1" x14ac:dyDescent="0.2">
      <c r="B181" s="419"/>
      <c r="C181" s="127"/>
      <c r="D181" s="127" t="s">
        <v>556</v>
      </c>
      <c r="E181" s="124"/>
      <c r="F181" s="176"/>
      <c r="G181" s="176"/>
      <c r="H181" s="124"/>
      <c r="I181" s="124"/>
      <c r="J181" s="190"/>
      <c r="K181" s="190"/>
      <c r="L181" s="124"/>
      <c r="M181" s="124"/>
      <c r="N181" s="190"/>
      <c r="O181" s="190"/>
      <c r="P181" s="190"/>
    </row>
    <row r="182" spans="2:16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74"/>
      <c r="H182" s="122"/>
      <c r="I182" s="122"/>
      <c r="J182" s="170"/>
      <c r="K182" s="170"/>
      <c r="L182" s="122"/>
      <c r="M182" s="122"/>
      <c r="N182" s="170"/>
      <c r="O182" s="170"/>
      <c r="P182" s="170"/>
    </row>
    <row r="183" spans="2:16" ht="14.5" customHeight="1" x14ac:dyDescent="0.2">
      <c r="B183" s="418"/>
      <c r="C183" s="117"/>
      <c r="D183" s="117" t="s">
        <v>560</v>
      </c>
      <c r="E183" s="122"/>
      <c r="F183" s="174"/>
      <c r="G183" s="174"/>
      <c r="H183" s="122"/>
      <c r="I183" s="122"/>
      <c r="J183" s="170"/>
      <c r="K183" s="170"/>
      <c r="L183" s="122"/>
      <c r="M183" s="122"/>
      <c r="N183" s="170"/>
      <c r="O183" s="170"/>
      <c r="P183" s="170"/>
    </row>
    <row r="184" spans="2:16" ht="14.5" customHeight="1" x14ac:dyDescent="0.2">
      <c r="B184" s="418"/>
      <c r="C184" s="117"/>
      <c r="D184" s="117" t="s">
        <v>562</v>
      </c>
      <c r="E184" s="122"/>
      <c r="F184" s="174"/>
      <c r="G184" s="174"/>
      <c r="H184" s="122"/>
      <c r="I184" s="122"/>
      <c r="J184" s="170"/>
      <c r="K184" s="170"/>
      <c r="L184" s="122"/>
      <c r="M184" s="122"/>
      <c r="N184" s="170"/>
      <c r="O184" s="170"/>
      <c r="P184" s="170"/>
    </row>
    <row r="185" spans="2:16" ht="14.5" customHeight="1" x14ac:dyDescent="0.2">
      <c r="B185" s="418"/>
      <c r="C185" s="117"/>
      <c r="D185" s="117" t="s">
        <v>561</v>
      </c>
      <c r="E185" s="122"/>
      <c r="F185" s="174"/>
      <c r="G185" s="174"/>
      <c r="H185" s="122"/>
      <c r="I185" s="122"/>
      <c r="J185" s="170"/>
      <c r="K185" s="170"/>
      <c r="L185" s="122"/>
      <c r="M185" s="122"/>
      <c r="N185" s="170"/>
      <c r="O185" s="170"/>
      <c r="P185" s="170"/>
    </row>
    <row r="186" spans="2:16" ht="14.5" customHeight="1" x14ac:dyDescent="0.2">
      <c r="B186" s="418"/>
      <c r="C186" s="117"/>
      <c r="D186" s="117" t="s">
        <v>803</v>
      </c>
      <c r="E186" s="122"/>
      <c r="F186" s="174"/>
      <c r="G186" s="174"/>
      <c r="H186" s="122"/>
      <c r="I186" s="122"/>
      <c r="J186" s="170"/>
      <c r="K186" s="170"/>
      <c r="L186" s="122"/>
      <c r="M186" s="122"/>
      <c r="N186" s="170"/>
      <c r="O186" s="170"/>
      <c r="P186" s="170"/>
    </row>
    <row r="187" spans="2:16" ht="14.5" customHeight="1" x14ac:dyDescent="0.2">
      <c r="B187" s="418"/>
      <c r="C187" s="117"/>
      <c r="D187" s="117" t="s">
        <v>790</v>
      </c>
      <c r="E187" s="122"/>
      <c r="F187" s="174"/>
      <c r="G187" s="174"/>
      <c r="H187" s="122"/>
      <c r="I187" s="122"/>
      <c r="J187" s="170"/>
      <c r="K187" s="170"/>
      <c r="L187" s="122"/>
      <c r="M187" s="122"/>
      <c r="N187" s="170"/>
      <c r="O187" s="170"/>
      <c r="P187" s="170"/>
    </row>
    <row r="188" spans="2:16" ht="14.5" customHeight="1" x14ac:dyDescent="0.2">
      <c r="B188" s="418"/>
      <c r="C188" s="117"/>
      <c r="D188" s="117" t="s">
        <v>559</v>
      </c>
      <c r="E188" s="122"/>
      <c r="F188" s="174"/>
      <c r="G188" s="174"/>
      <c r="H188" s="122"/>
      <c r="I188" s="122"/>
      <c r="J188" s="170"/>
      <c r="K188" s="170"/>
      <c r="L188" s="122"/>
      <c r="M188" s="122"/>
      <c r="N188" s="170"/>
      <c r="O188" s="170"/>
      <c r="P188" s="170"/>
    </row>
    <row r="189" spans="2:16" ht="14.5" customHeight="1" x14ac:dyDescent="0.2">
      <c r="B189" s="419"/>
      <c r="C189" s="119"/>
      <c r="D189" s="119" t="s">
        <v>719</v>
      </c>
      <c r="E189" s="123"/>
      <c r="F189" s="175"/>
      <c r="G189" s="175"/>
      <c r="H189" s="123"/>
      <c r="I189" s="123"/>
      <c r="J189" s="189"/>
      <c r="K189" s="189"/>
      <c r="L189" s="123"/>
      <c r="M189" s="123"/>
      <c r="N189" s="189"/>
      <c r="O189" s="189"/>
      <c r="P189" s="189"/>
    </row>
    <row r="190" spans="2:16" ht="14.5" customHeight="1" x14ac:dyDescent="0.2">
      <c r="B190" s="127"/>
      <c r="C190" s="127"/>
      <c r="D190" s="127" t="s">
        <v>619</v>
      </c>
      <c r="E190" s="124"/>
      <c r="F190" s="176"/>
      <c r="G190" s="176"/>
      <c r="H190" s="124"/>
      <c r="I190" s="124"/>
      <c r="J190" s="190"/>
      <c r="K190" s="190"/>
      <c r="L190" s="124"/>
      <c r="M190" s="124"/>
      <c r="N190" s="190"/>
      <c r="O190" s="190"/>
      <c r="P190" s="190"/>
    </row>
    <row r="191" spans="2:16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74"/>
      <c r="H191" s="122"/>
      <c r="I191" s="122"/>
      <c r="J191" s="170"/>
      <c r="K191" s="170"/>
      <c r="L191" s="122"/>
      <c r="M191" s="122"/>
      <c r="N191" s="170"/>
      <c r="O191" s="170"/>
      <c r="P191" s="170"/>
    </row>
    <row r="192" spans="2:16" ht="14.5" customHeight="1" x14ac:dyDescent="0.2">
      <c r="B192" s="418"/>
      <c r="C192" s="117"/>
      <c r="D192" s="117" t="s">
        <v>563</v>
      </c>
      <c r="E192" s="122"/>
      <c r="F192" s="174"/>
      <c r="G192" s="174"/>
      <c r="H192" s="122"/>
      <c r="I192" s="122"/>
      <c r="J192" s="170"/>
      <c r="K192" s="170"/>
      <c r="L192" s="122"/>
      <c r="M192" s="122"/>
      <c r="N192" s="170"/>
      <c r="O192" s="170"/>
      <c r="P192" s="170"/>
    </row>
    <row r="193" spans="2:16" ht="14.5" customHeight="1" x14ac:dyDescent="0.2">
      <c r="B193" s="418"/>
      <c r="C193" s="117"/>
      <c r="D193" s="117" t="s">
        <v>804</v>
      </c>
      <c r="E193" s="122"/>
      <c r="F193" s="174"/>
      <c r="G193" s="174"/>
      <c r="H193" s="122"/>
      <c r="I193" s="122"/>
      <c r="J193" s="170"/>
      <c r="K193" s="170"/>
      <c r="L193" s="122"/>
      <c r="M193" s="122"/>
      <c r="N193" s="170"/>
      <c r="O193" s="170"/>
      <c r="P193" s="170"/>
    </row>
    <row r="194" spans="2:16" ht="14.5" customHeight="1" x14ac:dyDescent="0.2">
      <c r="B194" s="418"/>
      <c r="C194" s="117"/>
      <c r="D194" s="117" t="s">
        <v>565</v>
      </c>
      <c r="E194" s="122"/>
      <c r="F194" s="174"/>
      <c r="G194" s="174"/>
      <c r="H194" s="122"/>
      <c r="I194" s="122"/>
      <c r="J194" s="170"/>
      <c r="K194" s="170"/>
      <c r="L194" s="122"/>
      <c r="M194" s="122"/>
      <c r="N194" s="170"/>
      <c r="O194" s="170"/>
      <c r="P194" s="170"/>
    </row>
    <row r="195" spans="2:16" ht="14.5" customHeight="1" x14ac:dyDescent="0.2">
      <c r="B195" s="418"/>
      <c r="C195" s="117"/>
      <c r="D195" s="117" t="s">
        <v>843</v>
      </c>
      <c r="E195" s="122"/>
      <c r="F195" s="174"/>
      <c r="G195" s="174"/>
      <c r="H195" s="122"/>
      <c r="I195" s="122"/>
      <c r="J195" s="170"/>
      <c r="K195" s="170"/>
      <c r="L195" s="122"/>
      <c r="M195" s="122"/>
      <c r="N195" s="170"/>
      <c r="O195" s="170"/>
      <c r="P195" s="170"/>
    </row>
    <row r="196" spans="2:16" ht="14.5" customHeight="1" x14ac:dyDescent="0.2">
      <c r="B196" s="418"/>
      <c r="C196" s="117"/>
      <c r="D196" s="117" t="s">
        <v>564</v>
      </c>
      <c r="E196" s="122"/>
      <c r="F196" s="174"/>
      <c r="G196" s="174"/>
      <c r="H196" s="122"/>
      <c r="I196" s="122"/>
      <c r="J196" s="170"/>
      <c r="K196" s="170"/>
      <c r="L196" s="122"/>
      <c r="M196" s="122"/>
      <c r="N196" s="170"/>
      <c r="O196" s="170"/>
      <c r="P196" s="170"/>
    </row>
    <row r="197" spans="2:16" ht="14.5" customHeight="1" x14ac:dyDescent="0.2">
      <c r="B197" s="418"/>
      <c r="C197" s="119"/>
      <c r="D197" s="119" t="s">
        <v>726</v>
      </c>
      <c r="E197" s="123"/>
      <c r="F197" s="175"/>
      <c r="G197" s="175"/>
      <c r="H197" s="123"/>
      <c r="I197" s="123"/>
      <c r="J197" s="189"/>
      <c r="K197" s="189"/>
      <c r="L197" s="123"/>
      <c r="M197" s="123"/>
      <c r="N197" s="189"/>
      <c r="O197" s="189"/>
      <c r="P197" s="189"/>
    </row>
    <row r="198" spans="2:16" ht="14.5" customHeight="1" x14ac:dyDescent="0.2">
      <c r="B198" s="418"/>
      <c r="C198" s="119"/>
      <c r="D198" s="119" t="s">
        <v>155</v>
      </c>
      <c r="E198" s="123"/>
      <c r="F198" s="175"/>
      <c r="G198" s="175"/>
      <c r="H198" s="123"/>
      <c r="I198" s="123"/>
      <c r="J198" s="189"/>
      <c r="K198" s="189"/>
      <c r="L198" s="123"/>
      <c r="M198" s="123"/>
      <c r="N198" s="189"/>
      <c r="O198" s="189"/>
      <c r="P198" s="189"/>
    </row>
    <row r="199" spans="2:16" ht="14.5" customHeight="1" x14ac:dyDescent="0.2">
      <c r="B199" s="419"/>
      <c r="C199" s="127"/>
      <c r="D199" s="127" t="s">
        <v>558</v>
      </c>
      <c r="E199" s="124"/>
      <c r="F199" s="176"/>
      <c r="G199" s="176"/>
      <c r="H199" s="124"/>
      <c r="I199" s="124"/>
      <c r="J199" s="190"/>
      <c r="K199" s="190"/>
      <c r="L199" s="124"/>
      <c r="M199" s="124"/>
      <c r="N199" s="190"/>
      <c r="O199" s="190"/>
      <c r="P199" s="190"/>
    </row>
    <row r="200" spans="2:16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74"/>
      <c r="H200" s="122"/>
      <c r="I200" s="122"/>
      <c r="J200" s="170"/>
      <c r="K200" s="170"/>
      <c r="L200" s="122"/>
      <c r="M200" s="122"/>
      <c r="N200" s="170"/>
      <c r="O200" s="170"/>
      <c r="P200" s="170"/>
    </row>
    <row r="201" spans="2:16" ht="14.5" customHeight="1" x14ac:dyDescent="0.2">
      <c r="B201" s="418"/>
      <c r="C201" s="117"/>
      <c r="D201" s="117" t="s">
        <v>900</v>
      </c>
      <c r="E201" s="122"/>
      <c r="F201" s="174"/>
      <c r="G201" s="174"/>
      <c r="H201" s="122"/>
      <c r="I201" s="122"/>
      <c r="J201" s="170"/>
      <c r="K201" s="170"/>
      <c r="L201" s="122"/>
      <c r="M201" s="122"/>
      <c r="N201" s="170"/>
      <c r="O201" s="170"/>
      <c r="P201" s="170"/>
    </row>
    <row r="202" spans="2:16" ht="14.5" customHeight="1" x14ac:dyDescent="0.2">
      <c r="B202" s="418"/>
      <c r="C202" s="117"/>
      <c r="D202" s="117" t="s">
        <v>551</v>
      </c>
      <c r="E202" s="122"/>
      <c r="F202" s="174"/>
      <c r="G202" s="174"/>
      <c r="H202" s="122"/>
      <c r="I202" s="122"/>
      <c r="J202" s="170"/>
      <c r="K202" s="170"/>
      <c r="L202" s="122"/>
      <c r="M202" s="122"/>
      <c r="N202" s="170"/>
      <c r="O202" s="170"/>
      <c r="P202" s="170"/>
    </row>
    <row r="203" spans="2:16" ht="14.5" customHeight="1" x14ac:dyDescent="0.2">
      <c r="B203" s="418"/>
      <c r="C203" s="117"/>
      <c r="D203" s="117" t="s">
        <v>548</v>
      </c>
      <c r="E203" s="122"/>
      <c r="F203" s="174"/>
      <c r="G203" s="174"/>
      <c r="H203" s="122"/>
      <c r="I203" s="122"/>
      <c r="J203" s="170"/>
      <c r="K203" s="170"/>
      <c r="L203" s="122"/>
      <c r="M203" s="122"/>
      <c r="N203" s="170"/>
      <c r="O203" s="170"/>
      <c r="P203" s="170"/>
    </row>
    <row r="204" spans="2:16" ht="14.5" customHeight="1" x14ac:dyDescent="0.2">
      <c r="B204" s="418"/>
      <c r="C204" s="117"/>
      <c r="D204" s="117" t="s">
        <v>549</v>
      </c>
      <c r="E204" s="122"/>
      <c r="F204" s="174"/>
      <c r="G204" s="174"/>
      <c r="H204" s="122"/>
      <c r="I204" s="122"/>
      <c r="J204" s="170"/>
      <c r="K204" s="170"/>
      <c r="L204" s="122"/>
      <c r="M204" s="122"/>
      <c r="N204" s="170"/>
      <c r="O204" s="170"/>
      <c r="P204" s="170"/>
    </row>
    <row r="205" spans="2:16" ht="14.5" customHeight="1" x14ac:dyDescent="0.2">
      <c r="B205" s="418"/>
      <c r="C205" s="119"/>
      <c r="D205" s="119" t="s">
        <v>708</v>
      </c>
      <c r="E205" s="123"/>
      <c r="F205" s="175"/>
      <c r="G205" s="175"/>
      <c r="H205" s="123"/>
      <c r="I205" s="123"/>
      <c r="J205" s="189"/>
      <c r="K205" s="189"/>
      <c r="L205" s="123"/>
      <c r="M205" s="123"/>
      <c r="N205" s="189"/>
      <c r="O205" s="189"/>
      <c r="P205" s="189"/>
    </row>
    <row r="206" spans="2:16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74"/>
      <c r="H206" s="122"/>
      <c r="I206" s="122"/>
      <c r="J206" s="170"/>
      <c r="K206" s="170"/>
      <c r="L206" s="122"/>
      <c r="M206" s="122"/>
      <c r="N206" s="170"/>
      <c r="O206" s="170"/>
      <c r="P206" s="170"/>
    </row>
    <row r="207" spans="2:16" ht="14.5" customHeight="1" x14ac:dyDescent="0.2">
      <c r="B207" s="418"/>
      <c r="C207" s="117"/>
      <c r="D207" s="117" t="s">
        <v>553</v>
      </c>
      <c r="E207" s="122"/>
      <c r="F207" s="174"/>
      <c r="G207" s="174"/>
      <c r="H207" s="122"/>
      <c r="I207" s="122"/>
      <c r="J207" s="170"/>
      <c r="K207" s="170"/>
      <c r="L207" s="122"/>
      <c r="M207" s="122"/>
      <c r="N207" s="170"/>
      <c r="O207" s="170"/>
      <c r="P207" s="170"/>
    </row>
    <row r="208" spans="2:16" ht="14.5" customHeight="1" x14ac:dyDescent="0.2">
      <c r="B208" s="418"/>
      <c r="C208" s="117"/>
      <c r="D208" s="117" t="s">
        <v>552</v>
      </c>
      <c r="E208" s="122"/>
      <c r="F208" s="174"/>
      <c r="G208" s="174"/>
      <c r="H208" s="122"/>
      <c r="I208" s="122"/>
      <c r="J208" s="170"/>
      <c r="K208" s="170"/>
      <c r="L208" s="122"/>
      <c r="M208" s="122"/>
      <c r="N208" s="170"/>
      <c r="O208" s="170"/>
      <c r="P208" s="170"/>
    </row>
    <row r="209" spans="2:16" ht="14.5" customHeight="1" x14ac:dyDescent="0.2">
      <c r="B209" s="418"/>
      <c r="C209" s="117"/>
      <c r="D209" s="117" t="s">
        <v>620</v>
      </c>
      <c r="E209" s="122"/>
      <c r="F209" s="174"/>
      <c r="G209" s="174"/>
      <c r="H209" s="122"/>
      <c r="I209" s="122"/>
      <c r="J209" s="170"/>
      <c r="K209" s="170"/>
      <c r="L209" s="122"/>
      <c r="M209" s="122"/>
      <c r="N209" s="170"/>
      <c r="O209" s="170"/>
      <c r="P209" s="170"/>
    </row>
    <row r="210" spans="2:16" ht="14.5" customHeight="1" x14ac:dyDescent="0.2">
      <c r="B210" s="418"/>
      <c r="C210" s="117"/>
      <c r="D210" s="117" t="s">
        <v>216</v>
      </c>
      <c r="E210" s="122"/>
      <c r="F210" s="174"/>
      <c r="G210" s="174"/>
      <c r="H210" s="122"/>
      <c r="I210" s="122"/>
      <c r="J210" s="170"/>
      <c r="K210" s="170"/>
      <c r="L210" s="122"/>
      <c r="M210" s="122"/>
      <c r="N210" s="170"/>
      <c r="O210" s="170"/>
      <c r="P210" s="170"/>
    </row>
    <row r="211" spans="2:16" ht="14.5" customHeight="1" x14ac:dyDescent="0.2">
      <c r="B211" s="418"/>
      <c r="C211" s="117"/>
      <c r="D211" s="117" t="s">
        <v>805</v>
      </c>
      <c r="E211" s="122"/>
      <c r="F211" s="174"/>
      <c r="G211" s="174"/>
      <c r="H211" s="122"/>
      <c r="I211" s="122"/>
      <c r="J211" s="170"/>
      <c r="K211" s="170"/>
      <c r="L211" s="122"/>
      <c r="M211" s="122"/>
      <c r="N211" s="170"/>
      <c r="O211" s="170"/>
      <c r="P211" s="170"/>
    </row>
    <row r="212" spans="2:16" ht="14.5" customHeight="1" x14ac:dyDescent="0.2">
      <c r="B212" s="418"/>
      <c r="C212" s="117"/>
      <c r="D212" s="117" t="s">
        <v>844</v>
      </c>
      <c r="E212" s="122"/>
      <c r="F212" s="174"/>
      <c r="G212" s="174"/>
      <c r="H212" s="122"/>
      <c r="I212" s="122"/>
      <c r="J212" s="170"/>
      <c r="K212" s="170"/>
      <c r="L212" s="122"/>
      <c r="M212" s="122"/>
      <c r="N212" s="170"/>
      <c r="O212" s="170"/>
      <c r="P212" s="170"/>
    </row>
    <row r="213" spans="2:16" ht="14.5" customHeight="1" x14ac:dyDescent="0.2">
      <c r="B213" s="418"/>
      <c r="C213" s="119"/>
      <c r="D213" s="119" t="s">
        <v>715</v>
      </c>
      <c r="E213" s="123"/>
      <c r="F213" s="175"/>
      <c r="G213" s="175"/>
      <c r="H213" s="123"/>
      <c r="I213" s="123"/>
      <c r="J213" s="189"/>
      <c r="K213" s="189"/>
      <c r="L213" s="123"/>
      <c r="M213" s="123"/>
      <c r="N213" s="189"/>
      <c r="O213" s="189"/>
      <c r="P213" s="189"/>
    </row>
    <row r="214" spans="2:16" ht="14.5" customHeight="1" x14ac:dyDescent="0.2">
      <c r="B214" s="418"/>
      <c r="C214" s="119"/>
      <c r="D214" s="119" t="s">
        <v>74</v>
      </c>
      <c r="E214" s="123"/>
      <c r="F214" s="175"/>
      <c r="G214" s="175"/>
      <c r="H214" s="123"/>
      <c r="I214" s="123"/>
      <c r="J214" s="189"/>
      <c r="K214" s="189"/>
      <c r="L214" s="123"/>
      <c r="M214" s="123"/>
      <c r="N214" s="189"/>
      <c r="O214" s="189"/>
      <c r="P214" s="189"/>
    </row>
    <row r="215" spans="2:16" ht="14.5" customHeight="1" x14ac:dyDescent="0.2">
      <c r="B215" s="419"/>
      <c r="C215" s="127"/>
      <c r="D215" s="127" t="s">
        <v>557</v>
      </c>
      <c r="E215" s="124"/>
      <c r="F215" s="176"/>
      <c r="G215" s="176"/>
      <c r="H215" s="124"/>
      <c r="I215" s="124"/>
      <c r="J215" s="190"/>
      <c r="K215" s="190"/>
      <c r="L215" s="124"/>
      <c r="M215" s="124"/>
      <c r="N215" s="190"/>
      <c r="O215" s="190"/>
      <c r="P215" s="190"/>
    </row>
    <row r="216" spans="2:16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74"/>
      <c r="H216" s="122"/>
      <c r="I216" s="122"/>
      <c r="J216" s="170"/>
      <c r="K216" s="170"/>
      <c r="L216" s="122"/>
      <c r="M216" s="122"/>
      <c r="N216" s="170"/>
      <c r="O216" s="170"/>
      <c r="P216" s="170"/>
    </row>
    <row r="217" spans="2:16" ht="14.5" customHeight="1" x14ac:dyDescent="0.2">
      <c r="B217" s="418"/>
      <c r="C217" s="117"/>
      <c r="D217" s="117" t="s">
        <v>624</v>
      </c>
      <c r="E217" s="122"/>
      <c r="F217" s="174"/>
      <c r="G217" s="174"/>
      <c r="H217" s="122"/>
      <c r="I217" s="122"/>
      <c r="J217" s="170"/>
      <c r="K217" s="170"/>
      <c r="L217" s="122"/>
      <c r="M217" s="122"/>
      <c r="N217" s="170"/>
      <c r="O217" s="170"/>
      <c r="P217" s="170"/>
    </row>
    <row r="218" spans="2:16" ht="14.5" customHeight="1" x14ac:dyDescent="0.2">
      <c r="B218" s="418"/>
      <c r="C218" s="117"/>
      <c r="D218" s="117" t="s">
        <v>845</v>
      </c>
      <c r="E218" s="122"/>
      <c r="F218" s="174"/>
      <c r="G218" s="174"/>
      <c r="H218" s="122"/>
      <c r="I218" s="122"/>
      <c r="J218" s="170"/>
      <c r="K218" s="170"/>
      <c r="L218" s="122"/>
      <c r="M218" s="122"/>
      <c r="N218" s="170"/>
      <c r="O218" s="170"/>
      <c r="P218" s="170"/>
    </row>
    <row r="219" spans="2:16" ht="14.5" customHeight="1" x14ac:dyDescent="0.2">
      <c r="B219" s="418"/>
      <c r="C219" s="119"/>
      <c r="D219" s="119" t="s">
        <v>730</v>
      </c>
      <c r="E219" s="123"/>
      <c r="F219" s="175"/>
      <c r="G219" s="175"/>
      <c r="H219" s="123"/>
      <c r="I219" s="123"/>
      <c r="J219" s="189"/>
      <c r="K219" s="189"/>
      <c r="L219" s="123"/>
      <c r="M219" s="123"/>
      <c r="N219" s="189"/>
      <c r="O219" s="189"/>
      <c r="P219" s="189"/>
    </row>
    <row r="220" spans="2:16" ht="14.5" customHeight="1" x14ac:dyDescent="0.2">
      <c r="B220" s="419"/>
      <c r="C220" s="127"/>
      <c r="D220" s="127" t="s">
        <v>622</v>
      </c>
      <c r="E220" s="124"/>
      <c r="F220" s="176"/>
      <c r="G220" s="176"/>
      <c r="H220" s="124"/>
      <c r="I220" s="124"/>
      <c r="J220" s="190"/>
      <c r="K220" s="190"/>
      <c r="L220" s="124"/>
      <c r="M220" s="124"/>
      <c r="N220" s="190"/>
      <c r="O220" s="190"/>
      <c r="P220" s="190"/>
    </row>
    <row r="221" spans="2:16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74"/>
      <c r="H221" s="122"/>
      <c r="I221" s="122"/>
      <c r="J221" s="170"/>
      <c r="K221" s="170"/>
      <c r="L221" s="122"/>
      <c r="M221" s="122"/>
      <c r="N221" s="170"/>
      <c r="O221" s="170"/>
      <c r="P221" s="170"/>
    </row>
    <row r="222" spans="2:16" ht="14.5" customHeight="1" x14ac:dyDescent="0.2">
      <c r="B222" s="418"/>
      <c r="C222" s="117"/>
      <c r="D222" s="117" t="s">
        <v>627</v>
      </c>
      <c r="E222" s="122"/>
      <c r="F222" s="174"/>
      <c r="G222" s="174"/>
      <c r="H222" s="122"/>
      <c r="I222" s="122"/>
      <c r="J222" s="170"/>
      <c r="K222" s="170"/>
      <c r="L222" s="122"/>
      <c r="M222" s="122"/>
      <c r="N222" s="170"/>
      <c r="O222" s="170"/>
      <c r="P222" s="170"/>
    </row>
    <row r="223" spans="2:16" ht="14.5" customHeight="1" x14ac:dyDescent="0.2">
      <c r="B223" s="418"/>
      <c r="C223" s="117"/>
      <c r="D223" s="117" t="s">
        <v>846</v>
      </c>
      <c r="E223" s="122"/>
      <c r="F223" s="174"/>
      <c r="G223" s="174"/>
      <c r="H223" s="122"/>
      <c r="I223" s="122"/>
      <c r="J223" s="170"/>
      <c r="K223" s="170"/>
      <c r="L223" s="122"/>
      <c r="M223" s="122"/>
      <c r="N223" s="170"/>
      <c r="O223" s="170"/>
      <c r="P223" s="170"/>
    </row>
    <row r="224" spans="2:16" ht="14.5" customHeight="1" x14ac:dyDescent="0.2">
      <c r="B224" s="418"/>
      <c r="C224" s="119"/>
      <c r="D224" s="119" t="s">
        <v>732</v>
      </c>
      <c r="E224" s="123"/>
      <c r="F224" s="175"/>
      <c r="G224" s="175"/>
      <c r="H224" s="123"/>
      <c r="I224" s="123"/>
      <c r="J224" s="189"/>
      <c r="K224" s="189"/>
      <c r="L224" s="123"/>
      <c r="M224" s="123"/>
      <c r="N224" s="189"/>
      <c r="O224" s="189"/>
      <c r="P224" s="189"/>
    </row>
    <row r="225" spans="2:16" ht="14.5" customHeight="1" x14ac:dyDescent="0.2">
      <c r="B225" s="419"/>
      <c r="C225" s="127"/>
      <c r="D225" s="127" t="s">
        <v>628</v>
      </c>
      <c r="E225" s="124"/>
      <c r="F225" s="176"/>
      <c r="G225" s="176"/>
      <c r="H225" s="124"/>
      <c r="I225" s="124"/>
      <c r="J225" s="190"/>
      <c r="K225" s="190"/>
      <c r="L225" s="124"/>
      <c r="M225" s="124"/>
      <c r="N225" s="190"/>
      <c r="O225" s="190"/>
      <c r="P225" s="190"/>
    </row>
    <row r="226" spans="2:16" ht="14.5" customHeight="1" x14ac:dyDescent="0.2">
      <c r="B226" s="127"/>
      <c r="C226" s="127"/>
      <c r="D226" s="127" t="s">
        <v>629</v>
      </c>
      <c r="E226" s="124"/>
      <c r="F226" s="176"/>
      <c r="G226" s="176"/>
      <c r="H226" s="124"/>
      <c r="I226" s="124"/>
      <c r="J226" s="190"/>
      <c r="K226" s="190"/>
      <c r="L226" s="124"/>
      <c r="M226" s="124"/>
      <c r="N226" s="190"/>
      <c r="O226" s="190"/>
      <c r="P226" s="190"/>
    </row>
    <row r="227" spans="2:16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74"/>
      <c r="H227" s="122"/>
      <c r="I227" s="122"/>
      <c r="J227" s="170"/>
      <c r="K227" s="170"/>
      <c r="L227" s="122"/>
      <c r="M227" s="122"/>
      <c r="N227" s="170"/>
      <c r="O227" s="170"/>
      <c r="P227" s="170"/>
    </row>
    <row r="228" spans="2:16" ht="14.5" customHeight="1" x14ac:dyDescent="0.2">
      <c r="B228" s="418"/>
      <c r="C228" s="117"/>
      <c r="D228" s="117" t="s">
        <v>544</v>
      </c>
      <c r="E228" s="122"/>
      <c r="F228" s="174"/>
      <c r="G228" s="174"/>
      <c r="H228" s="122"/>
      <c r="I228" s="122"/>
      <c r="J228" s="170"/>
      <c r="K228" s="170"/>
      <c r="L228" s="122"/>
      <c r="M228" s="122"/>
      <c r="N228" s="170"/>
      <c r="O228" s="170"/>
      <c r="P228" s="170"/>
    </row>
    <row r="229" spans="2:16" ht="14.5" customHeight="1" x14ac:dyDescent="0.2">
      <c r="B229" s="418"/>
      <c r="C229" s="117"/>
      <c r="D229" s="117" t="s">
        <v>545</v>
      </c>
      <c r="E229" s="122"/>
      <c r="F229" s="174"/>
      <c r="G229" s="174"/>
      <c r="H229" s="122"/>
      <c r="I229" s="122"/>
      <c r="J229" s="170"/>
      <c r="K229" s="170"/>
      <c r="L229" s="122"/>
      <c r="M229" s="122"/>
      <c r="N229" s="170"/>
      <c r="O229" s="170"/>
      <c r="P229" s="170"/>
    </row>
    <row r="230" spans="2:16" ht="14.5" customHeight="1" x14ac:dyDescent="0.2">
      <c r="B230" s="418"/>
      <c r="C230" s="117"/>
      <c r="D230" s="117" t="s">
        <v>806</v>
      </c>
      <c r="E230" s="122"/>
      <c r="F230" s="174"/>
      <c r="G230" s="174"/>
      <c r="H230" s="122"/>
      <c r="I230" s="122"/>
      <c r="J230" s="170"/>
      <c r="K230" s="170"/>
      <c r="L230" s="122"/>
      <c r="M230" s="122"/>
      <c r="N230" s="170"/>
      <c r="O230" s="170"/>
      <c r="P230" s="170"/>
    </row>
    <row r="231" spans="2:16" ht="14.5" customHeight="1" x14ac:dyDescent="0.2">
      <c r="B231" s="418"/>
      <c r="C231" s="117"/>
      <c r="D231" s="117" t="s">
        <v>630</v>
      </c>
      <c r="E231" s="122"/>
      <c r="F231" s="174"/>
      <c r="G231" s="174"/>
      <c r="H231" s="122"/>
      <c r="I231" s="122"/>
      <c r="J231" s="170"/>
      <c r="K231" s="170"/>
      <c r="L231" s="122"/>
      <c r="M231" s="122"/>
      <c r="N231" s="170"/>
      <c r="O231" s="170"/>
      <c r="P231" s="170"/>
    </row>
    <row r="232" spans="2:16" ht="14.5" customHeight="1" x14ac:dyDescent="0.2">
      <c r="B232" s="418"/>
      <c r="C232" s="117"/>
      <c r="D232" s="117" t="s">
        <v>546</v>
      </c>
      <c r="E232" s="122"/>
      <c r="F232" s="174"/>
      <c r="G232" s="174"/>
      <c r="H232" s="122"/>
      <c r="I232" s="122"/>
      <c r="J232" s="170"/>
      <c r="K232" s="170"/>
      <c r="L232" s="122"/>
      <c r="M232" s="122"/>
      <c r="N232" s="170"/>
      <c r="O232" s="170"/>
      <c r="P232" s="170"/>
    </row>
    <row r="233" spans="2:16" ht="14.5" customHeight="1" x14ac:dyDescent="0.2">
      <c r="B233" s="418"/>
      <c r="C233" s="117"/>
      <c r="D233" s="117" t="s">
        <v>547</v>
      </c>
      <c r="E233" s="122"/>
      <c r="F233" s="174"/>
      <c r="G233" s="174"/>
      <c r="H233" s="122"/>
      <c r="I233" s="122"/>
      <c r="J233" s="170"/>
      <c r="K233" s="170"/>
      <c r="L233" s="122"/>
      <c r="M233" s="122"/>
      <c r="N233" s="170"/>
      <c r="O233" s="170"/>
      <c r="P233" s="170"/>
    </row>
    <row r="234" spans="2:16" ht="14.5" customHeight="1" x14ac:dyDescent="0.2">
      <c r="B234" s="418"/>
      <c r="C234" s="119"/>
      <c r="D234" s="119" t="s">
        <v>694</v>
      </c>
      <c r="E234" s="123"/>
      <c r="F234" s="175"/>
      <c r="G234" s="175"/>
      <c r="H234" s="123"/>
      <c r="I234" s="123"/>
      <c r="J234" s="189"/>
      <c r="K234" s="189"/>
      <c r="L234" s="123"/>
      <c r="M234" s="123"/>
      <c r="N234" s="189"/>
      <c r="O234" s="189"/>
      <c r="P234" s="189"/>
    </row>
    <row r="235" spans="2:16" ht="14.5" customHeight="1" x14ac:dyDescent="0.2">
      <c r="B235" s="418"/>
      <c r="C235" s="117"/>
      <c r="D235" s="117" t="s">
        <v>631</v>
      </c>
      <c r="E235" s="122"/>
      <c r="F235" s="174"/>
      <c r="G235" s="174"/>
      <c r="H235" s="122"/>
      <c r="I235" s="122"/>
      <c r="J235" s="170"/>
      <c r="K235" s="170"/>
      <c r="L235" s="122"/>
      <c r="M235" s="122"/>
      <c r="N235" s="170"/>
      <c r="O235" s="170"/>
      <c r="P235" s="170"/>
    </row>
    <row r="236" spans="2:16" ht="14.5" customHeight="1" x14ac:dyDescent="0.2">
      <c r="B236" s="418"/>
      <c r="C236" s="117"/>
      <c r="D236" s="117" t="s">
        <v>847</v>
      </c>
      <c r="E236" s="122"/>
      <c r="F236" s="174"/>
      <c r="G236" s="174"/>
      <c r="H236" s="122"/>
      <c r="I236" s="122"/>
      <c r="J236" s="170"/>
      <c r="K236" s="170"/>
      <c r="L236" s="122"/>
      <c r="M236" s="122"/>
      <c r="N236" s="170"/>
      <c r="O236" s="170"/>
      <c r="P236" s="170"/>
    </row>
    <row r="237" spans="2:16" ht="14.5" customHeight="1" x14ac:dyDescent="0.2">
      <c r="B237" s="418"/>
      <c r="C237" s="117"/>
      <c r="D237" s="117" t="s">
        <v>848</v>
      </c>
      <c r="E237" s="122"/>
      <c r="F237" s="174"/>
      <c r="G237" s="174"/>
      <c r="H237" s="122"/>
      <c r="I237" s="122"/>
      <c r="J237" s="170"/>
      <c r="K237" s="170"/>
      <c r="L237" s="122"/>
      <c r="M237" s="122"/>
      <c r="N237" s="170"/>
      <c r="O237" s="170"/>
      <c r="P237" s="170"/>
    </row>
    <row r="238" spans="2:16" ht="14.5" customHeight="1" x14ac:dyDescent="0.2">
      <c r="B238" s="418"/>
      <c r="C238" s="117"/>
      <c r="D238" s="117" t="s">
        <v>849</v>
      </c>
      <c r="E238" s="122"/>
      <c r="F238" s="174"/>
      <c r="G238" s="174"/>
      <c r="H238" s="122"/>
      <c r="I238" s="122"/>
      <c r="J238" s="170"/>
      <c r="K238" s="170"/>
      <c r="L238" s="122"/>
      <c r="M238" s="122"/>
      <c r="N238" s="170"/>
      <c r="O238" s="170"/>
      <c r="P238" s="170"/>
    </row>
    <row r="239" spans="2:16" ht="14.5" customHeight="1" x14ac:dyDescent="0.2">
      <c r="B239" s="418"/>
      <c r="C239" s="117"/>
      <c r="D239" s="117" t="s">
        <v>605</v>
      </c>
      <c r="E239" s="122"/>
      <c r="F239" s="174"/>
      <c r="G239" s="174"/>
      <c r="H239" s="122"/>
      <c r="I239" s="122"/>
      <c r="J239" s="170"/>
      <c r="K239" s="170"/>
      <c r="L239" s="122"/>
      <c r="M239" s="122"/>
      <c r="N239" s="170"/>
      <c r="O239" s="170"/>
      <c r="P239" s="170"/>
    </row>
    <row r="240" spans="2:16" ht="14.5" customHeight="1" x14ac:dyDescent="0.2">
      <c r="B240" s="418"/>
      <c r="C240" s="119"/>
      <c r="D240" s="119" t="s">
        <v>896</v>
      </c>
      <c r="E240" s="123"/>
      <c r="F240" s="175"/>
      <c r="G240" s="175"/>
      <c r="H240" s="123"/>
      <c r="I240" s="123"/>
      <c r="J240" s="189"/>
      <c r="K240" s="189"/>
      <c r="L240" s="123"/>
      <c r="M240" s="123"/>
      <c r="N240" s="189"/>
      <c r="O240" s="189"/>
      <c r="P240" s="189"/>
    </row>
    <row r="241" spans="2:16" ht="14.5" customHeight="1" x14ac:dyDescent="0.2">
      <c r="B241" s="418"/>
      <c r="C241" s="119"/>
      <c r="D241" s="119" t="s">
        <v>73</v>
      </c>
      <c r="E241" s="123"/>
      <c r="F241" s="175"/>
      <c r="G241" s="175"/>
      <c r="H241" s="123"/>
      <c r="I241" s="123"/>
      <c r="J241" s="189"/>
      <c r="K241" s="189"/>
      <c r="L241" s="123"/>
      <c r="M241" s="123"/>
      <c r="N241" s="189"/>
      <c r="O241" s="189"/>
      <c r="P241" s="189"/>
    </row>
    <row r="242" spans="2:16" ht="14.5" customHeight="1" x14ac:dyDescent="0.2">
      <c r="B242" s="419"/>
      <c r="C242" s="127"/>
      <c r="D242" s="127" t="s">
        <v>604</v>
      </c>
      <c r="E242" s="124"/>
      <c r="F242" s="176"/>
      <c r="G242" s="176"/>
      <c r="H242" s="124"/>
      <c r="I242" s="124"/>
      <c r="J242" s="190"/>
      <c r="K242" s="190"/>
      <c r="L242" s="124"/>
      <c r="M242" s="124"/>
      <c r="N242" s="190"/>
      <c r="O242" s="190"/>
      <c r="P242" s="190"/>
    </row>
    <row r="243" spans="2:16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74"/>
      <c r="H243" s="122"/>
      <c r="I243" s="122"/>
      <c r="J243" s="170"/>
      <c r="K243" s="170"/>
      <c r="L243" s="122"/>
      <c r="M243" s="122"/>
      <c r="N243" s="170"/>
      <c r="O243" s="170"/>
      <c r="P243" s="170"/>
    </row>
    <row r="244" spans="2:16" ht="14.5" customHeight="1" x14ac:dyDescent="0.2">
      <c r="B244" s="418"/>
      <c r="C244" s="117"/>
      <c r="D244" s="117" t="s">
        <v>635</v>
      </c>
      <c r="E244" s="122"/>
      <c r="F244" s="174"/>
      <c r="G244" s="174"/>
      <c r="H244" s="122"/>
      <c r="I244" s="122"/>
      <c r="J244" s="170"/>
      <c r="K244" s="170"/>
      <c r="L244" s="122"/>
      <c r="M244" s="122"/>
      <c r="N244" s="170"/>
      <c r="O244" s="170"/>
      <c r="P244" s="170"/>
    </row>
    <row r="245" spans="2:16" ht="14.5" customHeight="1" x14ac:dyDescent="0.2">
      <c r="B245" s="418"/>
      <c r="C245" s="117"/>
      <c r="D245" s="117" t="s">
        <v>636</v>
      </c>
      <c r="E245" s="122"/>
      <c r="F245" s="174"/>
      <c r="G245" s="174"/>
      <c r="H245" s="122"/>
      <c r="I245" s="122"/>
      <c r="J245" s="170"/>
      <c r="K245" s="170"/>
      <c r="L245" s="122"/>
      <c r="M245" s="122"/>
      <c r="N245" s="170"/>
      <c r="O245" s="170"/>
      <c r="P245" s="170"/>
    </row>
    <row r="246" spans="2:16" ht="14.5" customHeight="1" x14ac:dyDescent="0.2">
      <c r="B246" s="418"/>
      <c r="C246" s="117"/>
      <c r="D246" s="117" t="s">
        <v>807</v>
      </c>
      <c r="E246" s="122"/>
      <c r="F246" s="174"/>
      <c r="G246" s="174"/>
      <c r="H246" s="122"/>
      <c r="I246" s="122"/>
      <c r="J246" s="170"/>
      <c r="K246" s="170"/>
      <c r="L246" s="122"/>
      <c r="M246" s="122"/>
      <c r="N246" s="170"/>
      <c r="O246" s="170"/>
      <c r="P246" s="170"/>
    </row>
    <row r="247" spans="2:16" ht="14.5" customHeight="1" x14ac:dyDescent="0.2">
      <c r="B247" s="418"/>
      <c r="C247" s="117"/>
      <c r="D247" s="117" t="s">
        <v>637</v>
      </c>
      <c r="E247" s="122"/>
      <c r="F247" s="174"/>
      <c r="G247" s="174"/>
      <c r="H247" s="122"/>
      <c r="I247" s="122"/>
      <c r="J247" s="170"/>
      <c r="K247" s="170"/>
      <c r="L247" s="122"/>
      <c r="M247" s="122"/>
      <c r="N247" s="170"/>
      <c r="O247" s="170"/>
      <c r="P247" s="170"/>
    </row>
    <row r="248" spans="2:16" ht="14.5" customHeight="1" x14ac:dyDescent="0.2">
      <c r="B248" s="418"/>
      <c r="C248" s="119"/>
      <c r="D248" s="119" t="s">
        <v>702</v>
      </c>
      <c r="E248" s="123"/>
      <c r="F248" s="175"/>
      <c r="G248" s="175"/>
      <c r="H248" s="123"/>
      <c r="I248" s="123"/>
      <c r="J248" s="189"/>
      <c r="K248" s="189"/>
      <c r="L248" s="123"/>
      <c r="M248" s="123"/>
      <c r="N248" s="189"/>
      <c r="O248" s="189"/>
      <c r="P248" s="189"/>
    </row>
    <row r="249" spans="2:16" ht="14.5" customHeight="1" x14ac:dyDescent="0.2">
      <c r="B249" s="419"/>
      <c r="C249" s="127"/>
      <c r="D249" s="127" t="s">
        <v>633</v>
      </c>
      <c r="E249" s="124"/>
      <c r="F249" s="176"/>
      <c r="G249" s="176"/>
      <c r="H249" s="124"/>
      <c r="I249" s="124"/>
      <c r="J249" s="190"/>
      <c r="K249" s="190"/>
      <c r="L249" s="124"/>
      <c r="M249" s="124"/>
      <c r="N249" s="190"/>
      <c r="O249" s="190"/>
      <c r="P249" s="190"/>
    </row>
    <row r="250" spans="2:16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74"/>
      <c r="H250" s="122"/>
      <c r="I250" s="122"/>
      <c r="J250" s="170"/>
      <c r="K250" s="170"/>
      <c r="L250" s="122"/>
      <c r="M250" s="122"/>
      <c r="N250" s="170"/>
      <c r="O250" s="170"/>
      <c r="P250" s="170"/>
    </row>
    <row r="251" spans="2:16" ht="14" customHeight="1" x14ac:dyDescent="0.2">
      <c r="B251" s="418"/>
      <c r="C251" s="117"/>
      <c r="D251" s="117" t="s">
        <v>567</v>
      </c>
      <c r="E251" s="122"/>
      <c r="F251" s="174"/>
      <c r="G251" s="174"/>
      <c r="H251" s="122"/>
      <c r="I251" s="122"/>
      <c r="J251" s="170"/>
      <c r="K251" s="170"/>
      <c r="L251" s="122"/>
      <c r="M251" s="122"/>
      <c r="N251" s="170"/>
      <c r="O251" s="170"/>
      <c r="P251" s="170"/>
    </row>
    <row r="252" spans="2:16" ht="14.5" customHeight="1" x14ac:dyDescent="0.2">
      <c r="B252" s="418"/>
      <c r="C252" s="117"/>
      <c r="D252" s="117" t="s">
        <v>569</v>
      </c>
      <c r="E252" s="122"/>
      <c r="F252" s="174"/>
      <c r="G252" s="174"/>
      <c r="H252" s="122"/>
      <c r="I252" s="122"/>
      <c r="J252" s="170"/>
      <c r="K252" s="170"/>
      <c r="L252" s="122"/>
      <c r="M252" s="122"/>
      <c r="N252" s="170"/>
      <c r="O252" s="170"/>
      <c r="P252" s="170"/>
    </row>
    <row r="253" spans="2:16" ht="14.5" customHeight="1" x14ac:dyDescent="0.2">
      <c r="B253" s="418"/>
      <c r="C253" s="117"/>
      <c r="D253" s="117" t="s">
        <v>808</v>
      </c>
      <c r="E253" s="122"/>
      <c r="F253" s="174"/>
      <c r="G253" s="174"/>
      <c r="H253" s="122"/>
      <c r="I253" s="122"/>
      <c r="J253" s="170"/>
      <c r="K253" s="170"/>
      <c r="L253" s="122"/>
      <c r="M253" s="122"/>
      <c r="N253" s="170"/>
      <c r="O253" s="170"/>
      <c r="P253" s="170"/>
    </row>
    <row r="254" spans="2:16" ht="14.5" customHeight="1" x14ac:dyDescent="0.2">
      <c r="B254" s="418"/>
      <c r="C254" s="117"/>
      <c r="D254" s="117" t="s">
        <v>568</v>
      </c>
      <c r="E254" s="122"/>
      <c r="F254" s="174"/>
      <c r="G254" s="174"/>
      <c r="H254" s="122"/>
      <c r="I254" s="122"/>
      <c r="J254" s="170"/>
      <c r="K254" s="170"/>
      <c r="L254" s="122"/>
      <c r="M254" s="122"/>
      <c r="N254" s="170"/>
      <c r="O254" s="170"/>
      <c r="P254" s="170"/>
    </row>
    <row r="255" spans="2:16" ht="14.5" customHeight="1" x14ac:dyDescent="0.2">
      <c r="B255" s="418"/>
      <c r="C255" s="117"/>
      <c r="D255" s="117" t="s">
        <v>566</v>
      </c>
      <c r="E255" s="122"/>
      <c r="F255" s="174"/>
      <c r="G255" s="174"/>
      <c r="H255" s="122"/>
      <c r="I255" s="122"/>
      <c r="J255" s="170"/>
      <c r="K255" s="170"/>
      <c r="L255" s="122"/>
      <c r="M255" s="122"/>
      <c r="N255" s="170"/>
      <c r="O255" s="170"/>
      <c r="P255" s="170"/>
    </row>
    <row r="256" spans="2:16" ht="14.5" customHeight="1" x14ac:dyDescent="0.2">
      <c r="B256" s="418"/>
      <c r="C256" s="117"/>
      <c r="D256" s="117" t="s">
        <v>570</v>
      </c>
      <c r="E256" s="122"/>
      <c r="F256" s="174"/>
      <c r="G256" s="174"/>
      <c r="H256" s="122"/>
      <c r="I256" s="122"/>
      <c r="J256" s="170"/>
      <c r="K256" s="170"/>
      <c r="L256" s="122"/>
      <c r="M256" s="122"/>
      <c r="N256" s="170"/>
      <c r="O256" s="170"/>
      <c r="P256" s="170"/>
    </row>
    <row r="257" spans="2:16" ht="14.5" customHeight="1" x14ac:dyDescent="0.2">
      <c r="B257" s="418"/>
      <c r="C257" s="119"/>
      <c r="D257" s="119" t="s">
        <v>734</v>
      </c>
      <c r="E257" s="123"/>
      <c r="F257" s="175"/>
      <c r="G257" s="175"/>
      <c r="H257" s="123"/>
      <c r="I257" s="123"/>
      <c r="J257" s="189"/>
      <c r="K257" s="189"/>
      <c r="L257" s="123"/>
      <c r="M257" s="123"/>
      <c r="N257" s="189"/>
      <c r="O257" s="189"/>
      <c r="P257" s="189"/>
    </row>
    <row r="258" spans="2:16" ht="14.5" customHeight="1" x14ac:dyDescent="0.2">
      <c r="B258" s="419"/>
      <c r="C258" s="127"/>
      <c r="D258" s="127" t="s">
        <v>51</v>
      </c>
      <c r="E258" s="124"/>
      <c r="F258" s="176"/>
      <c r="G258" s="176"/>
      <c r="H258" s="124"/>
      <c r="I258" s="124"/>
      <c r="J258" s="190"/>
      <c r="K258" s="190"/>
      <c r="L258" s="124"/>
      <c r="M258" s="124"/>
      <c r="N258" s="190"/>
      <c r="O258" s="190"/>
      <c r="P258" s="190"/>
    </row>
    <row r="259" spans="2:16" ht="14.5" customHeight="1" x14ac:dyDescent="0.2">
      <c r="B259" s="127"/>
      <c r="C259" s="127"/>
      <c r="D259" s="127" t="s">
        <v>638</v>
      </c>
      <c r="E259" s="124"/>
      <c r="F259" s="176"/>
      <c r="G259" s="176"/>
      <c r="H259" s="124"/>
      <c r="I259" s="124"/>
      <c r="J259" s="190"/>
      <c r="K259" s="190"/>
      <c r="L259" s="124"/>
      <c r="M259" s="124"/>
      <c r="N259" s="190"/>
      <c r="O259" s="190"/>
      <c r="P259" s="190"/>
    </row>
    <row r="260" spans="2:16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74"/>
      <c r="H260" s="122"/>
      <c r="I260" s="122"/>
      <c r="J260" s="170"/>
      <c r="K260" s="170"/>
      <c r="L260" s="122"/>
      <c r="M260" s="122"/>
      <c r="N260" s="170"/>
      <c r="O260" s="170"/>
      <c r="P260" s="170"/>
    </row>
    <row r="261" spans="2:16" ht="14.5" customHeight="1" x14ac:dyDescent="0.2">
      <c r="B261" s="418"/>
      <c r="C261" s="117"/>
      <c r="D261" s="117" t="s">
        <v>609</v>
      </c>
      <c r="E261" s="122"/>
      <c r="F261" s="174"/>
      <c r="G261" s="174"/>
      <c r="H261" s="122"/>
      <c r="I261" s="122"/>
      <c r="J261" s="170"/>
      <c r="K261" s="170"/>
      <c r="L261" s="122"/>
      <c r="M261" s="122"/>
      <c r="N261" s="170"/>
      <c r="O261" s="170"/>
      <c r="P261" s="170"/>
    </row>
    <row r="262" spans="2:16" ht="14.5" customHeight="1" x14ac:dyDescent="0.2">
      <c r="B262" s="418"/>
      <c r="C262" s="117"/>
      <c r="D262" s="117" t="s">
        <v>610</v>
      </c>
      <c r="E262" s="122"/>
      <c r="F262" s="174"/>
      <c r="G262" s="174"/>
      <c r="H262" s="122"/>
      <c r="I262" s="122"/>
      <c r="J262" s="170"/>
      <c r="K262" s="170"/>
      <c r="L262" s="122"/>
      <c r="M262" s="122"/>
      <c r="N262" s="170"/>
      <c r="O262" s="170"/>
      <c r="P262" s="170"/>
    </row>
    <row r="263" spans="2:16" ht="14.5" customHeight="1" x14ac:dyDescent="0.2">
      <c r="B263" s="418"/>
      <c r="C263" s="117"/>
      <c r="D263" s="117" t="s">
        <v>611</v>
      </c>
      <c r="E263" s="122"/>
      <c r="F263" s="174"/>
      <c r="G263" s="174"/>
      <c r="H263" s="122"/>
      <c r="I263" s="122"/>
      <c r="J263" s="170"/>
      <c r="K263" s="170"/>
      <c r="L263" s="122"/>
      <c r="M263" s="122"/>
      <c r="N263" s="170"/>
      <c r="O263" s="170"/>
      <c r="P263" s="170"/>
    </row>
    <row r="264" spans="2:16" ht="14.5" customHeight="1" x14ac:dyDescent="0.2">
      <c r="B264" s="418"/>
      <c r="C264" s="117"/>
      <c r="D264" s="117" t="s">
        <v>850</v>
      </c>
      <c r="E264" s="122"/>
      <c r="F264" s="174"/>
      <c r="G264" s="174"/>
      <c r="H264" s="122"/>
      <c r="I264" s="122"/>
      <c r="J264" s="170"/>
      <c r="K264" s="170"/>
      <c r="L264" s="122"/>
      <c r="M264" s="122"/>
      <c r="N264" s="170"/>
      <c r="O264" s="170"/>
      <c r="P264" s="170"/>
    </row>
    <row r="265" spans="2:16" ht="14.5" customHeight="1" x14ac:dyDescent="0.2">
      <c r="B265" s="418"/>
      <c r="C265" s="119"/>
      <c r="D265" s="119" t="s">
        <v>743</v>
      </c>
      <c r="E265" s="123"/>
      <c r="F265" s="175"/>
      <c r="G265" s="175"/>
      <c r="H265" s="123"/>
      <c r="I265" s="123"/>
      <c r="J265" s="189"/>
      <c r="K265" s="189"/>
      <c r="L265" s="123"/>
      <c r="M265" s="123"/>
      <c r="N265" s="189"/>
      <c r="O265" s="189"/>
      <c r="P265" s="189"/>
    </row>
    <row r="266" spans="2:16" ht="14.5" customHeight="1" x14ac:dyDescent="0.2">
      <c r="B266" s="418"/>
      <c r="C266" s="117"/>
      <c r="D266" s="117" t="s">
        <v>606</v>
      </c>
      <c r="E266" s="122"/>
      <c r="F266" s="174"/>
      <c r="G266" s="174"/>
      <c r="H266" s="122"/>
      <c r="I266" s="122"/>
      <c r="J266" s="170"/>
      <c r="K266" s="170"/>
      <c r="L266" s="122"/>
      <c r="M266" s="122"/>
      <c r="N266" s="170"/>
      <c r="O266" s="170"/>
      <c r="P266" s="170"/>
    </row>
    <row r="267" spans="2:16" ht="14.5" customHeight="1" x14ac:dyDescent="0.2">
      <c r="B267" s="418"/>
      <c r="C267" s="117"/>
      <c r="D267" s="117" t="s">
        <v>901</v>
      </c>
      <c r="E267" s="122"/>
      <c r="F267" s="174"/>
      <c r="G267" s="174"/>
      <c r="H267" s="122"/>
      <c r="I267" s="122"/>
      <c r="J267" s="170"/>
      <c r="K267" s="170"/>
      <c r="L267" s="122"/>
      <c r="M267" s="122"/>
      <c r="N267" s="170"/>
      <c r="O267" s="170"/>
      <c r="P267" s="170"/>
    </row>
    <row r="268" spans="2:16" ht="14.5" customHeight="1" x14ac:dyDescent="0.2">
      <c r="B268" s="418"/>
      <c r="C268" s="117"/>
      <c r="D268" s="117" t="s">
        <v>607</v>
      </c>
      <c r="E268" s="122"/>
      <c r="F268" s="174"/>
      <c r="G268" s="174"/>
      <c r="H268" s="122"/>
      <c r="I268" s="122"/>
      <c r="J268" s="170"/>
      <c r="K268" s="170"/>
      <c r="L268" s="122"/>
      <c r="M268" s="122"/>
      <c r="N268" s="170"/>
      <c r="O268" s="170"/>
      <c r="P268" s="170"/>
    </row>
    <row r="269" spans="2:16" ht="14.5" customHeight="1" x14ac:dyDescent="0.2">
      <c r="B269" s="418"/>
      <c r="C269" s="117"/>
      <c r="D269" s="117" t="s">
        <v>608</v>
      </c>
      <c r="E269" s="122"/>
      <c r="F269" s="174"/>
      <c r="G269" s="174"/>
      <c r="H269" s="122"/>
      <c r="I269" s="122"/>
      <c r="J269" s="170"/>
      <c r="K269" s="170"/>
      <c r="L269" s="122"/>
      <c r="M269" s="122"/>
      <c r="N269" s="170"/>
      <c r="O269" s="170"/>
      <c r="P269" s="170"/>
    </row>
    <row r="270" spans="2:16" ht="14.5" customHeight="1" x14ac:dyDescent="0.2">
      <c r="B270" s="418"/>
      <c r="C270" s="117"/>
      <c r="D270" s="117" t="s">
        <v>640</v>
      </c>
      <c r="E270" s="122"/>
      <c r="F270" s="174"/>
      <c r="G270" s="174"/>
      <c r="H270" s="122"/>
      <c r="I270" s="122"/>
      <c r="J270" s="170"/>
      <c r="K270" s="170"/>
      <c r="L270" s="122"/>
      <c r="M270" s="122"/>
      <c r="N270" s="170"/>
      <c r="O270" s="170"/>
      <c r="P270" s="170"/>
    </row>
    <row r="271" spans="2:16" ht="14.5" customHeight="1" x14ac:dyDescent="0.2">
      <c r="B271" s="418"/>
      <c r="C271" s="117"/>
      <c r="D271" s="117" t="s">
        <v>851</v>
      </c>
      <c r="E271" s="122"/>
      <c r="F271" s="174"/>
      <c r="G271" s="174"/>
      <c r="H271" s="122"/>
      <c r="I271" s="122"/>
      <c r="J271" s="170"/>
      <c r="K271" s="170"/>
      <c r="L271" s="122"/>
      <c r="M271" s="122"/>
      <c r="N271" s="170"/>
      <c r="O271" s="170"/>
      <c r="P271" s="170"/>
    </row>
    <row r="272" spans="2:16" ht="14.5" customHeight="1" x14ac:dyDescent="0.2">
      <c r="B272" s="418"/>
      <c r="C272" s="119"/>
      <c r="D272" s="119" t="s">
        <v>898</v>
      </c>
      <c r="E272" s="123"/>
      <c r="F272" s="175"/>
      <c r="G272" s="175"/>
      <c r="H272" s="123"/>
      <c r="I272" s="123"/>
      <c r="J272" s="189"/>
      <c r="K272" s="189"/>
      <c r="L272" s="123"/>
      <c r="M272" s="123"/>
      <c r="N272" s="189"/>
      <c r="O272" s="189"/>
      <c r="P272" s="189"/>
    </row>
    <row r="273" spans="2:16" ht="14.5" customHeight="1" x14ac:dyDescent="0.2">
      <c r="B273" s="418"/>
      <c r="C273" s="119"/>
      <c r="D273" s="119" t="s">
        <v>897</v>
      </c>
      <c r="E273" s="123"/>
      <c r="F273" s="175"/>
      <c r="G273" s="175"/>
      <c r="H273" s="123"/>
      <c r="I273" s="123"/>
      <c r="J273" s="189"/>
      <c r="K273" s="189"/>
      <c r="L273" s="123"/>
      <c r="M273" s="123"/>
      <c r="N273" s="189"/>
      <c r="O273" s="189"/>
      <c r="P273" s="189"/>
    </row>
    <row r="274" spans="2:16" ht="14.5" customHeight="1" x14ac:dyDescent="0.2">
      <c r="B274" s="419"/>
      <c r="C274" s="127"/>
      <c r="D274" s="127" t="s">
        <v>639</v>
      </c>
      <c r="E274" s="124"/>
      <c r="F274" s="176"/>
      <c r="G274" s="176"/>
      <c r="H274" s="124"/>
      <c r="I274" s="124"/>
      <c r="J274" s="190"/>
      <c r="K274" s="190"/>
      <c r="L274" s="124"/>
      <c r="M274" s="124"/>
      <c r="N274" s="190"/>
      <c r="O274" s="190"/>
      <c r="P274" s="190"/>
    </row>
    <row r="275" spans="2:16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74"/>
      <c r="H275" s="122"/>
      <c r="I275" s="122"/>
      <c r="J275" s="170"/>
      <c r="K275" s="170"/>
      <c r="L275" s="122"/>
      <c r="M275" s="122"/>
      <c r="N275" s="170"/>
      <c r="O275" s="170"/>
      <c r="P275" s="170"/>
    </row>
    <row r="276" spans="2:16" ht="14.5" customHeight="1" x14ac:dyDescent="0.2">
      <c r="B276" s="418"/>
      <c r="C276" s="117"/>
      <c r="D276" s="117" t="s">
        <v>852</v>
      </c>
      <c r="E276" s="122"/>
      <c r="F276" s="174"/>
      <c r="G276" s="174"/>
      <c r="H276" s="122"/>
      <c r="I276" s="122"/>
      <c r="J276" s="170"/>
      <c r="K276" s="170"/>
      <c r="L276" s="122"/>
      <c r="M276" s="122"/>
      <c r="N276" s="170"/>
      <c r="O276" s="170"/>
      <c r="P276" s="170"/>
    </row>
    <row r="277" spans="2:16" ht="14.5" customHeight="1" x14ac:dyDescent="0.2">
      <c r="B277" s="418"/>
      <c r="C277" s="117"/>
      <c r="D277" s="117" t="s">
        <v>853</v>
      </c>
      <c r="E277" s="122"/>
      <c r="F277" s="174"/>
      <c r="G277" s="174"/>
      <c r="H277" s="122"/>
      <c r="I277" s="122"/>
      <c r="J277" s="170"/>
      <c r="K277" s="170"/>
      <c r="L277" s="122"/>
      <c r="M277" s="122"/>
      <c r="N277" s="170"/>
      <c r="O277" s="170"/>
      <c r="P277" s="170"/>
    </row>
    <row r="278" spans="2:16" ht="14.5" customHeight="1" x14ac:dyDescent="0.2">
      <c r="B278" s="418"/>
      <c r="C278" s="117"/>
      <c r="D278" s="117" t="s">
        <v>854</v>
      </c>
      <c r="E278" s="122"/>
      <c r="F278" s="174"/>
      <c r="G278" s="174"/>
      <c r="H278" s="122"/>
      <c r="I278" s="122"/>
      <c r="J278" s="170"/>
      <c r="K278" s="170"/>
      <c r="L278" s="122"/>
      <c r="M278" s="122"/>
      <c r="N278" s="170"/>
      <c r="O278" s="170"/>
      <c r="P278" s="170"/>
    </row>
    <row r="279" spans="2:16" ht="14.5" customHeight="1" x14ac:dyDescent="0.2">
      <c r="B279" s="418"/>
      <c r="C279" s="119"/>
      <c r="D279" s="119" t="s">
        <v>746</v>
      </c>
      <c r="E279" s="123"/>
      <c r="F279" s="175"/>
      <c r="G279" s="175"/>
      <c r="H279" s="123"/>
      <c r="I279" s="123"/>
      <c r="J279" s="189"/>
      <c r="K279" s="189"/>
      <c r="L279" s="123"/>
      <c r="M279" s="123"/>
      <c r="N279" s="189"/>
      <c r="O279" s="189"/>
      <c r="P279" s="189"/>
    </row>
    <row r="280" spans="2:16" ht="14.5" customHeight="1" x14ac:dyDescent="0.2">
      <c r="B280" s="419"/>
      <c r="C280" s="127"/>
      <c r="D280" s="127" t="s">
        <v>642</v>
      </c>
      <c r="E280" s="124"/>
      <c r="F280" s="176"/>
      <c r="G280" s="176"/>
      <c r="H280" s="124"/>
      <c r="I280" s="124"/>
      <c r="J280" s="190"/>
      <c r="K280" s="190"/>
      <c r="L280" s="124"/>
      <c r="M280" s="124"/>
      <c r="N280" s="190"/>
      <c r="O280" s="190"/>
      <c r="P280" s="190"/>
    </row>
    <row r="281" spans="2:16" ht="14.5" customHeight="1" x14ac:dyDescent="0.2">
      <c r="B281" s="127"/>
      <c r="C281" s="127"/>
      <c r="D281" s="127" t="s">
        <v>643</v>
      </c>
      <c r="E281" s="124"/>
      <c r="F281" s="176"/>
      <c r="G281" s="176"/>
      <c r="H281" s="124"/>
      <c r="I281" s="124"/>
      <c r="J281" s="190"/>
      <c r="K281" s="190"/>
      <c r="L281" s="124"/>
      <c r="M281" s="124"/>
      <c r="N281" s="190"/>
      <c r="O281" s="190"/>
      <c r="P281" s="190"/>
    </row>
    <row r="282" spans="2:16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74"/>
      <c r="H282" s="122"/>
      <c r="I282" s="122"/>
      <c r="J282" s="170"/>
      <c r="K282" s="170"/>
      <c r="L282" s="122"/>
      <c r="M282" s="122"/>
      <c r="N282" s="170"/>
      <c r="O282" s="170"/>
      <c r="P282" s="170"/>
    </row>
    <row r="283" spans="2:16" ht="14.5" customHeight="1" x14ac:dyDescent="0.2">
      <c r="B283" s="418"/>
      <c r="C283" s="117"/>
      <c r="D283" s="117" t="s">
        <v>791</v>
      </c>
      <c r="E283" s="122"/>
      <c r="F283" s="174"/>
      <c r="G283" s="174"/>
      <c r="H283" s="122"/>
      <c r="I283" s="122"/>
      <c r="J283" s="170"/>
      <c r="K283" s="170"/>
      <c r="L283" s="122"/>
      <c r="M283" s="122"/>
      <c r="N283" s="170"/>
      <c r="O283" s="170"/>
      <c r="P283" s="170"/>
    </row>
    <row r="284" spans="2:16" ht="14.5" customHeight="1" x14ac:dyDescent="0.2">
      <c r="B284" s="418"/>
      <c r="C284" s="117"/>
      <c r="D284" s="117" t="s">
        <v>647</v>
      </c>
      <c r="E284" s="122"/>
      <c r="F284" s="174"/>
      <c r="G284" s="174"/>
      <c r="H284" s="122"/>
      <c r="I284" s="122"/>
      <c r="J284" s="170"/>
      <c r="K284" s="170"/>
      <c r="L284" s="122"/>
      <c r="M284" s="122"/>
      <c r="N284" s="170"/>
      <c r="O284" s="170"/>
      <c r="P284" s="170"/>
    </row>
    <row r="285" spans="2:16" ht="14.5" customHeight="1" x14ac:dyDescent="0.2">
      <c r="B285" s="418"/>
      <c r="C285" s="117"/>
      <c r="D285" s="117" t="s">
        <v>857</v>
      </c>
      <c r="E285" s="122"/>
      <c r="F285" s="174"/>
      <c r="G285" s="174"/>
      <c r="H285" s="122"/>
      <c r="I285" s="122"/>
      <c r="J285" s="170"/>
      <c r="K285" s="170"/>
      <c r="L285" s="122"/>
      <c r="M285" s="122"/>
      <c r="N285" s="170"/>
      <c r="O285" s="170"/>
      <c r="P285" s="170"/>
    </row>
    <row r="286" spans="2:16" ht="14.5" customHeight="1" x14ac:dyDescent="0.2">
      <c r="B286" s="418"/>
      <c r="C286" s="117"/>
      <c r="D286" s="117" t="s">
        <v>648</v>
      </c>
      <c r="E286" s="122"/>
      <c r="F286" s="174"/>
      <c r="G286" s="174"/>
      <c r="H286" s="122"/>
      <c r="I286" s="122"/>
      <c r="J286" s="170"/>
      <c r="K286" s="170"/>
      <c r="L286" s="122"/>
      <c r="M286" s="122"/>
      <c r="N286" s="170"/>
      <c r="O286" s="170"/>
      <c r="P286" s="170"/>
    </row>
    <row r="287" spans="2:16" ht="14.5" customHeight="1" x14ac:dyDescent="0.2">
      <c r="B287" s="418"/>
      <c r="C287" s="119"/>
      <c r="D287" s="119" t="s">
        <v>747</v>
      </c>
      <c r="E287" s="123"/>
      <c r="F287" s="175"/>
      <c r="G287" s="175"/>
      <c r="H287" s="123"/>
      <c r="I287" s="123"/>
      <c r="J287" s="189"/>
      <c r="K287" s="189"/>
      <c r="L287" s="123"/>
      <c r="M287" s="123"/>
      <c r="N287" s="189"/>
      <c r="O287" s="189"/>
      <c r="P287" s="189"/>
    </row>
    <row r="288" spans="2:16" ht="14.5" customHeight="1" x14ac:dyDescent="0.2">
      <c r="B288" s="419"/>
      <c r="C288" s="127"/>
      <c r="D288" s="127" t="s">
        <v>645</v>
      </c>
      <c r="E288" s="124"/>
      <c r="F288" s="176"/>
      <c r="G288" s="176"/>
      <c r="H288" s="124"/>
      <c r="I288" s="124"/>
      <c r="J288" s="190"/>
      <c r="K288" s="190"/>
      <c r="L288" s="124"/>
      <c r="M288" s="124"/>
      <c r="N288" s="190"/>
      <c r="O288" s="190"/>
      <c r="P288" s="190"/>
    </row>
    <row r="289" spans="2:16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74"/>
      <c r="H289" s="122"/>
      <c r="I289" s="122"/>
      <c r="J289" s="170"/>
      <c r="K289" s="170"/>
      <c r="L289" s="122"/>
      <c r="M289" s="122"/>
      <c r="N289" s="170"/>
      <c r="O289" s="170"/>
      <c r="P289" s="170"/>
    </row>
    <row r="290" spans="2:16" ht="14.5" customHeight="1" x14ac:dyDescent="0.2">
      <c r="B290" s="418"/>
      <c r="C290" s="117"/>
      <c r="D290" s="117" t="s">
        <v>856</v>
      </c>
      <c r="E290" s="122"/>
      <c r="F290" s="174"/>
      <c r="G290" s="174"/>
      <c r="H290" s="122"/>
      <c r="I290" s="122"/>
      <c r="J290" s="170"/>
      <c r="K290" s="170"/>
      <c r="L290" s="122"/>
      <c r="M290" s="122"/>
      <c r="N290" s="170"/>
      <c r="O290" s="170"/>
      <c r="P290" s="170"/>
    </row>
    <row r="291" spans="2:16" ht="14.5" customHeight="1" x14ac:dyDescent="0.2">
      <c r="B291" s="418"/>
      <c r="C291" s="119"/>
      <c r="D291" s="119" t="s">
        <v>899</v>
      </c>
      <c r="E291" s="123"/>
      <c r="F291" s="175"/>
      <c r="G291" s="175"/>
      <c r="H291" s="123"/>
      <c r="I291" s="123"/>
      <c r="J291" s="189"/>
      <c r="K291" s="189"/>
      <c r="L291" s="123"/>
      <c r="M291" s="123"/>
      <c r="N291" s="189"/>
      <c r="O291" s="189"/>
      <c r="P291" s="189"/>
    </row>
    <row r="292" spans="2:16" ht="14.5" customHeight="1" x14ac:dyDescent="0.2">
      <c r="B292" s="419"/>
      <c r="C292" s="127"/>
      <c r="D292" s="127" t="s">
        <v>860</v>
      </c>
      <c r="E292" s="124"/>
      <c r="F292" s="176"/>
      <c r="G292" s="176"/>
      <c r="H292" s="124"/>
      <c r="I292" s="124"/>
      <c r="J292" s="190"/>
      <c r="K292" s="190"/>
      <c r="L292" s="124"/>
      <c r="M292" s="124"/>
      <c r="N292" s="190"/>
      <c r="O292" s="190"/>
      <c r="P292" s="190"/>
    </row>
    <row r="293" spans="2:16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74"/>
      <c r="H293" s="122"/>
      <c r="I293" s="122"/>
      <c r="J293" s="170"/>
      <c r="K293" s="170"/>
      <c r="L293" s="122"/>
      <c r="M293" s="122"/>
      <c r="N293" s="170"/>
      <c r="O293" s="170"/>
      <c r="P293" s="170"/>
    </row>
    <row r="294" spans="2:16" ht="14.5" customHeight="1" x14ac:dyDescent="0.2">
      <c r="B294" s="418"/>
      <c r="C294" s="117"/>
      <c r="D294" s="117" t="s">
        <v>861</v>
      </c>
      <c r="E294" s="122"/>
      <c r="F294" s="174"/>
      <c r="G294" s="174"/>
      <c r="H294" s="122"/>
      <c r="I294" s="122"/>
      <c r="J294" s="170"/>
      <c r="K294" s="170"/>
      <c r="L294" s="122"/>
      <c r="M294" s="122"/>
      <c r="N294" s="170"/>
      <c r="O294" s="170"/>
      <c r="P294" s="170"/>
    </row>
    <row r="295" spans="2:16" ht="14.5" customHeight="1" x14ac:dyDescent="0.2">
      <c r="B295" s="418"/>
      <c r="C295" s="117"/>
      <c r="D295" s="117" t="s">
        <v>651</v>
      </c>
      <c r="E295" s="122"/>
      <c r="F295" s="174"/>
      <c r="G295" s="174"/>
      <c r="H295" s="122"/>
      <c r="I295" s="122"/>
      <c r="J295" s="170"/>
      <c r="K295" s="170"/>
      <c r="L295" s="122"/>
      <c r="M295" s="122"/>
      <c r="N295" s="170"/>
      <c r="O295" s="170"/>
      <c r="P295" s="170"/>
    </row>
    <row r="296" spans="2:16" ht="14.5" customHeight="1" x14ac:dyDescent="0.2">
      <c r="B296" s="418"/>
      <c r="C296" s="117"/>
      <c r="D296" s="117" t="s">
        <v>652</v>
      </c>
      <c r="E296" s="122"/>
      <c r="F296" s="174"/>
      <c r="G296" s="174"/>
      <c r="H296" s="122"/>
      <c r="I296" s="122"/>
      <c r="J296" s="170"/>
      <c r="K296" s="170"/>
      <c r="L296" s="122"/>
      <c r="M296" s="122"/>
      <c r="N296" s="170"/>
      <c r="O296" s="170"/>
      <c r="P296" s="170"/>
    </row>
    <row r="297" spans="2:16" ht="14.5" customHeight="1" x14ac:dyDescent="0.2">
      <c r="B297" s="418"/>
      <c r="C297" s="117"/>
      <c r="D297" s="117" t="s">
        <v>653</v>
      </c>
      <c r="E297" s="122"/>
      <c r="F297" s="174"/>
      <c r="G297" s="174"/>
      <c r="H297" s="122"/>
      <c r="I297" s="122"/>
      <c r="J297" s="170"/>
      <c r="K297" s="170"/>
      <c r="L297" s="122"/>
      <c r="M297" s="122"/>
      <c r="N297" s="170"/>
      <c r="O297" s="170"/>
      <c r="P297" s="170"/>
    </row>
    <row r="298" spans="2:16" ht="14.5" customHeight="1" x14ac:dyDescent="0.2">
      <c r="B298" s="418"/>
      <c r="C298" s="119"/>
      <c r="D298" s="119" t="s">
        <v>754</v>
      </c>
      <c r="E298" s="123"/>
      <c r="F298" s="175"/>
      <c r="G298" s="175"/>
      <c r="H298" s="123"/>
      <c r="I298" s="123"/>
      <c r="J298" s="189"/>
      <c r="K298" s="189"/>
      <c r="L298" s="123"/>
      <c r="M298" s="123"/>
      <c r="N298" s="189"/>
      <c r="O298" s="189"/>
      <c r="P298" s="189"/>
    </row>
    <row r="299" spans="2:16" ht="14.5" customHeight="1" x14ac:dyDescent="0.2">
      <c r="B299" s="419"/>
      <c r="C299" s="127"/>
      <c r="D299" s="127" t="s">
        <v>654</v>
      </c>
      <c r="E299" s="124"/>
      <c r="F299" s="176"/>
      <c r="G299" s="176"/>
      <c r="H299" s="124"/>
      <c r="I299" s="124"/>
      <c r="J299" s="190"/>
      <c r="K299" s="190"/>
      <c r="L299" s="124"/>
      <c r="M299" s="124"/>
      <c r="N299" s="190"/>
      <c r="O299" s="190"/>
      <c r="P299" s="190"/>
    </row>
    <row r="300" spans="2:16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74"/>
      <c r="H300" s="122"/>
      <c r="I300" s="122"/>
      <c r="J300" s="170"/>
      <c r="K300" s="170"/>
      <c r="L300" s="122"/>
      <c r="M300" s="122"/>
      <c r="N300" s="170"/>
      <c r="O300" s="170"/>
      <c r="P300" s="170"/>
    </row>
    <row r="301" spans="2:16" ht="14.5" customHeight="1" x14ac:dyDescent="0.2">
      <c r="B301" s="418"/>
      <c r="C301" s="117"/>
      <c r="D301" s="117" t="s">
        <v>657</v>
      </c>
      <c r="E301" s="122"/>
      <c r="F301" s="174"/>
      <c r="G301" s="174"/>
      <c r="H301" s="122"/>
      <c r="I301" s="122"/>
      <c r="J301" s="170"/>
      <c r="K301" s="170"/>
      <c r="L301" s="122"/>
      <c r="M301" s="122"/>
      <c r="N301" s="170"/>
      <c r="O301" s="170"/>
      <c r="P301" s="170"/>
    </row>
    <row r="302" spans="2:16" ht="14.5" customHeight="1" x14ac:dyDescent="0.2">
      <c r="B302" s="418"/>
      <c r="C302" s="117"/>
      <c r="D302" s="117" t="s">
        <v>793</v>
      </c>
      <c r="E302" s="122"/>
      <c r="F302" s="174"/>
      <c r="G302" s="174"/>
      <c r="H302" s="122"/>
      <c r="I302" s="122"/>
      <c r="J302" s="170"/>
      <c r="K302" s="170"/>
      <c r="L302" s="122"/>
      <c r="M302" s="122"/>
      <c r="N302" s="170"/>
      <c r="O302" s="170"/>
      <c r="P302" s="170"/>
    </row>
    <row r="303" spans="2:16" ht="14.5" customHeight="1" x14ac:dyDescent="0.2">
      <c r="B303" s="418"/>
      <c r="C303" s="117"/>
      <c r="D303" s="117" t="s">
        <v>862</v>
      </c>
      <c r="E303" s="122"/>
      <c r="F303" s="174"/>
      <c r="G303" s="174"/>
      <c r="H303" s="122"/>
      <c r="I303" s="122"/>
      <c r="J303" s="170"/>
      <c r="K303" s="170"/>
      <c r="L303" s="122"/>
      <c r="M303" s="122"/>
      <c r="N303" s="170"/>
      <c r="O303" s="170"/>
      <c r="P303" s="170"/>
    </row>
    <row r="304" spans="2:16" ht="14.5" customHeight="1" x14ac:dyDescent="0.2">
      <c r="B304" s="418"/>
      <c r="C304" s="117"/>
      <c r="D304" s="117" t="s">
        <v>809</v>
      </c>
      <c r="E304" s="122"/>
      <c r="F304" s="174"/>
      <c r="G304" s="174"/>
      <c r="H304" s="122"/>
      <c r="I304" s="122"/>
      <c r="J304" s="170"/>
      <c r="K304" s="170"/>
      <c r="L304" s="122"/>
      <c r="M304" s="122"/>
      <c r="N304" s="170"/>
      <c r="O304" s="170"/>
      <c r="P304" s="170"/>
    </row>
    <row r="305" spans="2:16" ht="14.5" customHeight="1" x14ac:dyDescent="0.2">
      <c r="B305" s="418"/>
      <c r="C305" s="117"/>
      <c r="D305" s="117" t="s">
        <v>794</v>
      </c>
      <c r="E305" s="122"/>
      <c r="F305" s="174"/>
      <c r="G305" s="174"/>
      <c r="H305" s="122"/>
      <c r="I305" s="122"/>
      <c r="J305" s="170"/>
      <c r="K305" s="170"/>
      <c r="L305" s="122"/>
      <c r="M305" s="122"/>
      <c r="N305" s="170"/>
      <c r="O305" s="170"/>
      <c r="P305" s="170"/>
    </row>
    <row r="306" spans="2:16" ht="14.5" customHeight="1" x14ac:dyDescent="0.2">
      <c r="B306" s="418"/>
      <c r="C306" s="119"/>
      <c r="D306" s="119" t="s">
        <v>752</v>
      </c>
      <c r="E306" s="123"/>
      <c r="F306" s="175"/>
      <c r="G306" s="175"/>
      <c r="H306" s="123"/>
      <c r="I306" s="123"/>
      <c r="J306" s="189"/>
      <c r="K306" s="189"/>
      <c r="L306" s="123"/>
      <c r="M306" s="123"/>
      <c r="N306" s="189"/>
      <c r="O306" s="189"/>
      <c r="P306" s="189"/>
    </row>
    <row r="307" spans="2:16" ht="14.5" customHeight="1" x14ac:dyDescent="0.2">
      <c r="B307" s="419"/>
      <c r="C307" s="127"/>
      <c r="D307" s="127" t="s">
        <v>656</v>
      </c>
      <c r="E307" s="124"/>
      <c r="F307" s="176"/>
      <c r="G307" s="176"/>
      <c r="H307" s="124"/>
      <c r="I307" s="124"/>
      <c r="J307" s="190"/>
      <c r="K307" s="190"/>
      <c r="L307" s="124"/>
      <c r="M307" s="124"/>
      <c r="N307" s="190"/>
      <c r="O307" s="190"/>
      <c r="P307" s="190"/>
    </row>
    <row r="308" spans="2:16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74"/>
      <c r="H308" s="122"/>
      <c r="I308" s="122"/>
      <c r="J308" s="170"/>
      <c r="K308" s="170"/>
      <c r="L308" s="122"/>
      <c r="M308" s="122"/>
      <c r="N308" s="170"/>
      <c r="O308" s="170"/>
      <c r="P308" s="170"/>
    </row>
    <row r="309" spans="2:16" ht="14.5" customHeight="1" x14ac:dyDescent="0.2">
      <c r="B309" s="418"/>
      <c r="C309" s="117"/>
      <c r="D309" s="117" t="s">
        <v>795</v>
      </c>
      <c r="E309" s="122"/>
      <c r="F309" s="174"/>
      <c r="G309" s="174"/>
      <c r="H309" s="122"/>
      <c r="I309" s="122"/>
      <c r="J309" s="170"/>
      <c r="K309" s="170"/>
      <c r="L309" s="122"/>
      <c r="M309" s="122"/>
      <c r="N309" s="170"/>
      <c r="O309" s="170"/>
      <c r="P309" s="170"/>
    </row>
    <row r="310" spans="2:16" ht="14.5" customHeight="1" x14ac:dyDescent="0.2">
      <c r="B310" s="418"/>
      <c r="C310" s="117"/>
      <c r="D310" s="117" t="s">
        <v>661</v>
      </c>
      <c r="E310" s="122"/>
      <c r="F310" s="174"/>
      <c r="G310" s="174"/>
      <c r="H310" s="122"/>
      <c r="I310" s="122"/>
      <c r="J310" s="170"/>
      <c r="K310" s="170"/>
      <c r="L310" s="122"/>
      <c r="M310" s="122"/>
      <c r="N310" s="170"/>
      <c r="O310" s="170"/>
      <c r="P310" s="170"/>
    </row>
    <row r="311" spans="2:16" ht="14.5" customHeight="1" x14ac:dyDescent="0.2">
      <c r="B311" s="418"/>
      <c r="C311" s="117"/>
      <c r="D311" s="117" t="s">
        <v>662</v>
      </c>
      <c r="E311" s="122"/>
      <c r="F311" s="174"/>
      <c r="G311" s="174"/>
      <c r="H311" s="122"/>
      <c r="I311" s="122"/>
      <c r="J311" s="170"/>
      <c r="K311" s="170"/>
      <c r="L311" s="122"/>
      <c r="M311" s="122"/>
      <c r="N311" s="170"/>
      <c r="O311" s="170"/>
      <c r="P311" s="170"/>
    </row>
    <row r="312" spans="2:16" ht="14.5" customHeight="1" x14ac:dyDescent="0.2">
      <c r="B312" s="418"/>
      <c r="C312" s="119"/>
      <c r="D312" s="119" t="s">
        <v>759</v>
      </c>
      <c r="E312" s="123"/>
      <c r="F312" s="175"/>
      <c r="G312" s="175"/>
      <c r="H312" s="123"/>
      <c r="I312" s="123"/>
      <c r="J312" s="189"/>
      <c r="K312" s="189"/>
      <c r="L312" s="123"/>
      <c r="M312" s="123"/>
      <c r="N312" s="189"/>
      <c r="O312" s="189"/>
      <c r="P312" s="189"/>
    </row>
    <row r="313" spans="2:16" ht="14.5" customHeight="1" x14ac:dyDescent="0.2">
      <c r="B313" s="419"/>
      <c r="C313" s="127"/>
      <c r="D313" s="127" t="s">
        <v>659</v>
      </c>
      <c r="E313" s="124"/>
      <c r="F313" s="176"/>
      <c r="G313" s="176"/>
      <c r="H313" s="124"/>
      <c r="I313" s="124"/>
      <c r="J313" s="190"/>
      <c r="K313" s="190"/>
      <c r="L313" s="124"/>
      <c r="M313" s="124"/>
      <c r="N313" s="190"/>
      <c r="O313" s="190"/>
      <c r="P313" s="190"/>
    </row>
    <row r="314" spans="2:16" ht="14.5" customHeight="1" x14ac:dyDescent="0.2">
      <c r="B314" s="127"/>
      <c r="C314" s="127"/>
      <c r="D314" s="127" t="s">
        <v>863</v>
      </c>
      <c r="E314" s="124"/>
      <c r="F314" s="176"/>
      <c r="G314" s="176"/>
      <c r="H314" s="124"/>
      <c r="I314" s="124"/>
      <c r="J314" s="190"/>
      <c r="K314" s="190"/>
      <c r="L314" s="124"/>
      <c r="M314" s="124"/>
      <c r="N314" s="190"/>
      <c r="O314" s="190"/>
      <c r="P314" s="190"/>
    </row>
    <row r="315" spans="2:16" ht="14.5" customHeight="1" x14ac:dyDescent="0.2">
      <c r="B315" s="127"/>
      <c r="C315" s="127"/>
      <c r="D315" s="127" t="s">
        <v>55</v>
      </c>
      <c r="E315" s="124"/>
      <c r="F315" s="176"/>
      <c r="G315" s="176"/>
      <c r="H315" s="124"/>
      <c r="I315" s="124"/>
      <c r="J315" s="190"/>
      <c r="K315" s="190"/>
      <c r="L315" s="124"/>
      <c r="M315" s="124"/>
      <c r="N315" s="190"/>
      <c r="O315" s="190"/>
      <c r="P315" s="190"/>
    </row>
    <row r="320" spans="2:16" ht="14.5" customHeight="1" x14ac:dyDescent="0.2">
      <c r="B320" s="4" t="s">
        <v>878</v>
      </c>
    </row>
    <row r="322" spans="2:16" ht="14.5" customHeight="1" x14ac:dyDescent="0.2">
      <c r="B322" s="388" t="s">
        <v>0</v>
      </c>
      <c r="C322" s="388" t="s">
        <v>270</v>
      </c>
      <c r="D322" s="388" t="s">
        <v>2</v>
      </c>
      <c r="E322" s="420" t="s">
        <v>410</v>
      </c>
      <c r="F322" s="420"/>
      <c r="G322" s="420"/>
      <c r="H322" s="417" t="s">
        <v>56</v>
      </c>
      <c r="I322" s="420" t="s">
        <v>411</v>
      </c>
      <c r="J322" s="420"/>
      <c r="K322" s="420"/>
      <c r="L322" s="417" t="s">
        <v>56</v>
      </c>
      <c r="M322" s="394" t="s">
        <v>3</v>
      </c>
      <c r="N322" s="398" t="s">
        <v>412</v>
      </c>
      <c r="O322" s="398" t="s">
        <v>8</v>
      </c>
      <c r="P322" s="398" t="s">
        <v>75</v>
      </c>
    </row>
    <row r="323" spans="2:16" ht="14.5" customHeight="1" x14ac:dyDescent="0.2">
      <c r="B323" s="388"/>
      <c r="C323" s="388"/>
      <c r="D323" s="388"/>
      <c r="E323" s="9"/>
      <c r="F323" s="91" t="s">
        <v>77</v>
      </c>
      <c r="G323" s="90" t="s">
        <v>58</v>
      </c>
      <c r="H323" s="417"/>
      <c r="I323" s="9"/>
      <c r="J323" s="36" t="s">
        <v>77</v>
      </c>
      <c r="K323" s="54" t="s">
        <v>58</v>
      </c>
      <c r="L323" s="417"/>
      <c r="M323" s="394"/>
      <c r="N323" s="398"/>
      <c r="O323" s="398"/>
      <c r="P323" s="398"/>
    </row>
    <row r="324" spans="2:16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74"/>
      <c r="H324" s="122"/>
      <c r="I324" s="122"/>
      <c r="J324" s="170"/>
      <c r="K324" s="170"/>
      <c r="L324" s="122"/>
      <c r="M324" s="122"/>
      <c r="N324" s="170"/>
      <c r="O324" s="170"/>
      <c r="P324" s="170"/>
    </row>
    <row r="325" spans="2:16" ht="14.5" customHeight="1" x14ac:dyDescent="0.2">
      <c r="B325" s="418"/>
      <c r="C325" s="117"/>
      <c r="D325" s="117" t="s">
        <v>869</v>
      </c>
      <c r="E325" s="122"/>
      <c r="F325" s="174"/>
      <c r="G325" s="174"/>
      <c r="H325" s="122"/>
      <c r="I325" s="122"/>
      <c r="J325" s="170"/>
      <c r="K325" s="170"/>
      <c r="L325" s="122"/>
      <c r="M325" s="122"/>
      <c r="N325" s="170"/>
      <c r="O325" s="170"/>
      <c r="P325" s="170"/>
    </row>
    <row r="326" spans="2:16" ht="14.5" customHeight="1" x14ac:dyDescent="0.2">
      <c r="B326" s="418"/>
      <c r="C326" s="117"/>
      <c r="D326" s="117" t="s">
        <v>870</v>
      </c>
      <c r="E326" s="122"/>
      <c r="F326" s="174"/>
      <c r="G326" s="174"/>
      <c r="H326" s="122"/>
      <c r="I326" s="122"/>
      <c r="J326" s="170"/>
      <c r="K326" s="170"/>
      <c r="L326" s="122"/>
      <c r="M326" s="122"/>
      <c r="N326" s="170"/>
      <c r="O326" s="170"/>
      <c r="P326" s="170"/>
    </row>
    <row r="327" spans="2:16" ht="14.5" customHeight="1" x14ac:dyDescent="0.2">
      <c r="B327" s="418"/>
      <c r="C327" s="117"/>
      <c r="D327" s="117" t="s">
        <v>871</v>
      </c>
      <c r="E327" s="122"/>
      <c r="F327" s="174"/>
      <c r="G327" s="174"/>
      <c r="H327" s="122"/>
      <c r="I327" s="122"/>
      <c r="J327" s="170"/>
      <c r="K327" s="170"/>
      <c r="L327" s="122"/>
      <c r="M327" s="122"/>
      <c r="N327" s="170"/>
      <c r="O327" s="170"/>
      <c r="P327" s="170"/>
    </row>
    <row r="328" spans="2:16" ht="14.5" customHeight="1" x14ac:dyDescent="0.2">
      <c r="B328" s="418"/>
      <c r="C328" s="117"/>
      <c r="D328" s="117" t="s">
        <v>872</v>
      </c>
      <c r="E328" s="122"/>
      <c r="F328" s="174"/>
      <c r="G328" s="174"/>
      <c r="H328" s="122"/>
      <c r="I328" s="122"/>
      <c r="J328" s="170"/>
      <c r="K328" s="170"/>
      <c r="L328" s="122"/>
      <c r="M328" s="122"/>
      <c r="N328" s="170"/>
      <c r="O328" s="170"/>
      <c r="P328" s="170"/>
    </row>
    <row r="329" spans="2:16" ht="14.5" customHeight="1" x14ac:dyDescent="0.2">
      <c r="B329" s="418"/>
      <c r="C329" s="117"/>
      <c r="D329" s="117" t="s">
        <v>873</v>
      </c>
      <c r="E329" s="122"/>
      <c r="F329" s="174"/>
      <c r="G329" s="174"/>
      <c r="H329" s="122"/>
      <c r="I329" s="122"/>
      <c r="J329" s="170"/>
      <c r="K329" s="170"/>
      <c r="L329" s="122"/>
      <c r="M329" s="122"/>
      <c r="N329" s="170"/>
      <c r="O329" s="170"/>
      <c r="P329" s="170"/>
    </row>
    <row r="330" spans="2:16" ht="14.5" customHeight="1" x14ac:dyDescent="0.2">
      <c r="B330" s="418"/>
      <c r="C330" s="117"/>
      <c r="D330" s="117" t="s">
        <v>874</v>
      </c>
      <c r="E330" s="122"/>
      <c r="F330" s="174"/>
      <c r="G330" s="174"/>
      <c r="H330" s="122"/>
      <c r="I330" s="122"/>
      <c r="J330" s="170"/>
      <c r="K330" s="170"/>
      <c r="L330" s="122"/>
      <c r="M330" s="122"/>
      <c r="N330" s="170"/>
      <c r="O330" s="170"/>
      <c r="P330" s="170"/>
    </row>
    <row r="331" spans="2:16" ht="14.5" customHeight="1" x14ac:dyDescent="0.2">
      <c r="B331" s="418"/>
      <c r="C331" s="117"/>
      <c r="D331" s="117" t="s">
        <v>875</v>
      </c>
      <c r="E331" s="122"/>
      <c r="F331" s="174"/>
      <c r="G331" s="174"/>
      <c r="H331" s="122"/>
      <c r="I331" s="122"/>
      <c r="J331" s="170"/>
      <c r="K331" s="170"/>
      <c r="L331" s="122"/>
      <c r="M331" s="122"/>
      <c r="N331" s="170"/>
      <c r="O331" s="170"/>
      <c r="P331" s="170"/>
    </row>
    <row r="332" spans="2:16" ht="14.5" customHeight="1" x14ac:dyDescent="0.2">
      <c r="B332" s="418"/>
      <c r="C332" s="117"/>
      <c r="D332" s="117" t="s">
        <v>876</v>
      </c>
      <c r="E332" s="122"/>
      <c r="F332" s="174"/>
      <c r="G332" s="174"/>
      <c r="H332" s="122"/>
      <c r="I332" s="122"/>
      <c r="J332" s="170"/>
      <c r="K332" s="170"/>
      <c r="L332" s="122"/>
      <c r="M332" s="122"/>
      <c r="N332" s="170"/>
      <c r="O332" s="170"/>
      <c r="P332" s="170"/>
    </row>
    <row r="333" spans="2:16" ht="14.5" customHeight="1" x14ac:dyDescent="0.2">
      <c r="B333" s="418"/>
      <c r="C333" s="117"/>
      <c r="D333" s="117" t="s">
        <v>877</v>
      </c>
      <c r="E333" s="122"/>
      <c r="F333" s="174"/>
      <c r="G333" s="174"/>
      <c r="H333" s="122"/>
      <c r="I333" s="122"/>
      <c r="J333" s="170"/>
      <c r="K333" s="170"/>
      <c r="L333" s="122"/>
      <c r="M333" s="122"/>
      <c r="N333" s="170"/>
      <c r="O333" s="170"/>
      <c r="P333" s="170"/>
    </row>
    <row r="334" spans="2:16" ht="14.5" customHeight="1" x14ac:dyDescent="0.2">
      <c r="B334" s="418"/>
      <c r="C334" s="119"/>
      <c r="D334" s="119" t="s">
        <v>892</v>
      </c>
      <c r="E334" s="123"/>
      <c r="F334" s="175"/>
      <c r="G334" s="175"/>
      <c r="H334" s="123"/>
      <c r="I334" s="123"/>
      <c r="J334" s="189"/>
      <c r="K334" s="189"/>
      <c r="L334" s="123"/>
      <c r="M334" s="123"/>
      <c r="N334" s="189"/>
      <c r="O334" s="189"/>
      <c r="P334" s="189"/>
    </row>
    <row r="335" spans="2:16" ht="14.5" customHeight="1" x14ac:dyDescent="0.2">
      <c r="B335" s="418"/>
      <c r="C335" s="119"/>
      <c r="D335" s="119" t="s">
        <v>74</v>
      </c>
      <c r="E335" s="123"/>
      <c r="F335" s="175"/>
      <c r="G335" s="175"/>
      <c r="H335" s="123"/>
      <c r="I335" s="123"/>
      <c r="J335" s="189"/>
      <c r="K335" s="189"/>
      <c r="L335" s="123"/>
      <c r="M335" s="123"/>
      <c r="N335" s="189"/>
      <c r="O335" s="189"/>
      <c r="P335" s="189"/>
    </row>
    <row r="336" spans="2:16" ht="14.5" customHeight="1" x14ac:dyDescent="0.2">
      <c r="B336" s="419"/>
      <c r="C336" s="127"/>
      <c r="D336" s="127" t="s">
        <v>866</v>
      </c>
      <c r="E336" s="124"/>
      <c r="F336" s="176"/>
      <c r="G336" s="176"/>
      <c r="H336" s="124"/>
      <c r="I336" s="124"/>
      <c r="J336" s="190"/>
      <c r="K336" s="190"/>
      <c r="L336" s="124"/>
      <c r="M336" s="124"/>
      <c r="N336" s="190"/>
      <c r="O336" s="190"/>
      <c r="P336" s="190"/>
    </row>
    <row r="337" spans="2:16" ht="14.5" customHeight="1" x14ac:dyDescent="0.2">
      <c r="B337" s="127"/>
      <c r="C337" s="127"/>
      <c r="D337" s="127" t="s">
        <v>867</v>
      </c>
      <c r="E337" s="124"/>
      <c r="F337" s="176"/>
      <c r="G337" s="176"/>
      <c r="H337" s="124"/>
      <c r="I337" s="124"/>
      <c r="J337" s="190"/>
      <c r="K337" s="190"/>
      <c r="L337" s="124"/>
      <c r="M337" s="124"/>
      <c r="N337" s="190"/>
      <c r="O337" s="190"/>
      <c r="P337" s="190"/>
    </row>
    <row r="339" spans="2:16" s="45" customFormat="1" ht="14.5" customHeight="1" x14ac:dyDescent="0.2">
      <c r="E339" s="108"/>
      <c r="F339" s="102"/>
      <c r="G339" s="102"/>
      <c r="H339" s="47"/>
      <c r="I339" s="108"/>
      <c r="J339" s="46"/>
      <c r="K339" s="46"/>
      <c r="L339" s="228" t="s">
        <v>78</v>
      </c>
      <c r="M339" s="48"/>
      <c r="N339" s="128">
        <f>'Pencapaian Sales Value'!I340</f>
        <v>18617500</v>
      </c>
      <c r="O339" s="46"/>
      <c r="P339" s="46"/>
    </row>
    <row r="340" spans="2:16" s="45" customFormat="1" ht="14.5" customHeight="1" x14ac:dyDescent="0.2">
      <c r="E340" s="108"/>
      <c r="F340" s="102"/>
      <c r="G340" s="102"/>
      <c r="H340" s="47"/>
      <c r="I340" s="108"/>
      <c r="J340" s="46"/>
      <c r="K340" s="46"/>
      <c r="L340" s="228" t="s">
        <v>80</v>
      </c>
      <c r="M340" s="48"/>
      <c r="N340" s="128">
        <f>SUM(N337,N315,N147,N95,N77,N40)</f>
        <v>5062000</v>
      </c>
      <c r="O340" s="46"/>
      <c r="P340" s="46"/>
    </row>
    <row r="341" spans="2:16" s="45" customFormat="1" ht="14.5" customHeight="1" x14ac:dyDescent="0.2">
      <c r="E341" s="108"/>
      <c r="F341" s="102"/>
      <c r="G341" s="102"/>
      <c r="H341" s="47"/>
      <c r="I341" s="108"/>
      <c r="J341" s="46"/>
      <c r="K341" s="46"/>
      <c r="L341" s="228" t="s">
        <v>138</v>
      </c>
      <c r="M341" s="48"/>
      <c r="N341" s="128">
        <f>'Pencapaian Effective Call'!I341</f>
        <v>4324500</v>
      </c>
      <c r="O341" s="46"/>
      <c r="P341" s="46"/>
    </row>
    <row r="342" spans="2:16" s="45" customFormat="1" ht="14.5" customHeight="1" x14ac:dyDescent="0.2">
      <c r="E342" s="108"/>
      <c r="F342" s="102"/>
      <c r="G342" s="102"/>
      <c r="H342" s="47"/>
      <c r="I342" s="108"/>
      <c r="J342" s="46"/>
      <c r="K342" s="46"/>
      <c r="L342" s="228" t="s">
        <v>153</v>
      </c>
      <c r="M342" s="48"/>
      <c r="N342" s="128">
        <f>'Pencapaian New Open Outlet'!I342</f>
        <v>1949250</v>
      </c>
      <c r="O342" s="46"/>
      <c r="P342" s="46"/>
    </row>
    <row r="343" spans="2:16" s="45" customFormat="1" ht="14.5" customHeight="1" x14ac:dyDescent="0.2">
      <c r="E343" s="108"/>
      <c r="F343" s="102"/>
      <c r="G343" s="102"/>
      <c r="H343" s="47"/>
      <c r="I343" s="108"/>
      <c r="J343" s="46"/>
      <c r="K343" s="46"/>
      <c r="L343" s="228" t="s">
        <v>79</v>
      </c>
      <c r="M343" s="48"/>
      <c r="N343" s="128">
        <f>'Pencapaian Active Outlet'!I343</f>
        <v>7007500</v>
      </c>
      <c r="O343" s="46"/>
      <c r="P343" s="46"/>
    </row>
    <row r="344" spans="2:16" s="45" customFormat="1" ht="14.5" customHeight="1" x14ac:dyDescent="0.2">
      <c r="E344" s="108"/>
      <c r="F344" s="102"/>
      <c r="G344" s="102"/>
      <c r="H344" s="47"/>
      <c r="I344" s="108"/>
      <c r="J344" s="46"/>
      <c r="K344" s="46"/>
      <c r="L344" s="228" t="s">
        <v>136</v>
      </c>
      <c r="M344" s="48"/>
      <c r="N344" s="128">
        <f>'Pencapaian Item per Outlet'!I344</f>
        <v>1646000</v>
      </c>
      <c r="O344" s="46"/>
      <c r="P344" s="46"/>
    </row>
    <row r="345" spans="2:16" s="45" customFormat="1" ht="14.5" customHeight="1" x14ac:dyDescent="0.2">
      <c r="E345" s="108"/>
      <c r="F345" s="102"/>
      <c r="G345" s="102"/>
      <c r="H345" s="47"/>
      <c r="I345" s="108"/>
      <c r="J345" s="46"/>
      <c r="K345" s="46"/>
      <c r="L345" s="228" t="s">
        <v>414</v>
      </c>
      <c r="N345" s="128">
        <f>'Pencapaian Product Display'!I345</f>
        <v>40000</v>
      </c>
      <c r="O345" s="46"/>
      <c r="P345" s="46"/>
    </row>
    <row r="346" spans="2:16" s="45" customFormat="1" ht="14.5" customHeight="1" x14ac:dyDescent="0.2">
      <c r="E346" s="108"/>
      <c r="F346" s="102"/>
      <c r="G346" s="102"/>
      <c r="H346" s="50"/>
      <c r="I346" s="108"/>
      <c r="J346" s="46"/>
      <c r="K346" s="46"/>
      <c r="L346" s="228" t="s">
        <v>415</v>
      </c>
      <c r="N346" s="128">
        <f>'Pencapaian Sales Contract'!I346</f>
        <v>0</v>
      </c>
      <c r="O346" s="46"/>
      <c r="P346" s="46"/>
    </row>
    <row r="347" spans="2:16" ht="14.5" customHeight="1" x14ac:dyDescent="0.2">
      <c r="L347" s="228" t="s">
        <v>416</v>
      </c>
      <c r="M347" s="45"/>
      <c r="N347" s="128">
        <f>'Pencapaian Co-Branding'!I347</f>
        <v>0</v>
      </c>
      <c r="O347" s="46"/>
      <c r="P347" s="46"/>
    </row>
    <row r="348" spans="2:16" ht="14.5" customHeight="1" x14ac:dyDescent="0.2">
      <c r="L348" s="228" t="s">
        <v>417</v>
      </c>
      <c r="M348" s="45"/>
      <c r="N348" s="128">
        <f>'Pencapaian Join Event Activity'!I348</f>
        <v>50000</v>
      </c>
      <c r="O348" s="46"/>
      <c r="P348" s="46"/>
    </row>
    <row r="349" spans="2:16" ht="14.5" customHeight="1" x14ac:dyDescent="0.2">
      <c r="L349" s="228" t="s">
        <v>418</v>
      </c>
      <c r="M349" s="45"/>
      <c r="N349" s="128">
        <f>'Pencapaian Loading &amp; Drop Point'!J164</f>
        <v>220000</v>
      </c>
      <c r="O349" s="46"/>
      <c r="P349" s="46"/>
    </row>
    <row r="350" spans="2:16" ht="14.5" customHeight="1" x14ac:dyDescent="0.2">
      <c r="L350" s="47"/>
      <c r="N350" s="229"/>
      <c r="O350" s="46"/>
      <c r="P350" s="46"/>
    </row>
    <row r="351" spans="2:16" ht="14.5" customHeight="1" x14ac:dyDescent="0.2">
      <c r="L351" s="50" t="s">
        <v>62</v>
      </c>
      <c r="N351" s="72">
        <f>SUM(N339:N349)</f>
        <v>38916750</v>
      </c>
    </row>
  </sheetData>
  <mergeCells count="98">
    <mergeCell ref="L103:L104"/>
    <mergeCell ref="L155:L156"/>
    <mergeCell ref="E48:G48"/>
    <mergeCell ref="I48:K48"/>
    <mergeCell ref="E103:G103"/>
    <mergeCell ref="I103:K103"/>
    <mergeCell ref="E155:G155"/>
    <mergeCell ref="I155:K155"/>
    <mergeCell ref="H155:H156"/>
    <mergeCell ref="E85:G85"/>
    <mergeCell ref="M155:M156"/>
    <mergeCell ref="N155:N156"/>
    <mergeCell ref="O155:O156"/>
    <mergeCell ref="P155:P156"/>
    <mergeCell ref="B129:B133"/>
    <mergeCell ref="B155:B156"/>
    <mergeCell ref="D155:D156"/>
    <mergeCell ref="C155:C156"/>
    <mergeCell ref="O103:O104"/>
    <mergeCell ref="P103:P104"/>
    <mergeCell ref="H48:H49"/>
    <mergeCell ref="M48:M49"/>
    <mergeCell ref="N48:N49"/>
    <mergeCell ref="O48:O49"/>
    <mergeCell ref="H85:H86"/>
    <mergeCell ref="I85:K85"/>
    <mergeCell ref="H103:H104"/>
    <mergeCell ref="M103:M104"/>
    <mergeCell ref="N103:N104"/>
    <mergeCell ref="L85:L86"/>
    <mergeCell ref="M85:M86"/>
    <mergeCell ref="N85:N86"/>
    <mergeCell ref="P85:P86"/>
    <mergeCell ref="L48:L49"/>
    <mergeCell ref="N3:N4"/>
    <mergeCell ref="O3:O4"/>
    <mergeCell ref="O85:O86"/>
    <mergeCell ref="P3:P4"/>
    <mergeCell ref="B3:B4"/>
    <mergeCell ref="D3:D4"/>
    <mergeCell ref="M3:M4"/>
    <mergeCell ref="L3:L4"/>
    <mergeCell ref="P48:P49"/>
    <mergeCell ref="B50:B64"/>
    <mergeCell ref="B65:B71"/>
    <mergeCell ref="C3:C4"/>
    <mergeCell ref="C48:C49"/>
    <mergeCell ref="B5:B28"/>
    <mergeCell ref="E3:G3"/>
    <mergeCell ref="I3:K3"/>
    <mergeCell ref="D103:D104"/>
    <mergeCell ref="C103:C104"/>
    <mergeCell ref="H3:H4"/>
    <mergeCell ref="B29:B34"/>
    <mergeCell ref="B48:B49"/>
    <mergeCell ref="D48:D49"/>
    <mergeCell ref="B35:B39"/>
    <mergeCell ref="B85:B86"/>
    <mergeCell ref="D85:D86"/>
    <mergeCell ref="B91:B94"/>
    <mergeCell ref="B72:B76"/>
    <mergeCell ref="B182:B189"/>
    <mergeCell ref="B191:B199"/>
    <mergeCell ref="B200:B215"/>
    <mergeCell ref="C85:C86"/>
    <mergeCell ref="B103:B104"/>
    <mergeCell ref="B87:B90"/>
    <mergeCell ref="B157:B165"/>
    <mergeCell ref="B166:B181"/>
    <mergeCell ref="B116:B120"/>
    <mergeCell ref="B105:B109"/>
    <mergeCell ref="B110:B115"/>
    <mergeCell ref="B121:B128"/>
    <mergeCell ref="B134:B146"/>
    <mergeCell ref="B216:B220"/>
    <mergeCell ref="B221:B225"/>
    <mergeCell ref="B250:B258"/>
    <mergeCell ref="B227:B242"/>
    <mergeCell ref="B243:B249"/>
    <mergeCell ref="B308:B313"/>
    <mergeCell ref="B260:B274"/>
    <mergeCell ref="B275:B280"/>
    <mergeCell ref="B282:B288"/>
    <mergeCell ref="B293:B299"/>
    <mergeCell ref="B300:B307"/>
    <mergeCell ref="B289:B292"/>
    <mergeCell ref="P322:P323"/>
    <mergeCell ref="B324:B336"/>
    <mergeCell ref="I322:K322"/>
    <mergeCell ref="L322:L323"/>
    <mergeCell ref="M322:M323"/>
    <mergeCell ref="N322:N323"/>
    <mergeCell ref="O322:O323"/>
    <mergeCell ref="B322:B323"/>
    <mergeCell ref="C322:C323"/>
    <mergeCell ref="D322:D323"/>
    <mergeCell ref="E322:G322"/>
    <mergeCell ref="H322:H323"/>
  </mergeCells>
  <phoneticPr fontId="22" type="noConversion"/>
  <conditionalFormatting sqref="H5:H10 H14:H20 H29:H30 H51:H54 H56:H57 H59:H60 H63 H105:H106 H110:H113">
    <cfRule type="cellIs" dxfId="230" priority="142" operator="greaterThanOrEqual">
      <formula>1</formula>
    </cfRule>
    <cfRule type="cellIs" dxfId="229" priority="143" operator="greaterThanOrEqual">
      <formula>0.7</formula>
    </cfRule>
    <cfRule type="cellIs" dxfId="228" priority="144" operator="lessThan">
      <formula>0.7</formula>
    </cfRule>
  </conditionalFormatting>
  <conditionalFormatting sqref="H25:H26">
    <cfRule type="cellIs" dxfId="227" priority="136" operator="greaterThanOrEqual">
      <formula>1</formula>
    </cfRule>
    <cfRule type="cellIs" dxfId="226" priority="137" operator="greaterThanOrEqual">
      <formula>0.7</formula>
    </cfRule>
    <cfRule type="cellIs" dxfId="225" priority="138" operator="lessThan">
      <formula>0.7</formula>
    </cfRule>
  </conditionalFormatting>
  <conditionalFormatting sqref="H32">
    <cfRule type="cellIs" dxfId="224" priority="10" operator="greaterThanOrEqual">
      <formula>1</formula>
    </cfRule>
    <cfRule type="cellIs" dxfId="223" priority="11" operator="greaterThanOrEqual">
      <formula>0.7</formula>
    </cfRule>
    <cfRule type="cellIs" dxfId="222" priority="12" operator="lessThan">
      <formula>0.7</formula>
    </cfRule>
  </conditionalFormatting>
  <conditionalFormatting sqref="H65:H68">
    <cfRule type="cellIs" dxfId="221" priority="109" operator="greaterThan">
      <formula>1</formula>
    </cfRule>
    <cfRule type="cellIs" dxfId="220" priority="110" operator="greaterThan">
      <formula>0.7</formula>
    </cfRule>
    <cfRule type="cellIs" dxfId="219" priority="111" operator="lessThan">
      <formula>0.7</formula>
    </cfRule>
  </conditionalFormatting>
  <conditionalFormatting sqref="H116:H119">
    <cfRule type="cellIs" dxfId="218" priority="4" operator="greaterThanOrEqual">
      <formula>1</formula>
    </cfRule>
    <cfRule type="cellIs" dxfId="217" priority="5" operator="greaterThanOrEqual">
      <formula>0.7</formula>
    </cfRule>
    <cfRule type="cellIs" dxfId="216" priority="6" operator="lessThan">
      <formula>0.7</formula>
    </cfRule>
  </conditionalFormatting>
  <conditionalFormatting sqref="L5:L10 L14:L20 L29:L30">
    <cfRule type="cellIs" dxfId="215" priority="28" operator="greaterThanOrEqual">
      <formula>1</formula>
    </cfRule>
    <cfRule type="cellIs" dxfId="214" priority="29" operator="greaterThanOrEqual">
      <formula>0.7</formula>
    </cfRule>
    <cfRule type="cellIs" dxfId="213" priority="30" operator="lessThan">
      <formula>0.7</formula>
    </cfRule>
  </conditionalFormatting>
  <conditionalFormatting sqref="L25:L26">
    <cfRule type="cellIs" dxfId="212" priority="25" operator="greaterThanOrEqual">
      <formula>1</formula>
    </cfRule>
    <cfRule type="cellIs" dxfId="211" priority="26" operator="greaterThanOrEqual">
      <formula>0.7</formula>
    </cfRule>
    <cfRule type="cellIs" dxfId="210" priority="27" operator="lessThan">
      <formula>0.7</formula>
    </cfRule>
  </conditionalFormatting>
  <conditionalFormatting sqref="L32">
    <cfRule type="cellIs" dxfId="209" priority="7" operator="greaterThanOrEqual">
      <formula>1</formula>
    </cfRule>
    <cfRule type="cellIs" dxfId="208" priority="8" operator="greaterThanOrEqual">
      <formula>0.7</formula>
    </cfRule>
    <cfRule type="cellIs" dxfId="207" priority="9" operator="lessThan">
      <formula>0.7</formula>
    </cfRule>
  </conditionalFormatting>
  <conditionalFormatting sqref="L51:L54 L56:L57 L59:L60 L63">
    <cfRule type="cellIs" dxfId="206" priority="22" operator="greaterThanOrEqual">
      <formula>1</formula>
    </cfRule>
    <cfRule type="cellIs" dxfId="205" priority="23" operator="greaterThanOrEqual">
      <formula>0.7</formula>
    </cfRule>
    <cfRule type="cellIs" dxfId="204" priority="24" operator="lessThan">
      <formula>0.7</formula>
    </cfRule>
  </conditionalFormatting>
  <conditionalFormatting sqref="L65:L68">
    <cfRule type="cellIs" dxfId="203" priority="16" operator="greaterThan">
      <formula>1</formula>
    </cfRule>
    <cfRule type="cellIs" dxfId="202" priority="17" operator="greaterThan">
      <formula>0.7</formula>
    </cfRule>
    <cfRule type="cellIs" dxfId="201" priority="18" operator="lessThan">
      <formula>0.7</formula>
    </cfRule>
  </conditionalFormatting>
  <conditionalFormatting sqref="L105:L106 L110:L113">
    <cfRule type="cellIs" dxfId="200" priority="13" operator="greaterThanOrEqual">
      <formula>1</formula>
    </cfRule>
    <cfRule type="cellIs" dxfId="199" priority="14" operator="greaterThanOrEqual">
      <formula>0.7</formula>
    </cfRule>
    <cfRule type="cellIs" dxfId="198" priority="15" operator="lessThan">
      <formula>0.7</formula>
    </cfRule>
  </conditionalFormatting>
  <conditionalFormatting sqref="L116:L119">
    <cfRule type="cellIs" dxfId="197" priority="1" operator="greaterThanOrEqual">
      <formula>1</formula>
    </cfRule>
    <cfRule type="cellIs" dxfId="196" priority="2" operator="greaterThanOrEqual">
      <formula>0.7</formula>
    </cfRule>
    <cfRule type="cellIs" dxfId="195" priority="3" operator="lessThan">
      <formula>0.7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02AC-BB43-41F4-A333-4D0C80EBA36A}">
  <dimension ref="B1:Q351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P11" sqref="P11"/>
    </sheetView>
  </sheetViews>
  <sheetFormatPr baseColWidth="10" defaultColWidth="8.83203125" defaultRowHeight="14.5" customHeight="1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2" customWidth="1"/>
    <col min="7" max="7" width="13.1640625" style="165" customWidth="1"/>
    <col min="8" max="8" width="10.83203125" customWidth="1"/>
    <col min="9" max="11" width="12.33203125" style="2" customWidth="1"/>
    <col min="12" max="12" width="3.5" customWidth="1"/>
  </cols>
  <sheetData>
    <row r="1" spans="2:11" ht="14.5" customHeight="1" x14ac:dyDescent="0.2">
      <c r="B1" s="4" t="s">
        <v>159</v>
      </c>
      <c r="C1" s="5"/>
      <c r="D1" s="5"/>
      <c r="E1" s="33"/>
      <c r="F1" s="33"/>
      <c r="G1" s="159"/>
    </row>
    <row r="2" spans="2:11" ht="14.5" customHeight="1" x14ac:dyDescent="0.2">
      <c r="B2" s="8"/>
      <c r="C2" s="8"/>
      <c r="D2" s="8"/>
      <c r="E2" s="35"/>
      <c r="F2" s="35"/>
      <c r="G2" s="159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385" t="s">
        <v>134</v>
      </c>
      <c r="F3" s="385"/>
      <c r="G3" s="423" t="s">
        <v>56</v>
      </c>
      <c r="H3" s="394" t="s">
        <v>3</v>
      </c>
      <c r="I3" s="398" t="s">
        <v>419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36" t="s">
        <v>77</v>
      </c>
      <c r="F4" s="54" t="s">
        <v>58</v>
      </c>
      <c r="G4" s="423"/>
      <c r="H4" s="394"/>
      <c r="I4" s="398"/>
      <c r="J4" s="398"/>
      <c r="K4" s="398"/>
    </row>
    <row r="5" spans="2:11" ht="14.5" customHeight="1" x14ac:dyDescent="0.2">
      <c r="B5" s="422" t="s">
        <v>13</v>
      </c>
      <c r="C5" s="52" t="s">
        <v>342</v>
      </c>
      <c r="D5" s="52" t="s">
        <v>233</v>
      </c>
      <c r="E5" s="15">
        <v>584</v>
      </c>
      <c r="F5" s="15">
        <v>540</v>
      </c>
      <c r="G5" s="160">
        <f t="shared" ref="G5:G10" si="0">E5/F5*100%</f>
        <v>1.0814814814814815</v>
      </c>
      <c r="H5" s="12" t="s">
        <v>14</v>
      </c>
      <c r="I5" s="15">
        <v>180000</v>
      </c>
      <c r="J5" s="15">
        <f>I5*55%</f>
        <v>99000.000000000015</v>
      </c>
      <c r="K5" s="15">
        <f>I5*45%</f>
        <v>81000</v>
      </c>
    </row>
    <row r="6" spans="2:11" ht="14.5" customHeight="1" x14ac:dyDescent="0.2">
      <c r="B6" s="422"/>
      <c r="C6" s="52" t="s">
        <v>343</v>
      </c>
      <c r="D6" s="52" t="s">
        <v>234</v>
      </c>
      <c r="E6" s="15">
        <v>745</v>
      </c>
      <c r="F6" s="15">
        <v>727</v>
      </c>
      <c r="G6" s="160">
        <f t="shared" si="0"/>
        <v>1.0247592847317744</v>
      </c>
      <c r="H6" s="12" t="s">
        <v>14</v>
      </c>
      <c r="I6" s="15">
        <v>180000</v>
      </c>
      <c r="J6" s="15">
        <f t="shared" ref="J6:J8" si="1">I6*55%</f>
        <v>99000.000000000015</v>
      </c>
      <c r="K6" s="15">
        <f t="shared" ref="K6:K8" si="2">I6*45%</f>
        <v>81000</v>
      </c>
    </row>
    <row r="7" spans="2:11" ht="14.5" customHeight="1" x14ac:dyDescent="0.2">
      <c r="B7" s="422"/>
      <c r="C7" s="52" t="s">
        <v>344</v>
      </c>
      <c r="D7" s="52" t="s">
        <v>235</v>
      </c>
      <c r="E7" s="15">
        <v>407</v>
      </c>
      <c r="F7" s="15">
        <v>410</v>
      </c>
      <c r="G7" s="160">
        <f t="shared" si="0"/>
        <v>0.99268292682926829</v>
      </c>
      <c r="H7" s="12" t="s">
        <v>14</v>
      </c>
      <c r="I7" s="15">
        <v>135000</v>
      </c>
      <c r="J7" s="15">
        <f t="shared" si="1"/>
        <v>74250</v>
      </c>
      <c r="K7" s="15">
        <f t="shared" si="2"/>
        <v>60750</v>
      </c>
    </row>
    <row r="8" spans="2:11" ht="14.5" customHeight="1" x14ac:dyDescent="0.2">
      <c r="B8" s="422"/>
      <c r="C8" s="52" t="s">
        <v>345</v>
      </c>
      <c r="D8" s="52" t="s">
        <v>236</v>
      </c>
      <c r="E8" s="15">
        <v>537</v>
      </c>
      <c r="F8" s="15">
        <v>494</v>
      </c>
      <c r="G8" s="160">
        <f t="shared" si="0"/>
        <v>1.0870445344129556</v>
      </c>
      <c r="H8" s="12" t="s">
        <v>14</v>
      </c>
      <c r="I8" s="15">
        <v>180000</v>
      </c>
      <c r="J8" s="15">
        <f t="shared" si="1"/>
        <v>99000.000000000015</v>
      </c>
      <c r="K8" s="15">
        <f t="shared" si="2"/>
        <v>81000</v>
      </c>
    </row>
    <row r="9" spans="2:11" ht="14.5" customHeight="1" x14ac:dyDescent="0.2">
      <c r="B9" s="422"/>
      <c r="C9" s="52" t="s">
        <v>346</v>
      </c>
      <c r="D9" s="52" t="s">
        <v>237</v>
      </c>
      <c r="E9" s="15">
        <v>370</v>
      </c>
      <c r="F9" s="15">
        <v>390</v>
      </c>
      <c r="G9" s="160">
        <f t="shared" si="0"/>
        <v>0.94871794871794868</v>
      </c>
      <c r="H9" s="12" t="s">
        <v>18</v>
      </c>
      <c r="I9" s="15">
        <v>101250</v>
      </c>
      <c r="J9" s="15">
        <f t="shared" ref="J9:J12" si="3">I9*70%</f>
        <v>70875</v>
      </c>
      <c r="K9" s="15">
        <f t="shared" ref="K9:K12" si="4">I9*30%</f>
        <v>30375</v>
      </c>
    </row>
    <row r="10" spans="2:11" ht="14.5" customHeight="1" x14ac:dyDescent="0.2">
      <c r="B10" s="422"/>
      <c r="C10" s="52" t="s">
        <v>347</v>
      </c>
      <c r="D10" s="52" t="s">
        <v>101</v>
      </c>
      <c r="E10" s="15">
        <v>343</v>
      </c>
      <c r="F10" s="15">
        <v>390</v>
      </c>
      <c r="G10" s="160">
        <f t="shared" si="0"/>
        <v>0.87948717948717947</v>
      </c>
      <c r="H10" s="12" t="s">
        <v>18</v>
      </c>
      <c r="I10" s="15">
        <v>67500</v>
      </c>
      <c r="J10" s="15">
        <f t="shared" si="3"/>
        <v>47250</v>
      </c>
      <c r="K10" s="15">
        <f t="shared" si="4"/>
        <v>20250</v>
      </c>
    </row>
    <row r="11" spans="2:11" ht="14.5" customHeight="1" x14ac:dyDescent="0.2">
      <c r="B11" s="422"/>
      <c r="C11" s="117" t="s">
        <v>348</v>
      </c>
      <c r="D11" s="117" t="s">
        <v>157</v>
      </c>
      <c r="E11" s="122"/>
      <c r="F11" s="122"/>
      <c r="G11" s="163"/>
      <c r="H11" s="122"/>
      <c r="I11" s="122"/>
      <c r="J11" s="122">
        <f t="shared" si="3"/>
        <v>0</v>
      </c>
      <c r="K11" s="122">
        <f t="shared" si="4"/>
        <v>0</v>
      </c>
    </row>
    <row r="12" spans="2:11" ht="14.5" customHeight="1" x14ac:dyDescent="0.2">
      <c r="B12" s="422"/>
      <c r="C12" s="117" t="s">
        <v>349</v>
      </c>
      <c r="D12" s="117" t="s">
        <v>158</v>
      </c>
      <c r="E12" s="122"/>
      <c r="F12" s="122"/>
      <c r="G12" s="163"/>
      <c r="H12" s="122"/>
      <c r="I12" s="122"/>
      <c r="J12" s="122">
        <f t="shared" si="3"/>
        <v>0</v>
      </c>
      <c r="K12" s="122">
        <f t="shared" si="4"/>
        <v>0</v>
      </c>
    </row>
    <row r="13" spans="2:11" s="37" customFormat="1" ht="14.5" customHeight="1" x14ac:dyDescent="0.2">
      <c r="B13" s="422"/>
      <c r="C13" s="120"/>
      <c r="D13" s="120" t="s">
        <v>289</v>
      </c>
      <c r="E13" s="221">
        <f>SUM(E5:E12)</f>
        <v>2986</v>
      </c>
      <c r="F13" s="221">
        <f>SUM(F5:F12)</f>
        <v>2951</v>
      </c>
      <c r="G13" s="223">
        <f t="shared" ref="G13:G21" si="5">E13/F13*100%</f>
        <v>1.0118603863097255</v>
      </c>
      <c r="H13" s="230"/>
      <c r="I13" s="221"/>
      <c r="J13" s="221">
        <f>I13</f>
        <v>0</v>
      </c>
      <c r="K13" s="221">
        <v>0</v>
      </c>
    </row>
    <row r="14" spans="2:11" s="21" customFormat="1" ht="14.5" customHeight="1" x14ac:dyDescent="0.2">
      <c r="B14" s="422"/>
      <c r="C14" s="38" t="s">
        <v>350</v>
      </c>
      <c r="D14" s="38" t="s">
        <v>99</v>
      </c>
      <c r="E14" s="15">
        <v>515</v>
      </c>
      <c r="F14" s="15">
        <v>520</v>
      </c>
      <c r="G14" s="160">
        <f t="shared" si="5"/>
        <v>0.99038461538461542</v>
      </c>
      <c r="H14" s="12" t="s">
        <v>14</v>
      </c>
      <c r="I14" s="15">
        <v>135000</v>
      </c>
      <c r="J14" s="15">
        <f>I14*55%</f>
        <v>74250</v>
      </c>
      <c r="K14" s="15">
        <f>I14*45%</f>
        <v>60750</v>
      </c>
    </row>
    <row r="15" spans="2:11" ht="14.5" customHeight="1" x14ac:dyDescent="0.2">
      <c r="B15" s="422"/>
      <c r="C15" s="52" t="s">
        <v>351</v>
      </c>
      <c r="D15" s="52" t="s">
        <v>100</v>
      </c>
      <c r="E15" s="15">
        <v>436</v>
      </c>
      <c r="F15" s="15">
        <v>520</v>
      </c>
      <c r="G15" s="160">
        <f t="shared" si="5"/>
        <v>0.83846153846153848</v>
      </c>
      <c r="H15" s="12" t="s">
        <v>14</v>
      </c>
      <c r="I15" s="15">
        <v>90000</v>
      </c>
      <c r="J15" s="15">
        <f>I15*55%</f>
        <v>49500.000000000007</v>
      </c>
      <c r="K15" s="15">
        <f>I15*45%</f>
        <v>40500</v>
      </c>
    </row>
    <row r="16" spans="2:11" ht="14.5" customHeight="1" x14ac:dyDescent="0.2">
      <c r="B16" s="422"/>
      <c r="C16" s="52" t="s">
        <v>352</v>
      </c>
      <c r="D16" s="52" t="s">
        <v>238</v>
      </c>
      <c r="E16" s="15">
        <v>564</v>
      </c>
      <c r="F16" s="15">
        <v>650</v>
      </c>
      <c r="G16" s="160">
        <f t="shared" si="5"/>
        <v>0.86769230769230765</v>
      </c>
      <c r="H16" s="12" t="s">
        <v>14</v>
      </c>
      <c r="I16" s="15">
        <v>90000</v>
      </c>
      <c r="J16" s="15">
        <f t="shared" ref="J16:J18" si="6">I16*55%</f>
        <v>49500.000000000007</v>
      </c>
      <c r="K16" s="15">
        <f t="shared" ref="K16:K18" si="7">I16*45%</f>
        <v>40500</v>
      </c>
    </row>
    <row r="17" spans="2:11" ht="14.5" customHeight="1" x14ac:dyDescent="0.2">
      <c r="B17" s="422"/>
      <c r="C17" s="52" t="s">
        <v>353</v>
      </c>
      <c r="D17" s="52" t="s">
        <v>239</v>
      </c>
      <c r="E17" s="15">
        <v>420</v>
      </c>
      <c r="F17" s="15">
        <v>520</v>
      </c>
      <c r="G17" s="160">
        <f t="shared" si="5"/>
        <v>0.80769230769230771</v>
      </c>
      <c r="H17" s="83" t="s">
        <v>14</v>
      </c>
      <c r="I17" s="15">
        <v>90000</v>
      </c>
      <c r="J17" s="15">
        <f t="shared" si="6"/>
        <v>49500.000000000007</v>
      </c>
      <c r="K17" s="15">
        <f t="shared" si="7"/>
        <v>40500</v>
      </c>
    </row>
    <row r="18" spans="2:11" ht="14.5" customHeight="1" x14ac:dyDescent="0.2">
      <c r="B18" s="422"/>
      <c r="C18" s="52" t="s">
        <v>354</v>
      </c>
      <c r="D18" s="52" t="s">
        <v>294</v>
      </c>
      <c r="E18" s="15">
        <v>408</v>
      </c>
      <c r="F18" s="15">
        <v>520</v>
      </c>
      <c r="G18" s="160">
        <f t="shared" si="5"/>
        <v>0.7846153846153846</v>
      </c>
      <c r="H18" s="83" t="s">
        <v>14</v>
      </c>
      <c r="I18" s="15">
        <v>45000</v>
      </c>
      <c r="J18" s="15">
        <f t="shared" si="6"/>
        <v>24750.000000000004</v>
      </c>
      <c r="K18" s="15">
        <f t="shared" si="7"/>
        <v>20250</v>
      </c>
    </row>
    <row r="19" spans="2:11" ht="14.5" customHeight="1" x14ac:dyDescent="0.2">
      <c r="B19" s="422"/>
      <c r="C19" s="52" t="s">
        <v>355</v>
      </c>
      <c r="D19" s="52" t="s">
        <v>273</v>
      </c>
      <c r="E19" s="15">
        <v>183</v>
      </c>
      <c r="F19" s="15">
        <v>250</v>
      </c>
      <c r="G19" s="160">
        <f t="shared" si="5"/>
        <v>0.73199999999999998</v>
      </c>
      <c r="H19" s="12" t="s">
        <v>18</v>
      </c>
      <c r="I19" s="15">
        <v>33750</v>
      </c>
      <c r="J19" s="15">
        <f t="shared" ref="J19" si="8">I19*70%</f>
        <v>23625</v>
      </c>
      <c r="K19" s="15">
        <f t="shared" ref="K19" si="9">I19*30%</f>
        <v>10125</v>
      </c>
    </row>
    <row r="20" spans="2:11" ht="14.5" customHeight="1" x14ac:dyDescent="0.2">
      <c r="B20" s="422"/>
      <c r="C20" s="52"/>
      <c r="D20" s="52" t="s">
        <v>243</v>
      </c>
      <c r="E20" s="15">
        <v>634</v>
      </c>
      <c r="F20" s="15">
        <v>650</v>
      </c>
      <c r="G20" s="160">
        <f t="shared" si="5"/>
        <v>0.97538461538461541</v>
      </c>
      <c r="H20" s="12" t="s">
        <v>14</v>
      </c>
      <c r="I20" s="15">
        <v>135000</v>
      </c>
      <c r="J20" s="15">
        <f t="shared" ref="J20" si="10">I20*55%</f>
        <v>74250</v>
      </c>
      <c r="K20" s="15">
        <f t="shared" ref="K20" si="11">I20*45%</f>
        <v>60750</v>
      </c>
    </row>
    <row r="21" spans="2:11" s="37" customFormat="1" ht="14.5" customHeight="1" x14ac:dyDescent="0.2">
      <c r="B21" s="422"/>
      <c r="C21" s="119"/>
      <c r="D21" s="119" t="s">
        <v>293</v>
      </c>
      <c r="E21" s="221">
        <f>SUM(E14:E20)</f>
        <v>3160</v>
      </c>
      <c r="F21" s="221">
        <f>SUM(F14:F20)</f>
        <v>3630</v>
      </c>
      <c r="G21" s="223">
        <f t="shared" si="5"/>
        <v>0.87052341597796146</v>
      </c>
      <c r="H21" s="230"/>
      <c r="I21" s="221"/>
      <c r="J21" s="221">
        <f t="shared" ref="J21:J27" si="12">I21</f>
        <v>0</v>
      </c>
      <c r="K21" s="221">
        <v>0</v>
      </c>
    </row>
    <row r="22" spans="2:11" s="37" customFormat="1" ht="14.5" customHeight="1" x14ac:dyDescent="0.2">
      <c r="B22" s="422"/>
      <c r="C22" s="117" t="s">
        <v>356</v>
      </c>
      <c r="D22" s="117" t="s">
        <v>147</v>
      </c>
      <c r="E22" s="122"/>
      <c r="F22" s="122"/>
      <c r="G22" s="163"/>
      <c r="H22" s="122"/>
      <c r="I22" s="122"/>
      <c r="J22" s="122">
        <f t="shared" si="12"/>
        <v>0</v>
      </c>
      <c r="K22" s="122">
        <v>0</v>
      </c>
    </row>
    <row r="23" spans="2:11" s="37" customFormat="1" ht="14.5" customHeight="1" x14ac:dyDescent="0.2">
      <c r="B23" s="422"/>
      <c r="C23" s="117" t="s">
        <v>357</v>
      </c>
      <c r="D23" s="117" t="s">
        <v>813</v>
      </c>
      <c r="E23" s="122"/>
      <c r="F23" s="122"/>
      <c r="G23" s="163"/>
      <c r="H23" s="122"/>
      <c r="I23" s="122"/>
      <c r="J23" s="122">
        <f t="shared" si="12"/>
        <v>0</v>
      </c>
      <c r="K23" s="122">
        <v>0</v>
      </c>
    </row>
    <row r="24" spans="2:11" s="37" customFormat="1" ht="14.5" customHeight="1" x14ac:dyDescent="0.2">
      <c r="B24" s="422"/>
      <c r="C24" s="119"/>
      <c r="D24" s="119" t="s">
        <v>146</v>
      </c>
      <c r="E24" s="123">
        <f>SUM(E22:E23)</f>
        <v>0</v>
      </c>
      <c r="F24" s="123">
        <f>SUM(F22:F23)</f>
        <v>0</v>
      </c>
      <c r="G24" s="161"/>
      <c r="H24" s="123"/>
      <c r="I24" s="123"/>
      <c r="J24" s="123">
        <f t="shared" si="12"/>
        <v>0</v>
      </c>
      <c r="K24" s="123">
        <v>0</v>
      </c>
    </row>
    <row r="25" spans="2:11" s="37" customFormat="1" ht="14.5" customHeight="1" x14ac:dyDescent="0.2">
      <c r="B25" s="422"/>
      <c r="C25" s="52" t="s">
        <v>358</v>
      </c>
      <c r="D25" s="52" t="s">
        <v>258</v>
      </c>
      <c r="E25" s="15">
        <v>59</v>
      </c>
      <c r="F25" s="15">
        <v>75</v>
      </c>
      <c r="G25" s="160">
        <f t="shared" ref="G25:G30" si="13">E25/F25*100%</f>
        <v>0.78666666666666663</v>
      </c>
      <c r="H25" s="83" t="s">
        <v>469</v>
      </c>
      <c r="I25" s="15">
        <v>16000</v>
      </c>
      <c r="J25" s="15">
        <f t="shared" si="12"/>
        <v>16000</v>
      </c>
      <c r="K25" s="15">
        <v>0</v>
      </c>
    </row>
    <row r="26" spans="2:11" s="37" customFormat="1" ht="14.5" customHeight="1" x14ac:dyDescent="0.2">
      <c r="B26" s="422"/>
      <c r="C26" s="52" t="s">
        <v>525</v>
      </c>
      <c r="D26" s="52" t="s">
        <v>578</v>
      </c>
      <c r="E26" s="15">
        <v>47</v>
      </c>
      <c r="F26" s="15">
        <v>55</v>
      </c>
      <c r="G26" s="160">
        <f t="shared" si="13"/>
        <v>0.8545454545454545</v>
      </c>
      <c r="H26" s="83" t="s">
        <v>469</v>
      </c>
      <c r="I26" s="15">
        <v>32500</v>
      </c>
      <c r="J26" s="15">
        <f t="shared" si="12"/>
        <v>32500</v>
      </c>
      <c r="K26" s="15">
        <v>0</v>
      </c>
    </row>
    <row r="27" spans="2:11" s="37" customFormat="1" ht="14.5" customHeight="1" x14ac:dyDescent="0.2">
      <c r="B27" s="422"/>
      <c r="C27" s="78"/>
      <c r="D27" s="78" t="s">
        <v>587</v>
      </c>
      <c r="E27" s="65">
        <f t="shared" ref="E27:F27" si="14">SUM(E25:E26)</f>
        <v>106</v>
      </c>
      <c r="F27" s="65">
        <f t="shared" si="14"/>
        <v>130</v>
      </c>
      <c r="G27" s="66">
        <f t="shared" si="13"/>
        <v>0.81538461538461537</v>
      </c>
      <c r="H27" s="64" t="s">
        <v>20</v>
      </c>
      <c r="I27" s="63">
        <v>40000</v>
      </c>
      <c r="J27" s="63">
        <f t="shared" si="12"/>
        <v>40000</v>
      </c>
      <c r="K27" s="63">
        <v>0</v>
      </c>
    </row>
    <row r="28" spans="2:11" s="21" customFormat="1" ht="14.5" customHeight="1" x14ac:dyDescent="0.2">
      <c r="B28" s="422"/>
      <c r="C28" s="126"/>
      <c r="D28" s="126" t="s">
        <v>24</v>
      </c>
      <c r="E28" s="225">
        <f>SUM(E27,E24,E21,E13)</f>
        <v>6252</v>
      </c>
      <c r="F28" s="225">
        <f>SUM(F27,F24,F21,F13)</f>
        <v>6711</v>
      </c>
      <c r="G28" s="181">
        <f t="shared" si="13"/>
        <v>0.93160482789450161</v>
      </c>
      <c r="H28" s="225"/>
      <c r="I28" s="225">
        <f>SUM(I5:I27)</f>
        <v>1551000</v>
      </c>
      <c r="J28" s="225">
        <f>SUM(J5:J27)</f>
        <v>923250</v>
      </c>
      <c r="K28" s="225">
        <f>SUM(K5:K27)</f>
        <v>627750</v>
      </c>
    </row>
    <row r="29" spans="2:11" ht="14.5" customHeight="1" x14ac:dyDescent="0.2">
      <c r="B29" s="422" t="s">
        <v>32</v>
      </c>
      <c r="C29" s="52" t="s">
        <v>359</v>
      </c>
      <c r="D29" s="52" t="s">
        <v>103</v>
      </c>
      <c r="E29" s="15">
        <v>435</v>
      </c>
      <c r="F29" s="15">
        <v>400</v>
      </c>
      <c r="G29" s="160">
        <f t="shared" si="13"/>
        <v>1.0874999999999999</v>
      </c>
      <c r="H29" s="12" t="s">
        <v>14</v>
      </c>
      <c r="I29" s="15">
        <v>180000</v>
      </c>
      <c r="J29" s="15">
        <f t="shared" ref="J29" si="15">I29*55%</f>
        <v>99000.000000000015</v>
      </c>
      <c r="K29" s="15">
        <f t="shared" ref="K29" si="16">I29*45%</f>
        <v>81000</v>
      </c>
    </row>
    <row r="30" spans="2:11" ht="14.5" customHeight="1" x14ac:dyDescent="0.2">
      <c r="B30" s="422"/>
      <c r="C30" s="52" t="s">
        <v>360</v>
      </c>
      <c r="D30" s="52" t="s">
        <v>104</v>
      </c>
      <c r="E30" s="15">
        <v>343</v>
      </c>
      <c r="F30" s="15">
        <v>375</v>
      </c>
      <c r="G30" s="160">
        <f t="shared" si="13"/>
        <v>0.91466666666666663</v>
      </c>
      <c r="H30" s="12" t="s">
        <v>18</v>
      </c>
      <c r="I30" s="15">
        <v>101250</v>
      </c>
      <c r="J30" s="15">
        <f t="shared" ref="J30" si="17">I30*70%</f>
        <v>70875</v>
      </c>
      <c r="K30" s="15">
        <f t="shared" ref="K30" si="18">I30*30%</f>
        <v>30375</v>
      </c>
    </row>
    <row r="31" spans="2:11" ht="14.5" customHeight="1" x14ac:dyDescent="0.2">
      <c r="B31" s="422"/>
      <c r="C31" s="117"/>
      <c r="D31" s="117" t="s">
        <v>148</v>
      </c>
      <c r="E31" s="122"/>
      <c r="F31" s="122"/>
      <c r="G31" s="163"/>
      <c r="H31" s="122"/>
      <c r="I31" s="122"/>
      <c r="J31" s="122"/>
      <c r="K31" s="122"/>
    </row>
    <row r="32" spans="2:11" ht="14.5" customHeight="1" x14ac:dyDescent="0.2">
      <c r="B32" s="422"/>
      <c r="C32" s="52" t="s">
        <v>361</v>
      </c>
      <c r="D32" s="52" t="s">
        <v>295</v>
      </c>
      <c r="E32" s="15">
        <v>203</v>
      </c>
      <c r="F32" s="15">
        <v>300</v>
      </c>
      <c r="G32" s="160">
        <f t="shared" ref="G32:G40" si="19">E32/F32*100%</f>
        <v>0.67666666666666664</v>
      </c>
      <c r="H32" s="12" t="s">
        <v>18</v>
      </c>
      <c r="I32" s="15">
        <v>0</v>
      </c>
      <c r="J32" s="15">
        <f t="shared" ref="J32" si="20">I32*70%</f>
        <v>0</v>
      </c>
      <c r="K32" s="15">
        <f t="shared" ref="K32" si="21">I32*30%</f>
        <v>0</v>
      </c>
    </row>
    <row r="33" spans="2:11" s="37" customFormat="1" ht="14.5" customHeight="1" x14ac:dyDescent="0.2">
      <c r="B33" s="422"/>
      <c r="C33" s="119"/>
      <c r="D33" s="119" t="s">
        <v>72</v>
      </c>
      <c r="E33" s="221">
        <f>SUM(E29:E32)</f>
        <v>981</v>
      </c>
      <c r="F33" s="221">
        <f>SUM(F29:F32)</f>
        <v>1075</v>
      </c>
      <c r="G33" s="223">
        <f t="shared" si="19"/>
        <v>0.91255813953488374</v>
      </c>
      <c r="H33" s="221"/>
      <c r="I33" s="221"/>
      <c r="J33" s="221">
        <f>I33</f>
        <v>0</v>
      </c>
      <c r="K33" s="221">
        <v>0</v>
      </c>
    </row>
    <row r="34" spans="2:11" ht="14.5" customHeight="1" x14ac:dyDescent="0.2">
      <c r="B34" s="422"/>
      <c r="C34" s="121"/>
      <c r="D34" s="121" t="s">
        <v>34</v>
      </c>
      <c r="E34" s="225">
        <f>SUM(E33)</f>
        <v>981</v>
      </c>
      <c r="F34" s="225">
        <f>SUM(F33)</f>
        <v>1075</v>
      </c>
      <c r="G34" s="181">
        <f t="shared" si="19"/>
        <v>0.91255813953488374</v>
      </c>
      <c r="H34" s="225"/>
      <c r="I34" s="225">
        <f>SUM(I29:I33)</f>
        <v>281250</v>
      </c>
      <c r="J34" s="225">
        <f t="shared" ref="J34:K34" si="22">SUM(J29:J33)</f>
        <v>169875</v>
      </c>
      <c r="K34" s="225">
        <f t="shared" si="22"/>
        <v>111375</v>
      </c>
    </row>
    <row r="35" spans="2:11" ht="14.5" customHeight="1" x14ac:dyDescent="0.2">
      <c r="B35" s="397" t="s">
        <v>256</v>
      </c>
      <c r="C35" s="52" t="s">
        <v>362</v>
      </c>
      <c r="D35" s="52" t="s">
        <v>106</v>
      </c>
      <c r="E35" s="15">
        <v>293</v>
      </c>
      <c r="F35" s="15">
        <v>300</v>
      </c>
      <c r="G35" s="160">
        <f t="shared" si="19"/>
        <v>0.97666666666666668</v>
      </c>
      <c r="H35" s="12" t="s">
        <v>14</v>
      </c>
      <c r="I35" s="15">
        <v>180000</v>
      </c>
      <c r="J35" s="15">
        <f t="shared" ref="J35" si="23">I35*55%</f>
        <v>99000.000000000015</v>
      </c>
      <c r="K35" s="15">
        <f t="shared" ref="K35" si="24">I35*45%</f>
        <v>81000</v>
      </c>
    </row>
    <row r="36" spans="2:11" ht="14.5" customHeight="1" x14ac:dyDescent="0.2">
      <c r="B36" s="397"/>
      <c r="C36" s="52" t="s">
        <v>363</v>
      </c>
      <c r="D36" s="52" t="s">
        <v>298</v>
      </c>
      <c r="E36" s="15">
        <v>360</v>
      </c>
      <c r="F36" s="15">
        <v>350</v>
      </c>
      <c r="G36" s="160">
        <f t="shared" si="19"/>
        <v>1.0285714285714285</v>
      </c>
      <c r="H36" s="12" t="s">
        <v>18</v>
      </c>
      <c r="I36" s="15">
        <v>180000</v>
      </c>
      <c r="J36" s="15">
        <f t="shared" ref="J36:J37" si="25">I36*70%</f>
        <v>125999.99999999999</v>
      </c>
      <c r="K36" s="15">
        <f t="shared" ref="K36:K37" si="26">I36*30%</f>
        <v>54000</v>
      </c>
    </row>
    <row r="37" spans="2:11" ht="14.5" customHeight="1" x14ac:dyDescent="0.2">
      <c r="B37" s="397"/>
      <c r="C37" s="52" t="s">
        <v>364</v>
      </c>
      <c r="D37" s="52" t="s">
        <v>274</v>
      </c>
      <c r="E37" s="15">
        <v>183</v>
      </c>
      <c r="F37" s="15">
        <v>260</v>
      </c>
      <c r="G37" s="160">
        <f t="shared" si="19"/>
        <v>0.7038461538461539</v>
      </c>
      <c r="H37" s="12" t="s">
        <v>18</v>
      </c>
      <c r="I37" s="15">
        <v>45000</v>
      </c>
      <c r="J37" s="15">
        <f t="shared" si="25"/>
        <v>31499.999999999996</v>
      </c>
      <c r="K37" s="15">
        <f t="shared" si="26"/>
        <v>13500</v>
      </c>
    </row>
    <row r="38" spans="2:11" s="37" customFormat="1" ht="14.5" customHeight="1" x14ac:dyDescent="0.2">
      <c r="B38" s="397"/>
      <c r="C38" s="78"/>
      <c r="D38" s="78" t="s">
        <v>259</v>
      </c>
      <c r="E38" s="65">
        <f>SUM(E35:E37)</f>
        <v>836</v>
      </c>
      <c r="F38" s="65">
        <f>SUM(F35:F37)</f>
        <v>910</v>
      </c>
      <c r="G38" s="66">
        <f t="shared" si="19"/>
        <v>0.91868131868131864</v>
      </c>
      <c r="H38" s="64" t="s">
        <v>20</v>
      </c>
      <c r="I38" s="63">
        <v>168000</v>
      </c>
      <c r="J38" s="63">
        <f>I38</f>
        <v>168000</v>
      </c>
      <c r="K38" s="63">
        <v>0</v>
      </c>
    </row>
    <row r="39" spans="2:11" ht="14.5" customHeight="1" x14ac:dyDescent="0.2">
      <c r="B39" s="397"/>
      <c r="C39" s="77"/>
      <c r="D39" s="77" t="s">
        <v>257</v>
      </c>
      <c r="E39" s="24">
        <f>SUM(E38)</f>
        <v>836</v>
      </c>
      <c r="F39" s="24">
        <f>SUM(F38)</f>
        <v>910</v>
      </c>
      <c r="G39" s="76">
        <f t="shared" si="19"/>
        <v>0.91868131868131864</v>
      </c>
      <c r="H39" s="42"/>
      <c r="I39" s="23">
        <f>SUM(I35:I38)</f>
        <v>573000</v>
      </c>
      <c r="J39" s="23">
        <f t="shared" ref="J39:K39" si="27">SUM(J35:J38)</f>
        <v>424500</v>
      </c>
      <c r="K39" s="23">
        <f t="shared" si="27"/>
        <v>148500</v>
      </c>
    </row>
    <row r="40" spans="2:11" s="21" customFormat="1" ht="14.5" customHeight="1" x14ac:dyDescent="0.2">
      <c r="B40" s="144"/>
      <c r="C40" s="126"/>
      <c r="D40" s="126" t="s">
        <v>110</v>
      </c>
      <c r="E40" s="148">
        <f>SUM(E39,E34,E28)</f>
        <v>8069</v>
      </c>
      <c r="F40" s="148">
        <f>SUM(F39,F34,F28)</f>
        <v>8696</v>
      </c>
      <c r="G40" s="164">
        <f t="shared" si="19"/>
        <v>0.92789788408463658</v>
      </c>
      <c r="H40" s="154"/>
      <c r="I40" s="148">
        <f t="shared" ref="I40:K40" si="28">SUM(I39,I34,I28)</f>
        <v>2405250</v>
      </c>
      <c r="J40" s="148">
        <f t="shared" si="28"/>
        <v>1517625</v>
      </c>
      <c r="K40" s="148">
        <f t="shared" si="28"/>
        <v>887625</v>
      </c>
    </row>
    <row r="46" spans="2:11" ht="14.5" customHeight="1" x14ac:dyDescent="0.2">
      <c r="B46" s="4" t="s">
        <v>160</v>
      </c>
      <c r="C46" s="5"/>
      <c r="D46" s="5"/>
      <c r="E46" s="33"/>
      <c r="F46" s="33"/>
      <c r="G46" s="159"/>
    </row>
    <row r="47" spans="2:11" ht="14.5" customHeight="1" x14ac:dyDescent="0.2">
      <c r="B47" s="8"/>
      <c r="C47" s="8"/>
      <c r="D47" s="8"/>
      <c r="E47" s="35"/>
      <c r="F47" s="35"/>
      <c r="G47" s="159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385" t="s">
        <v>134</v>
      </c>
      <c r="F48" s="385"/>
      <c r="G48" s="423" t="s">
        <v>56</v>
      </c>
      <c r="H48" s="394" t="s">
        <v>3</v>
      </c>
      <c r="I48" s="398" t="s">
        <v>419</v>
      </c>
      <c r="J48" s="398" t="s">
        <v>8</v>
      </c>
      <c r="K48" s="398" t="s">
        <v>75</v>
      </c>
    </row>
    <row r="49" spans="2:13" ht="14.5" customHeight="1" x14ac:dyDescent="0.2">
      <c r="B49" s="388"/>
      <c r="C49" s="388"/>
      <c r="D49" s="388"/>
      <c r="E49" s="36" t="s">
        <v>77</v>
      </c>
      <c r="F49" s="54" t="s">
        <v>58</v>
      </c>
      <c r="G49" s="423"/>
      <c r="H49" s="394"/>
      <c r="I49" s="398"/>
      <c r="J49" s="398"/>
      <c r="K49" s="398"/>
    </row>
    <row r="50" spans="2:13" ht="14.5" customHeight="1" x14ac:dyDescent="0.2">
      <c r="B50" s="422" t="s">
        <v>25</v>
      </c>
      <c r="C50" s="193"/>
      <c r="D50" s="193" t="s">
        <v>148</v>
      </c>
      <c r="E50" s="122"/>
      <c r="F50" s="122"/>
      <c r="G50" s="163"/>
      <c r="H50" s="122"/>
      <c r="I50" s="122"/>
      <c r="J50" s="122"/>
      <c r="K50" s="122"/>
    </row>
    <row r="51" spans="2:13" s="21" customFormat="1" ht="14.5" customHeight="1" x14ac:dyDescent="0.2">
      <c r="B51" s="422"/>
      <c r="C51" s="38" t="s">
        <v>365</v>
      </c>
      <c r="D51" s="38" t="s">
        <v>151</v>
      </c>
      <c r="E51" s="15">
        <v>402</v>
      </c>
      <c r="F51" s="15">
        <v>425</v>
      </c>
      <c r="G51" s="160">
        <f t="shared" ref="G51:G77" si="29">E51/F51*100%</f>
        <v>0.94588235294117651</v>
      </c>
      <c r="H51" s="12" t="s">
        <v>18</v>
      </c>
      <c r="I51" s="15">
        <v>101250</v>
      </c>
      <c r="J51" s="15">
        <f>I51*70%</f>
        <v>70875</v>
      </c>
      <c r="K51" s="15">
        <f>I51*30%</f>
        <v>30375</v>
      </c>
    </row>
    <row r="52" spans="2:13" ht="14.5" customHeight="1" x14ac:dyDescent="0.2">
      <c r="B52" s="422"/>
      <c r="C52" s="52" t="s">
        <v>366</v>
      </c>
      <c r="D52" s="52" t="s">
        <v>241</v>
      </c>
      <c r="E52" s="15">
        <v>539</v>
      </c>
      <c r="F52" s="15">
        <v>550</v>
      </c>
      <c r="G52" s="160">
        <f t="shared" si="29"/>
        <v>0.98</v>
      </c>
      <c r="H52" s="12" t="s">
        <v>18</v>
      </c>
      <c r="I52" s="15">
        <v>101250</v>
      </c>
      <c r="J52" s="15">
        <f>I52*70%</f>
        <v>70875</v>
      </c>
      <c r="K52" s="15">
        <f>I52*30%</f>
        <v>30375</v>
      </c>
    </row>
    <row r="53" spans="2:13" ht="14.5" customHeight="1" x14ac:dyDescent="0.2">
      <c r="B53" s="422"/>
      <c r="C53" s="52" t="s">
        <v>368</v>
      </c>
      <c r="D53" s="52" t="s">
        <v>107</v>
      </c>
      <c r="E53" s="15">
        <v>617</v>
      </c>
      <c r="F53" s="15">
        <v>625</v>
      </c>
      <c r="G53" s="160">
        <f t="shared" si="29"/>
        <v>0.98719999999999997</v>
      </c>
      <c r="H53" s="12" t="s">
        <v>18</v>
      </c>
      <c r="I53" s="15">
        <v>101250</v>
      </c>
      <c r="J53" s="15">
        <f>I53*70%</f>
        <v>70875</v>
      </c>
      <c r="K53" s="15">
        <f>I53*30%</f>
        <v>30375</v>
      </c>
    </row>
    <row r="54" spans="2:13" ht="14.5" customHeight="1" x14ac:dyDescent="0.2">
      <c r="B54" s="422"/>
      <c r="C54" s="52" t="s">
        <v>369</v>
      </c>
      <c r="D54" s="52" t="s">
        <v>262</v>
      </c>
      <c r="E54" s="15">
        <v>345</v>
      </c>
      <c r="F54" s="15">
        <v>375</v>
      </c>
      <c r="G54" s="160">
        <f t="shared" si="29"/>
        <v>0.92</v>
      </c>
      <c r="H54" s="12" t="s">
        <v>18</v>
      </c>
      <c r="I54" s="15">
        <v>101250</v>
      </c>
      <c r="J54" s="15">
        <f>I54*70%</f>
        <v>70875</v>
      </c>
      <c r="K54" s="15">
        <f>I54*30%</f>
        <v>30375</v>
      </c>
    </row>
    <row r="55" spans="2:13" s="37" customFormat="1" ht="14.5" customHeight="1" x14ac:dyDescent="0.2">
      <c r="B55" s="422"/>
      <c r="C55" s="119"/>
      <c r="D55" s="119" t="s">
        <v>177</v>
      </c>
      <c r="E55" s="221">
        <f>SUM(E50:E54)</f>
        <v>1903</v>
      </c>
      <c r="F55" s="221">
        <f>SUM(F50:F54)</f>
        <v>1975</v>
      </c>
      <c r="G55" s="223"/>
      <c r="H55" s="221"/>
      <c r="I55" s="221"/>
      <c r="J55" s="221">
        <f>I55</f>
        <v>0</v>
      </c>
      <c r="K55" s="221">
        <v>0</v>
      </c>
    </row>
    <row r="56" spans="2:13" ht="14.5" customHeight="1" x14ac:dyDescent="0.2">
      <c r="B56" s="422"/>
      <c r="C56" s="52" t="s">
        <v>370</v>
      </c>
      <c r="D56" s="52" t="s">
        <v>244</v>
      </c>
      <c r="E56" s="15">
        <v>598</v>
      </c>
      <c r="F56" s="15">
        <v>575</v>
      </c>
      <c r="G56" s="160">
        <f t="shared" si="29"/>
        <v>1.04</v>
      </c>
      <c r="H56" s="12" t="s">
        <v>18</v>
      </c>
      <c r="I56" s="15">
        <v>135000</v>
      </c>
      <c r="J56" s="15">
        <f t="shared" ref="J56" si="30">I56*70%</f>
        <v>94500</v>
      </c>
      <c r="K56" s="15">
        <f t="shared" ref="K56" si="31">I56*30%</f>
        <v>40500</v>
      </c>
    </row>
    <row r="57" spans="2:13" ht="14.5" customHeight="1" x14ac:dyDescent="0.2">
      <c r="B57" s="422"/>
      <c r="C57" s="52" t="s">
        <v>367</v>
      </c>
      <c r="D57" s="52" t="s">
        <v>242</v>
      </c>
      <c r="E57" s="15">
        <v>469</v>
      </c>
      <c r="F57" s="15">
        <v>450</v>
      </c>
      <c r="G57" s="160">
        <f t="shared" si="29"/>
        <v>1.0422222222222222</v>
      </c>
      <c r="H57" s="12" t="s">
        <v>18</v>
      </c>
      <c r="I57" s="15">
        <v>135000</v>
      </c>
      <c r="J57" s="15">
        <f>I57*70%</f>
        <v>94500</v>
      </c>
      <c r="K57" s="15">
        <f>I57*30%</f>
        <v>40500</v>
      </c>
    </row>
    <row r="58" spans="2:13" ht="14.5" customHeight="1" x14ac:dyDescent="0.2">
      <c r="B58" s="422"/>
      <c r="C58" s="193"/>
      <c r="D58" s="193" t="s">
        <v>148</v>
      </c>
      <c r="E58" s="122"/>
      <c r="F58" s="122"/>
      <c r="G58" s="163"/>
      <c r="H58" s="122"/>
      <c r="I58" s="122"/>
      <c r="J58" s="122"/>
      <c r="K58" s="122"/>
    </row>
    <row r="59" spans="2:13" ht="14.5" customHeight="1" x14ac:dyDescent="0.2">
      <c r="B59" s="422"/>
      <c r="C59" s="52" t="s">
        <v>371</v>
      </c>
      <c r="D59" s="52" t="s">
        <v>303</v>
      </c>
      <c r="E59" s="15">
        <v>620</v>
      </c>
      <c r="F59" s="15">
        <v>625</v>
      </c>
      <c r="G59" s="160">
        <f t="shared" si="29"/>
        <v>0.99199999999999999</v>
      </c>
      <c r="H59" s="12" t="s">
        <v>471</v>
      </c>
      <c r="I59" s="15">
        <v>105000</v>
      </c>
      <c r="J59" s="15">
        <f>I59*55%</f>
        <v>57750.000000000007</v>
      </c>
      <c r="K59" s="15">
        <f>I59*45%</f>
        <v>47250</v>
      </c>
    </row>
    <row r="60" spans="2:13" ht="14.5" customHeight="1" x14ac:dyDescent="0.2">
      <c r="B60" s="422"/>
      <c r="C60" s="52" t="s">
        <v>372</v>
      </c>
      <c r="D60" s="52" t="s">
        <v>108</v>
      </c>
      <c r="E60" s="15">
        <v>627</v>
      </c>
      <c r="F60" s="15">
        <v>625</v>
      </c>
      <c r="G60" s="160">
        <f t="shared" si="29"/>
        <v>1.0032000000000001</v>
      </c>
      <c r="H60" s="12" t="s">
        <v>471</v>
      </c>
      <c r="I60" s="15">
        <v>150000</v>
      </c>
      <c r="J60" s="15">
        <f>I60*55%</f>
        <v>82500</v>
      </c>
      <c r="K60" s="15">
        <f>I60*45%</f>
        <v>67500</v>
      </c>
    </row>
    <row r="61" spans="2:13" ht="14.5" customHeight="1" x14ac:dyDescent="0.2">
      <c r="B61" s="422"/>
      <c r="C61" s="117" t="s">
        <v>373</v>
      </c>
      <c r="D61" s="117" t="s">
        <v>268</v>
      </c>
      <c r="E61" s="122"/>
      <c r="F61" s="122"/>
      <c r="G61" s="163"/>
      <c r="H61" s="122"/>
      <c r="I61" s="122"/>
      <c r="J61" s="122">
        <f>I61</f>
        <v>0</v>
      </c>
      <c r="K61" s="122">
        <v>0</v>
      </c>
    </row>
    <row r="62" spans="2:13" s="37" customFormat="1" ht="14.5" customHeight="1" x14ac:dyDescent="0.2">
      <c r="B62" s="422"/>
      <c r="C62" s="119"/>
      <c r="D62" s="119" t="s">
        <v>177</v>
      </c>
      <c r="E62" s="221">
        <f>SUM(E56:E61)</f>
        <v>2314</v>
      </c>
      <c r="F62" s="221">
        <f>SUM(F56:F61)</f>
        <v>2275</v>
      </c>
      <c r="G62" s="223">
        <f t="shared" si="29"/>
        <v>1.0171428571428571</v>
      </c>
      <c r="H62" s="221"/>
      <c r="I62" s="221"/>
      <c r="J62" s="221">
        <f>I62</f>
        <v>0</v>
      </c>
      <c r="K62" s="221">
        <v>0</v>
      </c>
      <c r="M62"/>
    </row>
    <row r="63" spans="2:13" ht="14.5" customHeight="1" x14ac:dyDescent="0.2">
      <c r="B63" s="422"/>
      <c r="C63" s="52" t="s">
        <v>374</v>
      </c>
      <c r="D63" s="52" t="s">
        <v>249</v>
      </c>
      <c r="E63" s="15"/>
      <c r="F63" s="15"/>
      <c r="G63" s="160" t="e">
        <f t="shared" si="29"/>
        <v>#DIV/0!</v>
      </c>
      <c r="H63" s="12" t="s">
        <v>471</v>
      </c>
      <c r="I63" s="15">
        <v>0</v>
      </c>
      <c r="J63" s="15">
        <f t="shared" ref="J63" si="32">I63*70%</f>
        <v>0</v>
      </c>
      <c r="K63" s="15">
        <f t="shared" ref="K63" si="33">I63*30%</f>
        <v>0</v>
      </c>
    </row>
    <row r="64" spans="2:13" s="21" customFormat="1" ht="14.5" customHeight="1" x14ac:dyDescent="0.2">
      <c r="B64" s="422"/>
      <c r="C64" s="126"/>
      <c r="D64" s="126" t="s">
        <v>30</v>
      </c>
      <c r="E64" s="153">
        <f>SUM(E63,E62,E55)</f>
        <v>4217</v>
      </c>
      <c r="F64" s="153">
        <f>SUM(F63,F62,F55)</f>
        <v>4250</v>
      </c>
      <c r="G64" s="164">
        <f t="shared" si="29"/>
        <v>0.9922352941176471</v>
      </c>
      <c r="H64" s="154"/>
      <c r="I64" s="148">
        <f>SUM(I50:I63)</f>
        <v>930000</v>
      </c>
      <c r="J64" s="148">
        <f t="shared" ref="J64:K64" si="34">SUM(J50:J63)</f>
        <v>612750</v>
      </c>
      <c r="K64" s="148">
        <f t="shared" si="34"/>
        <v>317250</v>
      </c>
      <c r="M64"/>
    </row>
    <row r="65" spans="2:12" ht="14.5" customHeight="1" x14ac:dyDescent="0.2">
      <c r="B65" s="422" t="s">
        <v>59</v>
      </c>
      <c r="C65" s="52" t="s">
        <v>375</v>
      </c>
      <c r="D65" s="52" t="s">
        <v>211</v>
      </c>
      <c r="E65" s="15">
        <v>337</v>
      </c>
      <c r="F65" s="15">
        <v>425</v>
      </c>
      <c r="G65" s="160">
        <f t="shared" si="29"/>
        <v>0.79294117647058826</v>
      </c>
      <c r="H65" s="12" t="s">
        <v>470</v>
      </c>
      <c r="I65" s="15">
        <v>24750</v>
      </c>
      <c r="J65" s="15">
        <f>I65</f>
        <v>24750</v>
      </c>
      <c r="K65" s="15">
        <v>0</v>
      </c>
    </row>
    <row r="66" spans="2:12" ht="14.5" customHeight="1" x14ac:dyDescent="0.2">
      <c r="B66" s="422"/>
      <c r="C66" s="52" t="s">
        <v>376</v>
      </c>
      <c r="D66" s="52" t="s">
        <v>145</v>
      </c>
      <c r="E66" s="15">
        <v>303</v>
      </c>
      <c r="F66" s="15">
        <v>350</v>
      </c>
      <c r="G66" s="160">
        <f t="shared" si="29"/>
        <v>0.86571428571428577</v>
      </c>
      <c r="H66" s="12" t="s">
        <v>18</v>
      </c>
      <c r="I66" s="15">
        <v>67500</v>
      </c>
      <c r="J66" s="15">
        <f t="shared" ref="J66:J67" si="35">I66*70%</f>
        <v>47250</v>
      </c>
      <c r="K66" s="15">
        <f t="shared" ref="K66:K67" si="36">I66*30%</f>
        <v>20250</v>
      </c>
    </row>
    <row r="67" spans="2:12" ht="14.5" customHeight="1" x14ac:dyDescent="0.2">
      <c r="B67" s="422"/>
      <c r="C67" s="52" t="s">
        <v>377</v>
      </c>
      <c r="D67" s="52" t="s">
        <v>287</v>
      </c>
      <c r="E67" s="15">
        <v>354</v>
      </c>
      <c r="F67" s="15">
        <v>400</v>
      </c>
      <c r="G67" s="160">
        <f t="shared" si="29"/>
        <v>0.88500000000000001</v>
      </c>
      <c r="H67" s="12" t="s">
        <v>18</v>
      </c>
      <c r="I67" s="15">
        <v>67500</v>
      </c>
      <c r="J67" s="15">
        <f t="shared" si="35"/>
        <v>47250</v>
      </c>
      <c r="K67" s="15">
        <f t="shared" si="36"/>
        <v>20250</v>
      </c>
    </row>
    <row r="68" spans="2:12" ht="14.5" customHeight="1" x14ac:dyDescent="0.2">
      <c r="B68" s="422"/>
      <c r="C68" s="52" t="s">
        <v>379</v>
      </c>
      <c r="D68" s="52" t="s">
        <v>380</v>
      </c>
      <c r="E68" s="15">
        <v>25</v>
      </c>
      <c r="F68" s="15">
        <v>375</v>
      </c>
      <c r="G68" s="160">
        <f t="shared" si="29"/>
        <v>6.6666666666666666E-2</v>
      </c>
      <c r="H68" s="83" t="s">
        <v>469</v>
      </c>
      <c r="I68" s="15">
        <v>0</v>
      </c>
      <c r="J68" s="15">
        <f>I68</f>
        <v>0</v>
      </c>
      <c r="K68" s="15">
        <v>0</v>
      </c>
    </row>
    <row r="69" spans="2:12" ht="14.5" customHeight="1" x14ac:dyDescent="0.2">
      <c r="B69" s="422"/>
      <c r="C69" s="117" t="s">
        <v>378</v>
      </c>
      <c r="D69" s="117" t="s">
        <v>210</v>
      </c>
      <c r="E69" s="122"/>
      <c r="F69" s="122"/>
      <c r="G69" s="163"/>
      <c r="H69" s="122"/>
      <c r="I69" s="122"/>
      <c r="J69" s="122">
        <f>I69</f>
        <v>0</v>
      </c>
      <c r="K69" s="122">
        <v>0</v>
      </c>
    </row>
    <row r="70" spans="2:12" s="37" customFormat="1" ht="14.5" customHeight="1" x14ac:dyDescent="0.2">
      <c r="B70" s="422"/>
      <c r="C70" s="119"/>
      <c r="D70" s="119" t="s">
        <v>74</v>
      </c>
      <c r="E70" s="231">
        <f>SUM(E65:E69)</f>
        <v>1019</v>
      </c>
      <c r="F70" s="231">
        <f>SUM(F65:F69)</f>
        <v>1550</v>
      </c>
      <c r="G70" s="232">
        <f t="shared" si="29"/>
        <v>0.65741935483870972</v>
      </c>
      <c r="H70" s="233"/>
      <c r="I70" s="234"/>
      <c r="J70" s="234">
        <f>I70</f>
        <v>0</v>
      </c>
      <c r="K70" s="234">
        <v>0</v>
      </c>
    </row>
    <row r="71" spans="2:12" ht="14.5" customHeight="1" x14ac:dyDescent="0.2">
      <c r="B71" s="422"/>
      <c r="C71" s="121"/>
      <c r="D71" s="121" t="s">
        <v>36</v>
      </c>
      <c r="E71" s="155">
        <f>SUM(E70)</f>
        <v>1019</v>
      </c>
      <c r="F71" s="155">
        <f>SUM(F70)</f>
        <v>1550</v>
      </c>
      <c r="G71" s="164">
        <f t="shared" si="29"/>
        <v>0.65741935483870972</v>
      </c>
      <c r="H71" s="156"/>
      <c r="I71" s="157">
        <f>SUM(I65:I70)</f>
        <v>159750</v>
      </c>
      <c r="J71" s="157">
        <f t="shared" ref="J71:K71" si="37">SUM(J65:J70)</f>
        <v>119250</v>
      </c>
      <c r="K71" s="157">
        <f t="shared" si="37"/>
        <v>40500</v>
      </c>
      <c r="L71" s="37"/>
    </row>
    <row r="72" spans="2:12" ht="14.5" customHeight="1" x14ac:dyDescent="0.2">
      <c r="B72" s="397" t="s">
        <v>131</v>
      </c>
      <c r="C72" s="52" t="s">
        <v>381</v>
      </c>
      <c r="D72" s="52" t="s">
        <v>132</v>
      </c>
      <c r="E72" s="15">
        <v>77</v>
      </c>
      <c r="F72" s="15">
        <v>300</v>
      </c>
      <c r="G72" s="160">
        <f t="shared" si="29"/>
        <v>0.25666666666666665</v>
      </c>
      <c r="H72" s="83" t="s">
        <v>18</v>
      </c>
      <c r="I72" s="15">
        <v>0</v>
      </c>
      <c r="J72" s="15">
        <f t="shared" ref="J72:J74" si="38">I72*70%</f>
        <v>0</v>
      </c>
      <c r="K72" s="15">
        <f t="shared" ref="K72:K74" si="39">I72*30%</f>
        <v>0</v>
      </c>
      <c r="L72" s="37"/>
    </row>
    <row r="73" spans="2:12" ht="14.5" customHeight="1" x14ac:dyDescent="0.2">
      <c r="B73" s="397"/>
      <c r="C73" s="52" t="s">
        <v>382</v>
      </c>
      <c r="D73" s="52" t="s">
        <v>667</v>
      </c>
      <c r="E73" s="15">
        <v>121</v>
      </c>
      <c r="F73" s="15">
        <v>300</v>
      </c>
      <c r="G73" s="160">
        <f t="shared" si="29"/>
        <v>0.40333333333333332</v>
      </c>
      <c r="H73" s="83" t="s">
        <v>18</v>
      </c>
      <c r="I73" s="15">
        <v>0</v>
      </c>
      <c r="J73" s="15">
        <f t="shared" si="38"/>
        <v>0</v>
      </c>
      <c r="K73" s="15">
        <f t="shared" si="39"/>
        <v>0</v>
      </c>
    </row>
    <row r="74" spans="2:12" ht="14.5" customHeight="1" x14ac:dyDescent="0.2">
      <c r="B74" s="397"/>
      <c r="C74" s="52" t="s">
        <v>383</v>
      </c>
      <c r="D74" s="52" t="s">
        <v>613</v>
      </c>
      <c r="E74" s="15">
        <v>262</v>
      </c>
      <c r="F74" s="15">
        <v>300</v>
      </c>
      <c r="G74" s="160">
        <f t="shared" si="29"/>
        <v>0.87333333333333329</v>
      </c>
      <c r="H74" s="83" t="s">
        <v>18</v>
      </c>
      <c r="I74" s="15">
        <v>90000</v>
      </c>
      <c r="J74" s="15">
        <f t="shared" si="38"/>
        <v>62999.999999999993</v>
      </c>
      <c r="K74" s="15">
        <f t="shared" si="39"/>
        <v>27000</v>
      </c>
    </row>
    <row r="75" spans="2:12" s="37" customFormat="1" ht="14.5" customHeight="1" x14ac:dyDescent="0.2">
      <c r="B75" s="397"/>
      <c r="C75" s="78"/>
      <c r="D75" s="78" t="s">
        <v>483</v>
      </c>
      <c r="E75" s="65">
        <f>SUM(E72:E74)</f>
        <v>460</v>
      </c>
      <c r="F75" s="65">
        <f>SUM(F72:F74)</f>
        <v>900</v>
      </c>
      <c r="G75" s="66">
        <f t="shared" si="29"/>
        <v>0.51111111111111107</v>
      </c>
      <c r="H75" s="64" t="s">
        <v>20</v>
      </c>
      <c r="I75" s="63">
        <v>0</v>
      </c>
      <c r="J75" s="63">
        <f>I75</f>
        <v>0</v>
      </c>
      <c r="K75" s="63">
        <v>0</v>
      </c>
    </row>
    <row r="76" spans="2:12" ht="14.5" customHeight="1" x14ac:dyDescent="0.2">
      <c r="B76" s="397"/>
      <c r="C76" s="77"/>
      <c r="D76" s="77" t="s">
        <v>133</v>
      </c>
      <c r="E76" s="24">
        <f>SUM(E75)</f>
        <v>460</v>
      </c>
      <c r="F76" s="24">
        <f>SUM(F75)</f>
        <v>900</v>
      </c>
      <c r="G76" s="76">
        <f t="shared" si="29"/>
        <v>0.51111111111111107</v>
      </c>
      <c r="H76" s="42"/>
      <c r="I76" s="23">
        <f>SUM(I72:I75)</f>
        <v>90000</v>
      </c>
      <c r="J76" s="23">
        <f t="shared" ref="J76:K76" si="40">SUM(J72:J75)</f>
        <v>62999.999999999993</v>
      </c>
      <c r="K76" s="23">
        <f t="shared" si="40"/>
        <v>27000</v>
      </c>
    </row>
    <row r="77" spans="2:12" s="21" customFormat="1" ht="14.5" customHeight="1" x14ac:dyDescent="0.2">
      <c r="B77" s="144"/>
      <c r="C77" s="126"/>
      <c r="D77" s="126" t="s">
        <v>109</v>
      </c>
      <c r="E77" s="148">
        <f>SUM(E76,E71,E64)</f>
        <v>5696</v>
      </c>
      <c r="F77" s="148">
        <f>SUM(F76,F71,F64)</f>
        <v>6700</v>
      </c>
      <c r="G77" s="164">
        <f t="shared" si="29"/>
        <v>0.85014925373134331</v>
      </c>
      <c r="H77" s="154"/>
      <c r="I77" s="148">
        <f>SUM(I76,I71,I64)</f>
        <v>1179750</v>
      </c>
      <c r="J77" s="148">
        <f t="shared" ref="J77:K77" si="41">SUM(J76,J71,J64)</f>
        <v>795000</v>
      </c>
      <c r="K77" s="148">
        <f t="shared" si="41"/>
        <v>384750</v>
      </c>
    </row>
    <row r="83" spans="2:11" ht="14.5" customHeight="1" x14ac:dyDescent="0.2">
      <c r="B83" s="4" t="s">
        <v>221</v>
      </c>
      <c r="C83" s="5"/>
      <c r="D83" s="5"/>
      <c r="E83" s="33"/>
      <c r="F83" s="33"/>
      <c r="G83" s="159"/>
    </row>
    <row r="84" spans="2:11" ht="14.5" customHeight="1" x14ac:dyDescent="0.2">
      <c r="B84" s="8"/>
      <c r="C84" s="8"/>
      <c r="D84" s="8"/>
      <c r="E84" s="35"/>
      <c r="F84" s="35"/>
      <c r="G84" s="159"/>
    </row>
    <row r="85" spans="2:11" ht="14.5" customHeight="1" x14ac:dyDescent="0.2">
      <c r="B85" s="388" t="s">
        <v>0</v>
      </c>
      <c r="C85" s="388" t="s">
        <v>270</v>
      </c>
      <c r="D85" s="388" t="s">
        <v>2</v>
      </c>
      <c r="E85" s="385" t="s">
        <v>134</v>
      </c>
      <c r="F85" s="385"/>
      <c r="G85" s="423" t="s">
        <v>56</v>
      </c>
      <c r="H85" s="394" t="s">
        <v>3</v>
      </c>
      <c r="I85" s="398" t="s">
        <v>419</v>
      </c>
      <c r="J85" s="398" t="s">
        <v>8</v>
      </c>
      <c r="K85" s="398" t="s">
        <v>75</v>
      </c>
    </row>
    <row r="86" spans="2:11" ht="14.5" customHeight="1" x14ac:dyDescent="0.2">
      <c r="B86" s="388"/>
      <c r="C86" s="388"/>
      <c r="D86" s="388"/>
      <c r="E86" s="36" t="s">
        <v>77</v>
      </c>
      <c r="F86" s="54" t="s">
        <v>58</v>
      </c>
      <c r="G86" s="423"/>
      <c r="H86" s="394"/>
      <c r="I86" s="398"/>
      <c r="J86" s="398"/>
      <c r="K86" s="398"/>
    </row>
    <row r="87" spans="2:11" ht="14.5" customHeight="1" x14ac:dyDescent="0.2">
      <c r="B87" s="397" t="s">
        <v>37</v>
      </c>
      <c r="C87" s="52" t="s">
        <v>385</v>
      </c>
      <c r="D87" s="52" t="s">
        <v>98</v>
      </c>
      <c r="E87" s="15">
        <v>239</v>
      </c>
      <c r="F87" s="15">
        <v>375</v>
      </c>
      <c r="G87" s="160">
        <f t="shared" ref="G87:G95" si="42">E87/F87*100%</f>
        <v>0.63733333333333331</v>
      </c>
      <c r="H87" s="83" t="s">
        <v>18</v>
      </c>
      <c r="I87" s="15">
        <v>0</v>
      </c>
      <c r="J87" s="15">
        <f t="shared" ref="J87:J88" si="43">I87*70%</f>
        <v>0</v>
      </c>
      <c r="K87" s="15">
        <f t="shared" ref="K87:K88" si="44">I87*30%</f>
        <v>0</v>
      </c>
    </row>
    <row r="88" spans="2:11" ht="14.5" customHeight="1" x14ac:dyDescent="0.2">
      <c r="B88" s="397"/>
      <c r="C88" s="52" t="s">
        <v>384</v>
      </c>
      <c r="D88" s="52" t="s">
        <v>310</v>
      </c>
      <c r="E88" s="15">
        <v>337</v>
      </c>
      <c r="F88" s="15">
        <v>375</v>
      </c>
      <c r="G88" s="160">
        <f t="shared" si="42"/>
        <v>0.89866666666666661</v>
      </c>
      <c r="H88" s="83" t="s">
        <v>18</v>
      </c>
      <c r="I88" s="15">
        <v>90000</v>
      </c>
      <c r="J88" s="15">
        <f t="shared" si="43"/>
        <v>62999.999999999993</v>
      </c>
      <c r="K88" s="15">
        <f t="shared" si="44"/>
        <v>27000</v>
      </c>
    </row>
    <row r="89" spans="2:11" s="37" customFormat="1" ht="14.5" customHeight="1" x14ac:dyDescent="0.2">
      <c r="B89" s="397"/>
      <c r="C89" s="78"/>
      <c r="D89" s="78" t="s">
        <v>230</v>
      </c>
      <c r="E89" s="65">
        <f>SUM(E87:E88)</f>
        <v>576</v>
      </c>
      <c r="F89" s="65">
        <f>SUM(F87:F88)</f>
        <v>750</v>
      </c>
      <c r="G89" s="66">
        <f t="shared" si="42"/>
        <v>0.76800000000000002</v>
      </c>
      <c r="H89" s="64" t="s">
        <v>20</v>
      </c>
      <c r="I89" s="63">
        <v>60000</v>
      </c>
      <c r="J89" s="63">
        <f>I89</f>
        <v>60000</v>
      </c>
      <c r="K89" s="63">
        <v>0</v>
      </c>
    </row>
    <row r="90" spans="2:11" ht="14.5" customHeight="1" x14ac:dyDescent="0.2">
      <c r="B90" s="397"/>
      <c r="C90" s="77"/>
      <c r="D90" s="77" t="s">
        <v>38</v>
      </c>
      <c r="E90" s="24">
        <f>SUM(E89)</f>
        <v>576</v>
      </c>
      <c r="F90" s="24">
        <f>SUM(F89)</f>
        <v>750</v>
      </c>
      <c r="G90" s="76">
        <f t="shared" si="42"/>
        <v>0.76800000000000002</v>
      </c>
      <c r="H90" s="42"/>
      <c r="I90" s="23">
        <f>SUM(I87:I89)</f>
        <v>150000</v>
      </c>
      <c r="J90" s="23">
        <f t="shared" ref="J90:K90" si="45">SUM(J87:J89)</f>
        <v>123000</v>
      </c>
      <c r="K90" s="23">
        <f t="shared" si="45"/>
        <v>27000</v>
      </c>
    </row>
    <row r="91" spans="2:11" s="21" customFormat="1" ht="14.5" customHeight="1" x14ac:dyDescent="0.2">
      <c r="B91" s="397" t="s">
        <v>614</v>
      </c>
      <c r="C91" s="52" t="s">
        <v>386</v>
      </c>
      <c r="D91" s="52" t="s">
        <v>265</v>
      </c>
      <c r="E91" s="15">
        <v>228</v>
      </c>
      <c r="F91" s="15">
        <v>312</v>
      </c>
      <c r="G91" s="160">
        <f t="shared" si="42"/>
        <v>0.73076923076923073</v>
      </c>
      <c r="H91" s="83" t="s">
        <v>18</v>
      </c>
      <c r="I91" s="15">
        <v>45000</v>
      </c>
      <c r="J91" s="15">
        <f t="shared" ref="J91:J92" si="46">I91*70%</f>
        <v>31499.999999999996</v>
      </c>
      <c r="K91" s="15">
        <f t="shared" ref="K91:K92" si="47">I91*30%</f>
        <v>13500</v>
      </c>
    </row>
    <row r="92" spans="2:11" ht="14.5" customHeight="1" x14ac:dyDescent="0.2">
      <c r="B92" s="397"/>
      <c r="C92" s="52" t="s">
        <v>387</v>
      </c>
      <c r="D92" s="52" t="s">
        <v>97</v>
      </c>
      <c r="E92" s="15">
        <v>121</v>
      </c>
      <c r="F92" s="15">
        <v>260</v>
      </c>
      <c r="G92" s="160">
        <f t="shared" si="42"/>
        <v>0.4653846153846154</v>
      </c>
      <c r="H92" s="83" t="s">
        <v>18</v>
      </c>
      <c r="I92" s="15">
        <v>0</v>
      </c>
      <c r="J92" s="15">
        <f t="shared" si="46"/>
        <v>0</v>
      </c>
      <c r="K92" s="15">
        <f t="shared" si="47"/>
        <v>0</v>
      </c>
    </row>
    <row r="93" spans="2:11" s="37" customFormat="1" ht="14.5" customHeight="1" x14ac:dyDescent="0.2">
      <c r="B93" s="397"/>
      <c r="C93" s="78"/>
      <c r="D93" s="78" t="s">
        <v>497</v>
      </c>
      <c r="E93" s="65">
        <f>SUM(E91:E92)</f>
        <v>349</v>
      </c>
      <c r="F93" s="65">
        <f>SUM(F91:F92)</f>
        <v>572</v>
      </c>
      <c r="G93" s="66">
        <f t="shared" si="42"/>
        <v>0.6101398601398601</v>
      </c>
      <c r="H93" s="64" t="s">
        <v>20</v>
      </c>
      <c r="I93" s="63">
        <v>0</v>
      </c>
      <c r="J93" s="63">
        <f>I93</f>
        <v>0</v>
      </c>
      <c r="K93" s="63">
        <v>0</v>
      </c>
    </row>
    <row r="94" spans="2:11" ht="14.5" customHeight="1" x14ac:dyDescent="0.2">
      <c r="B94" s="397"/>
      <c r="C94" s="77"/>
      <c r="D94" s="77" t="s">
        <v>615</v>
      </c>
      <c r="E94" s="24">
        <f>SUM(E93)</f>
        <v>349</v>
      </c>
      <c r="F94" s="24">
        <f>SUM(F93)</f>
        <v>572</v>
      </c>
      <c r="G94" s="76">
        <f t="shared" si="42"/>
        <v>0.6101398601398601</v>
      </c>
      <c r="H94" s="42"/>
      <c r="I94" s="23">
        <f>SUM(I91:I93)</f>
        <v>45000</v>
      </c>
      <c r="J94" s="23">
        <f t="shared" ref="J94:K94" si="48">SUM(J91:J93)</f>
        <v>31499.999999999996</v>
      </c>
      <c r="K94" s="23">
        <f t="shared" si="48"/>
        <v>13500</v>
      </c>
    </row>
    <row r="95" spans="2:11" s="21" customFormat="1" ht="14.5" customHeight="1" x14ac:dyDescent="0.2">
      <c r="B95" s="144"/>
      <c r="C95" s="126"/>
      <c r="D95" s="126" t="s">
        <v>219</v>
      </c>
      <c r="E95" s="148">
        <f>SUM(E90,E94)</f>
        <v>925</v>
      </c>
      <c r="F95" s="148">
        <f>SUM(F90,F94)</f>
        <v>1322</v>
      </c>
      <c r="G95" s="164">
        <f t="shared" si="42"/>
        <v>0.69969742813918301</v>
      </c>
      <c r="H95" s="154"/>
      <c r="I95" s="148">
        <f>SUM(I90,I94)</f>
        <v>195000</v>
      </c>
      <c r="J95" s="148">
        <f t="shared" ref="J95:K95" si="49">SUM(J90,J94)</f>
        <v>154500</v>
      </c>
      <c r="K95" s="148">
        <f t="shared" si="49"/>
        <v>40500</v>
      </c>
    </row>
    <row r="101" spans="2:12" ht="14.5" customHeight="1" x14ac:dyDescent="0.2">
      <c r="B101" s="4" t="s">
        <v>161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134</v>
      </c>
      <c r="F103" s="385"/>
      <c r="G103" s="423" t="s">
        <v>56</v>
      </c>
      <c r="H103" s="394" t="s">
        <v>3</v>
      </c>
      <c r="I103" s="398" t="s">
        <v>419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23"/>
      <c r="H104" s="394"/>
      <c r="I104" s="398"/>
      <c r="J104" s="398"/>
      <c r="K104" s="398"/>
    </row>
    <row r="105" spans="2:12" ht="14.5" customHeight="1" x14ac:dyDescent="0.2">
      <c r="B105" s="422" t="s">
        <v>39</v>
      </c>
      <c r="C105" s="12" t="s">
        <v>388</v>
      </c>
      <c r="D105" s="12" t="s">
        <v>389</v>
      </c>
      <c r="E105" s="15">
        <v>114</v>
      </c>
      <c r="F105" s="15">
        <v>190</v>
      </c>
      <c r="G105" s="160">
        <f t="shared" ref="G105:G147" si="50">E105/F105*100%</f>
        <v>0.6</v>
      </c>
      <c r="H105" s="12" t="s">
        <v>18</v>
      </c>
      <c r="I105" s="15">
        <v>0</v>
      </c>
      <c r="J105" s="15">
        <f t="shared" ref="J105:J106" si="51">I105*70%</f>
        <v>0</v>
      </c>
      <c r="K105" s="15">
        <f t="shared" ref="K105:K106" si="52">I105*30%</f>
        <v>0</v>
      </c>
      <c r="L105" s="2"/>
    </row>
    <row r="106" spans="2:12" ht="14.5" customHeight="1" x14ac:dyDescent="0.2">
      <c r="B106" s="422"/>
      <c r="C106" s="12" t="s">
        <v>390</v>
      </c>
      <c r="D106" s="12" t="s">
        <v>111</v>
      </c>
      <c r="E106" s="15">
        <v>240</v>
      </c>
      <c r="F106" s="15">
        <v>230</v>
      </c>
      <c r="G106" s="160">
        <f t="shared" si="50"/>
        <v>1.0434782608695652</v>
      </c>
      <c r="H106" s="12" t="s">
        <v>18</v>
      </c>
      <c r="I106" s="15">
        <v>135000</v>
      </c>
      <c r="J106" s="15">
        <f t="shared" si="51"/>
        <v>94500</v>
      </c>
      <c r="K106" s="15">
        <f t="shared" si="52"/>
        <v>40500</v>
      </c>
      <c r="L106" s="2"/>
    </row>
    <row r="107" spans="2:12" ht="14.5" customHeight="1" x14ac:dyDescent="0.2">
      <c r="B107" s="422"/>
      <c r="C107" s="117" t="s">
        <v>391</v>
      </c>
      <c r="D107" s="117" t="s">
        <v>271</v>
      </c>
      <c r="E107" s="122"/>
      <c r="F107" s="122"/>
      <c r="G107" s="163"/>
      <c r="H107" s="122"/>
      <c r="I107" s="122"/>
      <c r="J107" s="122"/>
      <c r="K107" s="122"/>
      <c r="L107" s="2"/>
    </row>
    <row r="108" spans="2:12" ht="14.5" customHeight="1" x14ac:dyDescent="0.2">
      <c r="B108" s="422"/>
      <c r="C108" s="120"/>
      <c r="D108" s="120" t="s">
        <v>891</v>
      </c>
      <c r="E108" s="221">
        <f>SUM(E105:E107)</f>
        <v>354</v>
      </c>
      <c r="F108" s="221">
        <f>SUM(F105:F107)</f>
        <v>420</v>
      </c>
      <c r="G108" s="223">
        <f t="shared" si="50"/>
        <v>0.84285714285714286</v>
      </c>
      <c r="H108" s="221"/>
      <c r="I108" s="221"/>
      <c r="J108" s="221">
        <f>I108</f>
        <v>0</v>
      </c>
      <c r="K108" s="221">
        <v>0</v>
      </c>
      <c r="L108" s="2"/>
    </row>
    <row r="109" spans="2:12" ht="14.5" customHeight="1" x14ac:dyDescent="0.2">
      <c r="B109" s="422"/>
      <c r="C109" s="127"/>
      <c r="D109" s="127" t="s">
        <v>40</v>
      </c>
      <c r="E109" s="225">
        <f>SUM(E108)</f>
        <v>354</v>
      </c>
      <c r="F109" s="225">
        <f>SUM(F108)</f>
        <v>420</v>
      </c>
      <c r="G109" s="181">
        <f t="shared" si="50"/>
        <v>0.84285714285714286</v>
      </c>
      <c r="H109" s="225"/>
      <c r="I109" s="225">
        <f>SUM(I105:I108)</f>
        <v>135000</v>
      </c>
      <c r="J109" s="225">
        <f t="shared" ref="J109:K109" si="53">SUM(J105:J108)</f>
        <v>94500</v>
      </c>
      <c r="K109" s="225">
        <f t="shared" si="53"/>
        <v>40500</v>
      </c>
      <c r="L109" s="2"/>
    </row>
    <row r="110" spans="2:12" ht="14.5" customHeight="1" x14ac:dyDescent="0.2">
      <c r="B110" s="422" t="s">
        <v>41</v>
      </c>
      <c r="C110" s="52" t="s">
        <v>392</v>
      </c>
      <c r="D110" s="52" t="s">
        <v>112</v>
      </c>
      <c r="E110" s="15">
        <v>252</v>
      </c>
      <c r="F110" s="15">
        <v>260</v>
      </c>
      <c r="G110" s="160">
        <f t="shared" si="50"/>
        <v>0.96923076923076923</v>
      </c>
      <c r="H110" s="12" t="s">
        <v>470</v>
      </c>
      <c r="I110" s="15">
        <v>74250</v>
      </c>
      <c r="J110" s="15">
        <f t="shared" ref="J110:J113" si="54">I110</f>
        <v>74250</v>
      </c>
      <c r="K110" s="15">
        <v>0</v>
      </c>
      <c r="L110" s="2"/>
    </row>
    <row r="111" spans="2:12" ht="14.5" customHeight="1" x14ac:dyDescent="0.2">
      <c r="B111" s="422"/>
      <c r="C111" s="52" t="s">
        <v>393</v>
      </c>
      <c r="D111" s="52" t="s">
        <v>394</v>
      </c>
      <c r="E111" s="15">
        <v>163</v>
      </c>
      <c r="F111" s="15">
        <v>230</v>
      </c>
      <c r="G111" s="160">
        <f t="shared" si="50"/>
        <v>0.70869565217391306</v>
      </c>
      <c r="H111" s="12" t="s">
        <v>470</v>
      </c>
      <c r="I111" s="15">
        <v>24750</v>
      </c>
      <c r="J111" s="15">
        <f t="shared" si="54"/>
        <v>24750</v>
      </c>
      <c r="K111" s="15">
        <v>0</v>
      </c>
      <c r="L111" s="2"/>
    </row>
    <row r="112" spans="2:12" ht="14.5" customHeight="1" x14ac:dyDescent="0.2">
      <c r="B112" s="422"/>
      <c r="C112" s="52" t="s">
        <v>395</v>
      </c>
      <c r="D112" s="52" t="s">
        <v>113</v>
      </c>
      <c r="E112" s="15">
        <v>320</v>
      </c>
      <c r="F112" s="15">
        <v>340</v>
      </c>
      <c r="G112" s="160">
        <f t="shared" si="50"/>
        <v>0.94117647058823528</v>
      </c>
      <c r="H112" s="12" t="s">
        <v>470</v>
      </c>
      <c r="I112" s="15">
        <v>74250</v>
      </c>
      <c r="J112" s="15">
        <f t="shared" si="54"/>
        <v>74250</v>
      </c>
      <c r="K112" s="15">
        <v>0</v>
      </c>
      <c r="L112" s="2"/>
    </row>
    <row r="113" spans="2:16" ht="14.5" customHeight="1" x14ac:dyDescent="0.2">
      <c r="B113" s="422"/>
      <c r="C113" s="52" t="s">
        <v>396</v>
      </c>
      <c r="D113" s="52" t="s">
        <v>253</v>
      </c>
      <c r="E113" s="15">
        <v>247</v>
      </c>
      <c r="F113" s="15">
        <v>280</v>
      </c>
      <c r="G113" s="160">
        <f t="shared" si="50"/>
        <v>0.88214285714285712</v>
      </c>
      <c r="H113" s="12" t="s">
        <v>470</v>
      </c>
      <c r="I113" s="15">
        <v>49500</v>
      </c>
      <c r="J113" s="15">
        <f t="shared" si="54"/>
        <v>49500</v>
      </c>
      <c r="K113" s="15">
        <v>0</v>
      </c>
      <c r="L113" s="2"/>
    </row>
    <row r="114" spans="2:16" ht="14.5" customHeight="1" x14ac:dyDescent="0.2">
      <c r="B114" s="422"/>
      <c r="C114" s="120"/>
      <c r="D114" s="120" t="s">
        <v>316</v>
      </c>
      <c r="E114" s="221">
        <f>SUM(E110:E113)</f>
        <v>982</v>
      </c>
      <c r="F114" s="221">
        <f>SUM(F110:F113)</f>
        <v>1110</v>
      </c>
      <c r="G114" s="223">
        <f t="shared" si="50"/>
        <v>0.88468468468468464</v>
      </c>
      <c r="H114" s="221"/>
      <c r="I114" s="221"/>
      <c r="J114" s="221">
        <f>I114</f>
        <v>0</v>
      </c>
      <c r="K114" s="221">
        <v>0</v>
      </c>
      <c r="L114" s="2"/>
    </row>
    <row r="115" spans="2:16" ht="14.5" customHeight="1" x14ac:dyDescent="0.2">
      <c r="B115" s="422"/>
      <c r="C115" s="127"/>
      <c r="D115" s="127" t="s">
        <v>42</v>
      </c>
      <c r="E115" s="225">
        <f>SUM(E114)</f>
        <v>982</v>
      </c>
      <c r="F115" s="225">
        <f>SUM(F114)</f>
        <v>1110</v>
      </c>
      <c r="G115" s="181">
        <f t="shared" si="50"/>
        <v>0.88468468468468464</v>
      </c>
      <c r="H115" s="225"/>
      <c r="I115" s="225">
        <f>SUM(I110:I114)</f>
        <v>222750</v>
      </c>
      <c r="J115" s="225">
        <f t="shared" ref="J115:K115" si="55">SUM(J110:J114)</f>
        <v>222750</v>
      </c>
      <c r="K115" s="225">
        <f t="shared" si="55"/>
        <v>0</v>
      </c>
      <c r="L115" s="2"/>
    </row>
    <row r="116" spans="2:16" ht="14.5" customHeight="1" x14ac:dyDescent="0.2">
      <c r="B116" s="422" t="s">
        <v>43</v>
      </c>
      <c r="C116" s="52" t="s">
        <v>397</v>
      </c>
      <c r="D116" s="52" t="s">
        <v>114</v>
      </c>
      <c r="E116" s="15">
        <v>197</v>
      </c>
      <c r="F116" s="15">
        <v>280</v>
      </c>
      <c r="G116" s="160">
        <f t="shared" si="50"/>
        <v>0.70357142857142863</v>
      </c>
      <c r="H116" s="12" t="s">
        <v>470</v>
      </c>
      <c r="I116" s="15">
        <v>24750</v>
      </c>
      <c r="J116" s="15">
        <f t="shared" ref="J116:J117" si="56">I116</f>
        <v>24750</v>
      </c>
      <c r="K116" s="15">
        <v>0</v>
      </c>
      <c r="L116" s="2"/>
    </row>
    <row r="117" spans="2:16" ht="14.5" customHeight="1" x14ac:dyDescent="0.2">
      <c r="B117" s="422"/>
      <c r="C117" s="52" t="s">
        <v>398</v>
      </c>
      <c r="D117" s="52" t="s">
        <v>341</v>
      </c>
      <c r="E117" s="15">
        <v>340</v>
      </c>
      <c r="F117" s="15">
        <v>380</v>
      </c>
      <c r="G117" s="160">
        <f t="shared" si="50"/>
        <v>0.89473684210526316</v>
      </c>
      <c r="H117" s="12" t="s">
        <v>470</v>
      </c>
      <c r="I117" s="15">
        <v>49500</v>
      </c>
      <c r="J117" s="15">
        <f t="shared" si="56"/>
        <v>49500</v>
      </c>
      <c r="K117" s="15">
        <v>0</v>
      </c>
      <c r="L117" s="2"/>
    </row>
    <row r="118" spans="2:16" ht="14.5" customHeight="1" x14ac:dyDescent="0.2">
      <c r="B118" s="422"/>
      <c r="C118" s="52" t="s">
        <v>399</v>
      </c>
      <c r="D118" s="52" t="s">
        <v>321</v>
      </c>
      <c r="E118" s="15">
        <v>136</v>
      </c>
      <c r="F118" s="15">
        <v>280</v>
      </c>
      <c r="G118" s="160">
        <f t="shared" si="50"/>
        <v>0.48571428571428571</v>
      </c>
      <c r="H118" s="12" t="s">
        <v>18</v>
      </c>
      <c r="I118" s="15">
        <v>0</v>
      </c>
      <c r="J118" s="15">
        <f t="shared" ref="J118" si="57">I118*70%</f>
        <v>0</v>
      </c>
      <c r="K118" s="15">
        <f t="shared" ref="K118" si="58">I118*30%</f>
        <v>0</v>
      </c>
      <c r="L118" s="2"/>
    </row>
    <row r="119" spans="2:16" ht="14.5" customHeight="1" x14ac:dyDescent="0.2">
      <c r="B119" s="422"/>
      <c r="C119" s="52" t="s">
        <v>400</v>
      </c>
      <c r="D119" s="52" t="s">
        <v>322</v>
      </c>
      <c r="E119" s="15">
        <v>233</v>
      </c>
      <c r="F119" s="15">
        <v>280</v>
      </c>
      <c r="G119" s="160">
        <f t="shared" ref="G119" si="59">E119/F119*100%</f>
        <v>0.83214285714285718</v>
      </c>
      <c r="H119" s="12" t="s">
        <v>18</v>
      </c>
      <c r="I119" s="15">
        <v>67500</v>
      </c>
      <c r="J119" s="15">
        <f t="shared" ref="J119" si="60">I119*70%</f>
        <v>47250</v>
      </c>
      <c r="K119" s="15">
        <f t="shared" ref="K119" si="61">I119*30%</f>
        <v>20250</v>
      </c>
      <c r="L119" s="2"/>
    </row>
    <row r="120" spans="2:16" ht="14.5" customHeight="1" x14ac:dyDescent="0.2">
      <c r="B120" s="422"/>
      <c r="C120" s="117"/>
      <c r="D120" s="117" t="s">
        <v>474</v>
      </c>
      <c r="E120" s="381">
        <v>0</v>
      </c>
      <c r="F120" s="117"/>
      <c r="G120" s="117"/>
      <c r="H120" s="117"/>
      <c r="I120" s="117"/>
      <c r="J120" s="117"/>
      <c r="K120" s="117"/>
      <c r="L120" s="2"/>
    </row>
    <row r="121" spans="2:16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74"/>
      <c r="H121" s="122"/>
      <c r="I121" s="122"/>
      <c r="J121" s="170"/>
      <c r="K121" s="170"/>
      <c r="L121" s="2"/>
      <c r="M121"/>
      <c r="N121"/>
      <c r="O121"/>
      <c r="P121"/>
    </row>
    <row r="122" spans="2:16" s="21" customFormat="1" ht="14.5" customHeight="1" x14ac:dyDescent="0.2">
      <c r="B122" s="418"/>
      <c r="C122" s="117"/>
      <c r="D122" s="117" t="s">
        <v>838</v>
      </c>
      <c r="E122" s="122"/>
      <c r="F122" s="174"/>
      <c r="G122" s="174"/>
      <c r="H122" s="122"/>
      <c r="I122" s="122"/>
      <c r="J122" s="170"/>
      <c r="K122" s="170"/>
      <c r="L122" s="2"/>
      <c r="M122"/>
      <c r="N122"/>
      <c r="O122"/>
      <c r="P122"/>
    </row>
    <row r="123" spans="2:16" s="21" customFormat="1" ht="14.5" customHeight="1" x14ac:dyDescent="0.2">
      <c r="B123" s="418"/>
      <c r="C123" s="117"/>
      <c r="D123" s="117" t="s">
        <v>839</v>
      </c>
      <c r="E123" s="122"/>
      <c r="F123" s="174"/>
      <c r="G123" s="174"/>
      <c r="H123" s="122"/>
      <c r="I123" s="122"/>
      <c r="J123" s="170"/>
      <c r="K123" s="170"/>
      <c r="L123" s="2"/>
      <c r="M123"/>
      <c r="N123"/>
      <c r="O123"/>
      <c r="P123"/>
    </row>
    <row r="124" spans="2:16" s="21" customFormat="1" ht="14.5" customHeight="1" x14ac:dyDescent="0.2">
      <c r="B124" s="418"/>
      <c r="C124" s="117"/>
      <c r="D124" s="117" t="s">
        <v>893</v>
      </c>
      <c r="E124" s="122"/>
      <c r="F124" s="174"/>
      <c r="G124" s="174"/>
      <c r="H124" s="122"/>
      <c r="I124" s="122"/>
      <c r="J124" s="170">
        <f t="shared" ref="J124" si="62">I124</f>
        <v>0</v>
      </c>
      <c r="K124" s="170">
        <v>0</v>
      </c>
      <c r="L124" s="2"/>
      <c r="M124"/>
      <c r="N124"/>
      <c r="O124"/>
      <c r="P124"/>
    </row>
    <row r="125" spans="2:16" s="21" customFormat="1" ht="14.5" customHeight="1" x14ac:dyDescent="0.2">
      <c r="B125" s="418"/>
      <c r="C125" s="117"/>
      <c r="D125" s="117" t="s">
        <v>840</v>
      </c>
      <c r="E125" s="122"/>
      <c r="F125" s="174"/>
      <c r="G125" s="174"/>
      <c r="H125" s="122"/>
      <c r="I125" s="122"/>
      <c r="J125" s="170"/>
      <c r="K125" s="170"/>
      <c r="L125" s="2"/>
      <c r="M125"/>
      <c r="N125"/>
      <c r="O125"/>
      <c r="P125"/>
    </row>
    <row r="126" spans="2:16" s="21" customFormat="1" ht="14.5" customHeight="1" x14ac:dyDescent="0.2">
      <c r="B126" s="418"/>
      <c r="C126" s="117"/>
      <c r="D126" s="117" t="s">
        <v>841</v>
      </c>
      <c r="E126" s="122"/>
      <c r="F126" s="174"/>
      <c r="G126" s="174"/>
      <c r="H126" s="122"/>
      <c r="I126" s="122"/>
      <c r="J126" s="170"/>
      <c r="K126" s="170"/>
      <c r="L126" s="2"/>
      <c r="M126"/>
      <c r="N126"/>
      <c r="O126"/>
      <c r="P126"/>
    </row>
    <row r="127" spans="2:16" ht="14.5" customHeight="1" x14ac:dyDescent="0.2">
      <c r="B127" s="418"/>
      <c r="C127" s="119"/>
      <c r="D127" s="119" t="s">
        <v>275</v>
      </c>
      <c r="E127" s="123">
        <f>SUM(E116:E126)</f>
        <v>906</v>
      </c>
      <c r="F127" s="123">
        <f>SUM(F116:F126)</f>
        <v>1220</v>
      </c>
      <c r="G127" s="161">
        <f t="shared" si="50"/>
        <v>0.74262295081967211</v>
      </c>
      <c r="H127" s="123"/>
      <c r="I127" s="123"/>
      <c r="J127" s="189">
        <f t="shared" ref="J127" si="63">I127</f>
        <v>0</v>
      </c>
      <c r="K127" s="189">
        <v>0</v>
      </c>
      <c r="L127" s="2"/>
    </row>
    <row r="128" spans="2:16" ht="14.5" customHeight="1" x14ac:dyDescent="0.2">
      <c r="B128" s="419"/>
      <c r="C128" s="127"/>
      <c r="D128" s="127" t="s">
        <v>964</v>
      </c>
      <c r="E128" s="382">
        <f>SUM(E127)</f>
        <v>906</v>
      </c>
      <c r="F128" s="382">
        <f>SUM(F127)</f>
        <v>1220</v>
      </c>
      <c r="G128" s="383">
        <f t="shared" si="50"/>
        <v>0.74262295081967211</v>
      </c>
      <c r="H128" s="382"/>
      <c r="I128" s="382">
        <f>SUM(I116:I127)</f>
        <v>141750</v>
      </c>
      <c r="J128" s="382">
        <f t="shared" ref="J128:K128" si="64">SUM(J116:J127)</f>
        <v>121500</v>
      </c>
      <c r="K128" s="382">
        <f t="shared" si="64"/>
        <v>20250</v>
      </c>
      <c r="L128" s="2"/>
    </row>
    <row r="129" spans="2:16" ht="14.5" customHeight="1" x14ac:dyDescent="0.2">
      <c r="B129" s="397" t="s">
        <v>45</v>
      </c>
      <c r="C129" s="117"/>
      <c r="D129" s="117" t="s">
        <v>175</v>
      </c>
      <c r="E129" s="122"/>
      <c r="F129" s="122"/>
      <c r="G129" s="163"/>
      <c r="H129" s="122"/>
      <c r="I129" s="122"/>
      <c r="J129" s="122"/>
      <c r="K129" s="122"/>
      <c r="L129" s="2"/>
    </row>
    <row r="130" spans="2:16" ht="14.5" customHeight="1" x14ac:dyDescent="0.2">
      <c r="B130" s="397"/>
      <c r="C130" s="52" t="s">
        <v>401</v>
      </c>
      <c r="D130" s="52" t="s">
        <v>288</v>
      </c>
      <c r="E130" s="15">
        <v>99</v>
      </c>
      <c r="F130" s="15">
        <v>170</v>
      </c>
      <c r="G130" s="160">
        <f t="shared" si="50"/>
        <v>0.58235294117647063</v>
      </c>
      <c r="H130" s="83" t="s">
        <v>18</v>
      </c>
      <c r="I130" s="15">
        <v>0</v>
      </c>
      <c r="J130" s="15">
        <f t="shared" ref="J130:J131" si="65">I130*70%</f>
        <v>0</v>
      </c>
      <c r="K130" s="15">
        <f t="shared" ref="K130:K131" si="66">I130*30%</f>
        <v>0</v>
      </c>
      <c r="L130" s="2"/>
    </row>
    <row r="131" spans="2:16" ht="14.5" customHeight="1" x14ac:dyDescent="0.2">
      <c r="B131" s="397"/>
      <c r="C131" s="52" t="s">
        <v>402</v>
      </c>
      <c r="D131" s="52" t="s">
        <v>251</v>
      </c>
      <c r="E131" s="15">
        <v>151</v>
      </c>
      <c r="F131" s="15">
        <v>190</v>
      </c>
      <c r="G131" s="160">
        <f t="shared" si="50"/>
        <v>0.79473684210526319</v>
      </c>
      <c r="H131" s="83" t="s">
        <v>18</v>
      </c>
      <c r="I131" s="15">
        <v>45000</v>
      </c>
      <c r="J131" s="15">
        <f t="shared" si="65"/>
        <v>31499.999999999996</v>
      </c>
      <c r="K131" s="15">
        <f t="shared" si="66"/>
        <v>13500</v>
      </c>
      <c r="L131" s="2"/>
    </row>
    <row r="132" spans="2:16" ht="14.5" customHeight="1" x14ac:dyDescent="0.2">
      <c r="B132" s="397"/>
      <c r="C132" s="78"/>
      <c r="D132" s="78" t="s">
        <v>315</v>
      </c>
      <c r="E132" s="65">
        <f>SUM(E129:E131)</f>
        <v>250</v>
      </c>
      <c r="F132" s="65">
        <f>SUM(F129:F131)</f>
        <v>360</v>
      </c>
      <c r="G132" s="66">
        <f t="shared" si="50"/>
        <v>0.69444444444444442</v>
      </c>
      <c r="H132" s="64" t="s">
        <v>20</v>
      </c>
      <c r="I132" s="63">
        <v>0</v>
      </c>
      <c r="J132" s="63">
        <f>I132</f>
        <v>0</v>
      </c>
      <c r="K132" s="63">
        <v>0</v>
      </c>
      <c r="L132" s="2"/>
    </row>
    <row r="133" spans="2:16" ht="14.5" customHeight="1" x14ac:dyDescent="0.2">
      <c r="B133" s="397"/>
      <c r="C133" s="71"/>
      <c r="D133" s="71" t="s">
        <v>46</v>
      </c>
      <c r="E133" s="22">
        <f>SUM(E132)</f>
        <v>250</v>
      </c>
      <c r="F133" s="22">
        <f>SUM(F132)</f>
        <v>360</v>
      </c>
      <c r="G133" s="27">
        <f t="shared" si="50"/>
        <v>0.69444444444444442</v>
      </c>
      <c r="H133" s="42"/>
      <c r="I133" s="23">
        <f>SUM(I129:I132)</f>
        <v>45000</v>
      </c>
      <c r="J133" s="23">
        <f t="shared" ref="J133:K133" si="67">SUM(J129:J132)</f>
        <v>31499.999999999996</v>
      </c>
      <c r="K133" s="23">
        <f t="shared" si="67"/>
        <v>13500</v>
      </c>
      <c r="L133" s="2"/>
    </row>
    <row r="134" spans="2:16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74"/>
      <c r="H134" s="122"/>
      <c r="I134" s="122"/>
      <c r="J134" s="170">
        <f t="shared" ref="J134:J145" si="68">I134</f>
        <v>0</v>
      </c>
      <c r="K134" s="170">
        <v>0</v>
      </c>
      <c r="L134" s="2"/>
      <c r="M134"/>
      <c r="N134"/>
      <c r="O134"/>
      <c r="P134"/>
    </row>
    <row r="135" spans="2:16" s="21" customFormat="1" ht="14.5" customHeight="1" x14ac:dyDescent="0.2">
      <c r="B135" s="418"/>
      <c r="C135" s="117"/>
      <c r="D135" s="117" t="s">
        <v>526</v>
      </c>
      <c r="E135" s="122"/>
      <c r="F135" s="174"/>
      <c r="G135" s="174"/>
      <c r="H135" s="122"/>
      <c r="I135" s="122"/>
      <c r="J135" s="170">
        <f t="shared" si="68"/>
        <v>0</v>
      </c>
      <c r="K135" s="170">
        <v>0</v>
      </c>
      <c r="L135" s="2"/>
      <c r="M135"/>
      <c r="N135"/>
      <c r="O135"/>
      <c r="P135"/>
    </row>
    <row r="136" spans="2:16" s="21" customFormat="1" ht="14.5" customHeight="1" x14ac:dyDescent="0.2">
      <c r="B136" s="418"/>
      <c r="C136" s="117"/>
      <c r="D136" s="117" t="s">
        <v>616</v>
      </c>
      <c r="E136" s="122"/>
      <c r="F136" s="174"/>
      <c r="G136" s="174"/>
      <c r="H136" s="122"/>
      <c r="I136" s="122"/>
      <c r="J136" s="170">
        <f t="shared" si="68"/>
        <v>0</v>
      </c>
      <c r="K136" s="170">
        <v>0</v>
      </c>
      <c r="L136" s="2"/>
      <c r="M136"/>
      <c r="N136"/>
      <c r="O136"/>
      <c r="P136"/>
    </row>
    <row r="137" spans="2:16" s="21" customFormat="1" ht="14.5" customHeight="1" x14ac:dyDescent="0.2">
      <c r="B137" s="418"/>
      <c r="C137" s="117"/>
      <c r="D137" s="117" t="s">
        <v>499</v>
      </c>
      <c r="E137" s="122"/>
      <c r="F137" s="174"/>
      <c r="G137" s="174"/>
      <c r="H137" s="122"/>
      <c r="I137" s="122"/>
      <c r="J137" s="170">
        <f t="shared" si="68"/>
        <v>0</v>
      </c>
      <c r="K137" s="170">
        <v>0</v>
      </c>
      <c r="L137" s="2"/>
      <c r="M137"/>
      <c r="N137"/>
      <c r="O137"/>
      <c r="P137"/>
    </row>
    <row r="138" spans="2:16" s="21" customFormat="1" ht="14.5" customHeight="1" x14ac:dyDescent="0.2">
      <c r="B138" s="418"/>
      <c r="C138" s="117"/>
      <c r="D138" s="117" t="s">
        <v>527</v>
      </c>
      <c r="E138" s="122"/>
      <c r="F138" s="174"/>
      <c r="G138" s="174"/>
      <c r="H138" s="122"/>
      <c r="I138" s="122"/>
      <c r="J138" s="170">
        <f t="shared" si="68"/>
        <v>0</v>
      </c>
      <c r="K138" s="170">
        <v>0</v>
      </c>
      <c r="L138" s="2"/>
      <c r="M138"/>
      <c r="N138"/>
      <c r="O138"/>
      <c r="P138"/>
    </row>
    <row r="139" spans="2:16" s="21" customFormat="1" ht="14.5" customHeight="1" x14ac:dyDescent="0.2">
      <c r="B139" s="418"/>
      <c r="C139" s="117"/>
      <c r="D139" s="117" t="s">
        <v>528</v>
      </c>
      <c r="E139" s="122"/>
      <c r="F139" s="174"/>
      <c r="G139" s="174"/>
      <c r="H139" s="122"/>
      <c r="I139" s="122"/>
      <c r="J139" s="170">
        <f t="shared" si="68"/>
        <v>0</v>
      </c>
      <c r="K139" s="170">
        <v>0</v>
      </c>
      <c r="L139" s="2"/>
      <c r="M139"/>
      <c r="N139"/>
      <c r="O139"/>
      <c r="P139"/>
    </row>
    <row r="140" spans="2:16" s="21" customFormat="1" ht="14.5" customHeight="1" x14ac:dyDescent="0.2">
      <c r="B140" s="418"/>
      <c r="C140" s="117"/>
      <c r="D140" s="117" t="s">
        <v>789</v>
      </c>
      <c r="E140" s="122"/>
      <c r="F140" s="174"/>
      <c r="G140" s="174"/>
      <c r="H140" s="122"/>
      <c r="I140" s="122"/>
      <c r="J140" s="170">
        <f t="shared" si="68"/>
        <v>0</v>
      </c>
      <c r="K140" s="170">
        <v>0</v>
      </c>
      <c r="L140" s="2"/>
      <c r="M140"/>
      <c r="N140"/>
      <c r="O140"/>
      <c r="P140"/>
    </row>
    <row r="141" spans="2:16" s="21" customFormat="1" ht="14.5" customHeight="1" x14ac:dyDescent="0.2">
      <c r="B141" s="418"/>
      <c r="C141" s="117"/>
      <c r="D141" s="117" t="s">
        <v>835</v>
      </c>
      <c r="E141" s="122"/>
      <c r="F141" s="174"/>
      <c r="G141" s="174"/>
      <c r="H141" s="122"/>
      <c r="I141" s="122"/>
      <c r="J141" s="170">
        <f t="shared" si="68"/>
        <v>0</v>
      </c>
      <c r="K141" s="170">
        <v>0</v>
      </c>
      <c r="L141" s="2"/>
      <c r="M141"/>
      <c r="N141"/>
      <c r="O141"/>
      <c r="P141"/>
    </row>
    <row r="142" spans="2:16" s="21" customFormat="1" ht="14.5" customHeight="1" x14ac:dyDescent="0.2">
      <c r="B142" s="418"/>
      <c r="C142" s="117"/>
      <c r="D142" s="117" t="s">
        <v>529</v>
      </c>
      <c r="E142" s="122"/>
      <c r="F142" s="174"/>
      <c r="G142" s="174"/>
      <c r="H142" s="122"/>
      <c r="I142" s="122"/>
      <c r="J142" s="170">
        <f t="shared" si="68"/>
        <v>0</v>
      </c>
      <c r="K142" s="170">
        <v>0</v>
      </c>
      <c r="L142" s="2"/>
      <c r="M142"/>
      <c r="N142"/>
      <c r="O142"/>
      <c r="P142"/>
    </row>
    <row r="143" spans="2:16" s="21" customFormat="1" ht="14.5" customHeight="1" x14ac:dyDescent="0.2">
      <c r="B143" s="418"/>
      <c r="C143" s="117"/>
      <c r="D143" s="117" t="s">
        <v>530</v>
      </c>
      <c r="E143" s="122"/>
      <c r="F143" s="174"/>
      <c r="G143" s="174"/>
      <c r="H143" s="122"/>
      <c r="I143" s="122"/>
      <c r="J143" s="170">
        <f t="shared" si="68"/>
        <v>0</v>
      </c>
      <c r="K143" s="170">
        <v>0</v>
      </c>
      <c r="L143" s="2"/>
      <c r="M143"/>
      <c r="N143"/>
      <c r="O143"/>
      <c r="P143"/>
    </row>
    <row r="144" spans="2:16" s="21" customFormat="1" ht="14.5" customHeight="1" x14ac:dyDescent="0.2">
      <c r="B144" s="418"/>
      <c r="C144" s="117"/>
      <c r="D144" s="117" t="s">
        <v>531</v>
      </c>
      <c r="E144" s="122"/>
      <c r="F144" s="174"/>
      <c r="G144" s="174"/>
      <c r="H144" s="122"/>
      <c r="I144" s="122"/>
      <c r="J144" s="170">
        <f t="shared" si="68"/>
        <v>0</v>
      </c>
      <c r="K144" s="170">
        <v>0</v>
      </c>
      <c r="L144" s="2"/>
      <c r="M144"/>
      <c r="N144"/>
      <c r="O144"/>
      <c r="P144"/>
    </row>
    <row r="145" spans="2:17" ht="14.5" customHeight="1" x14ac:dyDescent="0.2">
      <c r="B145" s="418"/>
      <c r="C145" s="119"/>
      <c r="D145" s="119" t="s">
        <v>74</v>
      </c>
      <c r="E145" s="123"/>
      <c r="F145" s="175"/>
      <c r="G145" s="175"/>
      <c r="H145" s="123"/>
      <c r="I145" s="123"/>
      <c r="J145" s="189">
        <f t="shared" si="68"/>
        <v>0</v>
      </c>
      <c r="K145" s="189">
        <v>0</v>
      </c>
      <c r="L145" s="2"/>
    </row>
    <row r="146" spans="2:17" ht="14.5" customHeight="1" x14ac:dyDescent="0.2">
      <c r="B146" s="419"/>
      <c r="C146" s="127"/>
      <c r="D146" s="127" t="s">
        <v>48</v>
      </c>
      <c r="E146" s="124"/>
      <c r="F146" s="176"/>
      <c r="G146" s="176"/>
      <c r="H146" s="124"/>
      <c r="I146" s="124"/>
      <c r="J146" s="190">
        <f>SUM(J134:J145)</f>
        <v>0</v>
      </c>
      <c r="K146" s="190">
        <f>SUM(K134:K145)</f>
        <v>0</v>
      </c>
      <c r="L146" s="2"/>
    </row>
    <row r="147" spans="2:17" s="21" customFormat="1" ht="14.5" customHeight="1" x14ac:dyDescent="0.2">
      <c r="B147" s="126"/>
      <c r="C147" s="126"/>
      <c r="D147" s="126" t="s">
        <v>49</v>
      </c>
      <c r="E147" s="281">
        <f>SUM(E146,E133,E128,E115,E109)</f>
        <v>2492</v>
      </c>
      <c r="F147" s="281">
        <f>SUM(F146,F133,F128,F115,F109)</f>
        <v>3110</v>
      </c>
      <c r="G147" s="181">
        <f t="shared" si="50"/>
        <v>0.80128617363344057</v>
      </c>
      <c r="H147" s="147"/>
      <c r="I147" s="281">
        <f>SUM(I146,I133,I128,I115,I109)</f>
        <v>544500</v>
      </c>
      <c r="J147" s="281">
        <f>SUM(J146,J133,J128,J115,J109)</f>
        <v>470250</v>
      </c>
      <c r="K147" s="281">
        <f>SUM(K146,K133,K128,K115,K109)</f>
        <v>74250</v>
      </c>
      <c r="L147"/>
      <c r="M147"/>
      <c r="N147"/>
      <c r="O147"/>
      <c r="P147"/>
      <c r="Q147" s="37"/>
    </row>
    <row r="153" spans="2:17" ht="14.5" customHeight="1" x14ac:dyDescent="0.2">
      <c r="B153" s="4" t="s">
        <v>162</v>
      </c>
      <c r="C153" s="5"/>
      <c r="D153" s="5"/>
      <c r="E153" s="33"/>
      <c r="F153" s="33"/>
    </row>
    <row r="154" spans="2:17" ht="14.5" customHeight="1" x14ac:dyDescent="0.2">
      <c r="B154" s="8"/>
      <c r="C154" s="8"/>
      <c r="D154" s="8"/>
      <c r="E154" s="35"/>
      <c r="F154" s="35"/>
    </row>
    <row r="155" spans="2:17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134</v>
      </c>
      <c r="F155" s="385"/>
      <c r="G155" s="423" t="s">
        <v>56</v>
      </c>
      <c r="H155" s="394" t="s">
        <v>3</v>
      </c>
      <c r="I155" s="398" t="s">
        <v>419</v>
      </c>
      <c r="J155" s="398" t="s">
        <v>8</v>
      </c>
      <c r="K155" s="398" t="s">
        <v>75</v>
      </c>
    </row>
    <row r="156" spans="2:17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23"/>
      <c r="H156" s="394"/>
      <c r="I156" s="398"/>
      <c r="J156" s="398"/>
      <c r="K156" s="398"/>
    </row>
    <row r="157" spans="2:17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74"/>
      <c r="H157" s="122"/>
      <c r="I157" s="122"/>
      <c r="J157" s="170"/>
      <c r="K157" s="170"/>
    </row>
    <row r="158" spans="2:17" ht="14.5" customHeight="1" x14ac:dyDescent="0.2">
      <c r="B158" s="418"/>
      <c r="C158" s="117"/>
      <c r="D158" s="117" t="s">
        <v>800</v>
      </c>
      <c r="E158" s="122"/>
      <c r="F158" s="174"/>
      <c r="G158" s="174"/>
      <c r="H158" s="122"/>
      <c r="I158" s="122"/>
      <c r="J158" s="170"/>
      <c r="K158" s="170"/>
    </row>
    <row r="159" spans="2:17" ht="14.5" customHeight="1" x14ac:dyDescent="0.2">
      <c r="B159" s="418"/>
      <c r="C159" s="117"/>
      <c r="D159" s="117" t="s">
        <v>532</v>
      </c>
      <c r="E159" s="122"/>
      <c r="F159" s="174"/>
      <c r="G159" s="174"/>
      <c r="H159" s="122"/>
      <c r="I159" s="122"/>
      <c r="J159" s="170"/>
      <c r="K159" s="170"/>
    </row>
    <row r="160" spans="2:17" ht="14.5" customHeight="1" x14ac:dyDescent="0.2">
      <c r="B160" s="418"/>
      <c r="C160" s="117"/>
      <c r="D160" s="117" t="s">
        <v>535</v>
      </c>
      <c r="E160" s="122"/>
      <c r="F160" s="174"/>
      <c r="G160" s="174"/>
      <c r="H160" s="122"/>
      <c r="I160" s="122"/>
      <c r="J160" s="170"/>
      <c r="K160" s="170"/>
    </row>
    <row r="161" spans="2:11" ht="14.5" customHeight="1" x14ac:dyDescent="0.2">
      <c r="B161" s="418"/>
      <c r="C161" s="117"/>
      <c r="D161" s="117" t="s">
        <v>533</v>
      </c>
      <c r="E161" s="122"/>
      <c r="F161" s="174"/>
      <c r="G161" s="174"/>
      <c r="H161" s="122"/>
      <c r="I161" s="122"/>
      <c r="J161" s="170"/>
      <c r="K161" s="170"/>
    </row>
    <row r="162" spans="2:11" ht="14.5" customHeight="1" x14ac:dyDescent="0.2">
      <c r="B162" s="418"/>
      <c r="C162" s="117"/>
      <c r="D162" s="117" t="s">
        <v>534</v>
      </c>
      <c r="E162" s="122"/>
      <c r="F162" s="174"/>
      <c r="G162" s="174"/>
      <c r="H162" s="122"/>
      <c r="I162" s="122"/>
      <c r="J162" s="170"/>
      <c r="K162" s="170"/>
    </row>
    <row r="163" spans="2:11" ht="14.5" customHeight="1" x14ac:dyDescent="0.2">
      <c r="B163" s="418"/>
      <c r="C163" s="119"/>
      <c r="D163" s="119" t="s">
        <v>894</v>
      </c>
      <c r="E163" s="123"/>
      <c r="F163" s="175"/>
      <c r="G163" s="175"/>
      <c r="H163" s="123"/>
      <c r="I163" s="123"/>
      <c r="J163" s="189"/>
      <c r="K163" s="189"/>
    </row>
    <row r="164" spans="2:11" ht="14.5" customHeight="1" x14ac:dyDescent="0.2">
      <c r="B164" s="418"/>
      <c r="C164" s="119"/>
      <c r="D164" s="119" t="s">
        <v>154</v>
      </c>
      <c r="E164" s="123"/>
      <c r="F164" s="175"/>
      <c r="G164" s="175"/>
      <c r="H164" s="123"/>
      <c r="I164" s="123"/>
      <c r="J164" s="189"/>
      <c r="K164" s="189"/>
    </row>
    <row r="165" spans="2:11" ht="14.5" customHeight="1" x14ac:dyDescent="0.2">
      <c r="B165" s="419"/>
      <c r="C165" s="127"/>
      <c r="D165" s="127" t="s">
        <v>54</v>
      </c>
      <c r="E165" s="124"/>
      <c r="F165" s="176"/>
      <c r="G165" s="176"/>
      <c r="H165" s="124"/>
      <c r="I165" s="124"/>
      <c r="J165" s="190"/>
      <c r="K165" s="190"/>
    </row>
    <row r="166" spans="2:11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74"/>
      <c r="H166" s="122"/>
      <c r="I166" s="122"/>
      <c r="J166" s="170"/>
      <c r="K166" s="170"/>
    </row>
    <row r="167" spans="2:11" ht="14.5" customHeight="1" x14ac:dyDescent="0.2">
      <c r="B167" s="418"/>
      <c r="C167" s="117"/>
      <c r="D167" s="117" t="s">
        <v>801</v>
      </c>
      <c r="E167" s="122"/>
      <c r="F167" s="174"/>
      <c r="G167" s="174"/>
      <c r="H167" s="122"/>
      <c r="I167" s="122"/>
      <c r="J167" s="170"/>
      <c r="K167" s="170"/>
    </row>
    <row r="168" spans="2:11" ht="14.5" customHeight="1" x14ac:dyDescent="0.2">
      <c r="B168" s="418"/>
      <c r="C168" s="117"/>
      <c r="D168" s="117" t="s">
        <v>541</v>
      </c>
      <c r="E168" s="122"/>
      <c r="F168" s="174"/>
      <c r="G168" s="174"/>
      <c r="H168" s="122"/>
      <c r="I168" s="122"/>
      <c r="J168" s="170"/>
      <c r="K168" s="170"/>
    </row>
    <row r="169" spans="2:11" ht="14.5" customHeight="1" x14ac:dyDescent="0.2">
      <c r="B169" s="418"/>
      <c r="C169" s="117"/>
      <c r="D169" s="117" t="s">
        <v>538</v>
      </c>
      <c r="E169" s="122"/>
      <c r="F169" s="174"/>
      <c r="G169" s="174"/>
      <c r="H169" s="122"/>
      <c r="I169" s="122"/>
      <c r="J169" s="170"/>
      <c r="K169" s="170"/>
    </row>
    <row r="170" spans="2:11" ht="14.5" customHeight="1" x14ac:dyDescent="0.2">
      <c r="B170" s="418"/>
      <c r="C170" s="117"/>
      <c r="D170" s="117" t="s">
        <v>539</v>
      </c>
      <c r="E170" s="122"/>
      <c r="F170" s="174"/>
      <c r="G170" s="174"/>
      <c r="H170" s="122"/>
      <c r="I170" s="122"/>
      <c r="J170" s="170"/>
      <c r="K170" s="170"/>
    </row>
    <row r="171" spans="2:11" ht="14.5" customHeight="1" x14ac:dyDescent="0.2">
      <c r="B171" s="418"/>
      <c r="C171" s="117"/>
      <c r="D171" s="117" t="s">
        <v>537</v>
      </c>
      <c r="E171" s="122"/>
      <c r="F171" s="174"/>
      <c r="G171" s="174"/>
      <c r="H171" s="122"/>
      <c r="I171" s="122"/>
      <c r="J171" s="170"/>
      <c r="K171" s="170"/>
    </row>
    <row r="172" spans="2:11" ht="14.5" customHeight="1" x14ac:dyDescent="0.2">
      <c r="B172" s="418"/>
      <c r="C172" s="117"/>
      <c r="D172" s="117" t="s">
        <v>540</v>
      </c>
      <c r="E172" s="122"/>
      <c r="F172" s="174"/>
      <c r="G172" s="174"/>
      <c r="H172" s="122"/>
      <c r="I172" s="122"/>
      <c r="J172" s="170"/>
      <c r="K172" s="170"/>
    </row>
    <row r="173" spans="2:11" ht="14.5" customHeight="1" x14ac:dyDescent="0.2">
      <c r="B173" s="418"/>
      <c r="C173" s="119"/>
      <c r="D173" s="119" t="s">
        <v>680</v>
      </c>
      <c r="E173" s="123"/>
      <c r="F173" s="175"/>
      <c r="G173" s="175"/>
      <c r="H173" s="123"/>
      <c r="I173" s="123"/>
      <c r="J173" s="189"/>
      <c r="K173" s="189"/>
    </row>
    <row r="174" spans="2:11" ht="14.5" customHeight="1" x14ac:dyDescent="0.2">
      <c r="B174" s="418"/>
      <c r="C174" s="117"/>
      <c r="D174" s="117" t="s">
        <v>617</v>
      </c>
      <c r="E174" s="122"/>
      <c r="F174" s="174"/>
      <c r="G174" s="174"/>
      <c r="H174" s="122"/>
      <c r="I174" s="122"/>
      <c r="J174" s="170"/>
      <c r="K174" s="170"/>
    </row>
    <row r="175" spans="2:11" ht="14.5" customHeight="1" x14ac:dyDescent="0.2">
      <c r="B175" s="418"/>
      <c r="C175" s="117"/>
      <c r="D175" s="117" t="s">
        <v>802</v>
      </c>
      <c r="E175" s="122"/>
      <c r="F175" s="174"/>
      <c r="G175" s="174"/>
      <c r="H175" s="122"/>
      <c r="I175" s="122"/>
      <c r="J175" s="170"/>
      <c r="K175" s="170"/>
    </row>
    <row r="176" spans="2:11" ht="14.5" customHeight="1" x14ac:dyDescent="0.2">
      <c r="B176" s="418"/>
      <c r="C176" s="117"/>
      <c r="D176" s="117" t="s">
        <v>542</v>
      </c>
      <c r="E176" s="122"/>
      <c r="F176" s="174"/>
      <c r="G176" s="174"/>
      <c r="H176" s="122"/>
      <c r="I176" s="122"/>
      <c r="J176" s="170"/>
      <c r="K176" s="170"/>
    </row>
    <row r="177" spans="2:11" ht="14.5" customHeight="1" x14ac:dyDescent="0.2">
      <c r="B177" s="418"/>
      <c r="C177" s="117"/>
      <c r="D177" s="117" t="s">
        <v>543</v>
      </c>
      <c r="E177" s="122"/>
      <c r="F177" s="174"/>
      <c r="G177" s="174"/>
      <c r="H177" s="122"/>
      <c r="I177" s="122"/>
      <c r="J177" s="170"/>
      <c r="K177" s="170"/>
    </row>
    <row r="178" spans="2:11" ht="14.5" customHeight="1" x14ac:dyDescent="0.2">
      <c r="B178" s="418"/>
      <c r="C178" s="117"/>
      <c r="D178" s="117" t="s">
        <v>618</v>
      </c>
      <c r="E178" s="122"/>
      <c r="F178" s="174"/>
      <c r="G178" s="174"/>
      <c r="H178" s="122"/>
      <c r="I178" s="122"/>
      <c r="J178" s="170"/>
      <c r="K178" s="170"/>
    </row>
    <row r="179" spans="2:11" ht="14.5" customHeight="1" x14ac:dyDescent="0.2">
      <c r="B179" s="418"/>
      <c r="C179" s="119"/>
      <c r="D179" s="119" t="s">
        <v>687</v>
      </c>
      <c r="E179" s="123"/>
      <c r="F179" s="175"/>
      <c r="G179" s="175"/>
      <c r="H179" s="123"/>
      <c r="I179" s="123"/>
      <c r="J179" s="189"/>
      <c r="K179" s="189"/>
    </row>
    <row r="180" spans="2:11" ht="14.5" customHeight="1" x14ac:dyDescent="0.2">
      <c r="B180" s="418"/>
      <c r="C180" s="119"/>
      <c r="D180" s="119" t="s">
        <v>95</v>
      </c>
      <c r="E180" s="123"/>
      <c r="F180" s="175"/>
      <c r="G180" s="175"/>
      <c r="H180" s="123"/>
      <c r="I180" s="123"/>
      <c r="J180" s="189"/>
      <c r="K180" s="189"/>
    </row>
    <row r="181" spans="2:11" ht="14.5" customHeight="1" x14ac:dyDescent="0.2">
      <c r="B181" s="419"/>
      <c r="C181" s="127"/>
      <c r="D181" s="127" t="s">
        <v>556</v>
      </c>
      <c r="E181" s="124"/>
      <c r="F181" s="176"/>
      <c r="G181" s="176"/>
      <c r="H181" s="124"/>
      <c r="I181" s="124"/>
      <c r="J181" s="190"/>
      <c r="K181" s="190"/>
    </row>
    <row r="182" spans="2:11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74"/>
      <c r="H182" s="122"/>
      <c r="I182" s="122"/>
      <c r="J182" s="170"/>
      <c r="K182" s="170"/>
    </row>
    <row r="183" spans="2:11" ht="14.5" customHeight="1" x14ac:dyDescent="0.2">
      <c r="B183" s="418"/>
      <c r="C183" s="117"/>
      <c r="D183" s="117" t="s">
        <v>560</v>
      </c>
      <c r="E183" s="122"/>
      <c r="F183" s="174"/>
      <c r="G183" s="174"/>
      <c r="H183" s="122"/>
      <c r="I183" s="122"/>
      <c r="J183" s="170"/>
      <c r="K183" s="170"/>
    </row>
    <row r="184" spans="2:11" ht="14.5" customHeight="1" x14ac:dyDescent="0.2">
      <c r="B184" s="418"/>
      <c r="C184" s="117"/>
      <c r="D184" s="117" t="s">
        <v>562</v>
      </c>
      <c r="E184" s="122"/>
      <c r="F184" s="174"/>
      <c r="G184" s="174"/>
      <c r="H184" s="122"/>
      <c r="I184" s="122"/>
      <c r="J184" s="170"/>
      <c r="K184" s="170"/>
    </row>
    <row r="185" spans="2:11" ht="14.5" customHeight="1" x14ac:dyDescent="0.2">
      <c r="B185" s="418"/>
      <c r="C185" s="117"/>
      <c r="D185" s="117" t="s">
        <v>561</v>
      </c>
      <c r="E185" s="122"/>
      <c r="F185" s="174"/>
      <c r="G185" s="174"/>
      <c r="H185" s="122"/>
      <c r="I185" s="122"/>
      <c r="J185" s="170"/>
      <c r="K185" s="170"/>
    </row>
    <row r="186" spans="2:11" ht="14.5" customHeight="1" x14ac:dyDescent="0.2">
      <c r="B186" s="418"/>
      <c r="C186" s="117"/>
      <c r="D186" s="117" t="s">
        <v>803</v>
      </c>
      <c r="E186" s="122"/>
      <c r="F186" s="174"/>
      <c r="G186" s="174"/>
      <c r="H186" s="122"/>
      <c r="I186" s="122"/>
      <c r="J186" s="170"/>
      <c r="K186" s="170"/>
    </row>
    <row r="187" spans="2:11" ht="14.5" customHeight="1" x14ac:dyDescent="0.2">
      <c r="B187" s="418"/>
      <c r="C187" s="117"/>
      <c r="D187" s="117" t="s">
        <v>790</v>
      </c>
      <c r="E187" s="122"/>
      <c r="F187" s="174"/>
      <c r="G187" s="174"/>
      <c r="H187" s="122"/>
      <c r="I187" s="122"/>
      <c r="J187" s="170"/>
      <c r="K187" s="170"/>
    </row>
    <row r="188" spans="2:11" ht="14.5" customHeight="1" x14ac:dyDescent="0.2">
      <c r="B188" s="418"/>
      <c r="C188" s="117"/>
      <c r="D188" s="117" t="s">
        <v>559</v>
      </c>
      <c r="E188" s="122"/>
      <c r="F188" s="174"/>
      <c r="G188" s="174"/>
      <c r="H188" s="122"/>
      <c r="I188" s="122"/>
      <c r="J188" s="170"/>
      <c r="K188" s="170"/>
    </row>
    <row r="189" spans="2:11" ht="14.5" customHeight="1" x14ac:dyDescent="0.2">
      <c r="B189" s="419"/>
      <c r="C189" s="119"/>
      <c r="D189" s="119" t="s">
        <v>719</v>
      </c>
      <c r="E189" s="123"/>
      <c r="F189" s="175"/>
      <c r="G189" s="175"/>
      <c r="H189" s="123"/>
      <c r="I189" s="123"/>
      <c r="J189" s="189"/>
      <c r="K189" s="189"/>
    </row>
    <row r="190" spans="2:11" ht="14.5" customHeight="1" x14ac:dyDescent="0.2">
      <c r="B190" s="127"/>
      <c r="C190" s="127"/>
      <c r="D190" s="127" t="s">
        <v>619</v>
      </c>
      <c r="E190" s="124"/>
      <c r="F190" s="176"/>
      <c r="G190" s="176"/>
      <c r="H190" s="124"/>
      <c r="I190" s="124"/>
      <c r="J190" s="190"/>
      <c r="K190" s="190"/>
    </row>
    <row r="191" spans="2:11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74"/>
      <c r="H191" s="122"/>
      <c r="I191" s="122"/>
      <c r="J191" s="170"/>
      <c r="K191" s="170"/>
    </row>
    <row r="192" spans="2:11" ht="14.5" customHeight="1" x14ac:dyDescent="0.2">
      <c r="B192" s="418"/>
      <c r="C192" s="117"/>
      <c r="D192" s="117" t="s">
        <v>563</v>
      </c>
      <c r="E192" s="122"/>
      <c r="F192" s="174"/>
      <c r="G192" s="174"/>
      <c r="H192" s="122"/>
      <c r="I192" s="122"/>
      <c r="J192" s="170"/>
      <c r="K192" s="170"/>
    </row>
    <row r="193" spans="2:11" ht="14.5" customHeight="1" x14ac:dyDescent="0.2">
      <c r="B193" s="418"/>
      <c r="C193" s="117"/>
      <c r="D193" s="117" t="s">
        <v>804</v>
      </c>
      <c r="E193" s="122"/>
      <c r="F193" s="174"/>
      <c r="G193" s="174"/>
      <c r="H193" s="122"/>
      <c r="I193" s="122"/>
      <c r="J193" s="170"/>
      <c r="K193" s="170"/>
    </row>
    <row r="194" spans="2:11" ht="14.5" customHeight="1" x14ac:dyDescent="0.2">
      <c r="B194" s="418"/>
      <c r="C194" s="117"/>
      <c r="D194" s="117" t="s">
        <v>565</v>
      </c>
      <c r="E194" s="122"/>
      <c r="F194" s="174"/>
      <c r="G194" s="174"/>
      <c r="H194" s="122"/>
      <c r="I194" s="122"/>
      <c r="J194" s="170"/>
      <c r="K194" s="170"/>
    </row>
    <row r="195" spans="2:11" ht="14.5" customHeight="1" x14ac:dyDescent="0.2">
      <c r="B195" s="418"/>
      <c r="C195" s="117"/>
      <c r="D195" s="117" t="s">
        <v>843</v>
      </c>
      <c r="E195" s="122"/>
      <c r="F195" s="174"/>
      <c r="G195" s="174"/>
      <c r="H195" s="122"/>
      <c r="I195" s="122"/>
      <c r="J195" s="170"/>
      <c r="K195" s="170"/>
    </row>
    <row r="196" spans="2:11" ht="14.5" customHeight="1" x14ac:dyDescent="0.2">
      <c r="B196" s="418"/>
      <c r="C196" s="117"/>
      <c r="D196" s="117" t="s">
        <v>564</v>
      </c>
      <c r="E196" s="122"/>
      <c r="F196" s="174"/>
      <c r="G196" s="174"/>
      <c r="H196" s="122"/>
      <c r="I196" s="122"/>
      <c r="J196" s="170"/>
      <c r="K196" s="170"/>
    </row>
    <row r="197" spans="2:11" ht="14.5" customHeight="1" x14ac:dyDescent="0.2">
      <c r="B197" s="418"/>
      <c r="C197" s="119"/>
      <c r="D197" s="119" t="s">
        <v>726</v>
      </c>
      <c r="E197" s="123"/>
      <c r="F197" s="175"/>
      <c r="G197" s="175"/>
      <c r="H197" s="123"/>
      <c r="I197" s="123"/>
      <c r="J197" s="189"/>
      <c r="K197" s="189"/>
    </row>
    <row r="198" spans="2:11" ht="14.5" customHeight="1" x14ac:dyDescent="0.2">
      <c r="B198" s="418"/>
      <c r="C198" s="119"/>
      <c r="D198" s="119" t="s">
        <v>155</v>
      </c>
      <c r="E198" s="123"/>
      <c r="F198" s="175"/>
      <c r="G198" s="175"/>
      <c r="H198" s="123"/>
      <c r="I198" s="123"/>
      <c r="J198" s="189"/>
      <c r="K198" s="189"/>
    </row>
    <row r="199" spans="2:11" ht="14.5" customHeight="1" x14ac:dyDescent="0.2">
      <c r="B199" s="419"/>
      <c r="C199" s="127"/>
      <c r="D199" s="127" t="s">
        <v>558</v>
      </c>
      <c r="E199" s="124"/>
      <c r="F199" s="176"/>
      <c r="G199" s="176"/>
      <c r="H199" s="124"/>
      <c r="I199" s="124"/>
      <c r="J199" s="190"/>
      <c r="K199" s="190"/>
    </row>
    <row r="200" spans="2:11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74"/>
      <c r="H200" s="122"/>
      <c r="I200" s="122"/>
      <c r="J200" s="170"/>
      <c r="K200" s="170"/>
    </row>
    <row r="201" spans="2:11" ht="14.5" customHeight="1" x14ac:dyDescent="0.2">
      <c r="B201" s="418"/>
      <c r="C201" s="117"/>
      <c r="D201" s="117" t="s">
        <v>900</v>
      </c>
      <c r="E201" s="122"/>
      <c r="F201" s="174"/>
      <c r="G201" s="174"/>
      <c r="H201" s="122"/>
      <c r="I201" s="122"/>
      <c r="J201" s="170"/>
      <c r="K201" s="170"/>
    </row>
    <row r="202" spans="2:11" ht="14.5" customHeight="1" x14ac:dyDescent="0.2">
      <c r="B202" s="418"/>
      <c r="C202" s="117"/>
      <c r="D202" s="117" t="s">
        <v>551</v>
      </c>
      <c r="E202" s="122"/>
      <c r="F202" s="174"/>
      <c r="G202" s="174"/>
      <c r="H202" s="122"/>
      <c r="I202" s="122"/>
      <c r="J202" s="170"/>
      <c r="K202" s="170"/>
    </row>
    <row r="203" spans="2:11" ht="14.5" customHeight="1" x14ac:dyDescent="0.2">
      <c r="B203" s="418"/>
      <c r="C203" s="117"/>
      <c r="D203" s="117" t="s">
        <v>548</v>
      </c>
      <c r="E203" s="122"/>
      <c r="F203" s="174"/>
      <c r="G203" s="174"/>
      <c r="H203" s="122"/>
      <c r="I203" s="122"/>
      <c r="J203" s="170"/>
      <c r="K203" s="170"/>
    </row>
    <row r="204" spans="2:11" ht="14.5" customHeight="1" x14ac:dyDescent="0.2">
      <c r="B204" s="418"/>
      <c r="C204" s="117"/>
      <c r="D204" s="117" t="s">
        <v>549</v>
      </c>
      <c r="E204" s="122"/>
      <c r="F204" s="174"/>
      <c r="G204" s="174"/>
      <c r="H204" s="122"/>
      <c r="I204" s="122"/>
      <c r="J204" s="170"/>
      <c r="K204" s="170"/>
    </row>
    <row r="205" spans="2:11" ht="14.5" customHeight="1" x14ac:dyDescent="0.2">
      <c r="B205" s="418"/>
      <c r="C205" s="119"/>
      <c r="D205" s="119" t="s">
        <v>708</v>
      </c>
      <c r="E205" s="123"/>
      <c r="F205" s="175"/>
      <c r="G205" s="175"/>
      <c r="H205" s="123"/>
      <c r="I205" s="123"/>
      <c r="J205" s="189"/>
      <c r="K205" s="189"/>
    </row>
    <row r="206" spans="2:11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74"/>
      <c r="H206" s="122"/>
      <c r="I206" s="122"/>
      <c r="J206" s="170"/>
      <c r="K206" s="170"/>
    </row>
    <row r="207" spans="2:11" ht="14.5" customHeight="1" x14ac:dyDescent="0.2">
      <c r="B207" s="418"/>
      <c r="C207" s="117"/>
      <c r="D207" s="117" t="s">
        <v>553</v>
      </c>
      <c r="E207" s="122"/>
      <c r="F207" s="174"/>
      <c r="G207" s="174"/>
      <c r="H207" s="122"/>
      <c r="I207" s="122"/>
      <c r="J207" s="170"/>
      <c r="K207" s="170"/>
    </row>
    <row r="208" spans="2:11" ht="14.5" customHeight="1" x14ac:dyDescent="0.2">
      <c r="B208" s="418"/>
      <c r="C208" s="117"/>
      <c r="D208" s="117" t="s">
        <v>552</v>
      </c>
      <c r="E208" s="122"/>
      <c r="F208" s="174"/>
      <c r="G208" s="174"/>
      <c r="H208" s="122"/>
      <c r="I208" s="122"/>
      <c r="J208" s="170"/>
      <c r="K208" s="170"/>
    </row>
    <row r="209" spans="2:11" ht="14.5" customHeight="1" x14ac:dyDescent="0.2">
      <c r="B209" s="418"/>
      <c r="C209" s="117"/>
      <c r="D209" s="117" t="s">
        <v>620</v>
      </c>
      <c r="E209" s="122"/>
      <c r="F209" s="174"/>
      <c r="G209" s="174"/>
      <c r="H209" s="122"/>
      <c r="I209" s="122"/>
      <c r="J209" s="170"/>
      <c r="K209" s="170"/>
    </row>
    <row r="210" spans="2:11" ht="14.5" customHeight="1" x14ac:dyDescent="0.2">
      <c r="B210" s="418"/>
      <c r="C210" s="117"/>
      <c r="D210" s="117" t="s">
        <v>216</v>
      </c>
      <c r="E210" s="122"/>
      <c r="F210" s="174"/>
      <c r="G210" s="174"/>
      <c r="H210" s="122"/>
      <c r="I210" s="122"/>
      <c r="J210" s="170"/>
      <c r="K210" s="170"/>
    </row>
    <row r="211" spans="2:11" ht="14.5" customHeight="1" x14ac:dyDescent="0.2">
      <c r="B211" s="418"/>
      <c r="C211" s="117"/>
      <c r="D211" s="117" t="s">
        <v>805</v>
      </c>
      <c r="E211" s="122"/>
      <c r="F211" s="174"/>
      <c r="G211" s="174"/>
      <c r="H211" s="122"/>
      <c r="I211" s="122"/>
      <c r="J211" s="170"/>
      <c r="K211" s="170"/>
    </row>
    <row r="212" spans="2:11" ht="14.5" customHeight="1" x14ac:dyDescent="0.2">
      <c r="B212" s="418"/>
      <c r="C212" s="117"/>
      <c r="D212" s="117" t="s">
        <v>844</v>
      </c>
      <c r="E212" s="122"/>
      <c r="F212" s="174"/>
      <c r="G212" s="174"/>
      <c r="H212" s="122"/>
      <c r="I212" s="122"/>
      <c r="J212" s="170"/>
      <c r="K212" s="170"/>
    </row>
    <row r="213" spans="2:11" ht="14.5" customHeight="1" x14ac:dyDescent="0.2">
      <c r="B213" s="418"/>
      <c r="C213" s="119"/>
      <c r="D213" s="119" t="s">
        <v>715</v>
      </c>
      <c r="E213" s="123"/>
      <c r="F213" s="175"/>
      <c r="G213" s="175"/>
      <c r="H213" s="123"/>
      <c r="I213" s="123"/>
      <c r="J213" s="189"/>
      <c r="K213" s="189"/>
    </row>
    <row r="214" spans="2:11" ht="14.5" customHeight="1" x14ac:dyDescent="0.2">
      <c r="B214" s="418"/>
      <c r="C214" s="119"/>
      <c r="D214" s="119" t="s">
        <v>74</v>
      </c>
      <c r="E214" s="123"/>
      <c r="F214" s="175"/>
      <c r="G214" s="175"/>
      <c r="H214" s="123"/>
      <c r="I214" s="123"/>
      <c r="J214" s="189"/>
      <c r="K214" s="189"/>
    </row>
    <row r="215" spans="2:11" ht="14.5" customHeight="1" x14ac:dyDescent="0.2">
      <c r="B215" s="419"/>
      <c r="C215" s="127"/>
      <c r="D215" s="127" t="s">
        <v>557</v>
      </c>
      <c r="E215" s="124"/>
      <c r="F215" s="176"/>
      <c r="G215" s="176"/>
      <c r="H215" s="124"/>
      <c r="I215" s="124"/>
      <c r="J215" s="190"/>
      <c r="K215" s="190"/>
    </row>
    <row r="216" spans="2:11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74"/>
      <c r="H216" s="122"/>
      <c r="I216" s="122"/>
      <c r="J216" s="170"/>
      <c r="K216" s="170"/>
    </row>
    <row r="217" spans="2:11" ht="14.5" customHeight="1" x14ac:dyDescent="0.2">
      <c r="B217" s="418"/>
      <c r="C217" s="117"/>
      <c r="D217" s="117" t="s">
        <v>624</v>
      </c>
      <c r="E217" s="122"/>
      <c r="F217" s="174"/>
      <c r="G217" s="174"/>
      <c r="H217" s="122"/>
      <c r="I217" s="122"/>
      <c r="J217" s="170"/>
      <c r="K217" s="170"/>
    </row>
    <row r="218" spans="2:11" ht="14.5" customHeight="1" x14ac:dyDescent="0.2">
      <c r="B218" s="418"/>
      <c r="C218" s="117"/>
      <c r="D218" s="117" t="s">
        <v>845</v>
      </c>
      <c r="E218" s="122"/>
      <c r="F218" s="174"/>
      <c r="G218" s="174"/>
      <c r="H218" s="122"/>
      <c r="I218" s="122"/>
      <c r="J218" s="170"/>
      <c r="K218" s="170"/>
    </row>
    <row r="219" spans="2:11" ht="14.5" customHeight="1" x14ac:dyDescent="0.2">
      <c r="B219" s="418"/>
      <c r="C219" s="119"/>
      <c r="D219" s="119" t="s">
        <v>730</v>
      </c>
      <c r="E219" s="123"/>
      <c r="F219" s="175"/>
      <c r="G219" s="175"/>
      <c r="H219" s="123"/>
      <c r="I219" s="123"/>
      <c r="J219" s="189"/>
      <c r="K219" s="189"/>
    </row>
    <row r="220" spans="2:11" ht="14.5" customHeight="1" x14ac:dyDescent="0.2">
      <c r="B220" s="419"/>
      <c r="C220" s="127"/>
      <c r="D220" s="127" t="s">
        <v>622</v>
      </c>
      <c r="E220" s="124"/>
      <c r="F220" s="176"/>
      <c r="G220" s="176"/>
      <c r="H220" s="124"/>
      <c r="I220" s="124"/>
      <c r="J220" s="190"/>
      <c r="K220" s="190"/>
    </row>
    <row r="221" spans="2:11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74"/>
      <c r="H221" s="122"/>
      <c r="I221" s="122"/>
      <c r="J221" s="170"/>
      <c r="K221" s="170"/>
    </row>
    <row r="222" spans="2:11" ht="14.5" customHeight="1" x14ac:dyDescent="0.2">
      <c r="B222" s="418"/>
      <c r="C222" s="117"/>
      <c r="D222" s="117" t="s">
        <v>627</v>
      </c>
      <c r="E222" s="122"/>
      <c r="F222" s="174"/>
      <c r="G222" s="174"/>
      <c r="H222" s="122"/>
      <c r="I222" s="122"/>
      <c r="J222" s="170"/>
      <c r="K222" s="170"/>
    </row>
    <row r="223" spans="2:11" ht="14.5" customHeight="1" x14ac:dyDescent="0.2">
      <c r="B223" s="418"/>
      <c r="C223" s="117"/>
      <c r="D223" s="117" t="s">
        <v>846</v>
      </c>
      <c r="E223" s="122"/>
      <c r="F223" s="174"/>
      <c r="G223" s="174"/>
      <c r="H223" s="122"/>
      <c r="I223" s="122"/>
      <c r="J223" s="170"/>
      <c r="K223" s="170"/>
    </row>
    <row r="224" spans="2:11" ht="14.5" customHeight="1" x14ac:dyDescent="0.2">
      <c r="B224" s="418"/>
      <c r="C224" s="119"/>
      <c r="D224" s="119" t="s">
        <v>732</v>
      </c>
      <c r="E224" s="123"/>
      <c r="F224" s="175"/>
      <c r="G224" s="175"/>
      <c r="H224" s="123"/>
      <c r="I224" s="123"/>
      <c r="J224" s="189"/>
      <c r="K224" s="189"/>
    </row>
    <row r="225" spans="2:11" ht="14.5" customHeight="1" x14ac:dyDescent="0.2">
      <c r="B225" s="419"/>
      <c r="C225" s="127"/>
      <c r="D225" s="127" t="s">
        <v>628</v>
      </c>
      <c r="E225" s="124"/>
      <c r="F225" s="176"/>
      <c r="G225" s="176"/>
      <c r="H225" s="124"/>
      <c r="I225" s="124"/>
      <c r="J225" s="190"/>
      <c r="K225" s="190"/>
    </row>
    <row r="226" spans="2:11" ht="14.5" customHeight="1" x14ac:dyDescent="0.2">
      <c r="B226" s="127"/>
      <c r="C226" s="127"/>
      <c r="D226" s="127" t="s">
        <v>629</v>
      </c>
      <c r="E226" s="124"/>
      <c r="F226" s="176"/>
      <c r="G226" s="176"/>
      <c r="H226" s="124"/>
      <c r="I226" s="124"/>
      <c r="J226" s="190"/>
      <c r="K226" s="190"/>
    </row>
    <row r="227" spans="2:11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74"/>
      <c r="H227" s="122"/>
      <c r="I227" s="122"/>
      <c r="J227" s="170"/>
      <c r="K227" s="170"/>
    </row>
    <row r="228" spans="2:11" ht="14.5" customHeight="1" x14ac:dyDescent="0.2">
      <c r="B228" s="418"/>
      <c r="C228" s="117"/>
      <c r="D228" s="117" t="s">
        <v>544</v>
      </c>
      <c r="E228" s="122"/>
      <c r="F228" s="174"/>
      <c r="G228" s="174"/>
      <c r="H228" s="122"/>
      <c r="I228" s="122"/>
      <c r="J228" s="170"/>
      <c r="K228" s="170"/>
    </row>
    <row r="229" spans="2:11" ht="14.5" customHeight="1" x14ac:dyDescent="0.2">
      <c r="B229" s="418"/>
      <c r="C229" s="117"/>
      <c r="D229" s="117" t="s">
        <v>545</v>
      </c>
      <c r="E229" s="122"/>
      <c r="F229" s="174"/>
      <c r="G229" s="174"/>
      <c r="H229" s="122"/>
      <c r="I229" s="122"/>
      <c r="J229" s="170"/>
      <c r="K229" s="170"/>
    </row>
    <row r="230" spans="2:11" ht="14.5" customHeight="1" x14ac:dyDescent="0.2">
      <c r="B230" s="418"/>
      <c r="C230" s="117"/>
      <c r="D230" s="117" t="s">
        <v>806</v>
      </c>
      <c r="E230" s="122"/>
      <c r="F230" s="174"/>
      <c r="G230" s="174"/>
      <c r="H230" s="122"/>
      <c r="I230" s="122"/>
      <c r="J230" s="170"/>
      <c r="K230" s="170"/>
    </row>
    <row r="231" spans="2:11" ht="14.5" customHeight="1" x14ac:dyDescent="0.2">
      <c r="B231" s="418"/>
      <c r="C231" s="117"/>
      <c r="D231" s="117" t="s">
        <v>630</v>
      </c>
      <c r="E231" s="122"/>
      <c r="F231" s="174"/>
      <c r="G231" s="174"/>
      <c r="H231" s="122"/>
      <c r="I231" s="122"/>
      <c r="J231" s="170"/>
      <c r="K231" s="170"/>
    </row>
    <row r="232" spans="2:11" ht="14.5" customHeight="1" x14ac:dyDescent="0.2">
      <c r="B232" s="418"/>
      <c r="C232" s="117"/>
      <c r="D232" s="117" t="s">
        <v>546</v>
      </c>
      <c r="E232" s="122"/>
      <c r="F232" s="174"/>
      <c r="G232" s="174"/>
      <c r="H232" s="122"/>
      <c r="I232" s="122"/>
      <c r="J232" s="170"/>
      <c r="K232" s="170"/>
    </row>
    <row r="233" spans="2:11" ht="14.5" customHeight="1" x14ac:dyDescent="0.2">
      <c r="B233" s="418"/>
      <c r="C233" s="117"/>
      <c r="D233" s="117" t="s">
        <v>547</v>
      </c>
      <c r="E233" s="122"/>
      <c r="F233" s="174"/>
      <c r="G233" s="174"/>
      <c r="H233" s="122"/>
      <c r="I233" s="122"/>
      <c r="J233" s="170"/>
      <c r="K233" s="170"/>
    </row>
    <row r="234" spans="2:11" ht="14.5" customHeight="1" x14ac:dyDescent="0.2">
      <c r="B234" s="418"/>
      <c r="C234" s="119"/>
      <c r="D234" s="119" t="s">
        <v>694</v>
      </c>
      <c r="E234" s="123"/>
      <c r="F234" s="175"/>
      <c r="G234" s="175"/>
      <c r="H234" s="123"/>
      <c r="I234" s="123"/>
      <c r="J234" s="189"/>
      <c r="K234" s="189"/>
    </row>
    <row r="235" spans="2:11" ht="14.5" customHeight="1" x14ac:dyDescent="0.2">
      <c r="B235" s="418"/>
      <c r="C235" s="117"/>
      <c r="D235" s="117" t="s">
        <v>631</v>
      </c>
      <c r="E235" s="122"/>
      <c r="F235" s="174"/>
      <c r="G235" s="174"/>
      <c r="H235" s="122"/>
      <c r="I235" s="122"/>
      <c r="J235" s="170"/>
      <c r="K235" s="170"/>
    </row>
    <row r="236" spans="2:11" ht="14.5" customHeight="1" x14ac:dyDescent="0.2">
      <c r="B236" s="418"/>
      <c r="C236" s="117"/>
      <c r="D236" s="117" t="s">
        <v>847</v>
      </c>
      <c r="E236" s="122"/>
      <c r="F236" s="174"/>
      <c r="G236" s="174"/>
      <c r="H236" s="122"/>
      <c r="I236" s="122"/>
      <c r="J236" s="170"/>
      <c r="K236" s="170"/>
    </row>
    <row r="237" spans="2:11" ht="14.5" customHeight="1" x14ac:dyDescent="0.2">
      <c r="B237" s="418"/>
      <c r="C237" s="117"/>
      <c r="D237" s="117" t="s">
        <v>848</v>
      </c>
      <c r="E237" s="122"/>
      <c r="F237" s="174"/>
      <c r="G237" s="174"/>
      <c r="H237" s="122"/>
      <c r="I237" s="122"/>
      <c r="J237" s="170"/>
      <c r="K237" s="170"/>
    </row>
    <row r="238" spans="2:11" ht="14.5" customHeight="1" x14ac:dyDescent="0.2">
      <c r="B238" s="418"/>
      <c r="C238" s="117"/>
      <c r="D238" s="117" t="s">
        <v>849</v>
      </c>
      <c r="E238" s="122"/>
      <c r="F238" s="174"/>
      <c r="G238" s="174"/>
      <c r="H238" s="122"/>
      <c r="I238" s="122"/>
      <c r="J238" s="170"/>
      <c r="K238" s="170"/>
    </row>
    <row r="239" spans="2:11" ht="14.5" customHeight="1" x14ac:dyDescent="0.2">
      <c r="B239" s="418"/>
      <c r="C239" s="117"/>
      <c r="D239" s="117" t="s">
        <v>605</v>
      </c>
      <c r="E239" s="122"/>
      <c r="F239" s="174"/>
      <c r="G239" s="174"/>
      <c r="H239" s="122"/>
      <c r="I239" s="122"/>
      <c r="J239" s="170"/>
      <c r="K239" s="170"/>
    </row>
    <row r="240" spans="2:11" ht="14.5" customHeight="1" x14ac:dyDescent="0.2">
      <c r="B240" s="418"/>
      <c r="C240" s="119"/>
      <c r="D240" s="119" t="s">
        <v>896</v>
      </c>
      <c r="E240" s="123"/>
      <c r="F240" s="175"/>
      <c r="G240" s="175"/>
      <c r="H240" s="123"/>
      <c r="I240" s="123"/>
      <c r="J240" s="189"/>
      <c r="K240" s="189"/>
    </row>
    <row r="241" spans="2:11" ht="14.5" customHeight="1" x14ac:dyDescent="0.2">
      <c r="B241" s="418"/>
      <c r="C241" s="119"/>
      <c r="D241" s="119" t="s">
        <v>73</v>
      </c>
      <c r="E241" s="123"/>
      <c r="F241" s="175"/>
      <c r="G241" s="175"/>
      <c r="H241" s="123"/>
      <c r="I241" s="123"/>
      <c r="J241" s="189"/>
      <c r="K241" s="189"/>
    </row>
    <row r="242" spans="2:11" ht="14.5" customHeight="1" x14ac:dyDescent="0.2">
      <c r="B242" s="419"/>
      <c r="C242" s="127"/>
      <c r="D242" s="127" t="s">
        <v>604</v>
      </c>
      <c r="E242" s="124"/>
      <c r="F242" s="176"/>
      <c r="G242" s="176"/>
      <c r="H242" s="124"/>
      <c r="I242" s="124"/>
      <c r="J242" s="190"/>
      <c r="K242" s="190"/>
    </row>
    <row r="243" spans="2:11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74"/>
      <c r="H243" s="122"/>
      <c r="I243" s="122"/>
      <c r="J243" s="170"/>
      <c r="K243" s="170"/>
    </row>
    <row r="244" spans="2:11" ht="14.5" customHeight="1" x14ac:dyDescent="0.2">
      <c r="B244" s="418"/>
      <c r="C244" s="117"/>
      <c r="D244" s="117" t="s">
        <v>635</v>
      </c>
      <c r="E244" s="122"/>
      <c r="F244" s="174"/>
      <c r="G244" s="174"/>
      <c r="H244" s="122"/>
      <c r="I244" s="122"/>
      <c r="J244" s="170"/>
      <c r="K244" s="170"/>
    </row>
    <row r="245" spans="2:11" ht="14.5" customHeight="1" x14ac:dyDescent="0.2">
      <c r="B245" s="418"/>
      <c r="C245" s="117"/>
      <c r="D245" s="117" t="s">
        <v>636</v>
      </c>
      <c r="E245" s="122"/>
      <c r="F245" s="174"/>
      <c r="G245" s="174"/>
      <c r="H245" s="122"/>
      <c r="I245" s="122"/>
      <c r="J245" s="170"/>
      <c r="K245" s="170"/>
    </row>
    <row r="246" spans="2:11" ht="14.5" customHeight="1" x14ac:dyDescent="0.2">
      <c r="B246" s="418"/>
      <c r="C246" s="117"/>
      <c r="D246" s="117" t="s">
        <v>807</v>
      </c>
      <c r="E246" s="122"/>
      <c r="F246" s="174"/>
      <c r="G246" s="174"/>
      <c r="H246" s="122"/>
      <c r="I246" s="122"/>
      <c r="J246" s="170"/>
      <c r="K246" s="170"/>
    </row>
    <row r="247" spans="2:11" ht="14.5" customHeight="1" x14ac:dyDescent="0.2">
      <c r="B247" s="418"/>
      <c r="C247" s="117"/>
      <c r="D247" s="117" t="s">
        <v>637</v>
      </c>
      <c r="E247" s="122"/>
      <c r="F247" s="174"/>
      <c r="G247" s="174"/>
      <c r="H247" s="122"/>
      <c r="I247" s="122"/>
      <c r="J247" s="170"/>
      <c r="K247" s="170"/>
    </row>
    <row r="248" spans="2:11" ht="14.5" customHeight="1" x14ac:dyDescent="0.2">
      <c r="B248" s="418"/>
      <c r="C248" s="119"/>
      <c r="D248" s="119" t="s">
        <v>702</v>
      </c>
      <c r="E248" s="123"/>
      <c r="F248" s="175"/>
      <c r="G248" s="175"/>
      <c r="H248" s="123"/>
      <c r="I248" s="123"/>
      <c r="J248" s="189"/>
      <c r="K248" s="189"/>
    </row>
    <row r="249" spans="2:11" ht="14.5" customHeight="1" x14ac:dyDescent="0.2">
      <c r="B249" s="419"/>
      <c r="C249" s="127"/>
      <c r="D249" s="127" t="s">
        <v>633</v>
      </c>
      <c r="E249" s="124"/>
      <c r="F249" s="176"/>
      <c r="G249" s="176"/>
      <c r="H249" s="124"/>
      <c r="I249" s="124"/>
      <c r="J249" s="190"/>
      <c r="K249" s="190"/>
    </row>
    <row r="250" spans="2:11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74"/>
      <c r="H250" s="122"/>
      <c r="I250" s="122"/>
      <c r="J250" s="170"/>
      <c r="K250" s="170"/>
    </row>
    <row r="251" spans="2:11" ht="14.5" customHeight="1" x14ac:dyDescent="0.2">
      <c r="B251" s="418"/>
      <c r="C251" s="117"/>
      <c r="D251" s="117" t="s">
        <v>567</v>
      </c>
      <c r="E251" s="122"/>
      <c r="F251" s="174"/>
      <c r="G251" s="174"/>
      <c r="H251" s="122"/>
      <c r="I251" s="122"/>
      <c r="J251" s="170"/>
      <c r="K251" s="170"/>
    </row>
    <row r="252" spans="2:11" ht="14.5" customHeight="1" x14ac:dyDescent="0.2">
      <c r="B252" s="418"/>
      <c r="C252" s="117"/>
      <c r="D252" s="117" t="s">
        <v>569</v>
      </c>
      <c r="E252" s="122"/>
      <c r="F252" s="174"/>
      <c r="G252" s="174"/>
      <c r="H252" s="122"/>
      <c r="I252" s="122"/>
      <c r="J252" s="170"/>
      <c r="K252" s="170"/>
    </row>
    <row r="253" spans="2:11" ht="14.5" customHeight="1" x14ac:dyDescent="0.2">
      <c r="B253" s="418"/>
      <c r="C253" s="117"/>
      <c r="D253" s="117" t="s">
        <v>808</v>
      </c>
      <c r="E253" s="122"/>
      <c r="F253" s="174"/>
      <c r="G253" s="174"/>
      <c r="H253" s="122"/>
      <c r="I253" s="122"/>
      <c r="J253" s="170"/>
      <c r="K253" s="170"/>
    </row>
    <row r="254" spans="2:11" ht="14.5" customHeight="1" x14ac:dyDescent="0.2">
      <c r="B254" s="418"/>
      <c r="C254" s="117"/>
      <c r="D254" s="117" t="s">
        <v>568</v>
      </c>
      <c r="E254" s="122"/>
      <c r="F254" s="174"/>
      <c r="G254" s="174"/>
      <c r="H254" s="122"/>
      <c r="I254" s="122"/>
      <c r="J254" s="170"/>
      <c r="K254" s="170"/>
    </row>
    <row r="255" spans="2:11" ht="14.5" customHeight="1" x14ac:dyDescent="0.2">
      <c r="B255" s="418"/>
      <c r="C255" s="117"/>
      <c r="D255" s="117" t="s">
        <v>566</v>
      </c>
      <c r="E255" s="122"/>
      <c r="F255" s="174"/>
      <c r="G255" s="174"/>
      <c r="H255" s="122"/>
      <c r="I255" s="122"/>
      <c r="J255" s="170"/>
      <c r="K255" s="170"/>
    </row>
    <row r="256" spans="2:11" ht="14.5" customHeight="1" x14ac:dyDescent="0.2">
      <c r="B256" s="418"/>
      <c r="C256" s="117"/>
      <c r="D256" s="117" t="s">
        <v>570</v>
      </c>
      <c r="E256" s="122"/>
      <c r="F256" s="174"/>
      <c r="G256" s="174"/>
      <c r="H256" s="122"/>
      <c r="I256" s="122"/>
      <c r="J256" s="170"/>
      <c r="K256" s="170"/>
    </row>
    <row r="257" spans="2:11" ht="14.5" customHeight="1" x14ac:dyDescent="0.2">
      <c r="B257" s="418"/>
      <c r="C257" s="119"/>
      <c r="D257" s="119" t="s">
        <v>734</v>
      </c>
      <c r="E257" s="123"/>
      <c r="F257" s="175"/>
      <c r="G257" s="175"/>
      <c r="H257" s="123"/>
      <c r="I257" s="123"/>
      <c r="J257" s="189"/>
      <c r="K257" s="189"/>
    </row>
    <row r="258" spans="2:11" ht="14.5" customHeight="1" x14ac:dyDescent="0.2">
      <c r="B258" s="419"/>
      <c r="C258" s="127"/>
      <c r="D258" s="127" t="s">
        <v>51</v>
      </c>
      <c r="E258" s="124"/>
      <c r="F258" s="176"/>
      <c r="G258" s="176"/>
      <c r="H258" s="124"/>
      <c r="I258" s="124"/>
      <c r="J258" s="190"/>
      <c r="K258" s="190"/>
    </row>
    <row r="259" spans="2:11" ht="14.5" customHeight="1" x14ac:dyDescent="0.2">
      <c r="B259" s="127"/>
      <c r="C259" s="127"/>
      <c r="D259" s="127" t="s">
        <v>638</v>
      </c>
      <c r="E259" s="124"/>
      <c r="F259" s="176"/>
      <c r="G259" s="176"/>
      <c r="H259" s="124"/>
      <c r="I259" s="124"/>
      <c r="J259" s="190"/>
      <c r="K259" s="190"/>
    </row>
    <row r="260" spans="2:11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74"/>
      <c r="H260" s="122"/>
      <c r="I260" s="122"/>
      <c r="J260" s="170"/>
      <c r="K260" s="170"/>
    </row>
    <row r="261" spans="2:11" ht="14.5" customHeight="1" x14ac:dyDescent="0.2">
      <c r="B261" s="418"/>
      <c r="C261" s="117"/>
      <c r="D261" s="117" t="s">
        <v>609</v>
      </c>
      <c r="E261" s="122"/>
      <c r="F261" s="174"/>
      <c r="G261" s="174"/>
      <c r="H261" s="122"/>
      <c r="I261" s="122"/>
      <c r="J261" s="170"/>
      <c r="K261" s="170"/>
    </row>
    <row r="262" spans="2:11" ht="14.5" customHeight="1" x14ac:dyDescent="0.2">
      <c r="B262" s="418"/>
      <c r="C262" s="117"/>
      <c r="D262" s="117" t="s">
        <v>610</v>
      </c>
      <c r="E262" s="122"/>
      <c r="F262" s="174"/>
      <c r="G262" s="174"/>
      <c r="H262" s="122"/>
      <c r="I262" s="122"/>
      <c r="J262" s="170"/>
      <c r="K262" s="170"/>
    </row>
    <row r="263" spans="2:11" ht="14.5" customHeight="1" x14ac:dyDescent="0.2">
      <c r="B263" s="418"/>
      <c r="C263" s="117"/>
      <c r="D263" s="117" t="s">
        <v>611</v>
      </c>
      <c r="E263" s="122"/>
      <c r="F263" s="174"/>
      <c r="G263" s="174"/>
      <c r="H263" s="122"/>
      <c r="I263" s="122"/>
      <c r="J263" s="170"/>
      <c r="K263" s="170"/>
    </row>
    <row r="264" spans="2:11" ht="14.5" customHeight="1" x14ac:dyDescent="0.2">
      <c r="B264" s="418"/>
      <c r="C264" s="117"/>
      <c r="D264" s="117" t="s">
        <v>850</v>
      </c>
      <c r="E264" s="122"/>
      <c r="F264" s="174"/>
      <c r="G264" s="174"/>
      <c r="H264" s="122"/>
      <c r="I264" s="122"/>
      <c r="J264" s="170"/>
      <c r="K264" s="170"/>
    </row>
    <row r="265" spans="2:11" ht="14.5" customHeight="1" x14ac:dyDescent="0.2">
      <c r="B265" s="418"/>
      <c r="C265" s="119"/>
      <c r="D265" s="119" t="s">
        <v>743</v>
      </c>
      <c r="E265" s="123"/>
      <c r="F265" s="175"/>
      <c r="G265" s="175"/>
      <c r="H265" s="123"/>
      <c r="I265" s="123"/>
      <c r="J265" s="189"/>
      <c r="K265" s="189"/>
    </row>
    <row r="266" spans="2:11" ht="14.5" customHeight="1" x14ac:dyDescent="0.2">
      <c r="B266" s="418"/>
      <c r="C266" s="117"/>
      <c r="D266" s="117" t="s">
        <v>606</v>
      </c>
      <c r="E266" s="122"/>
      <c r="F266" s="174"/>
      <c r="G266" s="174"/>
      <c r="H266" s="122"/>
      <c r="I266" s="122"/>
      <c r="J266" s="170"/>
      <c r="K266" s="170"/>
    </row>
    <row r="267" spans="2:11" ht="14.5" customHeight="1" x14ac:dyDescent="0.2">
      <c r="B267" s="418"/>
      <c r="C267" s="117"/>
      <c r="D267" s="117" t="s">
        <v>901</v>
      </c>
      <c r="E267" s="122"/>
      <c r="F267" s="174"/>
      <c r="G267" s="174"/>
      <c r="H267" s="122"/>
      <c r="I267" s="122"/>
      <c r="J267" s="170"/>
      <c r="K267" s="170"/>
    </row>
    <row r="268" spans="2:11" ht="14.5" customHeight="1" x14ac:dyDescent="0.2">
      <c r="B268" s="418"/>
      <c r="C268" s="117"/>
      <c r="D268" s="117" t="s">
        <v>607</v>
      </c>
      <c r="E268" s="122"/>
      <c r="F268" s="174"/>
      <c r="G268" s="174"/>
      <c r="H268" s="122"/>
      <c r="I268" s="122"/>
      <c r="J268" s="170"/>
      <c r="K268" s="170"/>
    </row>
    <row r="269" spans="2:11" ht="14.5" customHeight="1" x14ac:dyDescent="0.2">
      <c r="B269" s="418"/>
      <c r="C269" s="117"/>
      <c r="D269" s="117" t="s">
        <v>608</v>
      </c>
      <c r="E269" s="122"/>
      <c r="F269" s="174"/>
      <c r="G269" s="174"/>
      <c r="H269" s="122"/>
      <c r="I269" s="122"/>
      <c r="J269" s="170"/>
      <c r="K269" s="170"/>
    </row>
    <row r="270" spans="2:11" ht="14.5" customHeight="1" x14ac:dyDescent="0.2">
      <c r="B270" s="418"/>
      <c r="C270" s="117"/>
      <c r="D270" s="117" t="s">
        <v>640</v>
      </c>
      <c r="E270" s="122"/>
      <c r="F270" s="174"/>
      <c r="G270" s="174"/>
      <c r="H270" s="122"/>
      <c r="I270" s="122"/>
      <c r="J270" s="170"/>
      <c r="K270" s="170"/>
    </row>
    <row r="271" spans="2:11" ht="14.5" customHeight="1" x14ac:dyDescent="0.2">
      <c r="B271" s="418"/>
      <c r="C271" s="117"/>
      <c r="D271" s="117" t="s">
        <v>851</v>
      </c>
      <c r="E271" s="122"/>
      <c r="F271" s="174"/>
      <c r="G271" s="174"/>
      <c r="H271" s="122"/>
      <c r="I271" s="122"/>
      <c r="J271" s="170"/>
      <c r="K271" s="170"/>
    </row>
    <row r="272" spans="2:11" ht="14.5" customHeight="1" x14ac:dyDescent="0.2">
      <c r="B272" s="418"/>
      <c r="C272" s="119"/>
      <c r="D272" s="119" t="s">
        <v>898</v>
      </c>
      <c r="E272" s="123"/>
      <c r="F272" s="175"/>
      <c r="G272" s="175"/>
      <c r="H272" s="123"/>
      <c r="I272" s="123"/>
      <c r="J272" s="189"/>
      <c r="K272" s="189"/>
    </row>
    <row r="273" spans="2:11" ht="14.5" customHeight="1" x14ac:dyDescent="0.2">
      <c r="B273" s="418"/>
      <c r="C273" s="119"/>
      <c r="D273" s="119" t="s">
        <v>897</v>
      </c>
      <c r="E273" s="123"/>
      <c r="F273" s="175"/>
      <c r="G273" s="175"/>
      <c r="H273" s="123"/>
      <c r="I273" s="123"/>
      <c r="J273" s="189"/>
      <c r="K273" s="189"/>
    </row>
    <row r="274" spans="2:11" ht="14.5" customHeight="1" x14ac:dyDescent="0.2">
      <c r="B274" s="419"/>
      <c r="C274" s="127"/>
      <c r="D274" s="127" t="s">
        <v>639</v>
      </c>
      <c r="E274" s="124"/>
      <c r="F274" s="176"/>
      <c r="G274" s="176"/>
      <c r="H274" s="124"/>
      <c r="I274" s="124"/>
      <c r="J274" s="190"/>
      <c r="K274" s="190"/>
    </row>
    <row r="275" spans="2:11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74"/>
      <c r="H275" s="122"/>
      <c r="I275" s="122"/>
      <c r="J275" s="170"/>
      <c r="K275" s="170"/>
    </row>
    <row r="276" spans="2:11" ht="14.5" customHeight="1" x14ac:dyDescent="0.2">
      <c r="B276" s="418"/>
      <c r="C276" s="117"/>
      <c r="D276" s="117" t="s">
        <v>852</v>
      </c>
      <c r="E276" s="122"/>
      <c r="F276" s="174"/>
      <c r="G276" s="174"/>
      <c r="H276" s="122"/>
      <c r="I276" s="122"/>
      <c r="J276" s="170"/>
      <c r="K276" s="170"/>
    </row>
    <row r="277" spans="2:11" ht="14.5" customHeight="1" x14ac:dyDescent="0.2">
      <c r="B277" s="418"/>
      <c r="C277" s="117"/>
      <c r="D277" s="117" t="s">
        <v>853</v>
      </c>
      <c r="E277" s="122"/>
      <c r="F277" s="174"/>
      <c r="G277" s="174"/>
      <c r="H277" s="122"/>
      <c r="I277" s="122"/>
      <c r="J277" s="170"/>
      <c r="K277" s="170"/>
    </row>
    <row r="278" spans="2:11" ht="14.5" customHeight="1" x14ac:dyDescent="0.2">
      <c r="B278" s="418"/>
      <c r="C278" s="117"/>
      <c r="D278" s="117" t="s">
        <v>854</v>
      </c>
      <c r="E278" s="122"/>
      <c r="F278" s="174"/>
      <c r="G278" s="174"/>
      <c r="H278" s="122"/>
      <c r="I278" s="122"/>
      <c r="J278" s="170"/>
      <c r="K278" s="170"/>
    </row>
    <row r="279" spans="2:11" ht="14.5" customHeight="1" x14ac:dyDescent="0.2">
      <c r="B279" s="418"/>
      <c r="C279" s="119"/>
      <c r="D279" s="119" t="s">
        <v>746</v>
      </c>
      <c r="E279" s="123"/>
      <c r="F279" s="175"/>
      <c r="G279" s="175"/>
      <c r="H279" s="123"/>
      <c r="I279" s="123"/>
      <c r="J279" s="189"/>
      <c r="K279" s="189"/>
    </row>
    <row r="280" spans="2:11" ht="14.5" customHeight="1" x14ac:dyDescent="0.2">
      <c r="B280" s="419"/>
      <c r="C280" s="127"/>
      <c r="D280" s="127" t="s">
        <v>642</v>
      </c>
      <c r="E280" s="124"/>
      <c r="F280" s="176"/>
      <c r="G280" s="176"/>
      <c r="H280" s="124"/>
      <c r="I280" s="124"/>
      <c r="J280" s="190"/>
      <c r="K280" s="190"/>
    </row>
    <row r="281" spans="2:11" ht="14.5" customHeight="1" x14ac:dyDescent="0.2">
      <c r="B281" s="127"/>
      <c r="C281" s="127"/>
      <c r="D281" s="127" t="s">
        <v>643</v>
      </c>
      <c r="E281" s="124"/>
      <c r="F281" s="176"/>
      <c r="G281" s="176"/>
      <c r="H281" s="124"/>
      <c r="I281" s="124"/>
      <c r="J281" s="190"/>
      <c r="K281" s="190"/>
    </row>
    <row r="282" spans="2:11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74"/>
      <c r="H282" s="122"/>
      <c r="I282" s="122"/>
      <c r="J282" s="170"/>
      <c r="K282" s="170"/>
    </row>
    <row r="283" spans="2:11" ht="14.5" customHeight="1" x14ac:dyDescent="0.2">
      <c r="B283" s="418"/>
      <c r="C283" s="117"/>
      <c r="D283" s="117" t="s">
        <v>791</v>
      </c>
      <c r="E283" s="122"/>
      <c r="F283" s="174"/>
      <c r="G283" s="174"/>
      <c r="H283" s="122"/>
      <c r="I283" s="122"/>
      <c r="J283" s="170"/>
      <c r="K283" s="170"/>
    </row>
    <row r="284" spans="2:11" ht="14.5" customHeight="1" x14ac:dyDescent="0.2">
      <c r="B284" s="418"/>
      <c r="C284" s="117"/>
      <c r="D284" s="117" t="s">
        <v>647</v>
      </c>
      <c r="E284" s="122"/>
      <c r="F284" s="174"/>
      <c r="G284" s="174"/>
      <c r="H284" s="122"/>
      <c r="I284" s="122"/>
      <c r="J284" s="170"/>
      <c r="K284" s="170"/>
    </row>
    <row r="285" spans="2:11" ht="14.5" customHeight="1" x14ac:dyDescent="0.2">
      <c r="B285" s="418"/>
      <c r="C285" s="117"/>
      <c r="D285" s="117" t="s">
        <v>857</v>
      </c>
      <c r="E285" s="122"/>
      <c r="F285" s="174"/>
      <c r="G285" s="174"/>
      <c r="H285" s="122"/>
      <c r="I285" s="122"/>
      <c r="J285" s="170"/>
      <c r="K285" s="170"/>
    </row>
    <row r="286" spans="2:11" ht="14.5" customHeight="1" x14ac:dyDescent="0.2">
      <c r="B286" s="418"/>
      <c r="C286" s="117"/>
      <c r="D286" s="117" t="s">
        <v>648</v>
      </c>
      <c r="E286" s="122"/>
      <c r="F286" s="174"/>
      <c r="G286" s="174"/>
      <c r="H286" s="122"/>
      <c r="I286" s="122"/>
      <c r="J286" s="170"/>
      <c r="K286" s="170"/>
    </row>
    <row r="287" spans="2:11" ht="14.5" customHeight="1" x14ac:dyDescent="0.2">
      <c r="B287" s="418"/>
      <c r="C287" s="119"/>
      <c r="D287" s="119" t="s">
        <v>747</v>
      </c>
      <c r="E287" s="123"/>
      <c r="F287" s="175"/>
      <c r="G287" s="175"/>
      <c r="H287" s="123"/>
      <c r="I287" s="123"/>
      <c r="J287" s="189"/>
      <c r="K287" s="189"/>
    </row>
    <row r="288" spans="2:11" ht="14.5" customHeight="1" x14ac:dyDescent="0.2">
      <c r="B288" s="419"/>
      <c r="C288" s="127"/>
      <c r="D288" s="127" t="s">
        <v>645</v>
      </c>
      <c r="E288" s="124"/>
      <c r="F288" s="176"/>
      <c r="G288" s="176"/>
      <c r="H288" s="124"/>
      <c r="I288" s="124"/>
      <c r="J288" s="190"/>
      <c r="K288" s="190"/>
    </row>
    <row r="289" spans="2:11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74"/>
      <c r="H289" s="122"/>
      <c r="I289" s="122"/>
      <c r="J289" s="170"/>
      <c r="K289" s="170"/>
    </row>
    <row r="290" spans="2:11" ht="14.5" customHeight="1" x14ac:dyDescent="0.2">
      <c r="B290" s="418"/>
      <c r="C290" s="117"/>
      <c r="D290" s="117" t="s">
        <v>856</v>
      </c>
      <c r="E290" s="122"/>
      <c r="F290" s="174"/>
      <c r="G290" s="174"/>
      <c r="H290" s="122"/>
      <c r="I290" s="122"/>
      <c r="J290" s="170"/>
      <c r="K290" s="170"/>
    </row>
    <row r="291" spans="2:11" ht="14.5" customHeight="1" x14ac:dyDescent="0.2">
      <c r="B291" s="418"/>
      <c r="C291" s="119"/>
      <c r="D291" s="119" t="s">
        <v>899</v>
      </c>
      <c r="E291" s="123"/>
      <c r="F291" s="175"/>
      <c r="G291" s="175"/>
      <c r="H291" s="123"/>
      <c r="I291" s="123"/>
      <c r="J291" s="189"/>
      <c r="K291" s="189"/>
    </row>
    <row r="292" spans="2:11" ht="14.5" customHeight="1" x14ac:dyDescent="0.2">
      <c r="B292" s="419"/>
      <c r="C292" s="127"/>
      <c r="D292" s="127" t="s">
        <v>860</v>
      </c>
      <c r="E292" s="124"/>
      <c r="F292" s="176"/>
      <c r="G292" s="176"/>
      <c r="H292" s="124"/>
      <c r="I292" s="124"/>
      <c r="J292" s="190"/>
      <c r="K292" s="190"/>
    </row>
    <row r="293" spans="2:11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74"/>
      <c r="H293" s="122"/>
      <c r="I293" s="122"/>
      <c r="J293" s="170"/>
      <c r="K293" s="170"/>
    </row>
    <row r="294" spans="2:11" ht="14.5" customHeight="1" x14ac:dyDescent="0.2">
      <c r="B294" s="418"/>
      <c r="C294" s="117"/>
      <c r="D294" s="117" t="s">
        <v>861</v>
      </c>
      <c r="E294" s="122"/>
      <c r="F294" s="174"/>
      <c r="G294" s="174"/>
      <c r="H294" s="122"/>
      <c r="I294" s="122"/>
      <c r="J294" s="170"/>
      <c r="K294" s="170"/>
    </row>
    <row r="295" spans="2:11" ht="14.5" customHeight="1" x14ac:dyDescent="0.2">
      <c r="B295" s="418"/>
      <c r="C295" s="117"/>
      <c r="D295" s="117" t="s">
        <v>651</v>
      </c>
      <c r="E295" s="122"/>
      <c r="F295" s="174"/>
      <c r="G295" s="174"/>
      <c r="H295" s="122"/>
      <c r="I295" s="122"/>
      <c r="J295" s="170"/>
      <c r="K295" s="170"/>
    </row>
    <row r="296" spans="2:11" ht="14.5" customHeight="1" x14ac:dyDescent="0.2">
      <c r="B296" s="418"/>
      <c r="C296" s="117"/>
      <c r="D296" s="117" t="s">
        <v>652</v>
      </c>
      <c r="E296" s="122"/>
      <c r="F296" s="174"/>
      <c r="G296" s="174"/>
      <c r="H296" s="122"/>
      <c r="I296" s="122"/>
      <c r="J296" s="170"/>
      <c r="K296" s="170"/>
    </row>
    <row r="297" spans="2:11" ht="14.5" customHeight="1" x14ac:dyDescent="0.2">
      <c r="B297" s="418"/>
      <c r="C297" s="117"/>
      <c r="D297" s="117" t="s">
        <v>653</v>
      </c>
      <c r="E297" s="122"/>
      <c r="F297" s="174"/>
      <c r="G297" s="174"/>
      <c r="H297" s="122"/>
      <c r="I297" s="122"/>
      <c r="J297" s="170"/>
      <c r="K297" s="170"/>
    </row>
    <row r="298" spans="2:11" ht="14.5" customHeight="1" x14ac:dyDescent="0.2">
      <c r="B298" s="418"/>
      <c r="C298" s="119"/>
      <c r="D298" s="119" t="s">
        <v>754</v>
      </c>
      <c r="E298" s="123"/>
      <c r="F298" s="175"/>
      <c r="G298" s="175"/>
      <c r="H298" s="123"/>
      <c r="I298" s="123"/>
      <c r="J298" s="189"/>
      <c r="K298" s="189"/>
    </row>
    <row r="299" spans="2:11" ht="14.5" customHeight="1" x14ac:dyDescent="0.2">
      <c r="B299" s="419"/>
      <c r="C299" s="127"/>
      <c r="D299" s="127" t="s">
        <v>654</v>
      </c>
      <c r="E299" s="124"/>
      <c r="F299" s="176"/>
      <c r="G299" s="176"/>
      <c r="H299" s="124"/>
      <c r="I299" s="124"/>
      <c r="J299" s="190"/>
      <c r="K299" s="190"/>
    </row>
    <row r="300" spans="2:11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74"/>
      <c r="H300" s="122"/>
      <c r="I300" s="122"/>
      <c r="J300" s="170"/>
      <c r="K300" s="170"/>
    </row>
    <row r="301" spans="2:11" ht="14.5" customHeight="1" x14ac:dyDescent="0.2">
      <c r="B301" s="418"/>
      <c r="C301" s="117"/>
      <c r="D301" s="117" t="s">
        <v>657</v>
      </c>
      <c r="E301" s="122"/>
      <c r="F301" s="174"/>
      <c r="G301" s="174"/>
      <c r="H301" s="122"/>
      <c r="I301" s="122"/>
      <c r="J301" s="170"/>
      <c r="K301" s="170"/>
    </row>
    <row r="302" spans="2:11" ht="14.5" customHeight="1" x14ac:dyDescent="0.2">
      <c r="B302" s="418"/>
      <c r="C302" s="117"/>
      <c r="D302" s="117" t="s">
        <v>793</v>
      </c>
      <c r="E302" s="122"/>
      <c r="F302" s="174"/>
      <c r="G302" s="174"/>
      <c r="H302" s="122"/>
      <c r="I302" s="122"/>
      <c r="J302" s="170"/>
      <c r="K302" s="170"/>
    </row>
    <row r="303" spans="2:11" ht="14.5" customHeight="1" x14ac:dyDescent="0.2">
      <c r="B303" s="418"/>
      <c r="C303" s="117"/>
      <c r="D303" s="117" t="s">
        <v>862</v>
      </c>
      <c r="E303" s="122"/>
      <c r="F303" s="174"/>
      <c r="G303" s="174"/>
      <c r="H303" s="122"/>
      <c r="I303" s="122"/>
      <c r="J303" s="170"/>
      <c r="K303" s="170"/>
    </row>
    <row r="304" spans="2:11" ht="14.5" customHeight="1" x14ac:dyDescent="0.2">
      <c r="B304" s="418"/>
      <c r="C304" s="117"/>
      <c r="D304" s="117" t="s">
        <v>809</v>
      </c>
      <c r="E304" s="122"/>
      <c r="F304" s="174"/>
      <c r="G304" s="174"/>
      <c r="H304" s="122"/>
      <c r="I304" s="122"/>
      <c r="J304" s="170"/>
      <c r="K304" s="170"/>
    </row>
    <row r="305" spans="2:11" ht="14.5" customHeight="1" x14ac:dyDescent="0.2">
      <c r="B305" s="418"/>
      <c r="C305" s="117"/>
      <c r="D305" s="117" t="s">
        <v>794</v>
      </c>
      <c r="E305" s="122"/>
      <c r="F305" s="174"/>
      <c r="G305" s="174"/>
      <c r="H305" s="122"/>
      <c r="I305" s="122"/>
      <c r="J305" s="170"/>
      <c r="K305" s="170"/>
    </row>
    <row r="306" spans="2:11" ht="14.5" customHeight="1" x14ac:dyDescent="0.2">
      <c r="B306" s="418"/>
      <c r="C306" s="119"/>
      <c r="D306" s="119" t="s">
        <v>752</v>
      </c>
      <c r="E306" s="123"/>
      <c r="F306" s="175"/>
      <c r="G306" s="175"/>
      <c r="H306" s="123"/>
      <c r="I306" s="123"/>
      <c r="J306" s="189"/>
      <c r="K306" s="189"/>
    </row>
    <row r="307" spans="2:11" ht="14.5" customHeight="1" x14ac:dyDescent="0.2">
      <c r="B307" s="419"/>
      <c r="C307" s="127"/>
      <c r="D307" s="127" t="s">
        <v>656</v>
      </c>
      <c r="E307" s="124"/>
      <c r="F307" s="176"/>
      <c r="G307" s="176"/>
      <c r="H307" s="124"/>
      <c r="I307" s="124"/>
      <c r="J307" s="190"/>
      <c r="K307" s="190"/>
    </row>
    <row r="308" spans="2:11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74"/>
      <c r="H308" s="122"/>
      <c r="I308" s="122"/>
      <c r="J308" s="170"/>
      <c r="K308" s="170"/>
    </row>
    <row r="309" spans="2:11" ht="14.5" customHeight="1" x14ac:dyDescent="0.2">
      <c r="B309" s="418"/>
      <c r="C309" s="117"/>
      <c r="D309" s="117" t="s">
        <v>795</v>
      </c>
      <c r="E309" s="122"/>
      <c r="F309" s="174"/>
      <c r="G309" s="174"/>
      <c r="H309" s="122"/>
      <c r="I309" s="122"/>
      <c r="J309" s="170"/>
      <c r="K309" s="170"/>
    </row>
    <row r="310" spans="2:11" ht="14.5" customHeight="1" x14ac:dyDescent="0.2">
      <c r="B310" s="418"/>
      <c r="C310" s="117"/>
      <c r="D310" s="117" t="s">
        <v>661</v>
      </c>
      <c r="E310" s="122"/>
      <c r="F310" s="174"/>
      <c r="G310" s="174"/>
      <c r="H310" s="122"/>
      <c r="I310" s="122"/>
      <c r="J310" s="170"/>
      <c r="K310" s="170"/>
    </row>
    <row r="311" spans="2:11" ht="14.5" customHeight="1" x14ac:dyDescent="0.2">
      <c r="B311" s="418"/>
      <c r="C311" s="117"/>
      <c r="D311" s="117" t="s">
        <v>662</v>
      </c>
      <c r="E311" s="122"/>
      <c r="F311" s="174"/>
      <c r="G311" s="174"/>
      <c r="H311" s="122"/>
      <c r="I311" s="122"/>
      <c r="J311" s="170"/>
      <c r="K311" s="170"/>
    </row>
    <row r="312" spans="2:11" ht="14.5" customHeight="1" x14ac:dyDescent="0.2">
      <c r="B312" s="418"/>
      <c r="C312" s="119"/>
      <c r="D312" s="119" t="s">
        <v>759</v>
      </c>
      <c r="E312" s="123"/>
      <c r="F312" s="175"/>
      <c r="G312" s="175"/>
      <c r="H312" s="123"/>
      <c r="I312" s="123"/>
      <c r="J312" s="189"/>
      <c r="K312" s="189"/>
    </row>
    <row r="313" spans="2:11" ht="14.5" customHeight="1" x14ac:dyDescent="0.2">
      <c r="B313" s="419"/>
      <c r="C313" s="127"/>
      <c r="D313" s="127" t="s">
        <v>659</v>
      </c>
      <c r="E313" s="124"/>
      <c r="F313" s="176"/>
      <c r="G313" s="176"/>
      <c r="H313" s="124"/>
      <c r="I313" s="124"/>
      <c r="J313" s="190"/>
      <c r="K313" s="190"/>
    </row>
    <row r="314" spans="2:11" ht="14.5" customHeight="1" x14ac:dyDescent="0.2">
      <c r="B314" s="127"/>
      <c r="C314" s="127"/>
      <c r="D314" s="127" t="s">
        <v>863</v>
      </c>
      <c r="E314" s="124"/>
      <c r="F314" s="176"/>
      <c r="G314" s="176"/>
      <c r="H314" s="124"/>
      <c r="I314" s="124"/>
      <c r="J314" s="190"/>
      <c r="K314" s="190"/>
    </row>
    <row r="315" spans="2:11" ht="14.5" customHeight="1" x14ac:dyDescent="0.2">
      <c r="B315" s="127"/>
      <c r="C315" s="127"/>
      <c r="D315" s="127" t="s">
        <v>55</v>
      </c>
      <c r="E315" s="124"/>
      <c r="F315" s="176"/>
      <c r="G315" s="176"/>
      <c r="H315" s="124"/>
      <c r="I315" s="124"/>
      <c r="J315" s="190"/>
      <c r="K315" s="190"/>
    </row>
    <row r="320" spans="2:11" ht="14.5" customHeight="1" x14ac:dyDescent="0.2">
      <c r="B320" s="4" t="s">
        <v>879</v>
      </c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385" t="s">
        <v>134</v>
      </c>
      <c r="F322" s="385"/>
      <c r="G322" s="423" t="s">
        <v>56</v>
      </c>
      <c r="H322" s="394" t="s">
        <v>3</v>
      </c>
      <c r="I322" s="398" t="s">
        <v>419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36" t="s">
        <v>77</v>
      </c>
      <c r="F323" s="54" t="s">
        <v>58</v>
      </c>
      <c r="G323" s="423"/>
      <c r="H323" s="394"/>
      <c r="I323" s="398"/>
      <c r="J323" s="398"/>
      <c r="K323" s="398"/>
    </row>
    <row r="324" spans="2:11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74"/>
      <c r="H324" s="122"/>
      <c r="I324" s="122"/>
      <c r="J324" s="170"/>
      <c r="K324" s="170"/>
    </row>
    <row r="325" spans="2:11" ht="14.5" customHeight="1" x14ac:dyDescent="0.2">
      <c r="B325" s="418"/>
      <c r="C325" s="117"/>
      <c r="D325" s="117" t="s">
        <v>869</v>
      </c>
      <c r="E325" s="122"/>
      <c r="F325" s="174"/>
      <c r="G325" s="174"/>
      <c r="H325" s="122"/>
      <c r="I325" s="122"/>
      <c r="J325" s="170"/>
      <c r="K325" s="170"/>
    </row>
    <row r="326" spans="2:11" ht="14.5" customHeight="1" x14ac:dyDescent="0.2">
      <c r="B326" s="418"/>
      <c r="C326" s="117"/>
      <c r="D326" s="117" t="s">
        <v>870</v>
      </c>
      <c r="E326" s="122"/>
      <c r="F326" s="174"/>
      <c r="G326" s="174"/>
      <c r="H326" s="122"/>
      <c r="I326" s="122"/>
      <c r="J326" s="170"/>
      <c r="K326" s="170"/>
    </row>
    <row r="327" spans="2:11" ht="14.5" customHeight="1" x14ac:dyDescent="0.2">
      <c r="B327" s="418"/>
      <c r="C327" s="117"/>
      <c r="D327" s="117" t="s">
        <v>871</v>
      </c>
      <c r="E327" s="122"/>
      <c r="F327" s="174"/>
      <c r="G327" s="174"/>
      <c r="H327" s="122"/>
      <c r="I327" s="122"/>
      <c r="J327" s="170"/>
      <c r="K327" s="170"/>
    </row>
    <row r="328" spans="2:11" ht="14.5" customHeight="1" x14ac:dyDescent="0.2">
      <c r="B328" s="418"/>
      <c r="C328" s="117"/>
      <c r="D328" s="117" t="s">
        <v>872</v>
      </c>
      <c r="E328" s="122"/>
      <c r="F328" s="174"/>
      <c r="G328" s="174"/>
      <c r="H328" s="122"/>
      <c r="I328" s="122"/>
      <c r="J328" s="170"/>
      <c r="K328" s="170"/>
    </row>
    <row r="329" spans="2:11" ht="14.5" customHeight="1" x14ac:dyDescent="0.2">
      <c r="B329" s="418"/>
      <c r="C329" s="117"/>
      <c r="D329" s="117" t="s">
        <v>873</v>
      </c>
      <c r="E329" s="122"/>
      <c r="F329" s="174"/>
      <c r="G329" s="174"/>
      <c r="H329" s="122"/>
      <c r="I329" s="122"/>
      <c r="J329" s="170"/>
      <c r="K329" s="170"/>
    </row>
    <row r="330" spans="2:11" ht="14.5" customHeight="1" x14ac:dyDescent="0.2">
      <c r="B330" s="418"/>
      <c r="C330" s="117"/>
      <c r="D330" s="117" t="s">
        <v>874</v>
      </c>
      <c r="E330" s="122"/>
      <c r="F330" s="174"/>
      <c r="G330" s="174"/>
      <c r="H330" s="122"/>
      <c r="I330" s="122"/>
      <c r="J330" s="170"/>
      <c r="K330" s="170"/>
    </row>
    <row r="331" spans="2:11" ht="14.5" customHeight="1" x14ac:dyDescent="0.2">
      <c r="B331" s="418"/>
      <c r="C331" s="117"/>
      <c r="D331" s="117" t="s">
        <v>875</v>
      </c>
      <c r="E331" s="122"/>
      <c r="F331" s="174"/>
      <c r="G331" s="174"/>
      <c r="H331" s="122"/>
      <c r="I331" s="122"/>
      <c r="J331" s="170"/>
      <c r="K331" s="170"/>
    </row>
    <row r="332" spans="2:11" ht="14.5" customHeight="1" x14ac:dyDescent="0.2">
      <c r="B332" s="418"/>
      <c r="C332" s="117"/>
      <c r="D332" s="117" t="s">
        <v>876</v>
      </c>
      <c r="E332" s="122"/>
      <c r="F332" s="174"/>
      <c r="G332" s="174"/>
      <c r="H332" s="122"/>
      <c r="I332" s="122"/>
      <c r="J332" s="170"/>
      <c r="K332" s="170"/>
    </row>
    <row r="333" spans="2:11" ht="14.5" customHeight="1" x14ac:dyDescent="0.2">
      <c r="B333" s="418"/>
      <c r="C333" s="117"/>
      <c r="D333" s="117" t="s">
        <v>877</v>
      </c>
      <c r="E333" s="122"/>
      <c r="F333" s="174"/>
      <c r="G333" s="174"/>
      <c r="H333" s="122"/>
      <c r="I333" s="122"/>
      <c r="J333" s="170"/>
      <c r="K333" s="170"/>
    </row>
    <row r="334" spans="2:11" ht="14.5" customHeight="1" x14ac:dyDescent="0.2">
      <c r="B334" s="418"/>
      <c r="C334" s="119"/>
      <c r="D334" s="119" t="s">
        <v>892</v>
      </c>
      <c r="E334" s="123"/>
      <c r="F334" s="175"/>
      <c r="G334" s="175"/>
      <c r="H334" s="123"/>
      <c r="I334" s="123"/>
      <c r="J334" s="189"/>
      <c r="K334" s="189"/>
    </row>
    <row r="335" spans="2:11" ht="14.5" customHeight="1" x14ac:dyDescent="0.2">
      <c r="B335" s="418"/>
      <c r="C335" s="119"/>
      <c r="D335" s="119" t="s">
        <v>74</v>
      </c>
      <c r="E335" s="123"/>
      <c r="F335" s="175"/>
      <c r="G335" s="175"/>
      <c r="H335" s="123"/>
      <c r="I335" s="123"/>
      <c r="J335" s="189"/>
      <c r="K335" s="189"/>
    </row>
    <row r="336" spans="2:11" ht="14.5" customHeight="1" x14ac:dyDescent="0.2">
      <c r="B336" s="419"/>
      <c r="C336" s="127"/>
      <c r="D336" s="127" t="s">
        <v>866</v>
      </c>
      <c r="E336" s="124"/>
      <c r="F336" s="176"/>
      <c r="G336" s="176"/>
      <c r="H336" s="124"/>
      <c r="I336" s="124"/>
      <c r="J336" s="190"/>
      <c r="K336" s="190"/>
    </row>
    <row r="337" spans="2:11" ht="14.5" customHeight="1" x14ac:dyDescent="0.2">
      <c r="B337" s="127"/>
      <c r="C337" s="127"/>
      <c r="D337" s="127" t="s">
        <v>867</v>
      </c>
      <c r="E337" s="124"/>
      <c r="F337" s="176"/>
      <c r="G337" s="176"/>
      <c r="H337" s="124"/>
      <c r="I337" s="124"/>
      <c r="J337" s="190"/>
      <c r="K337" s="190"/>
    </row>
    <row r="339" spans="2:11" s="45" customFormat="1" ht="14.5" customHeight="1" x14ac:dyDescent="0.2">
      <c r="E339" s="46"/>
      <c r="F339" s="46"/>
      <c r="G339" s="228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46"/>
      <c r="F340" s="46"/>
      <c r="G340" s="228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46"/>
      <c r="F341" s="46"/>
      <c r="G341" s="228" t="s">
        <v>138</v>
      </c>
      <c r="H341" s="48"/>
      <c r="I341" s="128">
        <f>SUM(I315,I147,I95,I77,I40,I337)</f>
        <v>4324500</v>
      </c>
      <c r="J341" s="46"/>
      <c r="K341" s="46"/>
    </row>
    <row r="342" spans="2:11" s="45" customFormat="1" ht="14.5" customHeight="1" x14ac:dyDescent="0.2">
      <c r="E342" s="46"/>
      <c r="F342" s="46"/>
      <c r="G342" s="228" t="s">
        <v>153</v>
      </c>
      <c r="H342" s="48"/>
      <c r="I342" s="128">
        <f>'Pencapaian New Open Outlet'!I342</f>
        <v>1949250</v>
      </c>
      <c r="J342" s="46"/>
      <c r="K342" s="46"/>
    </row>
    <row r="343" spans="2:11" s="45" customFormat="1" ht="14.5" customHeight="1" x14ac:dyDescent="0.2">
      <c r="E343" s="46"/>
      <c r="F343" s="46"/>
      <c r="G343" s="228" t="s">
        <v>79</v>
      </c>
      <c r="H343" s="48"/>
      <c r="I343" s="128">
        <f>'Pencapaian Active Outlet'!I343</f>
        <v>7007500</v>
      </c>
      <c r="J343" s="46"/>
      <c r="K343" s="46"/>
    </row>
    <row r="344" spans="2:11" s="45" customFormat="1" ht="14.5" customHeight="1" x14ac:dyDescent="0.2">
      <c r="E344" s="46"/>
      <c r="F344" s="46"/>
      <c r="G344" s="228" t="s">
        <v>136</v>
      </c>
      <c r="H344" s="48"/>
      <c r="I344" s="128">
        <f>'Pencapaian Item per Outlet'!I344</f>
        <v>1646000</v>
      </c>
      <c r="J344" s="46"/>
      <c r="K344" s="46"/>
    </row>
    <row r="345" spans="2:11" s="45" customFormat="1" ht="14.5" customHeight="1" x14ac:dyDescent="0.2">
      <c r="E345" s="46"/>
      <c r="F345" s="46"/>
      <c r="G345" s="228" t="s">
        <v>414</v>
      </c>
      <c r="I345" s="128">
        <f>'Pencapaian Product Display'!I345</f>
        <v>40000</v>
      </c>
      <c r="J345" s="46"/>
      <c r="K345" s="46"/>
    </row>
    <row r="346" spans="2:11" s="45" customFormat="1" ht="14.5" customHeight="1" x14ac:dyDescent="0.2">
      <c r="E346" s="46"/>
      <c r="F346" s="46"/>
      <c r="G346" s="228" t="s">
        <v>415</v>
      </c>
      <c r="I346" s="128">
        <f>'Pencapaian Sales Contract'!I346</f>
        <v>0</v>
      </c>
      <c r="J346" s="46"/>
      <c r="K346" s="46"/>
    </row>
    <row r="347" spans="2:11" ht="14.5" customHeight="1" x14ac:dyDescent="0.2">
      <c r="G347" s="228" t="s">
        <v>416</v>
      </c>
      <c r="H347" s="45"/>
      <c r="I347" s="128">
        <f>'Pencapaian Co-Branding'!I347</f>
        <v>0</v>
      </c>
      <c r="J347" s="46"/>
      <c r="K347" s="46"/>
    </row>
    <row r="348" spans="2:11" ht="14.5" customHeight="1" x14ac:dyDescent="0.2">
      <c r="G348" s="228" t="s">
        <v>417</v>
      </c>
      <c r="H348" s="45"/>
      <c r="I348" s="128">
        <f>'Pencapaian Join Event Activity'!I348</f>
        <v>50000</v>
      </c>
      <c r="J348" s="46"/>
      <c r="K348" s="46"/>
    </row>
    <row r="349" spans="2:11" ht="14.5" customHeight="1" x14ac:dyDescent="0.2">
      <c r="G349" s="228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47"/>
      <c r="I350" s="229"/>
      <c r="J350" s="46"/>
      <c r="K350" s="46"/>
    </row>
    <row r="351" spans="2:11" ht="14.5" customHeight="1" x14ac:dyDescent="0.2">
      <c r="G351" s="50" t="s">
        <v>62</v>
      </c>
      <c r="I351" s="235">
        <f>SUM(I339:I349)</f>
        <v>38916750</v>
      </c>
    </row>
  </sheetData>
  <mergeCells count="86">
    <mergeCell ref="B260:B274"/>
    <mergeCell ref="B216:B220"/>
    <mergeCell ref="B221:B225"/>
    <mergeCell ref="B227:B242"/>
    <mergeCell ref="B243:B249"/>
    <mergeCell ref="B250:B258"/>
    <mergeCell ref="B157:B165"/>
    <mergeCell ref="B166:B181"/>
    <mergeCell ref="B182:B189"/>
    <mergeCell ref="B191:B199"/>
    <mergeCell ref="B200:B215"/>
    <mergeCell ref="J48:J49"/>
    <mergeCell ref="K48:K49"/>
    <mergeCell ref="B35:B39"/>
    <mergeCell ref="B48:B49"/>
    <mergeCell ref="J3:J4"/>
    <mergeCell ref="K3:K4"/>
    <mergeCell ref="B5:B28"/>
    <mergeCell ref="B29:B34"/>
    <mergeCell ref="H3:H4"/>
    <mergeCell ref="I3:I4"/>
    <mergeCell ref="B3:B4"/>
    <mergeCell ref="D3:D4"/>
    <mergeCell ref="E3:F3"/>
    <mergeCell ref="G3:G4"/>
    <mergeCell ref="C3:C4"/>
    <mergeCell ref="E48:F48"/>
    <mergeCell ref="D48:D49"/>
    <mergeCell ref="G48:G49"/>
    <mergeCell ref="H48:H49"/>
    <mergeCell ref="I48:I49"/>
    <mergeCell ref="B72:B76"/>
    <mergeCell ref="C48:C49"/>
    <mergeCell ref="B50:B64"/>
    <mergeCell ref="B65:B71"/>
    <mergeCell ref="I103:I104"/>
    <mergeCell ref="B103:B104"/>
    <mergeCell ref="D103:D104"/>
    <mergeCell ref="G103:G104"/>
    <mergeCell ref="H103:H104"/>
    <mergeCell ref="B110:B115"/>
    <mergeCell ref="B116:B120"/>
    <mergeCell ref="J155:J156"/>
    <mergeCell ref="K155:K156"/>
    <mergeCell ref="B129:B133"/>
    <mergeCell ref="B121:B128"/>
    <mergeCell ref="H155:H156"/>
    <mergeCell ref="B155:B156"/>
    <mergeCell ref="D155:D156"/>
    <mergeCell ref="E155:F155"/>
    <mergeCell ref="G155:G156"/>
    <mergeCell ref="C155:C156"/>
    <mergeCell ref="I155:I156"/>
    <mergeCell ref="B134:B146"/>
    <mergeCell ref="K85:K86"/>
    <mergeCell ref="B91:B94"/>
    <mergeCell ref="B87:B90"/>
    <mergeCell ref="K103:K104"/>
    <mergeCell ref="B105:B109"/>
    <mergeCell ref="C85:C86"/>
    <mergeCell ref="C103:C104"/>
    <mergeCell ref="E85:F85"/>
    <mergeCell ref="G85:G86"/>
    <mergeCell ref="H85:H86"/>
    <mergeCell ref="I85:I86"/>
    <mergeCell ref="J85:J86"/>
    <mergeCell ref="J103:J104"/>
    <mergeCell ref="E103:F103"/>
    <mergeCell ref="B85:B86"/>
    <mergeCell ref="D85:D86"/>
    <mergeCell ref="B275:B280"/>
    <mergeCell ref="B282:B288"/>
    <mergeCell ref="B293:B299"/>
    <mergeCell ref="B300:B307"/>
    <mergeCell ref="B308:B313"/>
    <mergeCell ref="B289:B292"/>
    <mergeCell ref="H322:H323"/>
    <mergeCell ref="I322:I323"/>
    <mergeCell ref="J322:J323"/>
    <mergeCell ref="K322:K323"/>
    <mergeCell ref="B324:B336"/>
    <mergeCell ref="B322:B323"/>
    <mergeCell ref="C322:C323"/>
    <mergeCell ref="D322:D323"/>
    <mergeCell ref="E322:F322"/>
    <mergeCell ref="G322:G323"/>
  </mergeCells>
  <conditionalFormatting sqref="G5:G10 G14:G20 G29:G30 G51:G54 G56:G57 G59:G60 G105:G106 G110:G113">
    <cfRule type="cellIs" dxfId="194" priority="88" operator="greaterThan">
      <formula>1</formula>
    </cfRule>
    <cfRule type="cellIs" dxfId="193" priority="89" operator="greaterThan">
      <formula>0.7</formula>
    </cfRule>
    <cfRule type="cellIs" dxfId="192" priority="90" operator="lessThan">
      <formula>0.7</formula>
    </cfRule>
  </conditionalFormatting>
  <conditionalFormatting sqref="G25:G26">
    <cfRule type="cellIs" dxfId="191" priority="46" operator="greaterThan">
      <formula>1</formula>
    </cfRule>
    <cfRule type="cellIs" dxfId="190" priority="47" operator="greaterThan">
      <formula>0.7</formula>
    </cfRule>
    <cfRule type="cellIs" dxfId="189" priority="48" operator="lessThan">
      <formula>0.7</formula>
    </cfRule>
  </conditionalFormatting>
  <conditionalFormatting sqref="G32">
    <cfRule type="cellIs" dxfId="188" priority="4" operator="greaterThan">
      <formula>1</formula>
    </cfRule>
    <cfRule type="cellIs" dxfId="187" priority="5" operator="greaterThan">
      <formula>0.7</formula>
    </cfRule>
    <cfRule type="cellIs" dxfId="186" priority="6" operator="lessThan">
      <formula>0.7</formula>
    </cfRule>
  </conditionalFormatting>
  <conditionalFormatting sqref="G35:G37">
    <cfRule type="cellIs" dxfId="185" priority="43" operator="greaterThan">
      <formula>1</formula>
    </cfRule>
    <cfRule type="cellIs" dxfId="184" priority="44" operator="greaterThan">
      <formula>0.7</formula>
    </cfRule>
    <cfRule type="cellIs" dxfId="183" priority="45" operator="lessThan">
      <formula>0.7</formula>
    </cfRule>
  </conditionalFormatting>
  <conditionalFormatting sqref="G63">
    <cfRule type="cellIs" dxfId="182" priority="28" operator="greaterThan">
      <formula>1</formula>
    </cfRule>
    <cfRule type="cellIs" dxfId="181" priority="29" operator="greaterThan">
      <formula>0.7</formula>
    </cfRule>
    <cfRule type="cellIs" dxfId="180" priority="30" operator="lessThan">
      <formula>0.7</formula>
    </cfRule>
  </conditionalFormatting>
  <conditionalFormatting sqref="G65:G68">
    <cfRule type="cellIs" dxfId="179" priority="25" operator="greaterThan">
      <formula>1</formula>
    </cfRule>
    <cfRule type="cellIs" dxfId="178" priority="26" operator="greaterThan">
      <formula>0.7</formula>
    </cfRule>
    <cfRule type="cellIs" dxfId="177" priority="27" operator="lessThan">
      <formula>0.7</formula>
    </cfRule>
  </conditionalFormatting>
  <conditionalFormatting sqref="G72:G74">
    <cfRule type="cellIs" dxfId="176" priority="82" operator="greaterThan">
      <formula>1</formula>
    </cfRule>
    <cfRule type="cellIs" dxfId="175" priority="83" operator="greaterThan">
      <formula>0.7</formula>
    </cfRule>
    <cfRule type="cellIs" dxfId="174" priority="84" operator="lessThan">
      <formula>0.7</formula>
    </cfRule>
  </conditionalFormatting>
  <conditionalFormatting sqref="G87:G88">
    <cfRule type="cellIs" dxfId="173" priority="79" operator="greaterThan">
      <formula>1</formula>
    </cfRule>
    <cfRule type="cellIs" dxfId="172" priority="80" operator="greaterThan">
      <formula>0.7</formula>
    </cfRule>
    <cfRule type="cellIs" dxfId="171" priority="81" operator="lessThan">
      <formula>0.7</formula>
    </cfRule>
  </conditionalFormatting>
  <conditionalFormatting sqref="G91:G92">
    <cfRule type="cellIs" dxfId="170" priority="76" operator="greaterThan">
      <formula>1</formula>
    </cfRule>
    <cfRule type="cellIs" dxfId="169" priority="77" operator="greaterThan">
      <formula>0.7</formula>
    </cfRule>
    <cfRule type="cellIs" dxfId="168" priority="78" operator="lessThan">
      <formula>0.7</formula>
    </cfRule>
  </conditionalFormatting>
  <conditionalFormatting sqref="G116:G119">
    <cfRule type="cellIs" dxfId="167" priority="1" operator="greaterThan">
      <formula>1</formula>
    </cfRule>
    <cfRule type="cellIs" dxfId="166" priority="2" operator="greaterThan">
      <formula>0.7</formula>
    </cfRule>
    <cfRule type="cellIs" dxfId="165" priority="3" operator="lessThan">
      <formula>0.7</formula>
    </cfRule>
  </conditionalFormatting>
  <conditionalFormatting sqref="G130:G131">
    <cfRule type="cellIs" dxfId="164" priority="73" operator="greaterThan">
      <formula>1</formula>
    </cfRule>
    <cfRule type="cellIs" dxfId="163" priority="74" operator="greaterThan">
      <formula>0.7</formula>
    </cfRule>
    <cfRule type="cellIs" dxfId="162" priority="75" operator="lessThan">
      <formula>0.7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D047-5E5B-4893-A932-E2C46671DEC4}">
  <dimension ref="B1:O351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P15" sqref="P15"/>
    </sheetView>
  </sheetViews>
  <sheetFormatPr baseColWidth="10" defaultColWidth="8.83203125" defaultRowHeight="14.5" customHeight="1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2" customWidth="1"/>
    <col min="7" max="7" width="13.1640625" style="165" customWidth="1"/>
    <col min="8" max="8" width="10.83203125" customWidth="1"/>
    <col min="9" max="11" width="12.6640625" style="2" customWidth="1"/>
    <col min="12" max="12" width="3.5" customWidth="1"/>
  </cols>
  <sheetData>
    <row r="1" spans="2:15" ht="14.5" customHeight="1" x14ac:dyDescent="0.2">
      <c r="B1" s="4" t="s">
        <v>163</v>
      </c>
      <c r="C1" s="5"/>
      <c r="D1" s="5"/>
      <c r="E1" s="33"/>
      <c r="F1" s="33"/>
      <c r="G1" s="159"/>
    </row>
    <row r="2" spans="2:15" ht="14.5" customHeight="1" x14ac:dyDescent="0.2">
      <c r="B2" s="8"/>
      <c r="C2" s="8"/>
      <c r="D2" s="8"/>
      <c r="E2" s="35"/>
      <c r="F2" s="35"/>
      <c r="G2" s="159"/>
    </row>
    <row r="3" spans="2:15" ht="14.5" customHeight="1" x14ac:dyDescent="0.2">
      <c r="B3" s="388" t="s">
        <v>0</v>
      </c>
      <c r="C3" s="388" t="s">
        <v>270</v>
      </c>
      <c r="D3" s="388" t="s">
        <v>2</v>
      </c>
      <c r="E3" s="385" t="s">
        <v>135</v>
      </c>
      <c r="F3" s="385"/>
      <c r="G3" s="417" t="s">
        <v>56</v>
      </c>
      <c r="H3" s="394" t="s">
        <v>3</v>
      </c>
      <c r="I3" s="398" t="s">
        <v>420</v>
      </c>
      <c r="J3" s="398" t="s">
        <v>8</v>
      </c>
      <c r="K3" s="398" t="s">
        <v>75</v>
      </c>
    </row>
    <row r="4" spans="2:15" ht="14.5" customHeight="1" x14ac:dyDescent="0.2">
      <c r="B4" s="388"/>
      <c r="C4" s="388"/>
      <c r="D4" s="388"/>
      <c r="E4" s="36" t="s">
        <v>77</v>
      </c>
      <c r="F4" s="54" t="s">
        <v>58</v>
      </c>
      <c r="G4" s="417"/>
      <c r="H4" s="394"/>
      <c r="I4" s="398"/>
      <c r="J4" s="398"/>
      <c r="K4" s="398"/>
    </row>
    <row r="5" spans="2:15" ht="14.5" customHeight="1" x14ac:dyDescent="0.2">
      <c r="B5" s="422" t="s">
        <v>13</v>
      </c>
      <c r="C5" s="117" t="s">
        <v>342</v>
      </c>
      <c r="D5" s="117" t="s">
        <v>233</v>
      </c>
      <c r="E5" s="122">
        <v>1</v>
      </c>
      <c r="F5" s="122">
        <v>2</v>
      </c>
      <c r="G5" s="163">
        <f t="shared" ref="G5:G30" si="0">E5/F5*100%</f>
        <v>0.5</v>
      </c>
      <c r="H5" s="122"/>
      <c r="I5" s="122"/>
      <c r="J5" s="122">
        <f>I5*55%</f>
        <v>0</v>
      </c>
      <c r="K5" s="122">
        <f>I5*45%</f>
        <v>0</v>
      </c>
    </row>
    <row r="6" spans="2:15" ht="14.5" customHeight="1" x14ac:dyDescent="0.2">
      <c r="B6" s="422"/>
      <c r="C6" s="117" t="s">
        <v>343</v>
      </c>
      <c r="D6" s="117" t="s">
        <v>234</v>
      </c>
      <c r="E6" s="122">
        <v>0</v>
      </c>
      <c r="F6" s="122">
        <v>2</v>
      </c>
      <c r="G6" s="163">
        <f t="shared" si="0"/>
        <v>0</v>
      </c>
      <c r="H6" s="122"/>
      <c r="I6" s="122"/>
      <c r="J6" s="122">
        <f t="shared" ref="J6:J8" si="1">I6*55%</f>
        <v>0</v>
      </c>
      <c r="K6" s="122">
        <f t="shared" ref="K6:K8" si="2">I6*45%</f>
        <v>0</v>
      </c>
    </row>
    <row r="7" spans="2:15" ht="14.5" customHeight="1" x14ac:dyDescent="0.2">
      <c r="B7" s="422"/>
      <c r="C7" s="117" t="s">
        <v>344</v>
      </c>
      <c r="D7" s="117" t="s">
        <v>235</v>
      </c>
      <c r="E7" s="122">
        <v>1</v>
      </c>
      <c r="F7" s="122">
        <v>4</v>
      </c>
      <c r="G7" s="163">
        <f t="shared" si="0"/>
        <v>0.25</v>
      </c>
      <c r="H7" s="122"/>
      <c r="I7" s="122"/>
      <c r="J7" s="122">
        <f t="shared" si="1"/>
        <v>0</v>
      </c>
      <c r="K7" s="122">
        <f t="shared" si="2"/>
        <v>0</v>
      </c>
    </row>
    <row r="8" spans="2:15" ht="14.5" customHeight="1" x14ac:dyDescent="0.2">
      <c r="B8" s="422"/>
      <c r="C8" s="117" t="s">
        <v>345</v>
      </c>
      <c r="D8" s="117" t="s">
        <v>236</v>
      </c>
      <c r="E8" s="122">
        <v>0</v>
      </c>
      <c r="F8" s="122">
        <v>4</v>
      </c>
      <c r="G8" s="163">
        <f t="shared" si="0"/>
        <v>0</v>
      </c>
      <c r="H8" s="122"/>
      <c r="I8" s="122"/>
      <c r="J8" s="122">
        <f t="shared" si="1"/>
        <v>0</v>
      </c>
      <c r="K8" s="122">
        <f t="shared" si="2"/>
        <v>0</v>
      </c>
    </row>
    <row r="9" spans="2:15" ht="14.5" customHeight="1" x14ac:dyDescent="0.2">
      <c r="B9" s="422"/>
      <c r="C9" s="117" t="s">
        <v>346</v>
      </c>
      <c r="D9" s="117" t="s">
        <v>237</v>
      </c>
      <c r="E9" s="122">
        <v>1</v>
      </c>
      <c r="F9" s="122">
        <v>5</v>
      </c>
      <c r="G9" s="163">
        <f t="shared" si="0"/>
        <v>0.2</v>
      </c>
      <c r="H9" s="122"/>
      <c r="I9" s="122"/>
      <c r="J9" s="122">
        <f t="shared" ref="J9:J12" si="3">I9*70%</f>
        <v>0</v>
      </c>
      <c r="K9" s="122">
        <f t="shared" ref="K9:K12" si="4">I9*30%</f>
        <v>0</v>
      </c>
    </row>
    <row r="10" spans="2:15" ht="14.5" customHeight="1" x14ac:dyDescent="0.2">
      <c r="B10" s="422"/>
      <c r="C10" s="117" t="s">
        <v>347</v>
      </c>
      <c r="D10" s="117" t="s">
        <v>101</v>
      </c>
      <c r="E10" s="122">
        <v>0</v>
      </c>
      <c r="F10" s="122">
        <v>5</v>
      </c>
      <c r="G10" s="163">
        <f t="shared" si="0"/>
        <v>0</v>
      </c>
      <c r="H10" s="122"/>
      <c r="I10" s="122"/>
      <c r="J10" s="122">
        <f t="shared" si="3"/>
        <v>0</v>
      </c>
      <c r="K10" s="122">
        <f t="shared" si="4"/>
        <v>0</v>
      </c>
    </row>
    <row r="11" spans="2:15" ht="14.5" customHeight="1" x14ac:dyDescent="0.2">
      <c r="B11" s="422"/>
      <c r="C11" s="52" t="s">
        <v>348</v>
      </c>
      <c r="D11" s="52" t="s">
        <v>157</v>
      </c>
      <c r="E11" s="15">
        <v>11</v>
      </c>
      <c r="F11" s="15">
        <v>10</v>
      </c>
      <c r="G11" s="160">
        <f t="shared" si="0"/>
        <v>1.1000000000000001</v>
      </c>
      <c r="H11" s="38" t="s">
        <v>467</v>
      </c>
      <c r="I11" s="14">
        <v>150000</v>
      </c>
      <c r="J11" s="15">
        <f t="shared" si="3"/>
        <v>105000</v>
      </c>
      <c r="K11" s="15">
        <f t="shared" si="4"/>
        <v>45000</v>
      </c>
    </row>
    <row r="12" spans="2:15" ht="14.5" customHeight="1" x14ac:dyDescent="0.2">
      <c r="B12" s="422"/>
      <c r="C12" s="52" t="s">
        <v>349</v>
      </c>
      <c r="D12" s="52" t="s">
        <v>158</v>
      </c>
      <c r="E12" s="15">
        <v>0</v>
      </c>
      <c r="F12" s="15">
        <v>10</v>
      </c>
      <c r="G12" s="160">
        <f t="shared" si="0"/>
        <v>0</v>
      </c>
      <c r="H12" s="38" t="s">
        <v>467</v>
      </c>
      <c r="I12" s="14">
        <v>0</v>
      </c>
      <c r="J12" s="15">
        <f t="shared" si="3"/>
        <v>0</v>
      </c>
      <c r="K12" s="15">
        <f t="shared" si="4"/>
        <v>0</v>
      </c>
    </row>
    <row r="13" spans="2:15" s="37" customFormat="1" ht="14.5" customHeight="1" x14ac:dyDescent="0.2">
      <c r="B13" s="422"/>
      <c r="C13" s="120"/>
      <c r="D13" s="120" t="s">
        <v>289</v>
      </c>
      <c r="E13" s="221">
        <f>SUM(E5:E12)</f>
        <v>14</v>
      </c>
      <c r="F13" s="221">
        <f>SUM(F5:F12)</f>
        <v>42</v>
      </c>
      <c r="G13" s="223">
        <f t="shared" si="0"/>
        <v>0.33333333333333331</v>
      </c>
      <c r="H13" s="123"/>
      <c r="I13" s="123"/>
      <c r="J13" s="123">
        <f>I13</f>
        <v>0</v>
      </c>
      <c r="K13" s="123">
        <v>0</v>
      </c>
      <c r="O13" s="37" t="s">
        <v>513</v>
      </c>
    </row>
    <row r="14" spans="2:15" s="21" customFormat="1" ht="14.5" customHeight="1" x14ac:dyDescent="0.2">
      <c r="B14" s="422"/>
      <c r="C14" s="125" t="s">
        <v>350</v>
      </c>
      <c r="D14" s="125" t="s">
        <v>99</v>
      </c>
      <c r="E14" s="122">
        <v>6</v>
      </c>
      <c r="F14" s="122">
        <v>5</v>
      </c>
      <c r="G14" s="163">
        <f t="shared" si="0"/>
        <v>1.2</v>
      </c>
      <c r="H14" s="122"/>
      <c r="I14" s="122"/>
      <c r="J14" s="122">
        <f>I14*55%</f>
        <v>0</v>
      </c>
      <c r="K14" s="122">
        <f>I14*45%</f>
        <v>0</v>
      </c>
    </row>
    <row r="15" spans="2:15" ht="14.5" customHeight="1" x14ac:dyDescent="0.2">
      <c r="B15" s="422"/>
      <c r="C15" s="117" t="s">
        <v>351</v>
      </c>
      <c r="D15" s="117" t="s">
        <v>100</v>
      </c>
      <c r="E15" s="122">
        <v>0</v>
      </c>
      <c r="F15" s="122">
        <v>5</v>
      </c>
      <c r="G15" s="163">
        <f t="shared" si="0"/>
        <v>0</v>
      </c>
      <c r="H15" s="122"/>
      <c r="I15" s="122"/>
      <c r="J15" s="122">
        <f>I15*55%</f>
        <v>0</v>
      </c>
      <c r="K15" s="122">
        <f>I15*45%</f>
        <v>0</v>
      </c>
    </row>
    <row r="16" spans="2:15" ht="14.5" customHeight="1" x14ac:dyDescent="0.2">
      <c r="B16" s="422"/>
      <c r="C16" s="117" t="s">
        <v>352</v>
      </c>
      <c r="D16" s="117" t="s">
        <v>238</v>
      </c>
      <c r="E16" s="122">
        <v>2</v>
      </c>
      <c r="F16" s="122">
        <v>5</v>
      </c>
      <c r="G16" s="163">
        <f t="shared" si="0"/>
        <v>0.4</v>
      </c>
      <c r="H16" s="122"/>
      <c r="I16" s="122"/>
      <c r="J16" s="122">
        <f t="shared" ref="J16:J18" si="5">I16*55%</f>
        <v>0</v>
      </c>
      <c r="K16" s="122">
        <f t="shared" ref="K16:K18" si="6">I16*45%</f>
        <v>0</v>
      </c>
    </row>
    <row r="17" spans="2:13" ht="14.5" customHeight="1" x14ac:dyDescent="0.2">
      <c r="B17" s="422"/>
      <c r="C17" s="117" t="s">
        <v>353</v>
      </c>
      <c r="D17" s="117" t="s">
        <v>239</v>
      </c>
      <c r="E17" s="122">
        <v>1</v>
      </c>
      <c r="F17" s="122">
        <v>5</v>
      </c>
      <c r="G17" s="163">
        <f t="shared" si="0"/>
        <v>0.2</v>
      </c>
      <c r="H17" s="122"/>
      <c r="I17" s="122"/>
      <c r="J17" s="122">
        <f t="shared" si="5"/>
        <v>0</v>
      </c>
      <c r="K17" s="122">
        <f t="shared" si="6"/>
        <v>0</v>
      </c>
    </row>
    <row r="18" spans="2:13" ht="14.5" customHeight="1" x14ac:dyDescent="0.2">
      <c r="B18" s="422"/>
      <c r="C18" s="117" t="s">
        <v>354</v>
      </c>
      <c r="D18" s="117" t="s">
        <v>294</v>
      </c>
      <c r="E18" s="122">
        <v>1</v>
      </c>
      <c r="F18" s="122">
        <v>5</v>
      </c>
      <c r="G18" s="163">
        <f t="shared" si="0"/>
        <v>0.2</v>
      </c>
      <c r="H18" s="122"/>
      <c r="I18" s="122"/>
      <c r="J18" s="122">
        <f t="shared" si="5"/>
        <v>0</v>
      </c>
      <c r="K18" s="122">
        <f t="shared" si="6"/>
        <v>0</v>
      </c>
    </row>
    <row r="19" spans="2:13" ht="14.5" customHeight="1" x14ac:dyDescent="0.2">
      <c r="B19" s="422"/>
      <c r="C19" s="117" t="s">
        <v>355</v>
      </c>
      <c r="D19" s="117" t="s">
        <v>273</v>
      </c>
      <c r="E19" s="122">
        <v>0</v>
      </c>
      <c r="F19" s="122">
        <v>5</v>
      </c>
      <c r="G19" s="163">
        <f t="shared" si="0"/>
        <v>0</v>
      </c>
      <c r="H19" s="122"/>
      <c r="I19" s="122"/>
      <c r="J19" s="122">
        <f t="shared" ref="J19" si="7">I19*70%</f>
        <v>0</v>
      </c>
      <c r="K19" s="122">
        <f t="shared" ref="K19" si="8">I19*30%</f>
        <v>0</v>
      </c>
    </row>
    <row r="20" spans="2:13" ht="14.5" customHeight="1" x14ac:dyDescent="0.2">
      <c r="B20" s="422"/>
      <c r="C20" s="117"/>
      <c r="D20" s="117" t="s">
        <v>243</v>
      </c>
      <c r="E20" s="122">
        <v>0</v>
      </c>
      <c r="F20" s="122">
        <v>5</v>
      </c>
      <c r="G20" s="163">
        <f t="shared" si="0"/>
        <v>0</v>
      </c>
      <c r="H20" s="122"/>
      <c r="I20" s="122"/>
      <c r="J20" s="122">
        <f t="shared" ref="J20" si="9">I20*55%</f>
        <v>0</v>
      </c>
      <c r="K20" s="122">
        <f t="shared" ref="K20" si="10">I20*45%</f>
        <v>0</v>
      </c>
    </row>
    <row r="21" spans="2:13" s="37" customFormat="1" ht="14.5" customHeight="1" x14ac:dyDescent="0.2">
      <c r="B21" s="422"/>
      <c r="C21" s="120"/>
      <c r="D21" s="120" t="s">
        <v>293</v>
      </c>
      <c r="E21" s="123">
        <f>SUM(E14:E20)</f>
        <v>10</v>
      </c>
      <c r="F21" s="123">
        <f>SUM(F14:F20)</f>
        <v>35</v>
      </c>
      <c r="G21" s="161">
        <f t="shared" si="0"/>
        <v>0.2857142857142857</v>
      </c>
      <c r="H21" s="123"/>
      <c r="I21" s="123"/>
      <c r="J21" s="123">
        <f t="shared" ref="J21:J27" si="11">I21</f>
        <v>0</v>
      </c>
      <c r="K21" s="123">
        <v>0</v>
      </c>
    </row>
    <row r="22" spans="2:13" s="37" customFormat="1" ht="14.5" customHeight="1" x14ac:dyDescent="0.2">
      <c r="B22" s="422"/>
      <c r="C22" s="52" t="s">
        <v>356</v>
      </c>
      <c r="D22" s="52" t="s">
        <v>147</v>
      </c>
      <c r="E22" s="15">
        <v>2</v>
      </c>
      <c r="F22" s="15">
        <v>10</v>
      </c>
      <c r="G22" s="160">
        <f t="shared" si="0"/>
        <v>0.2</v>
      </c>
      <c r="H22" s="38" t="s">
        <v>468</v>
      </c>
      <c r="I22" s="14">
        <v>0</v>
      </c>
      <c r="J22" s="15">
        <f t="shared" si="11"/>
        <v>0</v>
      </c>
      <c r="K22" s="15">
        <v>0</v>
      </c>
    </row>
    <row r="23" spans="2:13" s="37" customFormat="1" ht="14.5" customHeight="1" x14ac:dyDescent="0.2">
      <c r="B23" s="422"/>
      <c r="C23" s="52" t="s">
        <v>357</v>
      </c>
      <c r="D23" s="52" t="s">
        <v>813</v>
      </c>
      <c r="E23" s="15">
        <v>2</v>
      </c>
      <c r="F23" s="15">
        <v>10</v>
      </c>
      <c r="G23" s="160">
        <f t="shared" si="0"/>
        <v>0.2</v>
      </c>
      <c r="H23" s="38" t="s">
        <v>468</v>
      </c>
      <c r="I23" s="14">
        <v>0</v>
      </c>
      <c r="J23" s="14">
        <f t="shared" si="11"/>
        <v>0</v>
      </c>
      <c r="K23" s="14">
        <v>0</v>
      </c>
    </row>
    <row r="24" spans="2:13" s="37" customFormat="1" ht="14.5" customHeight="1" x14ac:dyDescent="0.2">
      <c r="B24" s="422"/>
      <c r="C24" s="78"/>
      <c r="D24" s="78" t="s">
        <v>146</v>
      </c>
      <c r="E24" s="65">
        <f>SUM(E22:E23)</f>
        <v>4</v>
      </c>
      <c r="F24" s="65">
        <f>SUM(F22:F23)</f>
        <v>20</v>
      </c>
      <c r="G24" s="168">
        <f t="shared" si="0"/>
        <v>0.2</v>
      </c>
      <c r="H24" s="64" t="s">
        <v>20</v>
      </c>
      <c r="I24" s="63">
        <v>0</v>
      </c>
      <c r="J24" s="63">
        <f t="shared" si="11"/>
        <v>0</v>
      </c>
      <c r="K24" s="63">
        <v>0</v>
      </c>
    </row>
    <row r="25" spans="2:13" s="37" customFormat="1" ht="14.5" customHeight="1" x14ac:dyDescent="0.2">
      <c r="B25" s="422"/>
      <c r="C25" s="52" t="s">
        <v>358</v>
      </c>
      <c r="D25" s="52" t="s">
        <v>258</v>
      </c>
      <c r="E25" s="15">
        <v>1</v>
      </c>
      <c r="F25" s="15">
        <v>5</v>
      </c>
      <c r="G25" s="160">
        <f t="shared" si="0"/>
        <v>0.2</v>
      </c>
      <c r="H25" s="38" t="s">
        <v>469</v>
      </c>
      <c r="I25" s="14">
        <v>0</v>
      </c>
      <c r="J25" s="14">
        <f t="shared" si="11"/>
        <v>0</v>
      </c>
      <c r="K25" s="14">
        <v>0</v>
      </c>
    </row>
    <row r="26" spans="2:13" s="37" customFormat="1" ht="14.5" customHeight="1" x14ac:dyDescent="0.2">
      <c r="B26" s="422"/>
      <c r="C26" s="52" t="s">
        <v>525</v>
      </c>
      <c r="D26" s="52" t="s">
        <v>578</v>
      </c>
      <c r="E26" s="15">
        <v>0</v>
      </c>
      <c r="F26" s="15">
        <v>5</v>
      </c>
      <c r="G26" s="160">
        <f t="shared" si="0"/>
        <v>0</v>
      </c>
      <c r="H26" s="38" t="s">
        <v>469</v>
      </c>
      <c r="I26" s="14">
        <v>0</v>
      </c>
      <c r="J26" s="14">
        <f t="shared" si="11"/>
        <v>0</v>
      </c>
      <c r="K26" s="14">
        <v>0</v>
      </c>
    </row>
    <row r="27" spans="2:13" s="37" customFormat="1" ht="14.5" customHeight="1" x14ac:dyDescent="0.2">
      <c r="B27" s="422"/>
      <c r="C27" s="120"/>
      <c r="D27" s="120" t="s">
        <v>587</v>
      </c>
      <c r="E27" s="221">
        <f t="shared" ref="E27:F27" si="12">SUM(E25:E26)</f>
        <v>1</v>
      </c>
      <c r="F27" s="221">
        <f t="shared" si="12"/>
        <v>10</v>
      </c>
      <c r="G27" s="223">
        <f t="shared" si="0"/>
        <v>0.1</v>
      </c>
      <c r="H27" s="221"/>
      <c r="I27" s="221"/>
      <c r="J27" s="221">
        <f t="shared" si="11"/>
        <v>0</v>
      </c>
      <c r="K27" s="221">
        <v>0</v>
      </c>
    </row>
    <row r="28" spans="2:13" s="21" customFormat="1" ht="14.5" customHeight="1" x14ac:dyDescent="0.2">
      <c r="B28" s="422"/>
      <c r="C28" s="126"/>
      <c r="D28" s="126" t="s">
        <v>24</v>
      </c>
      <c r="E28" s="225">
        <f>SUM(E27,E24,E21,E13)</f>
        <v>29</v>
      </c>
      <c r="F28" s="225">
        <f>SUM(F27,F24,F21,F13)</f>
        <v>107</v>
      </c>
      <c r="G28" s="181">
        <f t="shared" si="0"/>
        <v>0.27102803738317754</v>
      </c>
      <c r="H28" s="225"/>
      <c r="I28" s="225">
        <f>SUM(I5:I27)</f>
        <v>150000</v>
      </c>
      <c r="J28" s="225">
        <f>SUM(J5:J27)</f>
        <v>105000</v>
      </c>
      <c r="K28" s="225">
        <f>SUM(K5:K27)</f>
        <v>45000</v>
      </c>
      <c r="M28" s="37"/>
    </row>
    <row r="29" spans="2:13" ht="14.5" customHeight="1" x14ac:dyDescent="0.2">
      <c r="B29" s="397" t="s">
        <v>32</v>
      </c>
      <c r="C29" s="52" t="s">
        <v>359</v>
      </c>
      <c r="D29" s="52" t="s">
        <v>103</v>
      </c>
      <c r="E29" s="15">
        <v>4</v>
      </c>
      <c r="F29" s="15">
        <v>3</v>
      </c>
      <c r="G29" s="160">
        <f t="shared" si="0"/>
        <v>1.3333333333333333</v>
      </c>
      <c r="H29" s="38" t="s">
        <v>14</v>
      </c>
      <c r="I29" s="14">
        <v>225000</v>
      </c>
      <c r="J29" s="15">
        <f t="shared" ref="J29" si="13">I29*55%</f>
        <v>123750.00000000001</v>
      </c>
      <c r="K29" s="15">
        <f t="shared" ref="K29" si="14">I29*45%</f>
        <v>101250</v>
      </c>
    </row>
    <row r="30" spans="2:13" ht="14.5" customHeight="1" x14ac:dyDescent="0.2">
      <c r="B30" s="397"/>
      <c r="C30" s="52" t="s">
        <v>360</v>
      </c>
      <c r="D30" s="52" t="s">
        <v>104</v>
      </c>
      <c r="E30" s="15">
        <v>4</v>
      </c>
      <c r="F30" s="15">
        <v>2</v>
      </c>
      <c r="G30" s="160">
        <f t="shared" si="0"/>
        <v>2</v>
      </c>
      <c r="H30" s="38" t="s">
        <v>18</v>
      </c>
      <c r="I30" s="14">
        <v>168750</v>
      </c>
      <c r="J30" s="15">
        <f t="shared" ref="J30" si="15">I30*70%</f>
        <v>118124.99999999999</v>
      </c>
      <c r="K30" s="15">
        <f t="shared" ref="K30" si="16">I30*30%</f>
        <v>50625</v>
      </c>
    </row>
    <row r="31" spans="2:13" ht="14.5" customHeight="1" x14ac:dyDescent="0.2">
      <c r="B31" s="397"/>
      <c r="C31" s="193"/>
      <c r="D31" s="193" t="s">
        <v>148</v>
      </c>
      <c r="E31" s="122"/>
      <c r="F31" s="122"/>
      <c r="G31" s="163"/>
      <c r="H31" s="122"/>
      <c r="I31" s="122"/>
      <c r="J31" s="122"/>
      <c r="K31" s="122"/>
    </row>
    <row r="32" spans="2:13" ht="14.5" customHeight="1" x14ac:dyDescent="0.2">
      <c r="B32" s="397"/>
      <c r="C32" s="52" t="s">
        <v>361</v>
      </c>
      <c r="D32" s="52" t="s">
        <v>295</v>
      </c>
      <c r="E32" s="15">
        <v>19</v>
      </c>
      <c r="F32" s="15">
        <v>15</v>
      </c>
      <c r="G32" s="160">
        <f t="shared" ref="G32:G40" si="17">E32/F32*100%</f>
        <v>1.2666666666666666</v>
      </c>
      <c r="H32" s="38" t="s">
        <v>18</v>
      </c>
      <c r="I32" s="14">
        <v>168750</v>
      </c>
      <c r="J32" s="15">
        <f t="shared" ref="J32" si="18">I32*70%</f>
        <v>118124.99999999999</v>
      </c>
      <c r="K32" s="15">
        <f t="shared" ref="K32" si="19">I32*30%</f>
        <v>50625</v>
      </c>
    </row>
    <row r="33" spans="2:11" s="37" customFormat="1" ht="14.5" customHeight="1" x14ac:dyDescent="0.2">
      <c r="B33" s="397"/>
      <c r="C33" s="78"/>
      <c r="D33" s="78" t="s">
        <v>72</v>
      </c>
      <c r="E33" s="65">
        <f>SUM(E29:E32)</f>
        <v>27</v>
      </c>
      <c r="F33" s="65">
        <f>SUM(F29:F32)</f>
        <v>20</v>
      </c>
      <c r="G33" s="168">
        <f t="shared" si="17"/>
        <v>1.35</v>
      </c>
      <c r="H33" s="64" t="s">
        <v>20</v>
      </c>
      <c r="I33" s="63">
        <v>336000</v>
      </c>
      <c r="J33" s="63">
        <f>I33</f>
        <v>336000</v>
      </c>
      <c r="K33" s="63">
        <v>0</v>
      </c>
    </row>
    <row r="34" spans="2:11" ht="14.5" customHeight="1" x14ac:dyDescent="0.2">
      <c r="B34" s="397"/>
      <c r="C34" s="77"/>
      <c r="D34" s="77" t="s">
        <v>34</v>
      </c>
      <c r="E34" s="24">
        <f>SUM(E33)</f>
        <v>27</v>
      </c>
      <c r="F34" s="24">
        <f>SUM(F33)</f>
        <v>20</v>
      </c>
      <c r="G34" s="169">
        <f t="shared" si="17"/>
        <v>1.35</v>
      </c>
      <c r="H34" s="42"/>
      <c r="I34" s="23">
        <f>SUM(I29:I33)</f>
        <v>898500</v>
      </c>
      <c r="J34" s="23">
        <f t="shared" ref="J34:K34" si="20">SUM(J29:J33)</f>
        <v>696000</v>
      </c>
      <c r="K34" s="23">
        <f t="shared" si="20"/>
        <v>202500</v>
      </c>
    </row>
    <row r="35" spans="2:11" ht="14.5" customHeight="1" x14ac:dyDescent="0.2">
      <c r="B35" s="397" t="s">
        <v>256</v>
      </c>
      <c r="C35" s="74" t="s">
        <v>362</v>
      </c>
      <c r="D35" s="74" t="s">
        <v>106</v>
      </c>
      <c r="E35" s="15">
        <v>0</v>
      </c>
      <c r="F35" s="15">
        <v>10</v>
      </c>
      <c r="G35" s="160">
        <f t="shared" si="17"/>
        <v>0</v>
      </c>
      <c r="H35" s="12" t="s">
        <v>14</v>
      </c>
      <c r="I35" s="15">
        <v>0</v>
      </c>
      <c r="J35" s="15">
        <f t="shared" ref="J35" si="21">I35*55%</f>
        <v>0</v>
      </c>
      <c r="K35" s="15">
        <f t="shared" ref="K35" si="22">I35*45%</f>
        <v>0</v>
      </c>
    </row>
    <row r="36" spans="2:11" ht="14.5" customHeight="1" x14ac:dyDescent="0.2">
      <c r="B36" s="397"/>
      <c r="C36" s="74" t="s">
        <v>363</v>
      </c>
      <c r="D36" s="74" t="s">
        <v>298</v>
      </c>
      <c r="E36" s="15">
        <v>2</v>
      </c>
      <c r="F36" s="15">
        <v>10</v>
      </c>
      <c r="G36" s="160">
        <f t="shared" si="17"/>
        <v>0.2</v>
      </c>
      <c r="H36" s="12" t="s">
        <v>18</v>
      </c>
      <c r="I36" s="15">
        <v>0</v>
      </c>
      <c r="J36" s="15">
        <f t="shared" ref="J36:J37" si="23">I36*70%</f>
        <v>0</v>
      </c>
      <c r="K36" s="15">
        <f t="shared" ref="K36:K37" si="24">I36*30%</f>
        <v>0</v>
      </c>
    </row>
    <row r="37" spans="2:11" ht="14.5" customHeight="1" x14ac:dyDescent="0.2">
      <c r="B37" s="397"/>
      <c r="C37" s="74" t="s">
        <v>364</v>
      </c>
      <c r="D37" s="74" t="s">
        <v>274</v>
      </c>
      <c r="E37" s="15">
        <v>3</v>
      </c>
      <c r="F37" s="15">
        <v>15</v>
      </c>
      <c r="G37" s="160">
        <f t="shared" si="17"/>
        <v>0.2</v>
      </c>
      <c r="H37" s="12" t="s">
        <v>18</v>
      </c>
      <c r="I37" s="15">
        <v>0</v>
      </c>
      <c r="J37" s="15">
        <f t="shared" si="23"/>
        <v>0</v>
      </c>
      <c r="K37" s="15">
        <f t="shared" si="24"/>
        <v>0</v>
      </c>
    </row>
    <row r="38" spans="2:11" s="37" customFormat="1" ht="14.5" customHeight="1" x14ac:dyDescent="0.2">
      <c r="B38" s="397"/>
      <c r="C38" s="78"/>
      <c r="D38" s="78" t="s">
        <v>259</v>
      </c>
      <c r="E38" s="65">
        <f>SUM(E35:E37)</f>
        <v>5</v>
      </c>
      <c r="F38" s="65">
        <f>SUM(F35:F37)</f>
        <v>35</v>
      </c>
      <c r="G38" s="168">
        <f t="shared" si="17"/>
        <v>0.14285714285714285</v>
      </c>
      <c r="H38" s="64" t="s">
        <v>20</v>
      </c>
      <c r="I38" s="63">
        <v>0</v>
      </c>
      <c r="J38" s="63">
        <f>I38</f>
        <v>0</v>
      </c>
      <c r="K38" s="63">
        <v>0</v>
      </c>
    </row>
    <row r="39" spans="2:11" ht="14.5" customHeight="1" x14ac:dyDescent="0.2">
      <c r="B39" s="397"/>
      <c r="C39" s="77"/>
      <c r="D39" s="77" t="s">
        <v>257</v>
      </c>
      <c r="E39" s="24">
        <f>SUM(E38)</f>
        <v>5</v>
      </c>
      <c r="F39" s="24">
        <f>SUM(F38)</f>
        <v>35</v>
      </c>
      <c r="G39" s="169">
        <f t="shared" si="17"/>
        <v>0.14285714285714285</v>
      </c>
      <c r="H39" s="42"/>
      <c r="I39" s="23">
        <f>SUM(I35:I38)</f>
        <v>0</v>
      </c>
      <c r="J39" s="23">
        <f t="shared" ref="J39:K39" si="25">SUM(J35:J38)</f>
        <v>0</v>
      </c>
      <c r="K39" s="23">
        <f t="shared" si="25"/>
        <v>0</v>
      </c>
    </row>
    <row r="40" spans="2:11" s="21" customFormat="1" ht="14.5" customHeight="1" x14ac:dyDescent="0.2">
      <c r="B40" s="124"/>
      <c r="C40" s="184"/>
      <c r="D40" s="184" t="s">
        <v>110</v>
      </c>
      <c r="E40" s="225">
        <f>SUM(E39,E34,E28)</f>
        <v>61</v>
      </c>
      <c r="F40" s="225">
        <f>SUM(F39,F34,F28)</f>
        <v>162</v>
      </c>
      <c r="G40" s="236">
        <f t="shared" si="17"/>
        <v>0.37654320987654322</v>
      </c>
      <c r="H40" s="225"/>
      <c r="I40" s="225">
        <f t="shared" ref="I40:K40" si="26">SUM(I39,I34,I28)</f>
        <v>1048500</v>
      </c>
      <c r="J40" s="225">
        <f t="shared" si="26"/>
        <v>801000</v>
      </c>
      <c r="K40" s="225">
        <f t="shared" si="26"/>
        <v>247500</v>
      </c>
    </row>
    <row r="46" spans="2:11" ht="14.5" customHeight="1" x14ac:dyDescent="0.2">
      <c r="B46" s="4" t="s">
        <v>164</v>
      </c>
      <c r="C46" s="5"/>
      <c r="D46" s="5"/>
      <c r="E46" s="33"/>
      <c r="F46" s="33"/>
      <c r="G46" s="159"/>
    </row>
    <row r="47" spans="2:11" ht="14.5" customHeight="1" x14ac:dyDescent="0.2">
      <c r="B47" s="8"/>
      <c r="C47" s="8"/>
      <c r="D47" s="8"/>
      <c r="E47" s="35"/>
      <c r="F47" s="35"/>
      <c r="G47" s="159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385" t="s">
        <v>135</v>
      </c>
      <c r="F48" s="385"/>
      <c r="G48" s="417" t="s">
        <v>56</v>
      </c>
      <c r="H48" s="394" t="s">
        <v>3</v>
      </c>
      <c r="I48" s="398" t="s">
        <v>420</v>
      </c>
      <c r="J48" s="398" t="s">
        <v>8</v>
      </c>
      <c r="K48" s="398" t="s">
        <v>75</v>
      </c>
    </row>
    <row r="49" spans="2:11" ht="14.5" customHeight="1" x14ac:dyDescent="0.2">
      <c r="B49" s="388"/>
      <c r="C49" s="388"/>
      <c r="D49" s="388"/>
      <c r="E49" s="36" t="s">
        <v>77</v>
      </c>
      <c r="F49" s="54" t="s">
        <v>58</v>
      </c>
      <c r="G49" s="417"/>
      <c r="H49" s="394"/>
      <c r="I49" s="398"/>
      <c r="J49" s="398"/>
      <c r="K49" s="398"/>
    </row>
    <row r="50" spans="2:11" ht="14.5" customHeight="1" x14ac:dyDescent="0.2">
      <c r="B50" s="422" t="s">
        <v>25</v>
      </c>
      <c r="C50" s="193"/>
      <c r="D50" s="193" t="s">
        <v>148</v>
      </c>
      <c r="E50" s="122"/>
      <c r="F50" s="122"/>
      <c r="G50" s="163"/>
      <c r="H50" s="122"/>
      <c r="I50" s="122"/>
      <c r="J50" s="122"/>
      <c r="K50" s="122"/>
    </row>
    <row r="51" spans="2:11" s="21" customFormat="1" ht="14.5" customHeight="1" x14ac:dyDescent="0.2">
      <c r="B51" s="422"/>
      <c r="C51" s="125" t="s">
        <v>365</v>
      </c>
      <c r="D51" s="125" t="s">
        <v>151</v>
      </c>
      <c r="E51" s="122">
        <v>4</v>
      </c>
      <c r="F51" s="122">
        <v>22</v>
      </c>
      <c r="G51" s="163">
        <f t="shared" ref="G51:G77" si="27">E51/F51*100%</f>
        <v>0.18181818181818182</v>
      </c>
      <c r="H51" s="122"/>
      <c r="I51" s="122"/>
      <c r="J51" s="122">
        <f>I51*70%</f>
        <v>0</v>
      </c>
      <c r="K51" s="122">
        <f>I51*30%</f>
        <v>0</v>
      </c>
    </row>
    <row r="52" spans="2:11" ht="14.5" customHeight="1" x14ac:dyDescent="0.2">
      <c r="B52" s="422"/>
      <c r="C52" s="117" t="s">
        <v>366</v>
      </c>
      <c r="D52" s="117" t="s">
        <v>241</v>
      </c>
      <c r="E52" s="122">
        <v>2</v>
      </c>
      <c r="F52" s="122">
        <v>18.5</v>
      </c>
      <c r="G52" s="163">
        <f t="shared" si="27"/>
        <v>0.10810810810810811</v>
      </c>
      <c r="H52" s="122"/>
      <c r="I52" s="122"/>
      <c r="J52" s="122">
        <f>I52*70%</f>
        <v>0</v>
      </c>
      <c r="K52" s="122">
        <f>I52*30%</f>
        <v>0</v>
      </c>
    </row>
    <row r="53" spans="2:11" ht="14.5" customHeight="1" x14ac:dyDescent="0.2">
      <c r="B53" s="422"/>
      <c r="C53" s="117" t="s">
        <v>368</v>
      </c>
      <c r="D53" s="117" t="s">
        <v>107</v>
      </c>
      <c r="E53" s="122">
        <v>1</v>
      </c>
      <c r="F53" s="122">
        <v>25.25</v>
      </c>
      <c r="G53" s="163">
        <f t="shared" si="27"/>
        <v>3.9603960396039604E-2</v>
      </c>
      <c r="H53" s="122"/>
      <c r="I53" s="122"/>
      <c r="J53" s="122">
        <f>I53*70%</f>
        <v>0</v>
      </c>
      <c r="K53" s="122">
        <f>I53*30%</f>
        <v>0</v>
      </c>
    </row>
    <row r="54" spans="2:11" ht="14.5" customHeight="1" x14ac:dyDescent="0.2">
      <c r="B54" s="422"/>
      <c r="C54" s="117" t="s">
        <v>369</v>
      </c>
      <c r="D54" s="117" t="s">
        <v>262</v>
      </c>
      <c r="E54" s="122">
        <v>11</v>
      </c>
      <c r="F54" s="122">
        <v>27.5</v>
      </c>
      <c r="G54" s="163">
        <f t="shared" si="27"/>
        <v>0.4</v>
      </c>
      <c r="H54" s="122"/>
      <c r="I54" s="122"/>
      <c r="J54" s="122">
        <f>I54*70%</f>
        <v>0</v>
      </c>
      <c r="K54" s="122">
        <f>I54*30%</f>
        <v>0</v>
      </c>
    </row>
    <row r="55" spans="2:11" s="37" customFormat="1" ht="14.5" customHeight="1" x14ac:dyDescent="0.2">
      <c r="B55" s="422"/>
      <c r="C55" s="120"/>
      <c r="D55" s="120" t="s">
        <v>177</v>
      </c>
      <c r="E55" s="123">
        <f>SUM(E50:E54)</f>
        <v>18</v>
      </c>
      <c r="F55" s="123">
        <f>SUM(F50:F54)</f>
        <v>93.25</v>
      </c>
      <c r="G55" s="161">
        <f t="shared" si="27"/>
        <v>0.19302949061662197</v>
      </c>
      <c r="H55" s="123"/>
      <c r="I55" s="123"/>
      <c r="J55" s="123">
        <f>I55</f>
        <v>0</v>
      </c>
      <c r="K55" s="123">
        <v>0</v>
      </c>
    </row>
    <row r="56" spans="2:11" ht="14.5" customHeight="1" x14ac:dyDescent="0.2">
      <c r="B56" s="422"/>
      <c r="C56" s="117" t="s">
        <v>370</v>
      </c>
      <c r="D56" s="117" t="s">
        <v>244</v>
      </c>
      <c r="E56" s="122">
        <v>2</v>
      </c>
      <c r="F56" s="122">
        <v>21.75</v>
      </c>
      <c r="G56" s="163">
        <f t="shared" si="27"/>
        <v>9.1954022988505746E-2</v>
      </c>
      <c r="H56" s="122"/>
      <c r="I56" s="122"/>
      <c r="J56" s="122">
        <f t="shared" ref="J56" si="28">I56*70%</f>
        <v>0</v>
      </c>
      <c r="K56" s="122">
        <f t="shared" ref="K56" si="29">I56*30%</f>
        <v>0</v>
      </c>
    </row>
    <row r="57" spans="2:11" ht="14.5" customHeight="1" x14ac:dyDescent="0.2">
      <c r="B57" s="422"/>
      <c r="C57" s="117" t="s">
        <v>367</v>
      </c>
      <c r="D57" s="117" t="s">
        <v>242</v>
      </c>
      <c r="E57" s="122">
        <v>7</v>
      </c>
      <c r="F57" s="122">
        <v>16.599999999999994</v>
      </c>
      <c r="G57" s="163">
        <f t="shared" si="27"/>
        <v>0.42168674698795194</v>
      </c>
      <c r="H57" s="122"/>
      <c r="I57" s="122"/>
      <c r="J57" s="122">
        <f>I57*70%</f>
        <v>0</v>
      </c>
      <c r="K57" s="122">
        <f>I57*30%</f>
        <v>0</v>
      </c>
    </row>
    <row r="58" spans="2:11" ht="14.5" customHeight="1" x14ac:dyDescent="0.2">
      <c r="B58" s="422"/>
      <c r="C58" s="193"/>
      <c r="D58" s="193" t="s">
        <v>148</v>
      </c>
      <c r="E58" s="122"/>
      <c r="F58" s="122"/>
      <c r="G58" s="163"/>
      <c r="H58" s="122"/>
      <c r="I58" s="122"/>
      <c r="J58" s="122"/>
      <c r="K58" s="122"/>
    </row>
    <row r="59" spans="2:11" ht="14.5" customHeight="1" x14ac:dyDescent="0.2">
      <c r="B59" s="422"/>
      <c r="C59" s="117" t="s">
        <v>371</v>
      </c>
      <c r="D59" s="117" t="s">
        <v>303</v>
      </c>
      <c r="E59" s="122">
        <v>0</v>
      </c>
      <c r="F59" s="122">
        <v>18</v>
      </c>
      <c r="G59" s="163">
        <f t="shared" si="27"/>
        <v>0</v>
      </c>
      <c r="H59" s="122"/>
      <c r="I59" s="122"/>
      <c r="J59" s="122">
        <f>I59*55%</f>
        <v>0</v>
      </c>
      <c r="K59" s="122">
        <f>I59*45%</f>
        <v>0</v>
      </c>
    </row>
    <row r="60" spans="2:11" ht="14.5" customHeight="1" x14ac:dyDescent="0.2">
      <c r="B60" s="422"/>
      <c r="C60" s="117" t="s">
        <v>372</v>
      </c>
      <c r="D60" s="117" t="s">
        <v>108</v>
      </c>
      <c r="E60" s="122">
        <v>1</v>
      </c>
      <c r="F60" s="122">
        <v>10.666666666666671</v>
      </c>
      <c r="G60" s="163">
        <f t="shared" si="27"/>
        <v>9.3749999999999958E-2</v>
      </c>
      <c r="H60" s="122"/>
      <c r="I60" s="122"/>
      <c r="J60" s="122">
        <f>I60*55%</f>
        <v>0</v>
      </c>
      <c r="K60" s="122">
        <f>I60*45%</f>
        <v>0</v>
      </c>
    </row>
    <row r="61" spans="2:11" ht="14.5" customHeight="1" x14ac:dyDescent="0.2">
      <c r="B61" s="422"/>
      <c r="C61" s="52" t="s">
        <v>373</v>
      </c>
      <c r="D61" s="52" t="s">
        <v>268</v>
      </c>
      <c r="E61" s="15">
        <v>7</v>
      </c>
      <c r="F61" s="214">
        <v>20</v>
      </c>
      <c r="G61" s="160">
        <f t="shared" si="27"/>
        <v>0.35</v>
      </c>
      <c r="H61" s="12" t="s">
        <v>468</v>
      </c>
      <c r="I61" s="15">
        <v>0</v>
      </c>
      <c r="J61" s="15">
        <f>I61</f>
        <v>0</v>
      </c>
      <c r="K61" s="15">
        <v>0</v>
      </c>
    </row>
    <row r="62" spans="2:11" s="37" customFormat="1" ht="14.5" customHeight="1" x14ac:dyDescent="0.2">
      <c r="B62" s="422"/>
      <c r="C62" s="120"/>
      <c r="D62" s="120" t="s">
        <v>177</v>
      </c>
      <c r="E62" s="123">
        <f>SUM(E56:E61)</f>
        <v>17</v>
      </c>
      <c r="F62" s="123">
        <f>SUM(F56:F61)</f>
        <v>87.016666666666666</v>
      </c>
      <c r="G62" s="161">
        <f t="shared" si="27"/>
        <v>0.1953648726297644</v>
      </c>
      <c r="H62" s="123"/>
      <c r="I62" s="123"/>
      <c r="J62" s="123">
        <f>I62</f>
        <v>0</v>
      </c>
      <c r="K62" s="123">
        <v>0</v>
      </c>
    </row>
    <row r="63" spans="2:11" ht="14.5" customHeight="1" x14ac:dyDescent="0.2">
      <c r="B63" s="422"/>
      <c r="C63" s="117" t="s">
        <v>374</v>
      </c>
      <c r="D63" s="117" t="s">
        <v>249</v>
      </c>
      <c r="E63" s="122"/>
      <c r="F63" s="122"/>
      <c r="G63" s="163"/>
      <c r="H63" s="122"/>
      <c r="I63" s="122"/>
      <c r="J63" s="122">
        <f t="shared" ref="J63" si="30">I63*70%</f>
        <v>0</v>
      </c>
      <c r="K63" s="122">
        <f t="shared" ref="K63" si="31">I63*30%</f>
        <v>0</v>
      </c>
    </row>
    <row r="64" spans="2:11" s="21" customFormat="1" ht="14.5" customHeight="1" x14ac:dyDescent="0.2">
      <c r="B64" s="422"/>
      <c r="C64" s="126"/>
      <c r="D64" s="126" t="s">
        <v>30</v>
      </c>
      <c r="E64" s="225">
        <f>SUM(E63,E62,E55)</f>
        <v>35</v>
      </c>
      <c r="F64" s="225">
        <f>SUM(F63,F62,F55)</f>
        <v>180.26666666666665</v>
      </c>
      <c r="G64" s="181">
        <f t="shared" si="27"/>
        <v>0.19415680473372782</v>
      </c>
      <c r="H64" s="225"/>
      <c r="I64" s="225">
        <f>SUM(I50:I63)</f>
        <v>0</v>
      </c>
      <c r="J64" s="225">
        <f t="shared" ref="J64:K64" si="32">SUM(J50:J63)</f>
        <v>0</v>
      </c>
      <c r="K64" s="225">
        <f t="shared" si="32"/>
        <v>0</v>
      </c>
    </row>
    <row r="65" spans="2:11" ht="14.5" customHeight="1" x14ac:dyDescent="0.2">
      <c r="B65" s="397" t="s">
        <v>59</v>
      </c>
      <c r="C65" s="52" t="s">
        <v>375</v>
      </c>
      <c r="D65" s="52" t="s">
        <v>211</v>
      </c>
      <c r="E65" s="15">
        <v>2</v>
      </c>
      <c r="F65" s="214">
        <v>20.949999999999989</v>
      </c>
      <c r="G65" s="160">
        <f t="shared" si="27"/>
        <v>9.5465393794749456E-2</v>
      </c>
      <c r="H65" s="12" t="s">
        <v>470</v>
      </c>
      <c r="I65" s="15">
        <v>0</v>
      </c>
      <c r="J65" s="15">
        <f>I65</f>
        <v>0</v>
      </c>
      <c r="K65" s="15">
        <v>0</v>
      </c>
    </row>
    <row r="66" spans="2:11" ht="14.5" customHeight="1" x14ac:dyDescent="0.2">
      <c r="B66" s="397"/>
      <c r="C66" s="52" t="s">
        <v>376</v>
      </c>
      <c r="D66" s="52" t="s">
        <v>145</v>
      </c>
      <c r="E66" s="15">
        <v>5</v>
      </c>
      <c r="F66" s="214">
        <v>24.5</v>
      </c>
      <c r="G66" s="160">
        <f t="shared" si="27"/>
        <v>0.20408163265306123</v>
      </c>
      <c r="H66" s="12" t="s">
        <v>18</v>
      </c>
      <c r="I66" s="15">
        <v>0</v>
      </c>
      <c r="J66" s="15">
        <f t="shared" ref="J66:J67" si="33">I66*70%</f>
        <v>0</v>
      </c>
      <c r="K66" s="15">
        <f t="shared" ref="K66:K67" si="34">I66*30%</f>
        <v>0</v>
      </c>
    </row>
    <row r="67" spans="2:11" ht="14.5" customHeight="1" x14ac:dyDescent="0.2">
      <c r="B67" s="397"/>
      <c r="C67" s="52" t="s">
        <v>377</v>
      </c>
      <c r="D67" s="52" t="s">
        <v>287</v>
      </c>
      <c r="E67" s="15">
        <v>0</v>
      </c>
      <c r="F67" s="214">
        <v>11.800000000000011</v>
      </c>
      <c r="G67" s="160">
        <f t="shared" si="27"/>
        <v>0</v>
      </c>
      <c r="H67" s="12" t="s">
        <v>18</v>
      </c>
      <c r="I67" s="15">
        <v>0</v>
      </c>
      <c r="J67" s="15">
        <f t="shared" si="33"/>
        <v>0</v>
      </c>
      <c r="K67" s="15">
        <f t="shared" si="34"/>
        <v>0</v>
      </c>
    </row>
    <row r="68" spans="2:11" ht="14.5" customHeight="1" x14ac:dyDescent="0.2">
      <c r="B68" s="397"/>
      <c r="C68" s="52" t="s">
        <v>379</v>
      </c>
      <c r="D68" s="52" t="s">
        <v>380</v>
      </c>
      <c r="E68" s="15">
        <v>0</v>
      </c>
      <c r="F68" s="214">
        <v>21.928571428571431</v>
      </c>
      <c r="G68" s="160">
        <f t="shared" si="27"/>
        <v>0</v>
      </c>
      <c r="H68" s="12" t="s">
        <v>469</v>
      </c>
      <c r="I68" s="15">
        <v>0</v>
      </c>
      <c r="J68" s="15">
        <f>I68</f>
        <v>0</v>
      </c>
      <c r="K68" s="15">
        <v>0</v>
      </c>
    </row>
    <row r="69" spans="2:11" ht="14.5" customHeight="1" x14ac:dyDescent="0.2">
      <c r="B69" s="397"/>
      <c r="C69" s="52" t="s">
        <v>378</v>
      </c>
      <c r="D69" s="52" t="s">
        <v>210</v>
      </c>
      <c r="E69" s="15"/>
      <c r="F69" s="214"/>
      <c r="G69" s="160" t="e">
        <f t="shared" si="27"/>
        <v>#DIV/0!</v>
      </c>
      <c r="H69" s="12" t="s">
        <v>467</v>
      </c>
      <c r="I69" s="15">
        <v>0</v>
      </c>
      <c r="J69" s="15">
        <f>I69</f>
        <v>0</v>
      </c>
      <c r="K69" s="15">
        <v>0</v>
      </c>
    </row>
    <row r="70" spans="2:11" s="37" customFormat="1" ht="14.5" customHeight="1" x14ac:dyDescent="0.2">
      <c r="B70" s="397"/>
      <c r="C70" s="78"/>
      <c r="D70" s="78" t="s">
        <v>74</v>
      </c>
      <c r="E70" s="65">
        <f>SUM(E65:E69)</f>
        <v>7</v>
      </c>
      <c r="F70" s="65">
        <f>SUM(F65:F69)</f>
        <v>79.178571428571431</v>
      </c>
      <c r="G70" s="168">
        <f t="shared" si="27"/>
        <v>8.8407758231844838E-2</v>
      </c>
      <c r="H70" s="64" t="s">
        <v>20</v>
      </c>
      <c r="I70" s="63">
        <v>0</v>
      </c>
      <c r="J70" s="63">
        <f>I70</f>
        <v>0</v>
      </c>
      <c r="K70" s="63">
        <v>0</v>
      </c>
    </row>
    <row r="71" spans="2:11" ht="14.5" customHeight="1" x14ac:dyDescent="0.2">
      <c r="B71" s="397"/>
      <c r="C71" s="77"/>
      <c r="D71" s="77" t="s">
        <v>36</v>
      </c>
      <c r="E71" s="24">
        <f>SUM(E70)</f>
        <v>7</v>
      </c>
      <c r="F71" s="24">
        <f>SUM(F70)</f>
        <v>79.178571428571431</v>
      </c>
      <c r="G71" s="169">
        <f t="shared" si="27"/>
        <v>8.8407758231844838E-2</v>
      </c>
      <c r="H71" s="42"/>
      <c r="I71" s="23">
        <f>SUM(I65:I70)</f>
        <v>0</v>
      </c>
      <c r="J71" s="23">
        <f t="shared" ref="J71:K71" si="35">SUM(J65:J70)</f>
        <v>0</v>
      </c>
      <c r="K71" s="23">
        <f t="shared" si="35"/>
        <v>0</v>
      </c>
    </row>
    <row r="72" spans="2:11" ht="14.5" customHeight="1" x14ac:dyDescent="0.2">
      <c r="B72" s="397" t="s">
        <v>131</v>
      </c>
      <c r="C72" s="74" t="s">
        <v>381</v>
      </c>
      <c r="D72" s="74" t="s">
        <v>132</v>
      </c>
      <c r="E72" s="15">
        <v>10</v>
      </c>
      <c r="F72" s="15">
        <v>16</v>
      </c>
      <c r="G72" s="160">
        <f t="shared" si="27"/>
        <v>0.625</v>
      </c>
      <c r="H72" s="12" t="s">
        <v>18</v>
      </c>
      <c r="I72" s="15">
        <v>0</v>
      </c>
      <c r="J72" s="15">
        <f t="shared" ref="J72:J74" si="36">I72*70%</f>
        <v>0</v>
      </c>
      <c r="K72" s="15">
        <f t="shared" ref="K72:K74" si="37">I72*30%</f>
        <v>0</v>
      </c>
    </row>
    <row r="73" spans="2:11" ht="14.5" customHeight="1" x14ac:dyDescent="0.2">
      <c r="B73" s="397"/>
      <c r="C73" s="74" t="s">
        <v>382</v>
      </c>
      <c r="D73" s="74" t="s">
        <v>667</v>
      </c>
      <c r="E73" s="15">
        <v>11</v>
      </c>
      <c r="F73" s="15">
        <v>16</v>
      </c>
      <c r="G73" s="160">
        <f t="shared" si="27"/>
        <v>0.6875</v>
      </c>
      <c r="H73" s="12" t="s">
        <v>18</v>
      </c>
      <c r="I73" s="15">
        <v>0</v>
      </c>
      <c r="J73" s="15">
        <f t="shared" si="36"/>
        <v>0</v>
      </c>
      <c r="K73" s="15">
        <f t="shared" si="37"/>
        <v>0</v>
      </c>
    </row>
    <row r="74" spans="2:11" ht="14.5" customHeight="1" x14ac:dyDescent="0.2">
      <c r="B74" s="397"/>
      <c r="C74" s="74" t="s">
        <v>383</v>
      </c>
      <c r="D74" s="74" t="s">
        <v>613</v>
      </c>
      <c r="E74" s="15">
        <v>5</v>
      </c>
      <c r="F74" s="15">
        <v>16</v>
      </c>
      <c r="G74" s="160">
        <f t="shared" si="27"/>
        <v>0.3125</v>
      </c>
      <c r="H74" s="12" t="s">
        <v>18</v>
      </c>
      <c r="I74" s="15">
        <v>0</v>
      </c>
      <c r="J74" s="15">
        <f t="shared" si="36"/>
        <v>0</v>
      </c>
      <c r="K74" s="15">
        <f t="shared" si="37"/>
        <v>0</v>
      </c>
    </row>
    <row r="75" spans="2:11" s="37" customFormat="1" ht="14.5" customHeight="1" x14ac:dyDescent="0.2">
      <c r="B75" s="397"/>
      <c r="C75" s="78"/>
      <c r="D75" s="78" t="s">
        <v>483</v>
      </c>
      <c r="E75" s="65">
        <f>SUM(E72:E74)</f>
        <v>26</v>
      </c>
      <c r="F75" s="65">
        <f>SUM(F72:F74)</f>
        <v>48</v>
      </c>
      <c r="G75" s="168">
        <f t="shared" si="27"/>
        <v>0.54166666666666663</v>
      </c>
      <c r="H75" s="64" t="s">
        <v>20</v>
      </c>
      <c r="I75" s="63">
        <v>0</v>
      </c>
      <c r="J75" s="63">
        <f>I75</f>
        <v>0</v>
      </c>
      <c r="K75" s="63">
        <v>0</v>
      </c>
    </row>
    <row r="76" spans="2:11" ht="14.5" customHeight="1" x14ac:dyDescent="0.2">
      <c r="B76" s="397"/>
      <c r="C76" s="77"/>
      <c r="D76" s="77" t="s">
        <v>133</v>
      </c>
      <c r="E76" s="24">
        <f>SUM(E75)</f>
        <v>26</v>
      </c>
      <c r="F76" s="24">
        <f>SUM(F75)</f>
        <v>48</v>
      </c>
      <c r="G76" s="169">
        <f t="shared" si="27"/>
        <v>0.54166666666666663</v>
      </c>
      <c r="H76" s="42"/>
      <c r="I76" s="23">
        <f>SUM(I72:I75)</f>
        <v>0</v>
      </c>
      <c r="J76" s="23">
        <f t="shared" ref="J76:K76" si="38">SUM(J72:J75)</f>
        <v>0</v>
      </c>
      <c r="K76" s="23">
        <f t="shared" si="38"/>
        <v>0</v>
      </c>
    </row>
    <row r="77" spans="2:11" s="21" customFormat="1" ht="14.5" customHeight="1" x14ac:dyDescent="0.2">
      <c r="B77" s="124"/>
      <c r="C77" s="184"/>
      <c r="D77" s="184" t="s">
        <v>109</v>
      </c>
      <c r="E77" s="225">
        <f>SUM(E76,E71,E64)</f>
        <v>68</v>
      </c>
      <c r="F77" s="225">
        <f>SUM(F76,F71,F64)</f>
        <v>307.4452380952381</v>
      </c>
      <c r="G77" s="181">
        <f t="shared" si="27"/>
        <v>0.22117760034694525</v>
      </c>
      <c r="H77" s="225"/>
      <c r="I77" s="225">
        <f>SUM(I76,I71,I64)</f>
        <v>0</v>
      </c>
      <c r="J77" s="225">
        <f t="shared" ref="J77:K77" si="39">SUM(J76,J71,J64)</f>
        <v>0</v>
      </c>
      <c r="K77" s="225">
        <f t="shared" si="39"/>
        <v>0</v>
      </c>
    </row>
    <row r="83" spans="2:11" ht="14.5" customHeight="1" x14ac:dyDescent="0.2">
      <c r="B83" s="4" t="s">
        <v>222</v>
      </c>
      <c r="C83" s="5"/>
      <c r="D83" s="5"/>
      <c r="E83" s="33"/>
      <c r="F83" s="33"/>
      <c r="G83" s="159"/>
    </row>
    <row r="84" spans="2:11" ht="14.5" customHeight="1" x14ac:dyDescent="0.2">
      <c r="B84" s="8"/>
      <c r="C84" s="8"/>
      <c r="D84" s="8"/>
      <c r="E84" s="35"/>
      <c r="F84" s="35"/>
      <c r="G84" s="159"/>
    </row>
    <row r="85" spans="2:11" ht="14.5" customHeight="1" x14ac:dyDescent="0.2">
      <c r="B85" s="388" t="s">
        <v>0</v>
      </c>
      <c r="C85" s="388" t="s">
        <v>270</v>
      </c>
      <c r="D85" s="388" t="s">
        <v>2</v>
      </c>
      <c r="E85" s="385" t="s">
        <v>135</v>
      </c>
      <c r="F85" s="385"/>
      <c r="G85" s="417" t="s">
        <v>56</v>
      </c>
      <c r="H85" s="394" t="s">
        <v>3</v>
      </c>
      <c r="I85" s="398" t="s">
        <v>420</v>
      </c>
      <c r="J85" s="398" t="s">
        <v>8</v>
      </c>
      <c r="K85" s="398" t="s">
        <v>75</v>
      </c>
    </row>
    <row r="86" spans="2:11" ht="14.5" customHeight="1" x14ac:dyDescent="0.2">
      <c r="B86" s="388"/>
      <c r="C86" s="388"/>
      <c r="D86" s="388"/>
      <c r="E86" s="36" t="s">
        <v>77</v>
      </c>
      <c r="F86" s="54" t="s">
        <v>58</v>
      </c>
      <c r="G86" s="417"/>
      <c r="H86" s="394"/>
      <c r="I86" s="398"/>
      <c r="J86" s="398"/>
      <c r="K86" s="398"/>
    </row>
    <row r="87" spans="2:11" ht="14.5" customHeight="1" x14ac:dyDescent="0.2">
      <c r="B87" s="397" t="s">
        <v>37</v>
      </c>
      <c r="C87" s="74" t="s">
        <v>385</v>
      </c>
      <c r="D87" s="74" t="s">
        <v>98</v>
      </c>
      <c r="E87" s="15">
        <v>37</v>
      </c>
      <c r="F87" s="15">
        <v>10</v>
      </c>
      <c r="G87" s="160">
        <f t="shared" ref="G87:G95" si="40">E87/F87*100%</f>
        <v>3.7</v>
      </c>
      <c r="H87" s="12" t="s">
        <v>18</v>
      </c>
      <c r="I87" s="15">
        <v>225000</v>
      </c>
      <c r="J87" s="15">
        <f t="shared" ref="J87:J88" si="41">I87*70%</f>
        <v>157500</v>
      </c>
      <c r="K87" s="15">
        <f t="shared" ref="K87:K88" si="42">I87*30%</f>
        <v>67500</v>
      </c>
    </row>
    <row r="88" spans="2:11" ht="14.5" customHeight="1" x14ac:dyDescent="0.2">
      <c r="B88" s="397"/>
      <c r="C88" s="52" t="s">
        <v>384</v>
      </c>
      <c r="D88" s="52" t="s">
        <v>310</v>
      </c>
      <c r="E88" s="15">
        <v>8</v>
      </c>
      <c r="F88" s="15">
        <v>10</v>
      </c>
      <c r="G88" s="160">
        <f t="shared" si="40"/>
        <v>0.8</v>
      </c>
      <c r="H88" s="12" t="s">
        <v>18</v>
      </c>
      <c r="I88" s="15">
        <v>90000</v>
      </c>
      <c r="J88" s="15">
        <f t="shared" si="41"/>
        <v>62999.999999999993</v>
      </c>
      <c r="K88" s="15">
        <f t="shared" si="42"/>
        <v>27000</v>
      </c>
    </row>
    <row r="89" spans="2:11" s="37" customFormat="1" ht="14.5" customHeight="1" x14ac:dyDescent="0.2">
      <c r="B89" s="397"/>
      <c r="C89" s="78"/>
      <c r="D89" s="78" t="s">
        <v>230</v>
      </c>
      <c r="E89" s="65">
        <f>SUM(E87:E88)</f>
        <v>45</v>
      </c>
      <c r="F89" s="65">
        <f>SUM(F87:F88)</f>
        <v>20</v>
      </c>
      <c r="G89" s="168">
        <f t="shared" si="40"/>
        <v>2.25</v>
      </c>
      <c r="H89" s="64" t="s">
        <v>20</v>
      </c>
      <c r="I89" s="63">
        <v>336000</v>
      </c>
      <c r="J89" s="63">
        <f>I89</f>
        <v>336000</v>
      </c>
      <c r="K89" s="63">
        <v>0</v>
      </c>
    </row>
    <row r="90" spans="2:11" ht="14.5" customHeight="1" x14ac:dyDescent="0.2">
      <c r="B90" s="397"/>
      <c r="C90" s="77"/>
      <c r="D90" s="77" t="s">
        <v>38</v>
      </c>
      <c r="E90" s="24">
        <f>SUM(E89)</f>
        <v>45</v>
      </c>
      <c r="F90" s="24">
        <f>SUM(F89)</f>
        <v>20</v>
      </c>
      <c r="G90" s="169">
        <f t="shared" si="40"/>
        <v>2.25</v>
      </c>
      <c r="H90" s="42"/>
      <c r="I90" s="23">
        <f>SUM(I87:I89)</f>
        <v>651000</v>
      </c>
      <c r="J90" s="23">
        <f t="shared" ref="J90:K90" si="43">SUM(J87:J89)</f>
        <v>556500</v>
      </c>
      <c r="K90" s="23">
        <f t="shared" si="43"/>
        <v>94500</v>
      </c>
    </row>
    <row r="91" spans="2:11" s="21" customFormat="1" ht="14.5" customHeight="1" x14ac:dyDescent="0.2">
      <c r="B91" s="397" t="s">
        <v>614</v>
      </c>
      <c r="C91" s="69" t="s">
        <v>386</v>
      </c>
      <c r="D91" s="69" t="s">
        <v>265</v>
      </c>
      <c r="E91" s="15">
        <v>3</v>
      </c>
      <c r="F91" s="15">
        <v>10</v>
      </c>
      <c r="G91" s="160">
        <f t="shared" si="40"/>
        <v>0.3</v>
      </c>
      <c r="H91" s="12" t="s">
        <v>18</v>
      </c>
      <c r="I91" s="15">
        <v>0</v>
      </c>
      <c r="J91" s="15">
        <f t="shared" ref="J91:J92" si="44">I91*70%</f>
        <v>0</v>
      </c>
      <c r="K91" s="15">
        <f t="shared" ref="K91:K92" si="45">I91*30%</f>
        <v>0</v>
      </c>
    </row>
    <row r="92" spans="2:11" ht="14.5" customHeight="1" x14ac:dyDescent="0.2">
      <c r="B92" s="397"/>
      <c r="C92" s="52" t="s">
        <v>387</v>
      </c>
      <c r="D92" s="52" t="s">
        <v>97</v>
      </c>
      <c r="E92" s="15">
        <v>3</v>
      </c>
      <c r="F92" s="15">
        <v>10</v>
      </c>
      <c r="G92" s="160">
        <f t="shared" si="40"/>
        <v>0.3</v>
      </c>
      <c r="H92" s="38" t="s">
        <v>18</v>
      </c>
      <c r="I92" s="15">
        <v>0</v>
      </c>
      <c r="J92" s="15">
        <f t="shared" si="44"/>
        <v>0</v>
      </c>
      <c r="K92" s="15">
        <f t="shared" si="45"/>
        <v>0</v>
      </c>
    </row>
    <row r="93" spans="2:11" s="37" customFormat="1" ht="14.5" customHeight="1" x14ac:dyDescent="0.2">
      <c r="B93" s="397"/>
      <c r="C93" s="78"/>
      <c r="D93" s="78" t="s">
        <v>497</v>
      </c>
      <c r="E93" s="65">
        <f>SUM(E91:E92)</f>
        <v>6</v>
      </c>
      <c r="F93" s="65">
        <f>SUM(F91:F92)</f>
        <v>20</v>
      </c>
      <c r="G93" s="168">
        <f t="shared" si="40"/>
        <v>0.3</v>
      </c>
      <c r="H93" s="64" t="s">
        <v>20</v>
      </c>
      <c r="I93" s="63">
        <v>0</v>
      </c>
      <c r="J93" s="63">
        <f>I93</f>
        <v>0</v>
      </c>
      <c r="K93" s="63">
        <v>0</v>
      </c>
    </row>
    <row r="94" spans="2:11" ht="14.5" customHeight="1" x14ac:dyDescent="0.2">
      <c r="B94" s="397"/>
      <c r="C94" s="77"/>
      <c r="D94" s="77" t="s">
        <v>615</v>
      </c>
      <c r="E94" s="24">
        <f>SUM(E93)</f>
        <v>6</v>
      </c>
      <c r="F94" s="24">
        <f>SUM(F93)</f>
        <v>20</v>
      </c>
      <c r="G94" s="169">
        <f t="shared" si="40"/>
        <v>0.3</v>
      </c>
      <c r="H94" s="42"/>
      <c r="I94" s="23">
        <f>SUM(I91:I93)</f>
        <v>0</v>
      </c>
      <c r="J94" s="23">
        <f t="shared" ref="J94:K94" si="46">SUM(J91:J93)</f>
        <v>0</v>
      </c>
      <c r="K94" s="23">
        <f t="shared" si="46"/>
        <v>0</v>
      </c>
    </row>
    <row r="95" spans="2:11" s="21" customFormat="1" ht="14.5" customHeight="1" x14ac:dyDescent="0.2">
      <c r="B95" s="124"/>
      <c r="C95" s="184"/>
      <c r="D95" s="184" t="s">
        <v>219</v>
      </c>
      <c r="E95" s="225">
        <f>SUM(E90,E94)</f>
        <v>51</v>
      </c>
      <c r="F95" s="225">
        <f>SUM(F90,F94)</f>
        <v>40</v>
      </c>
      <c r="G95" s="236">
        <f t="shared" si="40"/>
        <v>1.2749999999999999</v>
      </c>
      <c r="H95" s="225"/>
      <c r="I95" s="225">
        <f>SUM(I90,I94)</f>
        <v>651000</v>
      </c>
      <c r="J95" s="225">
        <f t="shared" ref="J95:K95" si="47">SUM(J90,J94)</f>
        <v>556500</v>
      </c>
      <c r="K95" s="225">
        <f t="shared" si="47"/>
        <v>94500</v>
      </c>
    </row>
    <row r="101" spans="2:12" ht="14.5" customHeight="1" x14ac:dyDescent="0.2">
      <c r="B101" s="4" t="s">
        <v>165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135</v>
      </c>
      <c r="F103" s="385"/>
      <c r="G103" s="417" t="s">
        <v>56</v>
      </c>
      <c r="H103" s="394" t="s">
        <v>3</v>
      </c>
      <c r="I103" s="398" t="s">
        <v>420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397" t="s">
        <v>39</v>
      </c>
      <c r="C105" s="52" t="s">
        <v>388</v>
      </c>
      <c r="D105" s="52" t="s">
        <v>389</v>
      </c>
      <c r="E105" s="15">
        <v>8</v>
      </c>
      <c r="F105" s="15">
        <v>13</v>
      </c>
      <c r="G105" s="160">
        <f t="shared" ref="G105:G147" si="48">E105/F105*100%</f>
        <v>0.61538461538461542</v>
      </c>
      <c r="H105" s="12" t="s">
        <v>18</v>
      </c>
      <c r="I105" s="15">
        <v>0</v>
      </c>
      <c r="J105" s="15">
        <f t="shared" ref="J105:J106" si="49">I105*70%</f>
        <v>0</v>
      </c>
      <c r="K105" s="15">
        <f t="shared" ref="K105:K106" si="50">I105*30%</f>
        <v>0</v>
      </c>
      <c r="L105" s="2"/>
    </row>
    <row r="106" spans="2:12" ht="14.5" customHeight="1" x14ac:dyDescent="0.2">
      <c r="B106" s="397"/>
      <c r="C106" s="52" t="s">
        <v>390</v>
      </c>
      <c r="D106" s="52" t="s">
        <v>111</v>
      </c>
      <c r="E106" s="15">
        <v>4</v>
      </c>
      <c r="F106" s="15">
        <v>13</v>
      </c>
      <c r="G106" s="160">
        <f t="shared" si="48"/>
        <v>0.30769230769230771</v>
      </c>
      <c r="H106" s="12" t="s">
        <v>18</v>
      </c>
      <c r="I106" s="15">
        <v>0</v>
      </c>
      <c r="J106" s="15">
        <f t="shared" si="49"/>
        <v>0</v>
      </c>
      <c r="K106" s="15">
        <f t="shared" si="50"/>
        <v>0</v>
      </c>
      <c r="L106" s="2"/>
    </row>
    <row r="107" spans="2:12" ht="14.5" customHeight="1" x14ac:dyDescent="0.2">
      <c r="B107" s="397"/>
      <c r="C107" s="182" t="s">
        <v>391</v>
      </c>
      <c r="D107" s="182" t="s">
        <v>271</v>
      </c>
      <c r="E107" s="122"/>
      <c r="F107" s="122"/>
      <c r="G107" s="163"/>
      <c r="H107" s="122"/>
      <c r="I107" s="122"/>
      <c r="J107" s="122"/>
      <c r="K107" s="122"/>
      <c r="L107" s="2"/>
    </row>
    <row r="108" spans="2:12" ht="14.5" customHeight="1" x14ac:dyDescent="0.2">
      <c r="B108" s="397"/>
      <c r="C108" s="78"/>
      <c r="D108" s="78" t="s">
        <v>891</v>
      </c>
      <c r="E108" s="65">
        <f>SUM(E105:E107)</f>
        <v>12</v>
      </c>
      <c r="F108" s="65">
        <f>SUM(F105:F107)</f>
        <v>26</v>
      </c>
      <c r="G108" s="168">
        <f t="shared" si="48"/>
        <v>0.46153846153846156</v>
      </c>
      <c r="H108" s="64" t="s">
        <v>20</v>
      </c>
      <c r="I108" s="63">
        <v>0</v>
      </c>
      <c r="J108" s="63">
        <f>I108</f>
        <v>0</v>
      </c>
      <c r="K108" s="63">
        <v>0</v>
      </c>
      <c r="L108" s="2"/>
    </row>
    <row r="109" spans="2:12" ht="14.5" customHeight="1" x14ac:dyDescent="0.2">
      <c r="B109" s="397"/>
      <c r="C109" s="77"/>
      <c r="D109" s="77" t="s">
        <v>40</v>
      </c>
      <c r="E109" s="24">
        <f>SUM(E108)</f>
        <v>12</v>
      </c>
      <c r="F109" s="24">
        <f>SUM(F108)</f>
        <v>26</v>
      </c>
      <c r="G109" s="169">
        <f t="shared" si="48"/>
        <v>0.46153846153846156</v>
      </c>
      <c r="H109" s="42"/>
      <c r="I109" s="23">
        <f>SUM(I105:I108)</f>
        <v>0</v>
      </c>
      <c r="J109" s="23">
        <f t="shared" ref="J109:K109" si="51">SUM(J105:J108)</f>
        <v>0</v>
      </c>
      <c r="K109" s="23">
        <f t="shared" si="51"/>
        <v>0</v>
      </c>
      <c r="L109" s="2"/>
    </row>
    <row r="110" spans="2:12" ht="14.5" customHeight="1" x14ac:dyDescent="0.2">
      <c r="B110" s="397" t="s">
        <v>41</v>
      </c>
      <c r="C110" s="52" t="s">
        <v>392</v>
      </c>
      <c r="D110" s="52" t="s">
        <v>112</v>
      </c>
      <c r="E110" s="15">
        <v>2</v>
      </c>
      <c r="F110" s="15">
        <v>8</v>
      </c>
      <c r="G110" s="160">
        <f t="shared" si="48"/>
        <v>0.25</v>
      </c>
      <c r="H110" s="12" t="s">
        <v>470</v>
      </c>
      <c r="I110" s="15">
        <v>0</v>
      </c>
      <c r="J110" s="15">
        <f t="shared" ref="J110:J113" si="52">I110</f>
        <v>0</v>
      </c>
      <c r="K110" s="15">
        <v>0</v>
      </c>
      <c r="L110" s="2"/>
    </row>
    <row r="111" spans="2:12" ht="14.5" customHeight="1" x14ac:dyDescent="0.2">
      <c r="B111" s="397"/>
      <c r="C111" s="52" t="s">
        <v>393</v>
      </c>
      <c r="D111" s="52" t="s">
        <v>394</v>
      </c>
      <c r="E111" s="15">
        <v>6</v>
      </c>
      <c r="F111" s="15">
        <v>8</v>
      </c>
      <c r="G111" s="160">
        <f t="shared" si="48"/>
        <v>0.75</v>
      </c>
      <c r="H111" s="12" t="s">
        <v>470</v>
      </c>
      <c r="I111" s="15">
        <v>24750</v>
      </c>
      <c r="J111" s="15">
        <f t="shared" si="52"/>
        <v>24750</v>
      </c>
      <c r="K111" s="15">
        <v>0</v>
      </c>
      <c r="L111" s="2"/>
    </row>
    <row r="112" spans="2:12" ht="14.5" customHeight="1" x14ac:dyDescent="0.2">
      <c r="B112" s="397"/>
      <c r="C112" s="52" t="s">
        <v>395</v>
      </c>
      <c r="D112" s="52" t="s">
        <v>113</v>
      </c>
      <c r="E112" s="15">
        <v>3</v>
      </c>
      <c r="F112" s="15">
        <v>8</v>
      </c>
      <c r="G112" s="160">
        <f t="shared" si="48"/>
        <v>0.375</v>
      </c>
      <c r="H112" s="12" t="s">
        <v>470</v>
      </c>
      <c r="I112" s="15">
        <v>0</v>
      </c>
      <c r="J112" s="15">
        <f t="shared" si="52"/>
        <v>0</v>
      </c>
      <c r="K112" s="15">
        <v>0</v>
      </c>
      <c r="L112" s="2"/>
    </row>
    <row r="113" spans="2:12" ht="14.5" customHeight="1" x14ac:dyDescent="0.2">
      <c r="B113" s="397"/>
      <c r="C113" s="52" t="s">
        <v>396</v>
      </c>
      <c r="D113" s="52" t="s">
        <v>253</v>
      </c>
      <c r="E113" s="15">
        <v>2</v>
      </c>
      <c r="F113" s="15">
        <v>8</v>
      </c>
      <c r="G113" s="160">
        <f t="shared" si="48"/>
        <v>0.25</v>
      </c>
      <c r="H113" s="12" t="s">
        <v>470</v>
      </c>
      <c r="I113" s="15">
        <v>0</v>
      </c>
      <c r="J113" s="15">
        <f t="shared" si="52"/>
        <v>0</v>
      </c>
      <c r="K113" s="15">
        <v>0</v>
      </c>
      <c r="L113" s="2"/>
    </row>
    <row r="114" spans="2:12" ht="14.5" customHeight="1" x14ac:dyDescent="0.2">
      <c r="B114" s="397"/>
      <c r="C114" s="78"/>
      <c r="D114" s="78" t="s">
        <v>316</v>
      </c>
      <c r="E114" s="65">
        <f>SUM(E110:E113)</f>
        <v>13</v>
      </c>
      <c r="F114" s="65">
        <f>SUM(F110:F113)</f>
        <v>32</v>
      </c>
      <c r="G114" s="168">
        <f t="shared" si="48"/>
        <v>0.40625</v>
      </c>
      <c r="H114" s="64" t="s">
        <v>20</v>
      </c>
      <c r="I114" s="63">
        <v>0</v>
      </c>
      <c r="J114" s="63">
        <f>I114</f>
        <v>0</v>
      </c>
      <c r="K114" s="63">
        <v>0</v>
      </c>
      <c r="L114" s="2"/>
    </row>
    <row r="115" spans="2:12" ht="14.5" customHeight="1" x14ac:dyDescent="0.2">
      <c r="B115" s="397"/>
      <c r="C115" s="77"/>
      <c r="D115" s="77" t="s">
        <v>42</v>
      </c>
      <c r="E115" s="24">
        <f>SUM(E114)</f>
        <v>13</v>
      </c>
      <c r="F115" s="24">
        <f>SUM(F114)</f>
        <v>32</v>
      </c>
      <c r="G115" s="169">
        <f t="shared" si="48"/>
        <v>0.40625</v>
      </c>
      <c r="H115" s="42"/>
      <c r="I115" s="23">
        <f>SUM(I110:I114)</f>
        <v>24750</v>
      </c>
      <c r="J115" s="23">
        <f t="shared" ref="J115:K115" si="53">SUM(J110:J114)</f>
        <v>24750</v>
      </c>
      <c r="K115" s="23">
        <f t="shared" si="53"/>
        <v>0</v>
      </c>
      <c r="L115" s="2"/>
    </row>
    <row r="116" spans="2:12" ht="14.5" customHeight="1" x14ac:dyDescent="0.2">
      <c r="B116" s="397" t="s">
        <v>43</v>
      </c>
      <c r="C116" s="52" t="s">
        <v>397</v>
      </c>
      <c r="D116" s="52" t="s">
        <v>114</v>
      </c>
      <c r="E116" s="15">
        <v>5</v>
      </c>
      <c r="F116" s="15">
        <v>10</v>
      </c>
      <c r="G116" s="160">
        <f t="shared" si="48"/>
        <v>0.5</v>
      </c>
      <c r="H116" s="12" t="s">
        <v>470</v>
      </c>
      <c r="I116" s="15">
        <v>0</v>
      </c>
      <c r="J116" s="15">
        <f t="shared" ref="J116:J117" si="54">I116</f>
        <v>0</v>
      </c>
      <c r="K116" s="15">
        <v>0</v>
      </c>
      <c r="L116" s="2"/>
    </row>
    <row r="117" spans="2:12" ht="14.5" customHeight="1" x14ac:dyDescent="0.2">
      <c r="B117" s="397"/>
      <c r="C117" s="52" t="s">
        <v>398</v>
      </c>
      <c r="D117" s="52" t="s">
        <v>341</v>
      </c>
      <c r="E117" s="15">
        <v>1</v>
      </c>
      <c r="F117" s="15">
        <v>10</v>
      </c>
      <c r="G117" s="160">
        <f t="shared" si="48"/>
        <v>0.1</v>
      </c>
      <c r="H117" s="12" t="s">
        <v>470</v>
      </c>
      <c r="I117" s="15">
        <v>0</v>
      </c>
      <c r="J117" s="15">
        <f t="shared" si="54"/>
        <v>0</v>
      </c>
      <c r="K117" s="15">
        <v>0</v>
      </c>
      <c r="L117" s="2"/>
    </row>
    <row r="118" spans="2:12" ht="14.5" customHeight="1" x14ac:dyDescent="0.2">
      <c r="B118" s="397"/>
      <c r="C118" s="52" t="s">
        <v>399</v>
      </c>
      <c r="D118" s="52" t="s">
        <v>321</v>
      </c>
      <c r="E118" s="15">
        <v>0</v>
      </c>
      <c r="F118" s="15">
        <v>10</v>
      </c>
      <c r="G118" s="160">
        <f t="shared" si="48"/>
        <v>0</v>
      </c>
      <c r="H118" s="12" t="s">
        <v>18</v>
      </c>
      <c r="I118" s="15">
        <v>0</v>
      </c>
      <c r="J118" s="15">
        <f t="shared" ref="J118" si="55">I118*70%</f>
        <v>0</v>
      </c>
      <c r="K118" s="15">
        <f t="shared" ref="K118" si="56">I118*30%</f>
        <v>0</v>
      </c>
      <c r="L118" s="2"/>
    </row>
    <row r="119" spans="2:12" ht="14.5" customHeight="1" x14ac:dyDescent="0.2">
      <c r="B119" s="397"/>
      <c r="C119" s="52" t="s">
        <v>400</v>
      </c>
      <c r="D119" s="52" t="s">
        <v>322</v>
      </c>
      <c r="E119" s="15">
        <v>5</v>
      </c>
      <c r="F119" s="15">
        <v>10</v>
      </c>
      <c r="G119" s="160">
        <f t="shared" ref="G119" si="57">E119/F119*100%</f>
        <v>0.5</v>
      </c>
      <c r="H119" s="12" t="s">
        <v>18</v>
      </c>
      <c r="I119" s="15">
        <v>0</v>
      </c>
      <c r="J119" s="15">
        <f t="shared" ref="J119" si="58">I119*70%</f>
        <v>0</v>
      </c>
      <c r="K119" s="15">
        <f t="shared" ref="K119" si="59">I119*30%</f>
        <v>0</v>
      </c>
      <c r="L119" s="2"/>
    </row>
    <row r="120" spans="2:12" ht="14.5" customHeight="1" x14ac:dyDescent="0.2">
      <c r="B120" s="397"/>
      <c r="C120" s="117"/>
      <c r="D120" s="117" t="s">
        <v>474</v>
      </c>
      <c r="E120" s="381">
        <v>0</v>
      </c>
      <c r="F120" s="117"/>
      <c r="G120" s="117"/>
      <c r="H120" s="117"/>
      <c r="I120" s="117"/>
      <c r="J120" s="117"/>
      <c r="K120" s="117"/>
      <c r="L120" s="2"/>
    </row>
    <row r="121" spans="2:12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63"/>
      <c r="H121" s="122"/>
      <c r="I121" s="122"/>
      <c r="J121" s="170"/>
      <c r="K121" s="170"/>
      <c r="L121" s="19"/>
    </row>
    <row r="122" spans="2:12" s="21" customFormat="1" ht="14.5" customHeight="1" x14ac:dyDescent="0.2">
      <c r="B122" s="418"/>
      <c r="C122" s="117"/>
      <c r="D122" s="117" t="s">
        <v>838</v>
      </c>
      <c r="E122" s="122"/>
      <c r="F122" s="174"/>
      <c r="G122" s="163"/>
      <c r="H122" s="122"/>
      <c r="I122" s="122"/>
      <c r="J122" s="170"/>
      <c r="K122" s="170"/>
      <c r="L122" s="19"/>
    </row>
    <row r="123" spans="2:12" s="21" customFormat="1" ht="14.5" customHeight="1" x14ac:dyDescent="0.2">
      <c r="B123" s="418"/>
      <c r="C123" s="117"/>
      <c r="D123" s="117" t="s">
        <v>839</v>
      </c>
      <c r="E123" s="122"/>
      <c r="F123" s="174"/>
      <c r="G123" s="163"/>
      <c r="H123" s="122"/>
      <c r="I123" s="122"/>
      <c r="J123" s="170"/>
      <c r="K123" s="170"/>
      <c r="L123" s="19"/>
    </row>
    <row r="124" spans="2:12" s="21" customFormat="1" ht="14.5" customHeight="1" x14ac:dyDescent="0.2">
      <c r="B124" s="418"/>
      <c r="C124" s="117"/>
      <c r="D124" s="117" t="s">
        <v>893</v>
      </c>
      <c r="E124" s="122"/>
      <c r="F124" s="174"/>
      <c r="G124" s="163"/>
      <c r="H124" s="122"/>
      <c r="I124" s="122"/>
      <c r="J124" s="170">
        <f t="shared" ref="J124" si="60">I124</f>
        <v>0</v>
      </c>
      <c r="K124" s="170">
        <v>0</v>
      </c>
      <c r="L124" s="19"/>
    </row>
    <row r="125" spans="2:12" s="21" customFormat="1" ht="14.5" customHeight="1" x14ac:dyDescent="0.2">
      <c r="B125" s="418"/>
      <c r="C125" s="117"/>
      <c r="D125" s="117" t="s">
        <v>840</v>
      </c>
      <c r="E125" s="122"/>
      <c r="F125" s="174"/>
      <c r="G125" s="163"/>
      <c r="H125" s="122"/>
      <c r="I125" s="122"/>
      <c r="J125" s="170"/>
      <c r="K125" s="170"/>
      <c r="L125" s="19"/>
    </row>
    <row r="126" spans="2:12" s="21" customFormat="1" ht="14.5" customHeight="1" x14ac:dyDescent="0.2">
      <c r="B126" s="418"/>
      <c r="C126" s="117"/>
      <c r="D126" s="117" t="s">
        <v>841</v>
      </c>
      <c r="E126" s="122"/>
      <c r="F126" s="174"/>
      <c r="G126" s="163"/>
      <c r="H126" s="122"/>
      <c r="I126" s="122"/>
      <c r="J126" s="170"/>
      <c r="K126" s="170"/>
      <c r="L126" s="19"/>
    </row>
    <row r="127" spans="2:12" ht="14.5" customHeight="1" x14ac:dyDescent="0.2">
      <c r="B127" s="418"/>
      <c r="C127" s="78"/>
      <c r="D127" s="78" t="s">
        <v>275</v>
      </c>
      <c r="E127" s="65">
        <f>SUM(E116:E126)</f>
        <v>11</v>
      </c>
      <c r="F127" s="65">
        <f>SUM(F116:F126)</f>
        <v>40</v>
      </c>
      <c r="G127" s="168">
        <f t="shared" ref="G127" si="61">E127/F127*100%</f>
        <v>0.27500000000000002</v>
      </c>
      <c r="H127" s="64" t="s">
        <v>20</v>
      </c>
      <c r="I127" s="63">
        <v>0</v>
      </c>
      <c r="J127" s="63">
        <f>I127</f>
        <v>0</v>
      </c>
      <c r="K127" s="63">
        <v>0</v>
      </c>
      <c r="L127" s="2"/>
    </row>
    <row r="128" spans="2:12" s="21" customFormat="1" ht="14.5" customHeight="1" x14ac:dyDescent="0.2">
      <c r="B128" s="419"/>
      <c r="C128" s="77"/>
      <c r="D128" s="77" t="s">
        <v>964</v>
      </c>
      <c r="E128" s="24">
        <f>SUM(E127)</f>
        <v>11</v>
      </c>
      <c r="F128" s="24">
        <f>SUM(F127)</f>
        <v>40</v>
      </c>
      <c r="G128" s="169">
        <f t="shared" si="48"/>
        <v>0.27500000000000002</v>
      </c>
      <c r="H128" s="42"/>
      <c r="I128" s="23">
        <f>SUM(I116:I127)</f>
        <v>0</v>
      </c>
      <c r="J128" s="23">
        <f t="shared" ref="J128:K128" si="62">SUM(J116:J127)</f>
        <v>0</v>
      </c>
      <c r="K128" s="23">
        <f t="shared" si="62"/>
        <v>0</v>
      </c>
      <c r="L128" s="19"/>
    </row>
    <row r="129" spans="2:12" ht="14.5" customHeight="1" x14ac:dyDescent="0.2">
      <c r="B129" s="397" t="s">
        <v>45</v>
      </c>
      <c r="C129" s="117"/>
      <c r="D129" s="117" t="s">
        <v>175</v>
      </c>
      <c r="E129" s="122"/>
      <c r="F129" s="122"/>
      <c r="G129" s="163"/>
      <c r="H129" s="122"/>
      <c r="I129" s="122"/>
      <c r="J129" s="122"/>
      <c r="K129" s="122"/>
      <c r="L129" s="2"/>
    </row>
    <row r="130" spans="2:12" ht="14.5" customHeight="1" x14ac:dyDescent="0.2">
      <c r="B130" s="397"/>
      <c r="C130" s="52" t="s">
        <v>401</v>
      </c>
      <c r="D130" s="52" t="s">
        <v>288</v>
      </c>
      <c r="E130" s="15">
        <v>16</v>
      </c>
      <c r="F130" s="15">
        <v>13</v>
      </c>
      <c r="G130" s="160">
        <f t="shared" si="48"/>
        <v>1.2307692307692308</v>
      </c>
      <c r="H130" s="12" t="s">
        <v>18</v>
      </c>
      <c r="I130" s="15">
        <v>225000</v>
      </c>
      <c r="J130" s="15">
        <f t="shared" ref="J130:J131" si="63">I130*70%</f>
        <v>157500</v>
      </c>
      <c r="K130" s="15">
        <f t="shared" ref="K130:K131" si="64">I130*30%</f>
        <v>67500</v>
      </c>
      <c r="L130" s="2"/>
    </row>
    <row r="131" spans="2:12" ht="14.5" customHeight="1" x14ac:dyDescent="0.2">
      <c r="B131" s="397"/>
      <c r="C131" s="52" t="s">
        <v>402</v>
      </c>
      <c r="D131" s="52" t="s">
        <v>251</v>
      </c>
      <c r="E131" s="15">
        <v>2</v>
      </c>
      <c r="F131" s="15">
        <v>13</v>
      </c>
      <c r="G131" s="160">
        <f t="shared" si="48"/>
        <v>0.15384615384615385</v>
      </c>
      <c r="H131" s="12" t="s">
        <v>18</v>
      </c>
      <c r="I131" s="15">
        <v>0</v>
      </c>
      <c r="J131" s="15">
        <f t="shared" si="63"/>
        <v>0</v>
      </c>
      <c r="K131" s="15">
        <f t="shared" si="64"/>
        <v>0</v>
      </c>
      <c r="L131" s="2"/>
    </row>
    <row r="132" spans="2:12" ht="14.5" customHeight="1" x14ac:dyDescent="0.2">
      <c r="B132" s="397"/>
      <c r="C132" s="78"/>
      <c r="D132" s="78" t="s">
        <v>315</v>
      </c>
      <c r="E132" s="65">
        <f>SUM(E129:E131)</f>
        <v>18</v>
      </c>
      <c r="F132" s="65">
        <f>SUM(F129:F131)</f>
        <v>26</v>
      </c>
      <c r="G132" s="168">
        <f t="shared" si="48"/>
        <v>0.69230769230769229</v>
      </c>
      <c r="H132" s="64" t="s">
        <v>20</v>
      </c>
      <c r="I132" s="63">
        <v>0</v>
      </c>
      <c r="J132" s="63">
        <f>I132</f>
        <v>0</v>
      </c>
      <c r="K132" s="63">
        <v>0</v>
      </c>
      <c r="L132" s="2"/>
    </row>
    <row r="133" spans="2:12" ht="14.5" customHeight="1" x14ac:dyDescent="0.2">
      <c r="B133" s="397"/>
      <c r="C133" s="77"/>
      <c r="D133" s="77" t="s">
        <v>46</v>
      </c>
      <c r="E133" s="24">
        <f>SUM(E132)</f>
        <v>18</v>
      </c>
      <c r="F133" s="24">
        <f>SUM(F132)</f>
        <v>26</v>
      </c>
      <c r="G133" s="169">
        <f t="shared" si="48"/>
        <v>0.69230769230769229</v>
      </c>
      <c r="H133" s="42"/>
      <c r="I133" s="23">
        <f>SUM(I129:I132)</f>
        <v>225000</v>
      </c>
      <c r="J133" s="23">
        <f t="shared" ref="J133:K133" si="65">SUM(J129:J132)</f>
        <v>157500</v>
      </c>
      <c r="K133" s="23">
        <f t="shared" si="65"/>
        <v>67500</v>
      </c>
      <c r="L133" s="2"/>
    </row>
    <row r="134" spans="2:12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63"/>
      <c r="H134" s="122"/>
      <c r="I134" s="122"/>
      <c r="J134" s="170">
        <f t="shared" ref="J134:J145" si="66">I134</f>
        <v>0</v>
      </c>
      <c r="K134" s="170">
        <v>0</v>
      </c>
      <c r="L134" s="19"/>
    </row>
    <row r="135" spans="2:12" s="21" customFormat="1" ht="14.5" customHeight="1" x14ac:dyDescent="0.2">
      <c r="B135" s="418"/>
      <c r="C135" s="117"/>
      <c r="D135" s="117" t="s">
        <v>526</v>
      </c>
      <c r="E135" s="122"/>
      <c r="F135" s="174"/>
      <c r="G135" s="163"/>
      <c r="H135" s="122"/>
      <c r="I135" s="122"/>
      <c r="J135" s="170">
        <f t="shared" si="66"/>
        <v>0</v>
      </c>
      <c r="K135" s="170">
        <v>0</v>
      </c>
      <c r="L135" s="19"/>
    </row>
    <row r="136" spans="2:12" s="21" customFormat="1" ht="14.5" customHeight="1" x14ac:dyDescent="0.2">
      <c r="B136" s="418"/>
      <c r="C136" s="117"/>
      <c r="D136" s="117" t="s">
        <v>616</v>
      </c>
      <c r="E136" s="122"/>
      <c r="F136" s="174"/>
      <c r="G136" s="163"/>
      <c r="H136" s="122"/>
      <c r="I136" s="122"/>
      <c r="J136" s="170">
        <f t="shared" si="66"/>
        <v>0</v>
      </c>
      <c r="K136" s="170">
        <v>0</v>
      </c>
      <c r="L136" s="19"/>
    </row>
    <row r="137" spans="2:12" s="21" customFormat="1" ht="14.5" customHeight="1" x14ac:dyDescent="0.2">
      <c r="B137" s="418"/>
      <c r="C137" s="117"/>
      <c r="D137" s="117" t="s">
        <v>499</v>
      </c>
      <c r="E137" s="122"/>
      <c r="F137" s="174"/>
      <c r="G137" s="163"/>
      <c r="H137" s="122"/>
      <c r="I137" s="122"/>
      <c r="J137" s="170">
        <f t="shared" si="66"/>
        <v>0</v>
      </c>
      <c r="K137" s="170">
        <v>0</v>
      </c>
      <c r="L137" s="19"/>
    </row>
    <row r="138" spans="2:12" s="21" customFormat="1" ht="14.5" customHeight="1" x14ac:dyDescent="0.2">
      <c r="B138" s="418"/>
      <c r="C138" s="117"/>
      <c r="D138" s="117" t="s">
        <v>527</v>
      </c>
      <c r="E138" s="122"/>
      <c r="F138" s="174"/>
      <c r="G138" s="163"/>
      <c r="H138" s="122"/>
      <c r="I138" s="122"/>
      <c r="J138" s="170">
        <f t="shared" si="66"/>
        <v>0</v>
      </c>
      <c r="K138" s="170">
        <v>0</v>
      </c>
      <c r="L138" s="19"/>
    </row>
    <row r="139" spans="2:12" s="21" customFormat="1" ht="14.5" customHeight="1" x14ac:dyDescent="0.2">
      <c r="B139" s="418"/>
      <c r="C139" s="117"/>
      <c r="D139" s="117" t="s">
        <v>528</v>
      </c>
      <c r="E139" s="122"/>
      <c r="F139" s="174"/>
      <c r="G139" s="163"/>
      <c r="H139" s="122"/>
      <c r="I139" s="122"/>
      <c r="J139" s="170">
        <f t="shared" si="66"/>
        <v>0</v>
      </c>
      <c r="K139" s="170">
        <v>0</v>
      </c>
      <c r="L139" s="19"/>
    </row>
    <row r="140" spans="2:12" s="21" customFormat="1" ht="14.5" customHeight="1" x14ac:dyDescent="0.2">
      <c r="B140" s="418"/>
      <c r="C140" s="117"/>
      <c r="D140" s="117" t="s">
        <v>789</v>
      </c>
      <c r="E140" s="122"/>
      <c r="F140" s="174"/>
      <c r="G140" s="163"/>
      <c r="H140" s="122"/>
      <c r="I140" s="122"/>
      <c r="J140" s="170">
        <f t="shared" si="66"/>
        <v>0</v>
      </c>
      <c r="K140" s="170">
        <v>0</v>
      </c>
      <c r="L140" s="19"/>
    </row>
    <row r="141" spans="2:12" s="21" customFormat="1" ht="14.5" customHeight="1" x14ac:dyDescent="0.2">
      <c r="B141" s="418"/>
      <c r="C141" s="117"/>
      <c r="D141" s="117" t="s">
        <v>835</v>
      </c>
      <c r="E141" s="122"/>
      <c r="F141" s="174"/>
      <c r="G141" s="163"/>
      <c r="H141" s="122"/>
      <c r="I141" s="122"/>
      <c r="J141" s="170">
        <f t="shared" si="66"/>
        <v>0</v>
      </c>
      <c r="K141" s="170">
        <v>0</v>
      </c>
      <c r="L141" s="19"/>
    </row>
    <row r="142" spans="2:12" s="21" customFormat="1" ht="14.5" customHeight="1" x14ac:dyDescent="0.2">
      <c r="B142" s="418"/>
      <c r="C142" s="117"/>
      <c r="D142" s="117" t="s">
        <v>529</v>
      </c>
      <c r="E142" s="122"/>
      <c r="F142" s="174"/>
      <c r="G142" s="163"/>
      <c r="H142" s="122"/>
      <c r="I142" s="122"/>
      <c r="J142" s="170">
        <f t="shared" si="66"/>
        <v>0</v>
      </c>
      <c r="K142" s="170">
        <v>0</v>
      </c>
      <c r="L142" s="19"/>
    </row>
    <row r="143" spans="2:12" s="21" customFormat="1" ht="14.5" customHeight="1" x14ac:dyDescent="0.2">
      <c r="B143" s="418"/>
      <c r="C143" s="117"/>
      <c r="D143" s="117" t="s">
        <v>530</v>
      </c>
      <c r="E143" s="122"/>
      <c r="F143" s="174"/>
      <c r="G143" s="163"/>
      <c r="H143" s="122"/>
      <c r="I143" s="122"/>
      <c r="J143" s="170">
        <f t="shared" si="66"/>
        <v>0</v>
      </c>
      <c r="K143" s="170">
        <v>0</v>
      </c>
      <c r="L143" s="19"/>
    </row>
    <row r="144" spans="2:12" s="21" customFormat="1" ht="14.5" customHeight="1" x14ac:dyDescent="0.2">
      <c r="B144" s="418"/>
      <c r="C144" s="117"/>
      <c r="D144" s="117" t="s">
        <v>531</v>
      </c>
      <c r="E144" s="122"/>
      <c r="F144" s="174"/>
      <c r="G144" s="163"/>
      <c r="H144" s="122"/>
      <c r="I144" s="122"/>
      <c r="J144" s="170">
        <f t="shared" si="66"/>
        <v>0</v>
      </c>
      <c r="K144" s="170">
        <v>0</v>
      </c>
      <c r="L144" s="19"/>
    </row>
    <row r="145" spans="2:12" s="21" customFormat="1" ht="14.5" customHeight="1" x14ac:dyDescent="0.2">
      <c r="B145" s="418"/>
      <c r="C145" s="119"/>
      <c r="D145" s="119" t="s">
        <v>74</v>
      </c>
      <c r="E145" s="123"/>
      <c r="F145" s="175"/>
      <c r="G145" s="161"/>
      <c r="H145" s="123"/>
      <c r="I145" s="123"/>
      <c r="J145" s="189">
        <f t="shared" si="66"/>
        <v>0</v>
      </c>
      <c r="K145" s="189">
        <v>0</v>
      </c>
      <c r="L145" s="19"/>
    </row>
    <row r="146" spans="2:12" s="21" customFormat="1" ht="14.5" customHeight="1" x14ac:dyDescent="0.2">
      <c r="B146" s="419"/>
      <c r="C146" s="127"/>
      <c r="D146" s="127" t="s">
        <v>48</v>
      </c>
      <c r="E146" s="124"/>
      <c r="F146" s="176"/>
      <c r="G146" s="162"/>
      <c r="H146" s="124"/>
      <c r="I146" s="124"/>
      <c r="J146" s="190">
        <f>SUM(J134:J145)</f>
        <v>0</v>
      </c>
      <c r="K146" s="190">
        <f>SUM(K134:K145)</f>
        <v>0</v>
      </c>
      <c r="L146" s="19"/>
    </row>
    <row r="147" spans="2:12" ht="14.5" customHeight="1" x14ac:dyDescent="0.2">
      <c r="B147" s="124"/>
      <c r="C147" s="184"/>
      <c r="D147" s="184" t="s">
        <v>49</v>
      </c>
      <c r="E147" s="281">
        <f>SUM(E146,E133,E128,E115,E109)</f>
        <v>54</v>
      </c>
      <c r="F147" s="281">
        <f>SUM(F146,F133,F128,F115,F109)</f>
        <v>124</v>
      </c>
      <c r="G147" s="181">
        <f t="shared" si="48"/>
        <v>0.43548387096774194</v>
      </c>
      <c r="H147" s="147"/>
      <c r="I147" s="281">
        <f>SUM(I146,I133,I128,I115,I109)</f>
        <v>249750</v>
      </c>
      <c r="J147" s="281">
        <f>SUM(J146,J133,J128,J115,J109)</f>
        <v>182250</v>
      </c>
      <c r="K147" s="281">
        <f>SUM(K146,K133,K128,K115,K109)</f>
        <v>67500</v>
      </c>
      <c r="L147" s="2"/>
    </row>
    <row r="153" spans="2:12" ht="14.5" customHeight="1" x14ac:dyDescent="0.2">
      <c r="B153" s="4" t="s">
        <v>166</v>
      </c>
      <c r="C153" s="5"/>
      <c r="D153" s="5"/>
      <c r="E153" s="33"/>
      <c r="F153" s="33"/>
    </row>
    <row r="154" spans="2:12" ht="14.5" customHeight="1" x14ac:dyDescent="0.2">
      <c r="B154" s="8"/>
      <c r="C154" s="8"/>
      <c r="D154" s="8"/>
      <c r="E154" s="35"/>
      <c r="F154" s="35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135</v>
      </c>
      <c r="F155" s="385"/>
      <c r="G155" s="417" t="s">
        <v>56</v>
      </c>
      <c r="H155" s="394" t="s">
        <v>3</v>
      </c>
      <c r="I155" s="398" t="s">
        <v>420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63"/>
      <c r="H157" s="122"/>
      <c r="I157" s="122"/>
      <c r="J157" s="170"/>
      <c r="K157" s="170"/>
    </row>
    <row r="158" spans="2:12" ht="14.5" customHeight="1" x14ac:dyDescent="0.2">
      <c r="B158" s="418"/>
      <c r="C158" s="117"/>
      <c r="D158" s="117" t="s">
        <v>800</v>
      </c>
      <c r="E158" s="122"/>
      <c r="F158" s="174"/>
      <c r="G158" s="163"/>
      <c r="H158" s="122"/>
      <c r="I158" s="122"/>
      <c r="J158" s="170"/>
      <c r="K158" s="170"/>
    </row>
    <row r="159" spans="2:12" ht="14.5" customHeight="1" x14ac:dyDescent="0.2">
      <c r="B159" s="418"/>
      <c r="C159" s="117"/>
      <c r="D159" s="117" t="s">
        <v>532</v>
      </c>
      <c r="E159" s="122"/>
      <c r="F159" s="174"/>
      <c r="G159" s="163"/>
      <c r="H159" s="122"/>
      <c r="I159" s="122"/>
      <c r="J159" s="170"/>
      <c r="K159" s="170"/>
    </row>
    <row r="160" spans="2:12" ht="14.5" customHeight="1" x14ac:dyDescent="0.2">
      <c r="B160" s="418"/>
      <c r="C160" s="117"/>
      <c r="D160" s="117" t="s">
        <v>535</v>
      </c>
      <c r="E160" s="122"/>
      <c r="F160" s="174"/>
      <c r="G160" s="163"/>
      <c r="H160" s="122"/>
      <c r="I160" s="122"/>
      <c r="J160" s="170"/>
      <c r="K160" s="170"/>
    </row>
    <row r="161" spans="2:11" ht="14.5" customHeight="1" x14ac:dyDescent="0.2">
      <c r="B161" s="418"/>
      <c r="C161" s="117"/>
      <c r="D161" s="117" t="s">
        <v>533</v>
      </c>
      <c r="E161" s="122"/>
      <c r="F161" s="174"/>
      <c r="G161" s="163"/>
      <c r="H161" s="122"/>
      <c r="I161" s="122"/>
      <c r="J161" s="170"/>
      <c r="K161" s="170"/>
    </row>
    <row r="162" spans="2:11" ht="14.5" customHeight="1" x14ac:dyDescent="0.2">
      <c r="B162" s="418"/>
      <c r="C162" s="117"/>
      <c r="D162" s="117" t="s">
        <v>534</v>
      </c>
      <c r="E162" s="122"/>
      <c r="F162" s="174"/>
      <c r="G162" s="163"/>
      <c r="H162" s="122"/>
      <c r="I162" s="122"/>
      <c r="J162" s="170"/>
      <c r="K162" s="170"/>
    </row>
    <row r="163" spans="2:11" ht="14.5" customHeight="1" x14ac:dyDescent="0.2">
      <c r="B163" s="418"/>
      <c r="C163" s="119"/>
      <c r="D163" s="119" t="s">
        <v>894</v>
      </c>
      <c r="E163" s="123"/>
      <c r="F163" s="175"/>
      <c r="G163" s="161"/>
      <c r="H163" s="123"/>
      <c r="I163" s="123"/>
      <c r="J163" s="189"/>
      <c r="K163" s="189"/>
    </row>
    <row r="164" spans="2:11" ht="14.5" customHeight="1" x14ac:dyDescent="0.2">
      <c r="B164" s="418"/>
      <c r="C164" s="119"/>
      <c r="D164" s="119" t="s">
        <v>154</v>
      </c>
      <c r="E164" s="123"/>
      <c r="F164" s="175"/>
      <c r="G164" s="161"/>
      <c r="H164" s="123"/>
      <c r="I164" s="123"/>
      <c r="J164" s="189"/>
      <c r="K164" s="189"/>
    </row>
    <row r="165" spans="2:11" ht="14.5" customHeight="1" x14ac:dyDescent="0.2">
      <c r="B165" s="419"/>
      <c r="C165" s="127"/>
      <c r="D165" s="127" t="s">
        <v>54</v>
      </c>
      <c r="E165" s="124"/>
      <c r="F165" s="176"/>
      <c r="G165" s="162"/>
      <c r="H165" s="124"/>
      <c r="I165" s="124"/>
      <c r="J165" s="190"/>
      <c r="K165" s="190"/>
    </row>
    <row r="166" spans="2:11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63"/>
      <c r="H166" s="122"/>
      <c r="I166" s="122"/>
      <c r="J166" s="170"/>
      <c r="K166" s="170"/>
    </row>
    <row r="167" spans="2:11" ht="14.5" customHeight="1" x14ac:dyDescent="0.2">
      <c r="B167" s="418"/>
      <c r="C167" s="117"/>
      <c r="D167" s="117" t="s">
        <v>801</v>
      </c>
      <c r="E167" s="122"/>
      <c r="F167" s="174"/>
      <c r="G167" s="163"/>
      <c r="H167" s="122"/>
      <c r="I167" s="122"/>
      <c r="J167" s="170"/>
      <c r="K167" s="170"/>
    </row>
    <row r="168" spans="2:11" ht="14.5" customHeight="1" x14ac:dyDescent="0.2">
      <c r="B168" s="418"/>
      <c r="C168" s="117"/>
      <c r="D168" s="117" t="s">
        <v>541</v>
      </c>
      <c r="E168" s="122"/>
      <c r="F168" s="174"/>
      <c r="G168" s="163"/>
      <c r="H168" s="122"/>
      <c r="I168" s="122"/>
      <c r="J168" s="170"/>
      <c r="K168" s="170"/>
    </row>
    <row r="169" spans="2:11" ht="14.5" customHeight="1" x14ac:dyDescent="0.2">
      <c r="B169" s="418"/>
      <c r="C169" s="117"/>
      <c r="D169" s="117" t="s">
        <v>538</v>
      </c>
      <c r="E169" s="122"/>
      <c r="F169" s="174"/>
      <c r="G169" s="163"/>
      <c r="H169" s="122"/>
      <c r="I169" s="122"/>
      <c r="J169" s="170"/>
      <c r="K169" s="170"/>
    </row>
    <row r="170" spans="2:11" ht="14.5" customHeight="1" x14ac:dyDescent="0.2">
      <c r="B170" s="418"/>
      <c r="C170" s="117"/>
      <c r="D170" s="117" t="s">
        <v>539</v>
      </c>
      <c r="E170" s="122"/>
      <c r="F170" s="174"/>
      <c r="G170" s="163"/>
      <c r="H170" s="122"/>
      <c r="I170" s="122"/>
      <c r="J170" s="170"/>
      <c r="K170" s="170"/>
    </row>
    <row r="171" spans="2:11" ht="14.5" customHeight="1" x14ac:dyDescent="0.2">
      <c r="B171" s="418"/>
      <c r="C171" s="117"/>
      <c r="D171" s="117" t="s">
        <v>537</v>
      </c>
      <c r="E171" s="122"/>
      <c r="F171" s="174"/>
      <c r="G171" s="163"/>
      <c r="H171" s="122"/>
      <c r="I171" s="122"/>
      <c r="J171" s="170"/>
      <c r="K171" s="170"/>
    </row>
    <row r="172" spans="2:11" ht="14.5" customHeight="1" x14ac:dyDescent="0.2">
      <c r="B172" s="418"/>
      <c r="C172" s="117"/>
      <c r="D172" s="117" t="s">
        <v>540</v>
      </c>
      <c r="E172" s="122"/>
      <c r="F172" s="174"/>
      <c r="G172" s="163"/>
      <c r="H172" s="122"/>
      <c r="I172" s="122"/>
      <c r="J172" s="170"/>
      <c r="K172" s="170"/>
    </row>
    <row r="173" spans="2:11" ht="14.5" customHeight="1" x14ac:dyDescent="0.2">
      <c r="B173" s="418"/>
      <c r="C173" s="119"/>
      <c r="D173" s="119" t="s">
        <v>680</v>
      </c>
      <c r="E173" s="123"/>
      <c r="F173" s="175"/>
      <c r="G173" s="161"/>
      <c r="H173" s="123"/>
      <c r="I173" s="123"/>
      <c r="J173" s="189"/>
      <c r="K173" s="189"/>
    </row>
    <row r="174" spans="2:11" ht="14.5" customHeight="1" x14ac:dyDescent="0.2">
      <c r="B174" s="418"/>
      <c r="C174" s="117"/>
      <c r="D174" s="117" t="s">
        <v>617</v>
      </c>
      <c r="E174" s="122"/>
      <c r="F174" s="174"/>
      <c r="G174" s="163"/>
      <c r="H174" s="122"/>
      <c r="I174" s="122"/>
      <c r="J174" s="170"/>
      <c r="K174" s="170"/>
    </row>
    <row r="175" spans="2:11" ht="14.5" customHeight="1" x14ac:dyDescent="0.2">
      <c r="B175" s="418"/>
      <c r="C175" s="117"/>
      <c r="D175" s="117" t="s">
        <v>802</v>
      </c>
      <c r="E175" s="122"/>
      <c r="F175" s="174"/>
      <c r="G175" s="163"/>
      <c r="H175" s="122"/>
      <c r="I175" s="122"/>
      <c r="J175" s="170"/>
      <c r="K175" s="170"/>
    </row>
    <row r="176" spans="2:11" ht="14.5" customHeight="1" x14ac:dyDescent="0.2">
      <c r="B176" s="418"/>
      <c r="C176" s="117"/>
      <c r="D176" s="117" t="s">
        <v>542</v>
      </c>
      <c r="E176" s="122"/>
      <c r="F176" s="174"/>
      <c r="G176" s="163"/>
      <c r="H176" s="122"/>
      <c r="I176" s="122"/>
      <c r="J176" s="170"/>
      <c r="K176" s="170"/>
    </row>
    <row r="177" spans="2:11" ht="14.5" customHeight="1" x14ac:dyDescent="0.2">
      <c r="B177" s="418"/>
      <c r="C177" s="117"/>
      <c r="D177" s="117" t="s">
        <v>543</v>
      </c>
      <c r="E177" s="122"/>
      <c r="F177" s="174"/>
      <c r="G177" s="163"/>
      <c r="H177" s="122"/>
      <c r="I177" s="122"/>
      <c r="J177" s="170"/>
      <c r="K177" s="170"/>
    </row>
    <row r="178" spans="2:11" ht="14.5" customHeight="1" x14ac:dyDescent="0.2">
      <c r="B178" s="418"/>
      <c r="C178" s="117"/>
      <c r="D178" s="117" t="s">
        <v>618</v>
      </c>
      <c r="E178" s="122"/>
      <c r="F178" s="174"/>
      <c r="G178" s="163"/>
      <c r="H178" s="122"/>
      <c r="I178" s="122"/>
      <c r="J178" s="170"/>
      <c r="K178" s="170"/>
    </row>
    <row r="179" spans="2:11" ht="14.5" customHeight="1" x14ac:dyDescent="0.2">
      <c r="B179" s="418"/>
      <c r="C179" s="119"/>
      <c r="D179" s="119" t="s">
        <v>687</v>
      </c>
      <c r="E179" s="123"/>
      <c r="F179" s="175"/>
      <c r="G179" s="161"/>
      <c r="H179" s="123"/>
      <c r="I179" s="123"/>
      <c r="J179" s="189"/>
      <c r="K179" s="189"/>
    </row>
    <row r="180" spans="2:11" ht="14.5" customHeight="1" x14ac:dyDescent="0.2">
      <c r="B180" s="418"/>
      <c r="C180" s="119"/>
      <c r="D180" s="119" t="s">
        <v>95</v>
      </c>
      <c r="E180" s="123"/>
      <c r="F180" s="175"/>
      <c r="G180" s="161"/>
      <c r="H180" s="123"/>
      <c r="I180" s="123"/>
      <c r="J180" s="189"/>
      <c r="K180" s="189"/>
    </row>
    <row r="181" spans="2:11" ht="14.5" customHeight="1" x14ac:dyDescent="0.2">
      <c r="B181" s="419"/>
      <c r="C181" s="127"/>
      <c r="D181" s="127" t="s">
        <v>556</v>
      </c>
      <c r="E181" s="124"/>
      <c r="F181" s="176"/>
      <c r="G181" s="162"/>
      <c r="H181" s="124"/>
      <c r="I181" s="124"/>
      <c r="J181" s="190"/>
      <c r="K181" s="190"/>
    </row>
    <row r="182" spans="2:11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63"/>
      <c r="H182" s="122"/>
      <c r="I182" s="122"/>
      <c r="J182" s="170"/>
      <c r="K182" s="170"/>
    </row>
    <row r="183" spans="2:11" ht="14.5" customHeight="1" x14ac:dyDescent="0.2">
      <c r="B183" s="418"/>
      <c r="C183" s="117"/>
      <c r="D183" s="117" t="s">
        <v>560</v>
      </c>
      <c r="E183" s="122"/>
      <c r="F183" s="174"/>
      <c r="G183" s="163"/>
      <c r="H183" s="122"/>
      <c r="I183" s="122"/>
      <c r="J183" s="170"/>
      <c r="K183" s="170"/>
    </row>
    <row r="184" spans="2:11" ht="14.5" customHeight="1" x14ac:dyDescent="0.2">
      <c r="B184" s="418"/>
      <c r="C184" s="117"/>
      <c r="D184" s="117" t="s">
        <v>562</v>
      </c>
      <c r="E184" s="122"/>
      <c r="F184" s="174"/>
      <c r="G184" s="163"/>
      <c r="H184" s="122"/>
      <c r="I184" s="122"/>
      <c r="J184" s="170"/>
      <c r="K184" s="170"/>
    </row>
    <row r="185" spans="2:11" ht="14.5" customHeight="1" x14ac:dyDescent="0.2">
      <c r="B185" s="418"/>
      <c r="C185" s="117"/>
      <c r="D185" s="117" t="s">
        <v>561</v>
      </c>
      <c r="E185" s="122"/>
      <c r="F185" s="174"/>
      <c r="G185" s="163"/>
      <c r="H185" s="122"/>
      <c r="I185" s="122"/>
      <c r="J185" s="170"/>
      <c r="K185" s="170"/>
    </row>
    <row r="186" spans="2:11" ht="14.5" customHeight="1" x14ac:dyDescent="0.2">
      <c r="B186" s="418"/>
      <c r="C186" s="117"/>
      <c r="D186" s="117" t="s">
        <v>803</v>
      </c>
      <c r="E186" s="122"/>
      <c r="F186" s="174"/>
      <c r="G186" s="163"/>
      <c r="H186" s="122"/>
      <c r="I186" s="122"/>
      <c r="J186" s="170"/>
      <c r="K186" s="170"/>
    </row>
    <row r="187" spans="2:11" ht="14.5" customHeight="1" x14ac:dyDescent="0.2">
      <c r="B187" s="418"/>
      <c r="C187" s="117"/>
      <c r="D187" s="117" t="s">
        <v>790</v>
      </c>
      <c r="E187" s="122"/>
      <c r="F187" s="174"/>
      <c r="G187" s="163"/>
      <c r="H187" s="122"/>
      <c r="I187" s="122"/>
      <c r="J187" s="170"/>
      <c r="K187" s="170"/>
    </row>
    <row r="188" spans="2:11" ht="14.5" customHeight="1" x14ac:dyDescent="0.2">
      <c r="B188" s="418"/>
      <c r="C188" s="117"/>
      <c r="D188" s="117" t="s">
        <v>559</v>
      </c>
      <c r="E188" s="122"/>
      <c r="F188" s="174"/>
      <c r="G188" s="163"/>
      <c r="H188" s="122"/>
      <c r="I188" s="122"/>
      <c r="J188" s="170"/>
      <c r="K188" s="170"/>
    </row>
    <row r="189" spans="2:11" ht="14.5" customHeight="1" x14ac:dyDescent="0.2">
      <c r="B189" s="419"/>
      <c r="C189" s="119"/>
      <c r="D189" s="119" t="s">
        <v>719</v>
      </c>
      <c r="E189" s="123"/>
      <c r="F189" s="175"/>
      <c r="G189" s="161"/>
      <c r="H189" s="123"/>
      <c r="I189" s="123"/>
      <c r="J189" s="189"/>
      <c r="K189" s="189"/>
    </row>
    <row r="190" spans="2:11" ht="14.5" customHeight="1" x14ac:dyDescent="0.2">
      <c r="B190" s="127"/>
      <c r="C190" s="127"/>
      <c r="D190" s="127" t="s">
        <v>619</v>
      </c>
      <c r="E190" s="124"/>
      <c r="F190" s="176"/>
      <c r="G190" s="162"/>
      <c r="H190" s="124"/>
      <c r="I190" s="124"/>
      <c r="J190" s="190"/>
      <c r="K190" s="190"/>
    </row>
    <row r="191" spans="2:11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63"/>
      <c r="H191" s="122"/>
      <c r="I191" s="122"/>
      <c r="J191" s="170"/>
      <c r="K191" s="170"/>
    </row>
    <row r="192" spans="2:11" ht="14.5" customHeight="1" x14ac:dyDescent="0.2">
      <c r="B192" s="418"/>
      <c r="C192" s="117"/>
      <c r="D192" s="117" t="s">
        <v>563</v>
      </c>
      <c r="E192" s="122"/>
      <c r="F192" s="174"/>
      <c r="G192" s="163"/>
      <c r="H192" s="122"/>
      <c r="I192" s="122"/>
      <c r="J192" s="170"/>
      <c r="K192" s="170"/>
    </row>
    <row r="193" spans="2:11" ht="14.5" customHeight="1" x14ac:dyDescent="0.2">
      <c r="B193" s="418"/>
      <c r="C193" s="117"/>
      <c r="D193" s="117" t="s">
        <v>804</v>
      </c>
      <c r="E193" s="122"/>
      <c r="F193" s="174"/>
      <c r="G193" s="163"/>
      <c r="H193" s="122"/>
      <c r="I193" s="122"/>
      <c r="J193" s="170"/>
      <c r="K193" s="170"/>
    </row>
    <row r="194" spans="2:11" ht="14.5" customHeight="1" x14ac:dyDescent="0.2">
      <c r="B194" s="418"/>
      <c r="C194" s="117"/>
      <c r="D194" s="117" t="s">
        <v>565</v>
      </c>
      <c r="E194" s="122"/>
      <c r="F194" s="174"/>
      <c r="G194" s="163"/>
      <c r="H194" s="122"/>
      <c r="I194" s="122"/>
      <c r="J194" s="170"/>
      <c r="K194" s="170"/>
    </row>
    <row r="195" spans="2:11" ht="14.5" customHeight="1" x14ac:dyDescent="0.2">
      <c r="B195" s="418"/>
      <c r="C195" s="117"/>
      <c r="D195" s="117" t="s">
        <v>843</v>
      </c>
      <c r="E195" s="122"/>
      <c r="F195" s="174"/>
      <c r="G195" s="163"/>
      <c r="H195" s="122"/>
      <c r="I195" s="122"/>
      <c r="J195" s="170"/>
      <c r="K195" s="170"/>
    </row>
    <row r="196" spans="2:11" ht="14.5" customHeight="1" x14ac:dyDescent="0.2">
      <c r="B196" s="418"/>
      <c r="C196" s="117"/>
      <c r="D196" s="117" t="s">
        <v>564</v>
      </c>
      <c r="E196" s="122"/>
      <c r="F196" s="174"/>
      <c r="G196" s="163"/>
      <c r="H196" s="122"/>
      <c r="I196" s="122"/>
      <c r="J196" s="170"/>
      <c r="K196" s="170"/>
    </row>
    <row r="197" spans="2:11" ht="14.5" customHeight="1" x14ac:dyDescent="0.2">
      <c r="B197" s="418"/>
      <c r="C197" s="119"/>
      <c r="D197" s="119" t="s">
        <v>726</v>
      </c>
      <c r="E197" s="123"/>
      <c r="F197" s="175"/>
      <c r="G197" s="161"/>
      <c r="H197" s="123"/>
      <c r="I197" s="123"/>
      <c r="J197" s="189"/>
      <c r="K197" s="189"/>
    </row>
    <row r="198" spans="2:11" ht="14.5" customHeight="1" x14ac:dyDescent="0.2">
      <c r="B198" s="418"/>
      <c r="C198" s="119"/>
      <c r="D198" s="119" t="s">
        <v>155</v>
      </c>
      <c r="E198" s="123"/>
      <c r="F198" s="175"/>
      <c r="G198" s="161"/>
      <c r="H198" s="123"/>
      <c r="I198" s="123"/>
      <c r="J198" s="189"/>
      <c r="K198" s="189"/>
    </row>
    <row r="199" spans="2:11" ht="14.5" customHeight="1" x14ac:dyDescent="0.2">
      <c r="B199" s="419"/>
      <c r="C199" s="127"/>
      <c r="D199" s="127" t="s">
        <v>558</v>
      </c>
      <c r="E199" s="124"/>
      <c r="F199" s="176"/>
      <c r="G199" s="162"/>
      <c r="H199" s="124"/>
      <c r="I199" s="124"/>
      <c r="J199" s="190"/>
      <c r="K199" s="190"/>
    </row>
    <row r="200" spans="2:11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63"/>
      <c r="H200" s="122"/>
      <c r="I200" s="122"/>
      <c r="J200" s="170"/>
      <c r="K200" s="170"/>
    </row>
    <row r="201" spans="2:11" ht="14.5" customHeight="1" x14ac:dyDescent="0.2">
      <c r="B201" s="418"/>
      <c r="C201" s="117"/>
      <c r="D201" s="117" t="s">
        <v>900</v>
      </c>
      <c r="E201" s="122"/>
      <c r="F201" s="174"/>
      <c r="G201" s="163"/>
      <c r="H201" s="122"/>
      <c r="I201" s="122"/>
      <c r="J201" s="170"/>
      <c r="K201" s="170"/>
    </row>
    <row r="202" spans="2:11" ht="14.5" customHeight="1" x14ac:dyDescent="0.2">
      <c r="B202" s="418"/>
      <c r="C202" s="117"/>
      <c r="D202" s="117" t="s">
        <v>551</v>
      </c>
      <c r="E202" s="122"/>
      <c r="F202" s="174"/>
      <c r="G202" s="163"/>
      <c r="H202" s="122"/>
      <c r="I202" s="122"/>
      <c r="J202" s="170"/>
      <c r="K202" s="170"/>
    </row>
    <row r="203" spans="2:11" ht="14.5" customHeight="1" x14ac:dyDescent="0.2">
      <c r="B203" s="418"/>
      <c r="C203" s="117"/>
      <c r="D203" s="117" t="s">
        <v>548</v>
      </c>
      <c r="E203" s="122"/>
      <c r="F203" s="174"/>
      <c r="G203" s="163"/>
      <c r="H203" s="122"/>
      <c r="I203" s="122"/>
      <c r="J203" s="170"/>
      <c r="K203" s="170"/>
    </row>
    <row r="204" spans="2:11" ht="14.5" customHeight="1" x14ac:dyDescent="0.2">
      <c r="B204" s="418"/>
      <c r="C204" s="117"/>
      <c r="D204" s="117" t="s">
        <v>549</v>
      </c>
      <c r="E204" s="122"/>
      <c r="F204" s="174"/>
      <c r="G204" s="163"/>
      <c r="H204" s="122"/>
      <c r="I204" s="122"/>
      <c r="J204" s="170"/>
      <c r="K204" s="170"/>
    </row>
    <row r="205" spans="2:11" ht="14.5" customHeight="1" x14ac:dyDescent="0.2">
      <c r="B205" s="418"/>
      <c r="C205" s="119"/>
      <c r="D205" s="119" t="s">
        <v>708</v>
      </c>
      <c r="E205" s="123"/>
      <c r="F205" s="175"/>
      <c r="G205" s="161"/>
      <c r="H205" s="123"/>
      <c r="I205" s="123"/>
      <c r="J205" s="189"/>
      <c r="K205" s="189"/>
    </row>
    <row r="206" spans="2:11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63"/>
      <c r="H206" s="122"/>
      <c r="I206" s="122"/>
      <c r="J206" s="170"/>
      <c r="K206" s="170"/>
    </row>
    <row r="207" spans="2:11" ht="14.5" customHeight="1" x14ac:dyDescent="0.2">
      <c r="B207" s="418"/>
      <c r="C207" s="117"/>
      <c r="D207" s="117" t="s">
        <v>553</v>
      </c>
      <c r="E207" s="122"/>
      <c r="F207" s="174"/>
      <c r="G207" s="163"/>
      <c r="H207" s="122"/>
      <c r="I207" s="122"/>
      <c r="J207" s="170"/>
      <c r="K207" s="170"/>
    </row>
    <row r="208" spans="2:11" ht="14.5" customHeight="1" x14ac:dyDescent="0.2">
      <c r="B208" s="418"/>
      <c r="C208" s="117"/>
      <c r="D208" s="117" t="s">
        <v>552</v>
      </c>
      <c r="E208" s="122"/>
      <c r="F208" s="174"/>
      <c r="G208" s="163"/>
      <c r="H208" s="122"/>
      <c r="I208" s="122"/>
      <c r="J208" s="170"/>
      <c r="K208" s="170"/>
    </row>
    <row r="209" spans="2:11" ht="14.5" customHeight="1" x14ac:dyDescent="0.2">
      <c r="B209" s="418"/>
      <c r="C209" s="117"/>
      <c r="D209" s="117" t="s">
        <v>620</v>
      </c>
      <c r="E209" s="122"/>
      <c r="F209" s="174"/>
      <c r="G209" s="163"/>
      <c r="H209" s="122"/>
      <c r="I209" s="122"/>
      <c r="J209" s="170"/>
      <c r="K209" s="170"/>
    </row>
    <row r="210" spans="2:11" ht="14.5" customHeight="1" x14ac:dyDescent="0.2">
      <c r="B210" s="418"/>
      <c r="C210" s="117"/>
      <c r="D210" s="117" t="s">
        <v>216</v>
      </c>
      <c r="E210" s="122"/>
      <c r="F210" s="174"/>
      <c r="G210" s="163"/>
      <c r="H210" s="122"/>
      <c r="I210" s="122"/>
      <c r="J210" s="170"/>
      <c r="K210" s="170"/>
    </row>
    <row r="211" spans="2:11" ht="14.5" customHeight="1" x14ac:dyDescent="0.2">
      <c r="B211" s="418"/>
      <c r="C211" s="117"/>
      <c r="D211" s="117" t="s">
        <v>805</v>
      </c>
      <c r="E211" s="122"/>
      <c r="F211" s="174"/>
      <c r="G211" s="163"/>
      <c r="H211" s="122"/>
      <c r="I211" s="122"/>
      <c r="J211" s="170"/>
      <c r="K211" s="170"/>
    </row>
    <row r="212" spans="2:11" ht="14.5" customHeight="1" x14ac:dyDescent="0.2">
      <c r="B212" s="418"/>
      <c r="C212" s="117"/>
      <c r="D212" s="117" t="s">
        <v>844</v>
      </c>
      <c r="E212" s="122"/>
      <c r="F212" s="174"/>
      <c r="G212" s="163"/>
      <c r="H212" s="122"/>
      <c r="I212" s="122"/>
      <c r="J212" s="170"/>
      <c r="K212" s="170"/>
    </row>
    <row r="213" spans="2:11" ht="14.5" customHeight="1" x14ac:dyDescent="0.2">
      <c r="B213" s="418"/>
      <c r="C213" s="119"/>
      <c r="D213" s="119" t="s">
        <v>715</v>
      </c>
      <c r="E213" s="123"/>
      <c r="F213" s="175"/>
      <c r="G213" s="161"/>
      <c r="H213" s="123"/>
      <c r="I213" s="123"/>
      <c r="J213" s="189"/>
      <c r="K213" s="189"/>
    </row>
    <row r="214" spans="2:11" ht="14.5" customHeight="1" x14ac:dyDescent="0.2">
      <c r="B214" s="418"/>
      <c r="C214" s="119"/>
      <c r="D214" s="119" t="s">
        <v>74</v>
      </c>
      <c r="E214" s="123"/>
      <c r="F214" s="175"/>
      <c r="G214" s="161"/>
      <c r="H214" s="123"/>
      <c r="I214" s="123"/>
      <c r="J214" s="189"/>
      <c r="K214" s="189"/>
    </row>
    <row r="215" spans="2:11" ht="14.5" customHeight="1" x14ac:dyDescent="0.2">
      <c r="B215" s="419"/>
      <c r="C215" s="127"/>
      <c r="D215" s="127" t="s">
        <v>557</v>
      </c>
      <c r="E215" s="124"/>
      <c r="F215" s="176"/>
      <c r="G215" s="162"/>
      <c r="H215" s="124"/>
      <c r="I215" s="124"/>
      <c r="J215" s="190"/>
      <c r="K215" s="190"/>
    </row>
    <row r="216" spans="2:11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63"/>
      <c r="H216" s="122"/>
      <c r="I216" s="122"/>
      <c r="J216" s="170"/>
      <c r="K216" s="170"/>
    </row>
    <row r="217" spans="2:11" ht="14.5" customHeight="1" x14ac:dyDescent="0.2">
      <c r="B217" s="418"/>
      <c r="C217" s="117"/>
      <c r="D217" s="117" t="s">
        <v>624</v>
      </c>
      <c r="E217" s="122"/>
      <c r="F217" s="174"/>
      <c r="G217" s="163"/>
      <c r="H217" s="122"/>
      <c r="I217" s="122"/>
      <c r="J217" s="170"/>
      <c r="K217" s="170"/>
    </row>
    <row r="218" spans="2:11" ht="14.5" customHeight="1" x14ac:dyDescent="0.2">
      <c r="B218" s="418"/>
      <c r="C218" s="117"/>
      <c r="D218" s="117" t="s">
        <v>845</v>
      </c>
      <c r="E218" s="122"/>
      <c r="F218" s="174"/>
      <c r="G218" s="163"/>
      <c r="H218" s="122"/>
      <c r="I218" s="122"/>
      <c r="J218" s="170"/>
      <c r="K218" s="170"/>
    </row>
    <row r="219" spans="2:11" ht="14.5" customHeight="1" x14ac:dyDescent="0.2">
      <c r="B219" s="418"/>
      <c r="C219" s="119"/>
      <c r="D219" s="119" t="s">
        <v>730</v>
      </c>
      <c r="E219" s="123"/>
      <c r="F219" s="175"/>
      <c r="G219" s="161"/>
      <c r="H219" s="123"/>
      <c r="I219" s="123"/>
      <c r="J219" s="189"/>
      <c r="K219" s="189"/>
    </row>
    <row r="220" spans="2:11" ht="14.5" customHeight="1" x14ac:dyDescent="0.2">
      <c r="B220" s="419"/>
      <c r="C220" s="127"/>
      <c r="D220" s="127" t="s">
        <v>622</v>
      </c>
      <c r="E220" s="124"/>
      <c r="F220" s="176"/>
      <c r="G220" s="162"/>
      <c r="H220" s="124"/>
      <c r="I220" s="124"/>
      <c r="J220" s="190"/>
      <c r="K220" s="190"/>
    </row>
    <row r="221" spans="2:11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63"/>
      <c r="H221" s="122"/>
      <c r="I221" s="122"/>
      <c r="J221" s="170"/>
      <c r="K221" s="170"/>
    </row>
    <row r="222" spans="2:11" ht="14.5" customHeight="1" x14ac:dyDescent="0.2">
      <c r="B222" s="418"/>
      <c r="C222" s="117"/>
      <c r="D222" s="117" t="s">
        <v>627</v>
      </c>
      <c r="E222" s="122"/>
      <c r="F222" s="174"/>
      <c r="G222" s="163"/>
      <c r="H222" s="122"/>
      <c r="I222" s="122"/>
      <c r="J222" s="170"/>
      <c r="K222" s="170"/>
    </row>
    <row r="223" spans="2:11" ht="14.5" customHeight="1" x14ac:dyDescent="0.2">
      <c r="B223" s="418"/>
      <c r="C223" s="117"/>
      <c r="D223" s="117" t="s">
        <v>846</v>
      </c>
      <c r="E223" s="122"/>
      <c r="F223" s="174"/>
      <c r="G223" s="163"/>
      <c r="H223" s="122"/>
      <c r="I223" s="122"/>
      <c r="J223" s="170"/>
      <c r="K223" s="170"/>
    </row>
    <row r="224" spans="2:11" ht="14.5" customHeight="1" x14ac:dyDescent="0.2">
      <c r="B224" s="418"/>
      <c r="C224" s="119"/>
      <c r="D224" s="119" t="s">
        <v>732</v>
      </c>
      <c r="E224" s="123"/>
      <c r="F224" s="175"/>
      <c r="G224" s="161"/>
      <c r="H224" s="123"/>
      <c r="I224" s="123"/>
      <c r="J224" s="189"/>
      <c r="K224" s="189"/>
    </row>
    <row r="225" spans="2:11" ht="14.5" customHeight="1" x14ac:dyDescent="0.2">
      <c r="B225" s="419"/>
      <c r="C225" s="127"/>
      <c r="D225" s="127" t="s">
        <v>628</v>
      </c>
      <c r="E225" s="124"/>
      <c r="F225" s="176"/>
      <c r="G225" s="162"/>
      <c r="H225" s="124"/>
      <c r="I225" s="124"/>
      <c r="J225" s="190"/>
      <c r="K225" s="190"/>
    </row>
    <row r="226" spans="2:11" ht="14.5" customHeight="1" x14ac:dyDescent="0.2">
      <c r="B226" s="127"/>
      <c r="C226" s="127"/>
      <c r="D226" s="127" t="s">
        <v>629</v>
      </c>
      <c r="E226" s="124"/>
      <c r="F226" s="176"/>
      <c r="G226" s="162"/>
      <c r="H226" s="124"/>
      <c r="I226" s="124"/>
      <c r="J226" s="190"/>
      <c r="K226" s="190"/>
    </row>
    <row r="227" spans="2:11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63"/>
      <c r="H227" s="122"/>
      <c r="I227" s="122"/>
      <c r="J227" s="170"/>
      <c r="K227" s="170"/>
    </row>
    <row r="228" spans="2:11" ht="14.5" customHeight="1" x14ac:dyDescent="0.2">
      <c r="B228" s="418"/>
      <c r="C228" s="117"/>
      <c r="D228" s="117" t="s">
        <v>544</v>
      </c>
      <c r="E228" s="122"/>
      <c r="F228" s="174"/>
      <c r="G228" s="163"/>
      <c r="H228" s="122"/>
      <c r="I228" s="122"/>
      <c r="J228" s="170"/>
      <c r="K228" s="170"/>
    </row>
    <row r="229" spans="2:11" ht="14.5" customHeight="1" x14ac:dyDescent="0.2">
      <c r="B229" s="418"/>
      <c r="C229" s="117"/>
      <c r="D229" s="117" t="s">
        <v>545</v>
      </c>
      <c r="E229" s="122"/>
      <c r="F229" s="174"/>
      <c r="G229" s="163"/>
      <c r="H229" s="122"/>
      <c r="I229" s="122"/>
      <c r="J229" s="170"/>
      <c r="K229" s="170"/>
    </row>
    <row r="230" spans="2:11" ht="14.5" customHeight="1" x14ac:dyDescent="0.2">
      <c r="B230" s="418"/>
      <c r="C230" s="117"/>
      <c r="D230" s="117" t="s">
        <v>806</v>
      </c>
      <c r="E230" s="122"/>
      <c r="F230" s="174"/>
      <c r="G230" s="163"/>
      <c r="H230" s="122"/>
      <c r="I230" s="122"/>
      <c r="J230" s="170"/>
      <c r="K230" s="170"/>
    </row>
    <row r="231" spans="2:11" ht="14.5" customHeight="1" x14ac:dyDescent="0.2">
      <c r="B231" s="418"/>
      <c r="C231" s="117"/>
      <c r="D231" s="117" t="s">
        <v>630</v>
      </c>
      <c r="E231" s="122"/>
      <c r="F231" s="174"/>
      <c r="G231" s="163"/>
      <c r="H231" s="122"/>
      <c r="I231" s="122"/>
      <c r="J231" s="170"/>
      <c r="K231" s="170"/>
    </row>
    <row r="232" spans="2:11" ht="14.5" customHeight="1" x14ac:dyDescent="0.2">
      <c r="B232" s="418"/>
      <c r="C232" s="117"/>
      <c r="D232" s="117" t="s">
        <v>546</v>
      </c>
      <c r="E232" s="122"/>
      <c r="F232" s="174"/>
      <c r="G232" s="163"/>
      <c r="H232" s="122"/>
      <c r="I232" s="122"/>
      <c r="J232" s="170"/>
      <c r="K232" s="170"/>
    </row>
    <row r="233" spans="2:11" ht="14.5" customHeight="1" x14ac:dyDescent="0.2">
      <c r="B233" s="418"/>
      <c r="C233" s="117"/>
      <c r="D233" s="117" t="s">
        <v>547</v>
      </c>
      <c r="E233" s="122"/>
      <c r="F233" s="174"/>
      <c r="G233" s="163"/>
      <c r="H233" s="122"/>
      <c r="I233" s="122"/>
      <c r="J233" s="170"/>
      <c r="K233" s="170"/>
    </row>
    <row r="234" spans="2:11" ht="14.5" customHeight="1" x14ac:dyDescent="0.2">
      <c r="B234" s="418"/>
      <c r="C234" s="119"/>
      <c r="D234" s="119" t="s">
        <v>694</v>
      </c>
      <c r="E234" s="123"/>
      <c r="F234" s="175"/>
      <c r="G234" s="161"/>
      <c r="H234" s="123"/>
      <c r="I234" s="123"/>
      <c r="J234" s="189"/>
      <c r="K234" s="189"/>
    </row>
    <row r="235" spans="2:11" ht="14.5" customHeight="1" x14ac:dyDescent="0.2">
      <c r="B235" s="418"/>
      <c r="C235" s="117"/>
      <c r="D235" s="117" t="s">
        <v>631</v>
      </c>
      <c r="E235" s="122"/>
      <c r="F235" s="174"/>
      <c r="G235" s="163"/>
      <c r="H235" s="122"/>
      <c r="I235" s="122"/>
      <c r="J235" s="170"/>
      <c r="K235" s="170"/>
    </row>
    <row r="236" spans="2:11" ht="14.5" customHeight="1" x14ac:dyDescent="0.2">
      <c r="B236" s="418"/>
      <c r="C236" s="117"/>
      <c r="D236" s="117" t="s">
        <v>847</v>
      </c>
      <c r="E236" s="122"/>
      <c r="F236" s="174"/>
      <c r="G236" s="163"/>
      <c r="H236" s="122"/>
      <c r="I236" s="122"/>
      <c r="J236" s="170"/>
      <c r="K236" s="170"/>
    </row>
    <row r="237" spans="2:11" ht="14.5" customHeight="1" x14ac:dyDescent="0.2">
      <c r="B237" s="418"/>
      <c r="C237" s="117"/>
      <c r="D237" s="117" t="s">
        <v>848</v>
      </c>
      <c r="E237" s="122"/>
      <c r="F237" s="174"/>
      <c r="G237" s="163"/>
      <c r="H237" s="122"/>
      <c r="I237" s="122"/>
      <c r="J237" s="170"/>
      <c r="K237" s="170"/>
    </row>
    <row r="238" spans="2:11" ht="14.5" customHeight="1" x14ac:dyDescent="0.2">
      <c r="B238" s="418"/>
      <c r="C238" s="117"/>
      <c r="D238" s="117" t="s">
        <v>849</v>
      </c>
      <c r="E238" s="122"/>
      <c r="F238" s="174"/>
      <c r="G238" s="163"/>
      <c r="H238" s="122"/>
      <c r="I238" s="122"/>
      <c r="J238" s="170"/>
      <c r="K238" s="170"/>
    </row>
    <row r="239" spans="2:11" ht="14.5" customHeight="1" x14ac:dyDescent="0.2">
      <c r="B239" s="418"/>
      <c r="C239" s="117"/>
      <c r="D239" s="117" t="s">
        <v>605</v>
      </c>
      <c r="E239" s="122"/>
      <c r="F239" s="174"/>
      <c r="G239" s="163"/>
      <c r="H239" s="122"/>
      <c r="I239" s="122"/>
      <c r="J239" s="170"/>
      <c r="K239" s="170"/>
    </row>
    <row r="240" spans="2:11" ht="14.5" customHeight="1" x14ac:dyDescent="0.2">
      <c r="B240" s="418"/>
      <c r="C240" s="119"/>
      <c r="D240" s="119" t="s">
        <v>896</v>
      </c>
      <c r="E240" s="123"/>
      <c r="F240" s="175"/>
      <c r="G240" s="161"/>
      <c r="H240" s="123"/>
      <c r="I240" s="123"/>
      <c r="J240" s="189"/>
      <c r="K240" s="189"/>
    </row>
    <row r="241" spans="2:11" ht="14.5" customHeight="1" x14ac:dyDescent="0.2">
      <c r="B241" s="418"/>
      <c r="C241" s="119"/>
      <c r="D241" s="119" t="s">
        <v>73</v>
      </c>
      <c r="E241" s="123"/>
      <c r="F241" s="175"/>
      <c r="G241" s="161"/>
      <c r="H241" s="123"/>
      <c r="I241" s="123"/>
      <c r="J241" s="189"/>
      <c r="K241" s="189"/>
    </row>
    <row r="242" spans="2:11" ht="14.5" customHeight="1" x14ac:dyDescent="0.2">
      <c r="B242" s="419"/>
      <c r="C242" s="127"/>
      <c r="D242" s="127" t="s">
        <v>604</v>
      </c>
      <c r="E242" s="124"/>
      <c r="F242" s="176"/>
      <c r="G242" s="162"/>
      <c r="H242" s="124"/>
      <c r="I242" s="124"/>
      <c r="J242" s="190"/>
      <c r="K242" s="190"/>
    </row>
    <row r="243" spans="2:11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63"/>
      <c r="H243" s="122"/>
      <c r="I243" s="122"/>
      <c r="J243" s="170"/>
      <c r="K243" s="170"/>
    </row>
    <row r="244" spans="2:11" ht="14.5" customHeight="1" x14ac:dyDescent="0.2">
      <c r="B244" s="418"/>
      <c r="C244" s="117"/>
      <c r="D244" s="117" t="s">
        <v>635</v>
      </c>
      <c r="E244" s="122"/>
      <c r="F244" s="174"/>
      <c r="G244" s="163"/>
      <c r="H244" s="122"/>
      <c r="I244" s="122"/>
      <c r="J244" s="170"/>
      <c r="K244" s="170"/>
    </row>
    <row r="245" spans="2:11" ht="14.5" customHeight="1" x14ac:dyDescent="0.2">
      <c r="B245" s="418"/>
      <c r="C245" s="117"/>
      <c r="D245" s="117" t="s">
        <v>636</v>
      </c>
      <c r="E245" s="122"/>
      <c r="F245" s="174"/>
      <c r="G245" s="163"/>
      <c r="H245" s="122"/>
      <c r="I245" s="122"/>
      <c r="J245" s="170"/>
      <c r="K245" s="170"/>
    </row>
    <row r="246" spans="2:11" ht="14.5" customHeight="1" x14ac:dyDescent="0.2">
      <c r="B246" s="418"/>
      <c r="C246" s="117"/>
      <c r="D246" s="117" t="s">
        <v>807</v>
      </c>
      <c r="E246" s="122"/>
      <c r="F246" s="174"/>
      <c r="G246" s="163"/>
      <c r="H246" s="122"/>
      <c r="I246" s="122"/>
      <c r="J246" s="170"/>
      <c r="K246" s="170"/>
    </row>
    <row r="247" spans="2:11" ht="14.5" customHeight="1" x14ac:dyDescent="0.2">
      <c r="B247" s="418"/>
      <c r="C247" s="117"/>
      <c r="D247" s="117" t="s">
        <v>637</v>
      </c>
      <c r="E247" s="122"/>
      <c r="F247" s="174"/>
      <c r="G247" s="163"/>
      <c r="H247" s="122"/>
      <c r="I247" s="122"/>
      <c r="J247" s="170"/>
      <c r="K247" s="170"/>
    </row>
    <row r="248" spans="2:11" ht="14.5" customHeight="1" x14ac:dyDescent="0.2">
      <c r="B248" s="418"/>
      <c r="C248" s="119"/>
      <c r="D248" s="119" t="s">
        <v>702</v>
      </c>
      <c r="E248" s="123"/>
      <c r="F248" s="175"/>
      <c r="G248" s="161"/>
      <c r="H248" s="123"/>
      <c r="I248" s="123"/>
      <c r="J248" s="189"/>
      <c r="K248" s="189"/>
    </row>
    <row r="249" spans="2:11" ht="14.5" customHeight="1" x14ac:dyDescent="0.2">
      <c r="B249" s="419"/>
      <c r="C249" s="127"/>
      <c r="D249" s="127" t="s">
        <v>633</v>
      </c>
      <c r="E249" s="124"/>
      <c r="F249" s="176"/>
      <c r="G249" s="162"/>
      <c r="H249" s="124"/>
      <c r="I249" s="124"/>
      <c r="J249" s="190"/>
      <c r="K249" s="190"/>
    </row>
    <row r="250" spans="2:11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63"/>
      <c r="H250" s="122"/>
      <c r="I250" s="122"/>
      <c r="J250" s="170"/>
      <c r="K250" s="170"/>
    </row>
    <row r="251" spans="2:11" ht="14.5" customHeight="1" x14ac:dyDescent="0.2">
      <c r="B251" s="418"/>
      <c r="C251" s="117"/>
      <c r="D251" s="117" t="s">
        <v>567</v>
      </c>
      <c r="E251" s="122"/>
      <c r="F251" s="174"/>
      <c r="G251" s="163"/>
      <c r="H251" s="122"/>
      <c r="I251" s="122"/>
      <c r="J251" s="170"/>
      <c r="K251" s="170"/>
    </row>
    <row r="252" spans="2:11" ht="14.5" customHeight="1" x14ac:dyDescent="0.2">
      <c r="B252" s="418"/>
      <c r="C252" s="117"/>
      <c r="D252" s="117" t="s">
        <v>569</v>
      </c>
      <c r="E252" s="122"/>
      <c r="F252" s="174"/>
      <c r="G252" s="163"/>
      <c r="H252" s="122"/>
      <c r="I252" s="122"/>
      <c r="J252" s="170"/>
      <c r="K252" s="170"/>
    </row>
    <row r="253" spans="2:11" ht="14.5" customHeight="1" x14ac:dyDescent="0.2">
      <c r="B253" s="418"/>
      <c r="C253" s="117"/>
      <c r="D253" s="117" t="s">
        <v>808</v>
      </c>
      <c r="E253" s="122"/>
      <c r="F253" s="174"/>
      <c r="G253" s="163"/>
      <c r="H253" s="122"/>
      <c r="I253" s="122"/>
      <c r="J253" s="170"/>
      <c r="K253" s="170"/>
    </row>
    <row r="254" spans="2:11" ht="14.5" customHeight="1" x14ac:dyDescent="0.2">
      <c r="B254" s="418"/>
      <c r="C254" s="117"/>
      <c r="D254" s="117" t="s">
        <v>568</v>
      </c>
      <c r="E254" s="122"/>
      <c r="F254" s="174"/>
      <c r="G254" s="163"/>
      <c r="H254" s="122"/>
      <c r="I254" s="122"/>
      <c r="J254" s="170"/>
      <c r="K254" s="170"/>
    </row>
    <row r="255" spans="2:11" ht="14.5" customHeight="1" x14ac:dyDescent="0.2">
      <c r="B255" s="418"/>
      <c r="C255" s="117"/>
      <c r="D255" s="117" t="s">
        <v>566</v>
      </c>
      <c r="E255" s="122"/>
      <c r="F255" s="174"/>
      <c r="G255" s="163"/>
      <c r="H255" s="122"/>
      <c r="I255" s="122"/>
      <c r="J255" s="170"/>
      <c r="K255" s="170"/>
    </row>
    <row r="256" spans="2:11" ht="14.5" customHeight="1" x14ac:dyDescent="0.2">
      <c r="B256" s="418"/>
      <c r="C256" s="117"/>
      <c r="D256" s="117" t="s">
        <v>570</v>
      </c>
      <c r="E256" s="122"/>
      <c r="F256" s="174"/>
      <c r="G256" s="163"/>
      <c r="H256" s="122"/>
      <c r="I256" s="122"/>
      <c r="J256" s="170"/>
      <c r="K256" s="170"/>
    </row>
    <row r="257" spans="2:11" ht="14.5" customHeight="1" x14ac:dyDescent="0.2">
      <c r="B257" s="418"/>
      <c r="C257" s="119"/>
      <c r="D257" s="119" t="s">
        <v>734</v>
      </c>
      <c r="E257" s="123"/>
      <c r="F257" s="175"/>
      <c r="G257" s="161"/>
      <c r="H257" s="123"/>
      <c r="I257" s="123"/>
      <c r="J257" s="189"/>
      <c r="K257" s="189"/>
    </row>
    <row r="258" spans="2:11" ht="14.5" customHeight="1" x14ac:dyDescent="0.2">
      <c r="B258" s="419"/>
      <c r="C258" s="127"/>
      <c r="D258" s="127" t="s">
        <v>51</v>
      </c>
      <c r="E258" s="124"/>
      <c r="F258" s="176"/>
      <c r="G258" s="162"/>
      <c r="H258" s="124"/>
      <c r="I258" s="124"/>
      <c r="J258" s="190"/>
      <c r="K258" s="190"/>
    </row>
    <row r="259" spans="2:11" ht="14.5" customHeight="1" x14ac:dyDescent="0.2">
      <c r="B259" s="127"/>
      <c r="C259" s="127"/>
      <c r="D259" s="127" t="s">
        <v>638</v>
      </c>
      <c r="E259" s="124"/>
      <c r="F259" s="176"/>
      <c r="G259" s="162"/>
      <c r="H259" s="124"/>
      <c r="I259" s="124"/>
      <c r="J259" s="190"/>
      <c r="K259" s="190"/>
    </row>
    <row r="260" spans="2:11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63"/>
      <c r="H260" s="122"/>
      <c r="I260" s="122"/>
      <c r="J260" s="170"/>
      <c r="K260" s="170"/>
    </row>
    <row r="261" spans="2:11" ht="14.5" customHeight="1" x14ac:dyDescent="0.2">
      <c r="B261" s="418"/>
      <c r="C261" s="117"/>
      <c r="D261" s="117" t="s">
        <v>609</v>
      </c>
      <c r="E261" s="122"/>
      <c r="F261" s="174"/>
      <c r="G261" s="163"/>
      <c r="H261" s="122"/>
      <c r="I261" s="122"/>
      <c r="J261" s="170"/>
      <c r="K261" s="170"/>
    </row>
    <row r="262" spans="2:11" ht="14.5" customHeight="1" x14ac:dyDescent="0.2">
      <c r="B262" s="418"/>
      <c r="C262" s="117"/>
      <c r="D262" s="117" t="s">
        <v>610</v>
      </c>
      <c r="E262" s="122"/>
      <c r="F262" s="174"/>
      <c r="G262" s="163"/>
      <c r="H262" s="122"/>
      <c r="I262" s="122"/>
      <c r="J262" s="170"/>
      <c r="K262" s="170"/>
    </row>
    <row r="263" spans="2:11" ht="14.5" customHeight="1" x14ac:dyDescent="0.2">
      <c r="B263" s="418"/>
      <c r="C263" s="117"/>
      <c r="D263" s="117" t="s">
        <v>611</v>
      </c>
      <c r="E263" s="122"/>
      <c r="F263" s="174"/>
      <c r="G263" s="163"/>
      <c r="H263" s="122"/>
      <c r="I263" s="122"/>
      <c r="J263" s="170"/>
      <c r="K263" s="170"/>
    </row>
    <row r="264" spans="2:11" ht="14.5" customHeight="1" x14ac:dyDescent="0.2">
      <c r="B264" s="418"/>
      <c r="C264" s="117"/>
      <c r="D264" s="117" t="s">
        <v>850</v>
      </c>
      <c r="E264" s="122"/>
      <c r="F264" s="174"/>
      <c r="G264" s="163"/>
      <c r="H264" s="122"/>
      <c r="I264" s="122"/>
      <c r="J264" s="170"/>
      <c r="K264" s="170"/>
    </row>
    <row r="265" spans="2:11" ht="14.5" customHeight="1" x14ac:dyDescent="0.2">
      <c r="B265" s="418"/>
      <c r="C265" s="119"/>
      <c r="D265" s="119" t="s">
        <v>743</v>
      </c>
      <c r="E265" s="123"/>
      <c r="F265" s="175"/>
      <c r="G265" s="161"/>
      <c r="H265" s="123"/>
      <c r="I265" s="123"/>
      <c r="J265" s="189"/>
      <c r="K265" s="189"/>
    </row>
    <row r="266" spans="2:11" ht="14.5" customHeight="1" x14ac:dyDescent="0.2">
      <c r="B266" s="418"/>
      <c r="C266" s="117"/>
      <c r="D266" s="117" t="s">
        <v>606</v>
      </c>
      <c r="E266" s="122"/>
      <c r="F266" s="174"/>
      <c r="G266" s="163"/>
      <c r="H266" s="122"/>
      <c r="I266" s="122"/>
      <c r="J266" s="170"/>
      <c r="K266" s="170"/>
    </row>
    <row r="267" spans="2:11" ht="14.5" customHeight="1" x14ac:dyDescent="0.2">
      <c r="B267" s="418"/>
      <c r="C267" s="117"/>
      <c r="D267" s="117" t="s">
        <v>901</v>
      </c>
      <c r="E267" s="122"/>
      <c r="F267" s="174"/>
      <c r="G267" s="163"/>
      <c r="H267" s="122"/>
      <c r="I267" s="122"/>
      <c r="J267" s="170"/>
      <c r="K267" s="170"/>
    </row>
    <row r="268" spans="2:11" ht="14.5" customHeight="1" x14ac:dyDescent="0.2">
      <c r="B268" s="418"/>
      <c r="C268" s="117"/>
      <c r="D268" s="117" t="s">
        <v>607</v>
      </c>
      <c r="E268" s="122"/>
      <c r="F268" s="174"/>
      <c r="G268" s="163"/>
      <c r="H268" s="122"/>
      <c r="I268" s="122"/>
      <c r="J268" s="170"/>
      <c r="K268" s="170"/>
    </row>
    <row r="269" spans="2:11" ht="14.5" customHeight="1" x14ac:dyDescent="0.2">
      <c r="B269" s="418"/>
      <c r="C269" s="117"/>
      <c r="D269" s="117" t="s">
        <v>608</v>
      </c>
      <c r="E269" s="122"/>
      <c r="F269" s="174"/>
      <c r="G269" s="163"/>
      <c r="H269" s="122"/>
      <c r="I269" s="122"/>
      <c r="J269" s="170"/>
      <c r="K269" s="170"/>
    </row>
    <row r="270" spans="2:11" ht="14.5" customHeight="1" x14ac:dyDescent="0.2">
      <c r="B270" s="418"/>
      <c r="C270" s="117"/>
      <c r="D270" s="117" t="s">
        <v>640</v>
      </c>
      <c r="E270" s="122"/>
      <c r="F270" s="174"/>
      <c r="G270" s="163"/>
      <c r="H270" s="122"/>
      <c r="I270" s="122"/>
      <c r="J270" s="170"/>
      <c r="K270" s="170"/>
    </row>
    <row r="271" spans="2:11" ht="14.5" customHeight="1" x14ac:dyDescent="0.2">
      <c r="B271" s="418"/>
      <c r="C271" s="117"/>
      <c r="D271" s="117" t="s">
        <v>851</v>
      </c>
      <c r="E271" s="122"/>
      <c r="F271" s="174"/>
      <c r="G271" s="163"/>
      <c r="H271" s="122"/>
      <c r="I271" s="122"/>
      <c r="J271" s="170"/>
      <c r="K271" s="170"/>
    </row>
    <row r="272" spans="2:11" ht="14.5" customHeight="1" x14ac:dyDescent="0.2">
      <c r="B272" s="418"/>
      <c r="C272" s="119"/>
      <c r="D272" s="119" t="s">
        <v>898</v>
      </c>
      <c r="E272" s="123"/>
      <c r="F272" s="175"/>
      <c r="G272" s="161"/>
      <c r="H272" s="123"/>
      <c r="I272" s="123"/>
      <c r="J272" s="189"/>
      <c r="K272" s="189"/>
    </row>
    <row r="273" spans="2:11" ht="14.5" customHeight="1" x14ac:dyDescent="0.2">
      <c r="B273" s="418"/>
      <c r="C273" s="119"/>
      <c r="D273" s="119" t="s">
        <v>897</v>
      </c>
      <c r="E273" s="123"/>
      <c r="F273" s="175"/>
      <c r="G273" s="161"/>
      <c r="H273" s="123"/>
      <c r="I273" s="123"/>
      <c r="J273" s="189"/>
      <c r="K273" s="189"/>
    </row>
    <row r="274" spans="2:11" ht="14.5" customHeight="1" x14ac:dyDescent="0.2">
      <c r="B274" s="419"/>
      <c r="C274" s="127"/>
      <c r="D274" s="127" t="s">
        <v>639</v>
      </c>
      <c r="E274" s="124"/>
      <c r="F274" s="176"/>
      <c r="G274" s="162"/>
      <c r="H274" s="124"/>
      <c r="I274" s="124"/>
      <c r="J274" s="190"/>
      <c r="K274" s="190"/>
    </row>
    <row r="275" spans="2:11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63"/>
      <c r="H275" s="122"/>
      <c r="I275" s="122"/>
      <c r="J275" s="170"/>
      <c r="K275" s="170"/>
    </row>
    <row r="276" spans="2:11" ht="14.5" customHeight="1" x14ac:dyDescent="0.2">
      <c r="B276" s="418"/>
      <c r="C276" s="117"/>
      <c r="D276" s="117" t="s">
        <v>852</v>
      </c>
      <c r="E276" s="122"/>
      <c r="F276" s="174"/>
      <c r="G276" s="163"/>
      <c r="H276" s="122"/>
      <c r="I276" s="122"/>
      <c r="J276" s="170"/>
      <c r="K276" s="170"/>
    </row>
    <row r="277" spans="2:11" ht="14.5" customHeight="1" x14ac:dyDescent="0.2">
      <c r="B277" s="418"/>
      <c r="C277" s="117"/>
      <c r="D277" s="117" t="s">
        <v>853</v>
      </c>
      <c r="E277" s="122"/>
      <c r="F277" s="174"/>
      <c r="G277" s="163"/>
      <c r="H277" s="122"/>
      <c r="I277" s="122"/>
      <c r="J277" s="170"/>
      <c r="K277" s="170"/>
    </row>
    <row r="278" spans="2:11" ht="14.5" customHeight="1" x14ac:dyDescent="0.2">
      <c r="B278" s="418"/>
      <c r="C278" s="117"/>
      <c r="D278" s="117" t="s">
        <v>854</v>
      </c>
      <c r="E278" s="122"/>
      <c r="F278" s="174"/>
      <c r="G278" s="163"/>
      <c r="H278" s="122"/>
      <c r="I278" s="122"/>
      <c r="J278" s="170"/>
      <c r="K278" s="170"/>
    </row>
    <row r="279" spans="2:11" ht="14.5" customHeight="1" x14ac:dyDescent="0.2">
      <c r="B279" s="418"/>
      <c r="C279" s="119"/>
      <c r="D279" s="119" t="s">
        <v>746</v>
      </c>
      <c r="E279" s="123"/>
      <c r="F279" s="175"/>
      <c r="G279" s="161"/>
      <c r="H279" s="123"/>
      <c r="I279" s="123"/>
      <c r="J279" s="189"/>
      <c r="K279" s="189"/>
    </row>
    <row r="280" spans="2:11" ht="14.5" customHeight="1" x14ac:dyDescent="0.2">
      <c r="B280" s="419"/>
      <c r="C280" s="127"/>
      <c r="D280" s="127" t="s">
        <v>642</v>
      </c>
      <c r="E280" s="124"/>
      <c r="F280" s="176"/>
      <c r="G280" s="162"/>
      <c r="H280" s="124"/>
      <c r="I280" s="124"/>
      <c r="J280" s="190"/>
      <c r="K280" s="190"/>
    </row>
    <row r="281" spans="2:11" ht="14.5" customHeight="1" x14ac:dyDescent="0.2">
      <c r="B281" s="127"/>
      <c r="C281" s="127"/>
      <c r="D281" s="127" t="s">
        <v>643</v>
      </c>
      <c r="E281" s="124"/>
      <c r="F281" s="176"/>
      <c r="G281" s="162"/>
      <c r="H281" s="124"/>
      <c r="I281" s="124"/>
      <c r="J281" s="190"/>
      <c r="K281" s="190"/>
    </row>
    <row r="282" spans="2:11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63"/>
      <c r="H282" s="122"/>
      <c r="I282" s="122"/>
      <c r="J282" s="170"/>
      <c r="K282" s="170"/>
    </row>
    <row r="283" spans="2:11" ht="14.5" customHeight="1" x14ac:dyDescent="0.2">
      <c r="B283" s="418"/>
      <c r="C283" s="117"/>
      <c r="D283" s="117" t="s">
        <v>791</v>
      </c>
      <c r="E283" s="122"/>
      <c r="F283" s="174"/>
      <c r="G283" s="163"/>
      <c r="H283" s="122"/>
      <c r="I283" s="122"/>
      <c r="J283" s="170"/>
      <c r="K283" s="170"/>
    </row>
    <row r="284" spans="2:11" ht="14.5" customHeight="1" x14ac:dyDescent="0.2">
      <c r="B284" s="418"/>
      <c r="C284" s="117"/>
      <c r="D284" s="117" t="s">
        <v>647</v>
      </c>
      <c r="E284" s="122"/>
      <c r="F284" s="174"/>
      <c r="G284" s="163"/>
      <c r="H284" s="122"/>
      <c r="I284" s="122"/>
      <c r="J284" s="170"/>
      <c r="K284" s="170"/>
    </row>
    <row r="285" spans="2:11" ht="14.5" customHeight="1" x14ac:dyDescent="0.2">
      <c r="B285" s="418"/>
      <c r="C285" s="117"/>
      <c r="D285" s="117" t="s">
        <v>857</v>
      </c>
      <c r="E285" s="122"/>
      <c r="F285" s="174"/>
      <c r="G285" s="163"/>
      <c r="H285" s="122"/>
      <c r="I285" s="122"/>
      <c r="J285" s="170"/>
      <c r="K285" s="170"/>
    </row>
    <row r="286" spans="2:11" ht="14.5" customHeight="1" x14ac:dyDescent="0.2">
      <c r="B286" s="418"/>
      <c r="C286" s="117"/>
      <c r="D286" s="117" t="s">
        <v>648</v>
      </c>
      <c r="E286" s="122"/>
      <c r="F286" s="174"/>
      <c r="G286" s="163"/>
      <c r="H286" s="122"/>
      <c r="I286" s="122"/>
      <c r="J286" s="170"/>
      <c r="K286" s="170"/>
    </row>
    <row r="287" spans="2:11" ht="14.5" customHeight="1" x14ac:dyDescent="0.2">
      <c r="B287" s="418"/>
      <c r="C287" s="119"/>
      <c r="D287" s="119" t="s">
        <v>747</v>
      </c>
      <c r="E287" s="123"/>
      <c r="F287" s="175"/>
      <c r="G287" s="161"/>
      <c r="H287" s="123"/>
      <c r="I287" s="123"/>
      <c r="J287" s="189"/>
      <c r="K287" s="189"/>
    </row>
    <row r="288" spans="2:11" ht="14.5" customHeight="1" x14ac:dyDescent="0.2">
      <c r="B288" s="419"/>
      <c r="C288" s="127"/>
      <c r="D288" s="127" t="s">
        <v>645</v>
      </c>
      <c r="E288" s="124"/>
      <c r="F288" s="176"/>
      <c r="G288" s="162"/>
      <c r="H288" s="124"/>
      <c r="I288" s="124"/>
      <c r="J288" s="190"/>
      <c r="K288" s="190"/>
    </row>
    <row r="289" spans="2:11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63"/>
      <c r="H289" s="122"/>
      <c r="I289" s="122"/>
      <c r="J289" s="170"/>
      <c r="K289" s="170"/>
    </row>
    <row r="290" spans="2:11" ht="14.5" customHeight="1" x14ac:dyDescent="0.2">
      <c r="B290" s="418"/>
      <c r="C290" s="117"/>
      <c r="D290" s="117" t="s">
        <v>856</v>
      </c>
      <c r="E290" s="122"/>
      <c r="F290" s="174"/>
      <c r="G290" s="163"/>
      <c r="H290" s="122"/>
      <c r="I290" s="122"/>
      <c r="J290" s="170"/>
      <c r="K290" s="170"/>
    </row>
    <row r="291" spans="2:11" ht="14.5" customHeight="1" x14ac:dyDescent="0.2">
      <c r="B291" s="418"/>
      <c r="C291" s="119"/>
      <c r="D291" s="119" t="s">
        <v>899</v>
      </c>
      <c r="E291" s="123"/>
      <c r="F291" s="175"/>
      <c r="G291" s="161"/>
      <c r="H291" s="123"/>
      <c r="I291" s="123"/>
      <c r="J291" s="189"/>
      <c r="K291" s="189"/>
    </row>
    <row r="292" spans="2:11" ht="14.5" customHeight="1" x14ac:dyDescent="0.2">
      <c r="B292" s="419"/>
      <c r="C292" s="127"/>
      <c r="D292" s="127" t="s">
        <v>860</v>
      </c>
      <c r="E292" s="124"/>
      <c r="F292" s="176"/>
      <c r="G292" s="162"/>
      <c r="H292" s="124"/>
      <c r="I292" s="124"/>
      <c r="J292" s="190"/>
      <c r="K292" s="190"/>
    </row>
    <row r="293" spans="2:11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63"/>
      <c r="H293" s="122"/>
      <c r="I293" s="122"/>
      <c r="J293" s="170"/>
      <c r="K293" s="170"/>
    </row>
    <row r="294" spans="2:11" ht="14.5" customHeight="1" x14ac:dyDescent="0.2">
      <c r="B294" s="418"/>
      <c r="C294" s="117"/>
      <c r="D294" s="117" t="s">
        <v>861</v>
      </c>
      <c r="E294" s="122"/>
      <c r="F294" s="174"/>
      <c r="G294" s="163"/>
      <c r="H294" s="122"/>
      <c r="I294" s="122"/>
      <c r="J294" s="170"/>
      <c r="K294" s="170"/>
    </row>
    <row r="295" spans="2:11" ht="14.5" customHeight="1" x14ac:dyDescent="0.2">
      <c r="B295" s="418"/>
      <c r="C295" s="117"/>
      <c r="D295" s="117" t="s">
        <v>651</v>
      </c>
      <c r="E295" s="122"/>
      <c r="F295" s="174"/>
      <c r="G295" s="163"/>
      <c r="H295" s="122"/>
      <c r="I295" s="122"/>
      <c r="J295" s="170"/>
      <c r="K295" s="170"/>
    </row>
    <row r="296" spans="2:11" ht="14.5" customHeight="1" x14ac:dyDescent="0.2">
      <c r="B296" s="418"/>
      <c r="C296" s="117"/>
      <c r="D296" s="117" t="s">
        <v>652</v>
      </c>
      <c r="E296" s="122"/>
      <c r="F296" s="174"/>
      <c r="G296" s="163"/>
      <c r="H296" s="122"/>
      <c r="I296" s="122"/>
      <c r="J296" s="170"/>
      <c r="K296" s="170"/>
    </row>
    <row r="297" spans="2:11" ht="14.5" customHeight="1" x14ac:dyDescent="0.2">
      <c r="B297" s="418"/>
      <c r="C297" s="117"/>
      <c r="D297" s="117" t="s">
        <v>653</v>
      </c>
      <c r="E297" s="122"/>
      <c r="F297" s="174"/>
      <c r="G297" s="163"/>
      <c r="H297" s="122"/>
      <c r="I297" s="122"/>
      <c r="J297" s="170"/>
      <c r="K297" s="170"/>
    </row>
    <row r="298" spans="2:11" ht="14.5" customHeight="1" x14ac:dyDescent="0.2">
      <c r="B298" s="418"/>
      <c r="C298" s="119"/>
      <c r="D298" s="119" t="s">
        <v>754</v>
      </c>
      <c r="E298" s="123"/>
      <c r="F298" s="175"/>
      <c r="G298" s="161"/>
      <c r="H298" s="123"/>
      <c r="I298" s="123"/>
      <c r="J298" s="189"/>
      <c r="K298" s="189"/>
    </row>
    <row r="299" spans="2:11" ht="14.5" customHeight="1" x14ac:dyDescent="0.2">
      <c r="B299" s="419"/>
      <c r="C299" s="127"/>
      <c r="D299" s="127" t="s">
        <v>654</v>
      </c>
      <c r="E299" s="124"/>
      <c r="F299" s="176"/>
      <c r="G299" s="162"/>
      <c r="H299" s="124"/>
      <c r="I299" s="124"/>
      <c r="J299" s="190"/>
      <c r="K299" s="190"/>
    </row>
    <row r="300" spans="2:11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63"/>
      <c r="H300" s="122"/>
      <c r="I300" s="122"/>
      <c r="J300" s="170"/>
      <c r="K300" s="170"/>
    </row>
    <row r="301" spans="2:11" ht="14.5" customHeight="1" x14ac:dyDescent="0.2">
      <c r="B301" s="418"/>
      <c r="C301" s="117"/>
      <c r="D301" s="117" t="s">
        <v>657</v>
      </c>
      <c r="E301" s="122"/>
      <c r="F301" s="174"/>
      <c r="G301" s="163"/>
      <c r="H301" s="122"/>
      <c r="I301" s="122"/>
      <c r="J301" s="170"/>
      <c r="K301" s="170"/>
    </row>
    <row r="302" spans="2:11" ht="14.5" customHeight="1" x14ac:dyDescent="0.2">
      <c r="B302" s="418"/>
      <c r="C302" s="117"/>
      <c r="D302" s="117" t="s">
        <v>793</v>
      </c>
      <c r="E302" s="122"/>
      <c r="F302" s="174"/>
      <c r="G302" s="163"/>
      <c r="H302" s="122"/>
      <c r="I302" s="122"/>
      <c r="J302" s="170"/>
      <c r="K302" s="170"/>
    </row>
    <row r="303" spans="2:11" ht="14.5" customHeight="1" x14ac:dyDescent="0.2">
      <c r="B303" s="418"/>
      <c r="C303" s="117"/>
      <c r="D303" s="117" t="s">
        <v>862</v>
      </c>
      <c r="E303" s="122"/>
      <c r="F303" s="174"/>
      <c r="G303" s="163"/>
      <c r="H303" s="122"/>
      <c r="I303" s="122"/>
      <c r="J303" s="170"/>
      <c r="K303" s="170"/>
    </row>
    <row r="304" spans="2:11" ht="14.5" customHeight="1" x14ac:dyDescent="0.2">
      <c r="B304" s="418"/>
      <c r="C304" s="117"/>
      <c r="D304" s="117" t="s">
        <v>809</v>
      </c>
      <c r="E304" s="122"/>
      <c r="F304" s="174"/>
      <c r="G304" s="163"/>
      <c r="H304" s="122"/>
      <c r="I304" s="122"/>
      <c r="J304" s="170"/>
      <c r="K304" s="170"/>
    </row>
    <row r="305" spans="2:11" ht="14.5" customHeight="1" x14ac:dyDescent="0.2">
      <c r="B305" s="418"/>
      <c r="C305" s="117"/>
      <c r="D305" s="117" t="s">
        <v>794</v>
      </c>
      <c r="E305" s="122"/>
      <c r="F305" s="174"/>
      <c r="G305" s="163"/>
      <c r="H305" s="122"/>
      <c r="I305" s="122"/>
      <c r="J305" s="170"/>
      <c r="K305" s="170"/>
    </row>
    <row r="306" spans="2:11" ht="14.5" customHeight="1" x14ac:dyDescent="0.2">
      <c r="B306" s="418"/>
      <c r="C306" s="119"/>
      <c r="D306" s="119" t="s">
        <v>752</v>
      </c>
      <c r="E306" s="123"/>
      <c r="F306" s="175"/>
      <c r="G306" s="161"/>
      <c r="H306" s="123"/>
      <c r="I306" s="123"/>
      <c r="J306" s="189"/>
      <c r="K306" s="189"/>
    </row>
    <row r="307" spans="2:11" ht="14.5" customHeight="1" x14ac:dyDescent="0.2">
      <c r="B307" s="419"/>
      <c r="C307" s="127"/>
      <c r="D307" s="127" t="s">
        <v>656</v>
      </c>
      <c r="E307" s="124"/>
      <c r="F307" s="176"/>
      <c r="G307" s="162"/>
      <c r="H307" s="124"/>
      <c r="I307" s="124"/>
      <c r="J307" s="190"/>
      <c r="K307" s="190"/>
    </row>
    <row r="308" spans="2:11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63"/>
      <c r="H308" s="122"/>
      <c r="I308" s="122"/>
      <c r="J308" s="170"/>
      <c r="K308" s="170"/>
    </row>
    <row r="309" spans="2:11" ht="14.5" customHeight="1" x14ac:dyDescent="0.2">
      <c r="B309" s="418"/>
      <c r="C309" s="117"/>
      <c r="D309" s="117" t="s">
        <v>795</v>
      </c>
      <c r="E309" s="122"/>
      <c r="F309" s="174"/>
      <c r="G309" s="163"/>
      <c r="H309" s="122"/>
      <c r="I309" s="122"/>
      <c r="J309" s="170"/>
      <c r="K309" s="170"/>
    </row>
    <row r="310" spans="2:11" ht="14.5" customHeight="1" x14ac:dyDescent="0.2">
      <c r="B310" s="418"/>
      <c r="C310" s="117"/>
      <c r="D310" s="117" t="s">
        <v>661</v>
      </c>
      <c r="E310" s="122"/>
      <c r="F310" s="174"/>
      <c r="G310" s="163"/>
      <c r="H310" s="122"/>
      <c r="I310" s="122"/>
      <c r="J310" s="170"/>
      <c r="K310" s="170"/>
    </row>
    <row r="311" spans="2:11" ht="14.5" customHeight="1" x14ac:dyDescent="0.2">
      <c r="B311" s="418"/>
      <c r="C311" s="117"/>
      <c r="D311" s="117" t="s">
        <v>662</v>
      </c>
      <c r="E311" s="122"/>
      <c r="F311" s="174"/>
      <c r="G311" s="163"/>
      <c r="H311" s="122"/>
      <c r="I311" s="122"/>
      <c r="J311" s="170"/>
      <c r="K311" s="170"/>
    </row>
    <row r="312" spans="2:11" ht="14.5" customHeight="1" x14ac:dyDescent="0.2">
      <c r="B312" s="418"/>
      <c r="C312" s="119"/>
      <c r="D312" s="119" t="s">
        <v>759</v>
      </c>
      <c r="E312" s="123"/>
      <c r="F312" s="175"/>
      <c r="G312" s="161"/>
      <c r="H312" s="123"/>
      <c r="I312" s="123"/>
      <c r="J312" s="189"/>
      <c r="K312" s="189"/>
    </row>
    <row r="313" spans="2:11" ht="14.5" customHeight="1" x14ac:dyDescent="0.2">
      <c r="B313" s="419"/>
      <c r="C313" s="127"/>
      <c r="D313" s="127" t="s">
        <v>659</v>
      </c>
      <c r="E313" s="124"/>
      <c r="F313" s="176"/>
      <c r="G313" s="162"/>
      <c r="H313" s="124"/>
      <c r="I313" s="124"/>
      <c r="J313" s="190"/>
      <c r="K313" s="190"/>
    </row>
    <row r="314" spans="2:11" ht="14.5" customHeight="1" x14ac:dyDescent="0.2">
      <c r="B314" s="127"/>
      <c r="C314" s="127"/>
      <c r="D314" s="127" t="s">
        <v>863</v>
      </c>
      <c r="E314" s="124"/>
      <c r="F314" s="176"/>
      <c r="G314" s="162"/>
      <c r="H314" s="124"/>
      <c r="I314" s="124"/>
      <c r="J314" s="190"/>
      <c r="K314" s="190"/>
    </row>
    <row r="315" spans="2:11" ht="14.5" customHeight="1" x14ac:dyDescent="0.2">
      <c r="B315" s="127"/>
      <c r="C315" s="127"/>
      <c r="D315" s="127" t="s">
        <v>55</v>
      </c>
      <c r="E315" s="124"/>
      <c r="F315" s="176"/>
      <c r="G315" s="162"/>
      <c r="H315" s="124"/>
      <c r="I315" s="124"/>
      <c r="J315" s="190"/>
      <c r="K315" s="190"/>
    </row>
    <row r="320" spans="2:11" ht="14.5" customHeight="1" x14ac:dyDescent="0.2">
      <c r="B320" s="4" t="s">
        <v>880</v>
      </c>
      <c r="C320" s="5"/>
      <c r="D320" s="5"/>
      <c r="E320" s="33"/>
      <c r="F320" s="33"/>
      <c r="G320" s="159"/>
    </row>
    <row r="321" spans="2:11" ht="14.5" customHeight="1" x14ac:dyDescent="0.2">
      <c r="B321" s="8"/>
      <c r="C321" s="8"/>
      <c r="D321" s="8"/>
      <c r="E321" s="35"/>
      <c r="F321" s="35"/>
      <c r="G321" s="159"/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385" t="s">
        <v>135</v>
      </c>
      <c r="F322" s="385"/>
      <c r="G322" s="417" t="s">
        <v>56</v>
      </c>
      <c r="H322" s="394" t="s">
        <v>3</v>
      </c>
      <c r="I322" s="398" t="s">
        <v>420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36" t="s">
        <v>77</v>
      </c>
      <c r="F323" s="54" t="s">
        <v>58</v>
      </c>
      <c r="G323" s="417"/>
      <c r="H323" s="394"/>
      <c r="I323" s="398"/>
      <c r="J323" s="398"/>
      <c r="K323" s="398"/>
    </row>
    <row r="324" spans="2:11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63"/>
      <c r="H324" s="122"/>
      <c r="I324" s="122"/>
      <c r="J324" s="170"/>
      <c r="K324" s="170"/>
    </row>
    <row r="325" spans="2:11" ht="14.5" customHeight="1" x14ac:dyDescent="0.2">
      <c r="B325" s="418"/>
      <c r="C325" s="117"/>
      <c r="D325" s="117" t="s">
        <v>869</v>
      </c>
      <c r="E325" s="122"/>
      <c r="F325" s="174"/>
      <c r="G325" s="163"/>
      <c r="H325" s="122"/>
      <c r="I325" s="122"/>
      <c r="J325" s="170"/>
      <c r="K325" s="170"/>
    </row>
    <row r="326" spans="2:11" ht="14.5" customHeight="1" x14ac:dyDescent="0.2">
      <c r="B326" s="418"/>
      <c r="C326" s="117"/>
      <c r="D326" s="117" t="s">
        <v>870</v>
      </c>
      <c r="E326" s="122"/>
      <c r="F326" s="174"/>
      <c r="G326" s="163"/>
      <c r="H326" s="122"/>
      <c r="I326" s="122"/>
      <c r="J326" s="170"/>
      <c r="K326" s="170"/>
    </row>
    <row r="327" spans="2:11" ht="14.5" customHeight="1" x14ac:dyDescent="0.2">
      <c r="B327" s="418"/>
      <c r="C327" s="117"/>
      <c r="D327" s="117" t="s">
        <v>871</v>
      </c>
      <c r="E327" s="122"/>
      <c r="F327" s="174"/>
      <c r="G327" s="163"/>
      <c r="H327" s="122"/>
      <c r="I327" s="122"/>
      <c r="J327" s="170"/>
      <c r="K327" s="170"/>
    </row>
    <row r="328" spans="2:11" ht="14.5" customHeight="1" x14ac:dyDescent="0.2">
      <c r="B328" s="418"/>
      <c r="C328" s="117"/>
      <c r="D328" s="117" t="s">
        <v>872</v>
      </c>
      <c r="E328" s="122"/>
      <c r="F328" s="174"/>
      <c r="G328" s="163"/>
      <c r="H328" s="122"/>
      <c r="I328" s="122"/>
      <c r="J328" s="170"/>
      <c r="K328" s="170"/>
    </row>
    <row r="329" spans="2:11" ht="14.5" customHeight="1" x14ac:dyDescent="0.2">
      <c r="B329" s="418"/>
      <c r="C329" s="117"/>
      <c r="D329" s="117" t="s">
        <v>873</v>
      </c>
      <c r="E329" s="122"/>
      <c r="F329" s="174"/>
      <c r="G329" s="163"/>
      <c r="H329" s="122"/>
      <c r="I329" s="122"/>
      <c r="J329" s="170"/>
      <c r="K329" s="170"/>
    </row>
    <row r="330" spans="2:11" ht="14.5" customHeight="1" x14ac:dyDescent="0.2">
      <c r="B330" s="418"/>
      <c r="C330" s="117"/>
      <c r="D330" s="117" t="s">
        <v>874</v>
      </c>
      <c r="E330" s="122"/>
      <c r="F330" s="174"/>
      <c r="G330" s="163"/>
      <c r="H330" s="122"/>
      <c r="I330" s="122"/>
      <c r="J330" s="170"/>
      <c r="K330" s="170"/>
    </row>
    <row r="331" spans="2:11" ht="14.5" customHeight="1" x14ac:dyDescent="0.2">
      <c r="B331" s="418"/>
      <c r="C331" s="117"/>
      <c r="D331" s="117" t="s">
        <v>875</v>
      </c>
      <c r="E331" s="122"/>
      <c r="F331" s="174"/>
      <c r="G331" s="163"/>
      <c r="H331" s="122"/>
      <c r="I331" s="122"/>
      <c r="J331" s="170"/>
      <c r="K331" s="170"/>
    </row>
    <row r="332" spans="2:11" ht="14.5" customHeight="1" x14ac:dyDescent="0.2">
      <c r="B332" s="418"/>
      <c r="C332" s="117"/>
      <c r="D332" s="117" t="s">
        <v>876</v>
      </c>
      <c r="E332" s="122"/>
      <c r="F332" s="174"/>
      <c r="G332" s="163"/>
      <c r="H332" s="122"/>
      <c r="I332" s="122"/>
      <c r="J332" s="170"/>
      <c r="K332" s="170"/>
    </row>
    <row r="333" spans="2:11" ht="14.5" customHeight="1" x14ac:dyDescent="0.2">
      <c r="B333" s="418"/>
      <c r="C333" s="117"/>
      <c r="D333" s="117" t="s">
        <v>877</v>
      </c>
      <c r="E333" s="122"/>
      <c r="F333" s="174"/>
      <c r="G333" s="163"/>
      <c r="H333" s="122"/>
      <c r="I333" s="122"/>
      <c r="J333" s="170"/>
      <c r="K333" s="170"/>
    </row>
    <row r="334" spans="2:11" ht="14.5" customHeight="1" x14ac:dyDescent="0.2">
      <c r="B334" s="418"/>
      <c r="C334" s="119"/>
      <c r="D334" s="119" t="s">
        <v>892</v>
      </c>
      <c r="E334" s="123"/>
      <c r="F334" s="175"/>
      <c r="G334" s="161"/>
      <c r="H334" s="123"/>
      <c r="I334" s="123"/>
      <c r="J334" s="189"/>
      <c r="K334" s="189"/>
    </row>
    <row r="335" spans="2:11" ht="14.5" customHeight="1" x14ac:dyDescent="0.2">
      <c r="B335" s="418"/>
      <c r="C335" s="119"/>
      <c r="D335" s="119" t="s">
        <v>74</v>
      </c>
      <c r="E335" s="123"/>
      <c r="F335" s="175"/>
      <c r="G335" s="161"/>
      <c r="H335" s="123"/>
      <c r="I335" s="123"/>
      <c r="J335" s="189"/>
      <c r="K335" s="189"/>
    </row>
    <row r="336" spans="2:11" ht="14.5" customHeight="1" x14ac:dyDescent="0.2">
      <c r="B336" s="419"/>
      <c r="C336" s="127"/>
      <c r="D336" s="127" t="s">
        <v>866</v>
      </c>
      <c r="E336" s="124"/>
      <c r="F336" s="176"/>
      <c r="G336" s="162"/>
      <c r="H336" s="124"/>
      <c r="I336" s="124"/>
      <c r="J336" s="190"/>
      <c r="K336" s="190"/>
    </row>
    <row r="337" spans="2:11" ht="14.5" customHeight="1" x14ac:dyDescent="0.2">
      <c r="B337" s="127"/>
      <c r="C337" s="127"/>
      <c r="D337" s="127" t="s">
        <v>867</v>
      </c>
      <c r="E337" s="124"/>
      <c r="F337" s="176"/>
      <c r="G337" s="162"/>
      <c r="H337" s="124"/>
      <c r="I337" s="124"/>
      <c r="J337" s="190"/>
      <c r="K337" s="190"/>
    </row>
    <row r="339" spans="2:11" s="45" customFormat="1" ht="14.5" customHeight="1" x14ac:dyDescent="0.2">
      <c r="E339" s="46"/>
      <c r="F339" s="46"/>
      <c r="G339" s="336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46"/>
      <c r="F340" s="46"/>
      <c r="G340" s="336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46"/>
      <c r="F341" s="46"/>
      <c r="G341" s="336" t="s">
        <v>138</v>
      </c>
      <c r="H341" s="48"/>
      <c r="I341" s="128">
        <f>'Pencapaian Effective Call'!I341</f>
        <v>4324500</v>
      </c>
      <c r="J341" s="46"/>
      <c r="K341" s="46"/>
    </row>
    <row r="342" spans="2:11" s="45" customFormat="1" ht="14.5" customHeight="1" x14ac:dyDescent="0.2">
      <c r="E342" s="46"/>
      <c r="F342" s="46"/>
      <c r="G342" s="336" t="s">
        <v>153</v>
      </c>
      <c r="H342" s="48"/>
      <c r="I342" s="128">
        <f>SUM(I315,I147,I95,I77,I40,I337)</f>
        <v>1949250</v>
      </c>
      <c r="J342" s="46"/>
      <c r="K342" s="46"/>
    </row>
    <row r="343" spans="2:11" s="45" customFormat="1" ht="14.5" customHeight="1" x14ac:dyDescent="0.2">
      <c r="E343" s="46"/>
      <c r="F343" s="46"/>
      <c r="G343" s="336" t="s">
        <v>79</v>
      </c>
      <c r="H343" s="48"/>
      <c r="I343" s="128">
        <f>'Pencapaian Active Outlet'!I343</f>
        <v>7007500</v>
      </c>
      <c r="J343" s="46"/>
      <c r="K343" s="46"/>
    </row>
    <row r="344" spans="2:11" s="45" customFormat="1" ht="14.5" customHeight="1" x14ac:dyDescent="0.2">
      <c r="E344" s="46"/>
      <c r="F344" s="46"/>
      <c r="G344" s="336" t="s">
        <v>136</v>
      </c>
      <c r="H344" s="48"/>
      <c r="I344" s="128">
        <f>'Pencapaian Item per Outlet'!I344</f>
        <v>1646000</v>
      </c>
      <c r="J344" s="46"/>
      <c r="K344" s="46"/>
    </row>
    <row r="345" spans="2:11" s="45" customFormat="1" ht="14.5" customHeight="1" x14ac:dyDescent="0.2">
      <c r="E345" s="46"/>
      <c r="F345" s="46"/>
      <c r="G345" s="336" t="s">
        <v>414</v>
      </c>
      <c r="I345" s="128">
        <f>'Pencapaian Product Display'!I345</f>
        <v>40000</v>
      </c>
      <c r="J345" s="46"/>
      <c r="K345" s="46"/>
    </row>
    <row r="346" spans="2:11" s="45" customFormat="1" ht="14.5" customHeight="1" x14ac:dyDescent="0.2">
      <c r="E346" s="46"/>
      <c r="F346" s="46"/>
      <c r="G346" s="336" t="s">
        <v>415</v>
      </c>
      <c r="I346" s="128">
        <f>'Pencapaian Sales Contract'!I346</f>
        <v>0</v>
      </c>
      <c r="J346" s="46"/>
      <c r="K346" s="46"/>
    </row>
    <row r="347" spans="2:11" ht="14.5" customHeight="1" x14ac:dyDescent="0.2">
      <c r="G347" s="336" t="s">
        <v>416</v>
      </c>
      <c r="H347" s="45"/>
      <c r="I347" s="128">
        <f>'Pencapaian Co-Branding'!I347</f>
        <v>0</v>
      </c>
      <c r="J347" s="46"/>
      <c r="K347" s="46"/>
    </row>
    <row r="348" spans="2:11" ht="14.5" customHeight="1" x14ac:dyDescent="0.2">
      <c r="G348" s="336" t="s">
        <v>417</v>
      </c>
      <c r="H348" s="45"/>
      <c r="I348" s="128">
        <f>'Pencapaian Join Event Activity'!I348</f>
        <v>50000</v>
      </c>
      <c r="J348" s="46"/>
      <c r="K348" s="46"/>
    </row>
    <row r="349" spans="2:11" ht="14.5" customHeight="1" x14ac:dyDescent="0.2">
      <c r="G349" s="336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337"/>
      <c r="I350" s="229"/>
      <c r="J350" s="46"/>
      <c r="K350" s="46"/>
    </row>
    <row r="351" spans="2:11" ht="14.5" customHeight="1" x14ac:dyDescent="0.2">
      <c r="G351" s="338" t="s">
        <v>62</v>
      </c>
      <c r="I351" s="235">
        <f>SUM(I339:I349)</f>
        <v>38916750</v>
      </c>
    </row>
  </sheetData>
  <mergeCells count="86">
    <mergeCell ref="B308:B313"/>
    <mergeCell ref="B260:B274"/>
    <mergeCell ref="B275:B280"/>
    <mergeCell ref="B282:B288"/>
    <mergeCell ref="B293:B299"/>
    <mergeCell ref="B300:B307"/>
    <mergeCell ref="B289:B292"/>
    <mergeCell ref="J48:J49"/>
    <mergeCell ref="K48:K49"/>
    <mergeCell ref="B35:B39"/>
    <mergeCell ref="B48:B49"/>
    <mergeCell ref="J3:J4"/>
    <mergeCell ref="K3:K4"/>
    <mergeCell ref="B5:B28"/>
    <mergeCell ref="B29:B34"/>
    <mergeCell ref="H3:H4"/>
    <mergeCell ref="I3:I4"/>
    <mergeCell ref="B3:B4"/>
    <mergeCell ref="D3:D4"/>
    <mergeCell ref="E3:F3"/>
    <mergeCell ref="G3:G4"/>
    <mergeCell ref="C3:C4"/>
    <mergeCell ref="E48:F48"/>
    <mergeCell ref="I48:I49"/>
    <mergeCell ref="B72:B76"/>
    <mergeCell ref="C48:C49"/>
    <mergeCell ref="B50:B64"/>
    <mergeCell ref="B65:B71"/>
    <mergeCell ref="E85:F85"/>
    <mergeCell ref="G85:G86"/>
    <mergeCell ref="D48:D49"/>
    <mergeCell ref="G48:G49"/>
    <mergeCell ref="H48:H49"/>
    <mergeCell ref="B191:B199"/>
    <mergeCell ref="B200:B215"/>
    <mergeCell ref="G103:G104"/>
    <mergeCell ref="H103:H104"/>
    <mergeCell ref="I103:I104"/>
    <mergeCell ref="B110:B115"/>
    <mergeCell ref="B116:B120"/>
    <mergeCell ref="B166:B181"/>
    <mergeCell ref="B182:B189"/>
    <mergeCell ref="B157:B165"/>
    <mergeCell ref="B121:B128"/>
    <mergeCell ref="K85:K86"/>
    <mergeCell ref="B91:B94"/>
    <mergeCell ref="B87:B90"/>
    <mergeCell ref="K103:K104"/>
    <mergeCell ref="B105:B109"/>
    <mergeCell ref="C85:C86"/>
    <mergeCell ref="C103:C104"/>
    <mergeCell ref="J85:J86"/>
    <mergeCell ref="J103:J104"/>
    <mergeCell ref="B103:B104"/>
    <mergeCell ref="D103:D104"/>
    <mergeCell ref="B85:B86"/>
    <mergeCell ref="D85:D86"/>
    <mergeCell ref="H85:H86"/>
    <mergeCell ref="I85:I86"/>
    <mergeCell ref="E103:F103"/>
    <mergeCell ref="J155:J156"/>
    <mergeCell ref="K155:K156"/>
    <mergeCell ref="B129:B133"/>
    <mergeCell ref="H155:H156"/>
    <mergeCell ref="I155:I156"/>
    <mergeCell ref="B155:B156"/>
    <mergeCell ref="D155:D156"/>
    <mergeCell ref="E155:F155"/>
    <mergeCell ref="G155:G156"/>
    <mergeCell ref="C155:C156"/>
    <mergeCell ref="B134:B146"/>
    <mergeCell ref="B216:B220"/>
    <mergeCell ref="B221:B225"/>
    <mergeCell ref="B227:B242"/>
    <mergeCell ref="B243:B249"/>
    <mergeCell ref="B250:B258"/>
    <mergeCell ref="H322:H323"/>
    <mergeCell ref="I322:I323"/>
    <mergeCell ref="J322:J323"/>
    <mergeCell ref="K322:K323"/>
    <mergeCell ref="B324:B336"/>
    <mergeCell ref="B322:B323"/>
    <mergeCell ref="C322:C323"/>
    <mergeCell ref="D322:D323"/>
    <mergeCell ref="E322:F322"/>
    <mergeCell ref="G322:G323"/>
  </mergeCells>
  <conditionalFormatting sqref="G11:G12">
    <cfRule type="cellIs" dxfId="161" priority="31" operator="greaterThan">
      <formula>1</formula>
    </cfRule>
    <cfRule type="cellIs" dxfId="160" priority="32" operator="greaterThan">
      <formula>0.7</formula>
    </cfRule>
    <cfRule type="cellIs" dxfId="159" priority="33" operator="lessThan">
      <formula>0.7</formula>
    </cfRule>
  </conditionalFormatting>
  <conditionalFormatting sqref="G22:G23">
    <cfRule type="cellIs" dxfId="158" priority="73" operator="greaterThan">
      <formula>1</formula>
    </cfRule>
    <cfRule type="cellIs" dxfId="157" priority="74" operator="greaterThan">
      <formula>0.7</formula>
    </cfRule>
    <cfRule type="cellIs" dxfId="156" priority="75" operator="lessThan">
      <formula>0.7</formula>
    </cfRule>
  </conditionalFormatting>
  <conditionalFormatting sqref="G25:G26">
    <cfRule type="cellIs" dxfId="155" priority="61" operator="greaterThan">
      <formula>1</formula>
    </cfRule>
    <cfRule type="cellIs" dxfId="154" priority="62" operator="greaterThan">
      <formula>0.7</formula>
    </cfRule>
    <cfRule type="cellIs" dxfId="153" priority="63" operator="lessThan">
      <formula>0.7</formula>
    </cfRule>
  </conditionalFormatting>
  <conditionalFormatting sqref="G29:G30">
    <cfRule type="cellIs" dxfId="152" priority="46" operator="greaterThan">
      <formula>1</formula>
    </cfRule>
    <cfRule type="cellIs" dxfId="151" priority="47" operator="greaterThan">
      <formula>0.7</formula>
    </cfRule>
    <cfRule type="cellIs" dxfId="150" priority="48" operator="lessThan">
      <formula>0.7</formula>
    </cfRule>
  </conditionalFormatting>
  <conditionalFormatting sqref="G32">
    <cfRule type="cellIs" dxfId="149" priority="64" operator="greaterThan">
      <formula>1</formula>
    </cfRule>
    <cfRule type="cellIs" dxfId="148" priority="65" operator="greaterThan">
      <formula>0.7</formula>
    </cfRule>
    <cfRule type="cellIs" dxfId="147" priority="66" operator="lessThan">
      <formula>0.7</formula>
    </cfRule>
  </conditionalFormatting>
  <conditionalFormatting sqref="G35:G37">
    <cfRule type="cellIs" dxfId="146" priority="76" operator="greaterThan">
      <formula>1</formula>
    </cfRule>
    <cfRule type="cellIs" dxfId="145" priority="77" operator="greaterThan">
      <formula>0.7</formula>
    </cfRule>
    <cfRule type="cellIs" dxfId="144" priority="78" operator="lessThan">
      <formula>0.7</formula>
    </cfRule>
  </conditionalFormatting>
  <conditionalFormatting sqref="G61">
    <cfRule type="cellIs" dxfId="143" priority="28" operator="greaterThan">
      <formula>1</formula>
    </cfRule>
    <cfRule type="cellIs" dxfId="142" priority="29" operator="greaterThan">
      <formula>0.7</formula>
    </cfRule>
    <cfRule type="cellIs" dxfId="141" priority="30" operator="lessThan">
      <formula>0.7</formula>
    </cfRule>
  </conditionalFormatting>
  <conditionalFormatting sqref="G65:G69">
    <cfRule type="cellIs" dxfId="140" priority="25" operator="greaterThan">
      <formula>1</formula>
    </cfRule>
    <cfRule type="cellIs" dxfId="139" priority="26" operator="greaterThan">
      <formula>0.7</formula>
    </cfRule>
    <cfRule type="cellIs" dxfId="138" priority="27" operator="lessThan">
      <formula>0.7</formula>
    </cfRule>
  </conditionalFormatting>
  <conditionalFormatting sqref="G72:G74">
    <cfRule type="cellIs" dxfId="137" priority="49" operator="greaterThan">
      <formula>1</formula>
    </cfRule>
    <cfRule type="cellIs" dxfId="136" priority="50" operator="greaterThan">
      <formula>0.7</formula>
    </cfRule>
    <cfRule type="cellIs" dxfId="135" priority="51" operator="lessThan">
      <formula>0.7</formula>
    </cfRule>
  </conditionalFormatting>
  <conditionalFormatting sqref="G87:G88 G91:G92">
    <cfRule type="cellIs" dxfId="134" priority="67" operator="greaterThan">
      <formula>1</formula>
    </cfRule>
    <cfRule type="cellIs" dxfId="133" priority="68" operator="greaterThan">
      <formula>0.7</formula>
    </cfRule>
    <cfRule type="cellIs" dxfId="132" priority="69" operator="lessThan">
      <formula>0.7</formula>
    </cfRule>
  </conditionalFormatting>
  <conditionalFormatting sqref="G105:G106">
    <cfRule type="cellIs" dxfId="131" priority="37" operator="greaterThan">
      <formula>1</formula>
    </cfRule>
    <cfRule type="cellIs" dxfId="130" priority="38" operator="greaterThan">
      <formula>0.7</formula>
    </cfRule>
    <cfRule type="cellIs" dxfId="129" priority="39" operator="lessThan">
      <formula>0.7</formula>
    </cfRule>
  </conditionalFormatting>
  <conditionalFormatting sqref="G110:G113">
    <cfRule type="cellIs" dxfId="128" priority="40" operator="greaterThan">
      <formula>1</formula>
    </cfRule>
    <cfRule type="cellIs" dxfId="127" priority="41" operator="greaterThan">
      <formula>0.7</formula>
    </cfRule>
    <cfRule type="cellIs" dxfId="126" priority="42" operator="lessThan">
      <formula>0.7</formula>
    </cfRule>
  </conditionalFormatting>
  <conditionalFormatting sqref="G116:G119">
    <cfRule type="cellIs" dxfId="125" priority="1" operator="greaterThan">
      <formula>1</formula>
    </cfRule>
    <cfRule type="cellIs" dxfId="124" priority="2" operator="greaterThan">
      <formula>0.7</formula>
    </cfRule>
    <cfRule type="cellIs" dxfId="123" priority="3" operator="lessThan">
      <formula>0.7</formula>
    </cfRule>
  </conditionalFormatting>
  <conditionalFormatting sqref="G130:G131">
    <cfRule type="cellIs" dxfId="122" priority="79" operator="greaterThan">
      <formula>1</formula>
    </cfRule>
    <cfRule type="cellIs" dxfId="121" priority="80" operator="greaterThan">
      <formula>0.7</formula>
    </cfRule>
    <cfRule type="cellIs" dxfId="120" priority="81" operator="lessThan">
      <formula>0.7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1963-069D-46C5-95A5-1470E47D339E}">
  <dimension ref="B1:M351"/>
  <sheetViews>
    <sheetView showGridLines="0" zoomScale="70" zoomScaleNormal="70" workbookViewId="0">
      <pane xSplit="4" ySplit="4" topLeftCell="E305" activePane="bottomRight" state="frozen"/>
      <selection activeCell="P11" sqref="P11"/>
      <selection pane="topRight" activeCell="P11" sqref="P11"/>
      <selection pane="bottomLeft" activeCell="P11" sqref="P11"/>
      <selection pane="bottomRight" activeCell="J322" sqref="J322:J323"/>
    </sheetView>
  </sheetViews>
  <sheetFormatPr baseColWidth="10" defaultColWidth="8.83203125" defaultRowHeight="14.5" customHeight="1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2" customWidth="1"/>
    <col min="7" max="7" width="13.1640625" style="1" customWidth="1"/>
    <col min="8" max="8" width="10.83203125" customWidth="1"/>
    <col min="9" max="11" width="12.83203125" style="2" customWidth="1"/>
    <col min="12" max="12" width="3.5" customWidth="1"/>
  </cols>
  <sheetData>
    <row r="1" spans="2:11" ht="14.5" customHeight="1" x14ac:dyDescent="0.2">
      <c r="B1" s="4" t="s">
        <v>167</v>
      </c>
      <c r="C1" s="5"/>
      <c r="D1" s="5"/>
      <c r="E1" s="33"/>
      <c r="F1" s="33"/>
      <c r="G1" s="34"/>
    </row>
    <row r="2" spans="2:11" ht="14.5" customHeight="1" x14ac:dyDescent="0.2">
      <c r="B2" s="8"/>
      <c r="C2" s="8"/>
      <c r="D2" s="8"/>
      <c r="E2" s="35"/>
      <c r="F2" s="35"/>
      <c r="G2" s="34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385" t="s">
        <v>5</v>
      </c>
      <c r="F3" s="385"/>
      <c r="G3" s="417" t="s">
        <v>56</v>
      </c>
      <c r="H3" s="394" t="s">
        <v>3</v>
      </c>
      <c r="I3" s="398" t="s">
        <v>421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36" t="s">
        <v>77</v>
      </c>
      <c r="F4" s="54" t="s">
        <v>58</v>
      </c>
      <c r="G4" s="417"/>
      <c r="H4" s="394"/>
      <c r="I4" s="398"/>
      <c r="J4" s="398"/>
      <c r="K4" s="398"/>
    </row>
    <row r="5" spans="2:11" ht="14.5" customHeight="1" x14ac:dyDescent="0.2">
      <c r="B5" s="397" t="s">
        <v>13</v>
      </c>
      <c r="C5" s="117" t="s">
        <v>342</v>
      </c>
      <c r="D5" s="117" t="s">
        <v>233</v>
      </c>
      <c r="E5" s="122">
        <v>118</v>
      </c>
      <c r="F5" s="122">
        <v>114</v>
      </c>
      <c r="G5" s="163">
        <f t="shared" ref="G5:G40" si="0">E5/F5*100%</f>
        <v>1.0350877192982457</v>
      </c>
      <c r="H5" s="122"/>
      <c r="I5" s="122"/>
      <c r="J5" s="122">
        <f>I5*55%</f>
        <v>0</v>
      </c>
      <c r="K5" s="122">
        <f>I5*45%</f>
        <v>0</v>
      </c>
    </row>
    <row r="6" spans="2:11" ht="14.5" customHeight="1" x14ac:dyDescent="0.2">
      <c r="B6" s="397"/>
      <c r="C6" s="117" t="s">
        <v>343</v>
      </c>
      <c r="D6" s="117" t="s">
        <v>234</v>
      </c>
      <c r="E6" s="122">
        <v>148</v>
      </c>
      <c r="F6" s="122">
        <v>144.4</v>
      </c>
      <c r="G6" s="163">
        <f t="shared" si="0"/>
        <v>1.0249307479224377</v>
      </c>
      <c r="H6" s="122"/>
      <c r="I6" s="122"/>
      <c r="J6" s="122">
        <f t="shared" ref="J6:J8" si="1">I6*55%</f>
        <v>0</v>
      </c>
      <c r="K6" s="122">
        <f t="shared" ref="K6:K8" si="2">I6*45%</f>
        <v>0</v>
      </c>
    </row>
    <row r="7" spans="2:11" ht="14.5" customHeight="1" x14ac:dyDescent="0.2">
      <c r="B7" s="397"/>
      <c r="C7" s="117" t="s">
        <v>344</v>
      </c>
      <c r="D7" s="117" t="s">
        <v>235</v>
      </c>
      <c r="E7" s="122">
        <v>112</v>
      </c>
      <c r="F7" s="122">
        <v>110.19999999999999</v>
      </c>
      <c r="G7" s="163">
        <f t="shared" si="0"/>
        <v>1.0163339382940111</v>
      </c>
      <c r="H7" s="122"/>
      <c r="I7" s="122"/>
      <c r="J7" s="122">
        <f t="shared" si="1"/>
        <v>0</v>
      </c>
      <c r="K7" s="122">
        <f t="shared" si="2"/>
        <v>0</v>
      </c>
    </row>
    <row r="8" spans="2:11" ht="14.5" customHeight="1" x14ac:dyDescent="0.2">
      <c r="B8" s="397"/>
      <c r="C8" s="117" t="s">
        <v>345</v>
      </c>
      <c r="D8" s="117" t="s">
        <v>236</v>
      </c>
      <c r="E8" s="122">
        <v>117</v>
      </c>
      <c r="F8" s="122">
        <v>114</v>
      </c>
      <c r="G8" s="163">
        <f t="shared" si="0"/>
        <v>1.0263157894736843</v>
      </c>
      <c r="H8" s="122"/>
      <c r="I8" s="122"/>
      <c r="J8" s="122">
        <f t="shared" si="1"/>
        <v>0</v>
      </c>
      <c r="K8" s="122">
        <f t="shared" si="2"/>
        <v>0</v>
      </c>
    </row>
    <row r="9" spans="2:11" ht="14.5" customHeight="1" x14ac:dyDescent="0.2">
      <c r="B9" s="397"/>
      <c r="C9" s="117" t="s">
        <v>346</v>
      </c>
      <c r="D9" s="117" t="s">
        <v>237</v>
      </c>
      <c r="E9" s="122">
        <v>128</v>
      </c>
      <c r="F9" s="122">
        <v>124.44999999999999</v>
      </c>
      <c r="G9" s="163">
        <f t="shared" si="0"/>
        <v>1.0285255122539174</v>
      </c>
      <c r="H9" s="122"/>
      <c r="I9" s="122"/>
      <c r="J9" s="122">
        <f t="shared" ref="J9:J12" si="3">I9*70%</f>
        <v>0</v>
      </c>
      <c r="K9" s="122">
        <f t="shared" ref="K9:K12" si="4">I9*30%</f>
        <v>0</v>
      </c>
    </row>
    <row r="10" spans="2:11" ht="14.5" customHeight="1" x14ac:dyDescent="0.2">
      <c r="B10" s="397"/>
      <c r="C10" s="117" t="s">
        <v>347</v>
      </c>
      <c r="D10" s="117" t="s">
        <v>101</v>
      </c>
      <c r="E10" s="122">
        <v>132</v>
      </c>
      <c r="F10" s="122">
        <v>123.5</v>
      </c>
      <c r="G10" s="163">
        <f t="shared" si="0"/>
        <v>1.0688259109311742</v>
      </c>
      <c r="H10" s="122"/>
      <c r="I10" s="122"/>
      <c r="J10" s="122">
        <f t="shared" si="3"/>
        <v>0</v>
      </c>
      <c r="K10" s="122">
        <f t="shared" si="4"/>
        <v>0</v>
      </c>
    </row>
    <row r="11" spans="2:11" ht="14.5" customHeight="1" x14ac:dyDescent="0.2">
      <c r="B11" s="397"/>
      <c r="C11" s="52" t="s">
        <v>348</v>
      </c>
      <c r="D11" s="52" t="s">
        <v>157</v>
      </c>
      <c r="E11" s="15">
        <v>42</v>
      </c>
      <c r="F11" s="15">
        <v>45</v>
      </c>
      <c r="G11" s="20">
        <f t="shared" si="0"/>
        <v>0.93333333333333335</v>
      </c>
      <c r="H11" s="12" t="s">
        <v>467</v>
      </c>
      <c r="I11" s="14">
        <v>75000</v>
      </c>
      <c r="J11" s="15">
        <f t="shared" si="3"/>
        <v>52500</v>
      </c>
      <c r="K11" s="15">
        <f t="shared" si="4"/>
        <v>22500</v>
      </c>
    </row>
    <row r="12" spans="2:11" ht="14.5" customHeight="1" x14ac:dyDescent="0.2">
      <c r="B12" s="397"/>
      <c r="C12" s="52" t="s">
        <v>349</v>
      </c>
      <c r="D12" s="52" t="s">
        <v>158</v>
      </c>
      <c r="E12" s="15">
        <v>0</v>
      </c>
      <c r="F12" s="15">
        <v>60</v>
      </c>
      <c r="G12" s="20">
        <f t="shared" si="0"/>
        <v>0</v>
      </c>
      <c r="H12" s="12" t="s">
        <v>467</v>
      </c>
      <c r="I12" s="14">
        <v>0</v>
      </c>
      <c r="J12" s="15">
        <f t="shared" si="3"/>
        <v>0</v>
      </c>
      <c r="K12" s="15">
        <f t="shared" si="4"/>
        <v>0</v>
      </c>
    </row>
    <row r="13" spans="2:11" s="37" customFormat="1" ht="14.5" customHeight="1" x14ac:dyDescent="0.2">
      <c r="B13" s="397"/>
      <c r="C13" s="78"/>
      <c r="D13" s="78" t="s">
        <v>289</v>
      </c>
      <c r="E13" s="65">
        <f>SUM(E5:E12)</f>
        <v>797</v>
      </c>
      <c r="F13" s="65">
        <f>SUM(F5:F12)</f>
        <v>835.55</v>
      </c>
      <c r="G13" s="168">
        <f t="shared" si="0"/>
        <v>0.95386272515109816</v>
      </c>
      <c r="H13" s="64" t="s">
        <v>20</v>
      </c>
      <c r="I13" s="63">
        <v>168000</v>
      </c>
      <c r="J13" s="63">
        <f>I13</f>
        <v>168000</v>
      </c>
      <c r="K13" s="63">
        <v>0</v>
      </c>
    </row>
    <row r="14" spans="2:11" s="21" customFormat="1" ht="14.5" customHeight="1" x14ac:dyDescent="0.2">
      <c r="B14" s="397"/>
      <c r="C14" s="125" t="s">
        <v>350</v>
      </c>
      <c r="D14" s="125" t="s">
        <v>99</v>
      </c>
      <c r="E14" s="122">
        <v>117</v>
      </c>
      <c r="F14" s="122">
        <v>118.33333333333333</v>
      </c>
      <c r="G14" s="163">
        <f t="shared" si="0"/>
        <v>0.9887323943661972</v>
      </c>
      <c r="H14" s="122"/>
      <c r="I14" s="122"/>
      <c r="J14" s="122">
        <f>I14*55%</f>
        <v>0</v>
      </c>
      <c r="K14" s="122">
        <f>I14*45%</f>
        <v>0</v>
      </c>
    </row>
    <row r="15" spans="2:11" ht="14.5" customHeight="1" x14ac:dyDescent="0.2">
      <c r="B15" s="397"/>
      <c r="C15" s="117" t="s">
        <v>351</v>
      </c>
      <c r="D15" s="117" t="s">
        <v>100</v>
      </c>
      <c r="E15" s="122">
        <v>124</v>
      </c>
      <c r="F15" s="122">
        <v>122.66666666666667</v>
      </c>
      <c r="G15" s="163">
        <f t="shared" si="0"/>
        <v>1.0108695652173914</v>
      </c>
      <c r="H15" s="122"/>
      <c r="I15" s="122"/>
      <c r="J15" s="122">
        <f>I15*55%</f>
        <v>0</v>
      </c>
      <c r="K15" s="122">
        <f>I15*45%</f>
        <v>0</v>
      </c>
    </row>
    <row r="16" spans="2:11" ht="14.5" customHeight="1" x14ac:dyDescent="0.2">
      <c r="B16" s="397"/>
      <c r="C16" s="117" t="s">
        <v>352</v>
      </c>
      <c r="D16" s="117" t="s">
        <v>238</v>
      </c>
      <c r="E16" s="122">
        <v>114</v>
      </c>
      <c r="F16" s="122">
        <v>129.66666666666666</v>
      </c>
      <c r="G16" s="163">
        <f t="shared" si="0"/>
        <v>0.87917737789203088</v>
      </c>
      <c r="H16" s="122"/>
      <c r="I16" s="122"/>
      <c r="J16" s="122">
        <f t="shared" ref="J16:J18" si="5">I16*55%</f>
        <v>0</v>
      </c>
      <c r="K16" s="122">
        <f t="shared" ref="K16:K18" si="6">I16*45%</f>
        <v>0</v>
      </c>
    </row>
    <row r="17" spans="2:13" ht="14.5" customHeight="1" x14ac:dyDescent="0.2">
      <c r="B17" s="397"/>
      <c r="C17" s="117" t="s">
        <v>353</v>
      </c>
      <c r="D17" s="117" t="s">
        <v>239</v>
      </c>
      <c r="E17" s="122">
        <v>104</v>
      </c>
      <c r="F17" s="122">
        <v>108.33333333333333</v>
      </c>
      <c r="G17" s="163">
        <f t="shared" si="0"/>
        <v>0.96000000000000008</v>
      </c>
      <c r="H17" s="122"/>
      <c r="I17" s="122"/>
      <c r="J17" s="122">
        <f t="shared" si="5"/>
        <v>0</v>
      </c>
      <c r="K17" s="122">
        <f t="shared" si="6"/>
        <v>0</v>
      </c>
    </row>
    <row r="18" spans="2:13" ht="14.5" customHeight="1" x14ac:dyDescent="0.2">
      <c r="B18" s="397"/>
      <c r="C18" s="117" t="s">
        <v>354</v>
      </c>
      <c r="D18" s="117" t="s">
        <v>294</v>
      </c>
      <c r="E18" s="122">
        <v>93</v>
      </c>
      <c r="F18" s="122">
        <v>106.33333333333333</v>
      </c>
      <c r="G18" s="163">
        <f t="shared" si="0"/>
        <v>0.87460815047021945</v>
      </c>
      <c r="H18" s="122"/>
      <c r="I18" s="122"/>
      <c r="J18" s="122">
        <f t="shared" si="5"/>
        <v>0</v>
      </c>
      <c r="K18" s="122">
        <f t="shared" si="6"/>
        <v>0</v>
      </c>
    </row>
    <row r="19" spans="2:13" ht="14.5" customHeight="1" x14ac:dyDescent="0.2">
      <c r="B19" s="397"/>
      <c r="C19" s="117" t="s">
        <v>355</v>
      </c>
      <c r="D19" s="117" t="s">
        <v>273</v>
      </c>
      <c r="E19" s="122">
        <v>83</v>
      </c>
      <c r="F19" s="122">
        <v>90</v>
      </c>
      <c r="G19" s="163">
        <f t="shared" si="0"/>
        <v>0.92222222222222228</v>
      </c>
      <c r="H19" s="122"/>
      <c r="I19" s="122"/>
      <c r="J19" s="122">
        <f t="shared" ref="J19" si="7">I19*70%</f>
        <v>0</v>
      </c>
      <c r="K19" s="122">
        <f t="shared" ref="K19" si="8">I19*30%</f>
        <v>0</v>
      </c>
    </row>
    <row r="20" spans="2:13" ht="14.5" customHeight="1" x14ac:dyDescent="0.2">
      <c r="B20" s="397"/>
      <c r="C20" s="117"/>
      <c r="D20" s="117" t="s">
        <v>243</v>
      </c>
      <c r="E20" s="122">
        <v>140</v>
      </c>
      <c r="F20" s="122">
        <v>131.66666666666666</v>
      </c>
      <c r="G20" s="163">
        <f t="shared" si="0"/>
        <v>1.0632911392405064</v>
      </c>
      <c r="H20" s="122"/>
      <c r="I20" s="122"/>
      <c r="J20" s="122">
        <f t="shared" ref="J20" si="9">I20*55%</f>
        <v>0</v>
      </c>
      <c r="K20" s="122">
        <f t="shared" ref="K20" si="10">I20*45%</f>
        <v>0</v>
      </c>
    </row>
    <row r="21" spans="2:13" s="37" customFormat="1" ht="14.5" customHeight="1" x14ac:dyDescent="0.2">
      <c r="B21" s="397"/>
      <c r="C21" s="78"/>
      <c r="D21" s="78" t="s">
        <v>293</v>
      </c>
      <c r="E21" s="65">
        <f>SUM(E14:E20)</f>
        <v>775</v>
      </c>
      <c r="F21" s="65">
        <f>SUM(F14:F20)</f>
        <v>806.99999999999989</v>
      </c>
      <c r="G21" s="168">
        <f t="shared" si="0"/>
        <v>0.96034696406443631</v>
      </c>
      <c r="H21" s="64" t="s">
        <v>20</v>
      </c>
      <c r="I21" s="63">
        <v>168000</v>
      </c>
      <c r="J21" s="63">
        <f t="shared" ref="J21:J27" si="11">I21</f>
        <v>168000</v>
      </c>
      <c r="K21" s="63">
        <v>0</v>
      </c>
      <c r="M21"/>
    </row>
    <row r="22" spans="2:13" s="37" customFormat="1" ht="14.5" customHeight="1" x14ac:dyDescent="0.2">
      <c r="B22" s="397"/>
      <c r="C22" s="52" t="s">
        <v>356</v>
      </c>
      <c r="D22" s="52" t="s">
        <v>147</v>
      </c>
      <c r="E22" s="15">
        <v>16</v>
      </c>
      <c r="F22" s="15">
        <v>40</v>
      </c>
      <c r="G22" s="20">
        <f t="shared" si="0"/>
        <v>0.4</v>
      </c>
      <c r="H22" s="12" t="s">
        <v>468</v>
      </c>
      <c r="I22" s="14">
        <v>0</v>
      </c>
      <c r="J22" s="15">
        <f t="shared" si="11"/>
        <v>0</v>
      </c>
      <c r="K22" s="15">
        <v>0</v>
      </c>
      <c r="M22"/>
    </row>
    <row r="23" spans="2:13" s="37" customFormat="1" ht="14.5" customHeight="1" x14ac:dyDescent="0.2">
      <c r="B23" s="397"/>
      <c r="C23" s="52" t="s">
        <v>357</v>
      </c>
      <c r="D23" s="52" t="s">
        <v>813</v>
      </c>
      <c r="E23" s="15">
        <v>50</v>
      </c>
      <c r="F23" s="15">
        <v>55</v>
      </c>
      <c r="G23" s="20">
        <f t="shared" si="0"/>
        <v>0.90909090909090906</v>
      </c>
      <c r="H23" s="12" t="s">
        <v>468</v>
      </c>
      <c r="I23" s="14">
        <v>98000</v>
      </c>
      <c r="J23" s="14">
        <f t="shared" si="11"/>
        <v>98000</v>
      </c>
      <c r="K23" s="14">
        <v>0</v>
      </c>
      <c r="M23"/>
    </row>
    <row r="24" spans="2:13" s="37" customFormat="1" ht="14.5" customHeight="1" x14ac:dyDescent="0.2">
      <c r="B24" s="397"/>
      <c r="C24" s="78"/>
      <c r="D24" s="78" t="s">
        <v>146</v>
      </c>
      <c r="E24" s="65">
        <f>SUM(E22:E23)</f>
        <v>66</v>
      </c>
      <c r="F24" s="65">
        <f>SUM(F22:F23)</f>
        <v>95</v>
      </c>
      <c r="G24" s="168">
        <f t="shared" si="0"/>
        <v>0.69473684210526321</v>
      </c>
      <c r="H24" s="64" t="s">
        <v>20</v>
      </c>
      <c r="I24" s="63">
        <v>0</v>
      </c>
      <c r="J24" s="63">
        <f t="shared" si="11"/>
        <v>0</v>
      </c>
      <c r="K24" s="63">
        <v>0</v>
      </c>
      <c r="M24"/>
    </row>
    <row r="25" spans="2:13" s="37" customFormat="1" ht="14.5" customHeight="1" x14ac:dyDescent="0.2">
      <c r="B25" s="397"/>
      <c r="C25" s="117" t="s">
        <v>358</v>
      </c>
      <c r="D25" s="117" t="s">
        <v>258</v>
      </c>
      <c r="E25" s="122"/>
      <c r="F25" s="122"/>
      <c r="G25" s="163" t="e">
        <f t="shared" si="0"/>
        <v>#DIV/0!</v>
      </c>
      <c r="H25" s="122"/>
      <c r="I25" s="122"/>
      <c r="J25" s="122">
        <f t="shared" si="11"/>
        <v>0</v>
      </c>
      <c r="K25" s="122">
        <v>0</v>
      </c>
      <c r="M25"/>
    </row>
    <row r="26" spans="2:13" s="37" customFormat="1" ht="14.5" customHeight="1" x14ac:dyDescent="0.2">
      <c r="B26" s="397"/>
      <c r="C26" s="117" t="s">
        <v>525</v>
      </c>
      <c r="D26" s="117" t="s">
        <v>578</v>
      </c>
      <c r="E26" s="122"/>
      <c r="F26" s="122"/>
      <c r="G26" s="163" t="e">
        <f t="shared" si="0"/>
        <v>#DIV/0!</v>
      </c>
      <c r="H26" s="122"/>
      <c r="I26" s="122"/>
      <c r="J26" s="122">
        <f t="shared" si="11"/>
        <v>0</v>
      </c>
      <c r="K26" s="122">
        <v>0</v>
      </c>
      <c r="M26"/>
    </row>
    <row r="27" spans="2:13" s="37" customFormat="1" ht="14.5" customHeight="1" x14ac:dyDescent="0.2">
      <c r="B27" s="397"/>
      <c r="C27" s="78"/>
      <c r="D27" s="78" t="s">
        <v>587</v>
      </c>
      <c r="E27" s="65">
        <f t="shared" ref="E27:F27" si="12">SUM(E25:E26)</f>
        <v>0</v>
      </c>
      <c r="F27" s="65">
        <f t="shared" si="12"/>
        <v>0</v>
      </c>
      <c r="G27" s="66" t="e">
        <f t="shared" si="0"/>
        <v>#DIV/0!</v>
      </c>
      <c r="H27" s="64" t="s">
        <v>20</v>
      </c>
      <c r="I27" s="63">
        <v>0</v>
      </c>
      <c r="J27" s="63">
        <f t="shared" si="11"/>
        <v>0</v>
      </c>
      <c r="K27" s="63">
        <v>0</v>
      </c>
      <c r="M27"/>
    </row>
    <row r="28" spans="2:13" s="21" customFormat="1" ht="14.5" customHeight="1" x14ac:dyDescent="0.2">
      <c r="B28" s="397"/>
      <c r="C28" s="77"/>
      <c r="D28" s="77" t="s">
        <v>24</v>
      </c>
      <c r="E28" s="24">
        <f>SUM(E27,E24,E21,E13)</f>
        <v>1638</v>
      </c>
      <c r="F28" s="24">
        <f>SUM(F27,F24,F21,F13)</f>
        <v>1737.5499999999997</v>
      </c>
      <c r="G28" s="169">
        <f t="shared" si="0"/>
        <v>0.94270668469972096</v>
      </c>
      <c r="H28" s="42"/>
      <c r="I28" s="23">
        <f>SUM(I5:I27)</f>
        <v>509000</v>
      </c>
      <c r="J28" s="23">
        <f>SUM(J5:J27)</f>
        <v>486500</v>
      </c>
      <c r="K28" s="23">
        <f>SUM(K5:K27)</f>
        <v>22500</v>
      </c>
      <c r="M28"/>
    </row>
    <row r="29" spans="2:13" ht="14.5" customHeight="1" x14ac:dyDescent="0.2">
      <c r="B29" s="397" t="s">
        <v>32</v>
      </c>
      <c r="C29" s="117" t="s">
        <v>359</v>
      </c>
      <c r="D29" s="117" t="s">
        <v>103</v>
      </c>
      <c r="E29" s="122">
        <v>163</v>
      </c>
      <c r="F29" s="122">
        <v>154</v>
      </c>
      <c r="G29" s="163">
        <f t="shared" si="0"/>
        <v>1.0584415584415585</v>
      </c>
      <c r="H29" s="122"/>
      <c r="I29" s="122"/>
      <c r="J29" s="122">
        <f t="shared" ref="J29" si="13">I29*55%</f>
        <v>0</v>
      </c>
      <c r="K29" s="122">
        <f t="shared" ref="K29" si="14">I29*45%</f>
        <v>0</v>
      </c>
    </row>
    <row r="30" spans="2:13" ht="14.5" customHeight="1" x14ac:dyDescent="0.2">
      <c r="B30" s="397"/>
      <c r="C30" s="117" t="s">
        <v>360</v>
      </c>
      <c r="D30" s="117" t="s">
        <v>104</v>
      </c>
      <c r="E30" s="122">
        <v>214</v>
      </c>
      <c r="F30" s="122">
        <v>212</v>
      </c>
      <c r="G30" s="163">
        <f t="shared" si="0"/>
        <v>1.0094339622641511</v>
      </c>
      <c r="H30" s="122"/>
      <c r="I30" s="122"/>
      <c r="J30" s="122">
        <f t="shared" ref="J30" si="15">I30*70%</f>
        <v>0</v>
      </c>
      <c r="K30" s="122">
        <f t="shared" ref="K30" si="16">I30*30%</f>
        <v>0</v>
      </c>
    </row>
    <row r="31" spans="2:13" ht="14.5" customHeight="1" x14ac:dyDescent="0.2">
      <c r="B31" s="397"/>
      <c r="C31" s="193"/>
      <c r="D31" s="193" t="s">
        <v>148</v>
      </c>
      <c r="E31" s="122"/>
      <c r="F31" s="122"/>
      <c r="G31" s="163" t="e">
        <f t="shared" si="0"/>
        <v>#DIV/0!</v>
      </c>
      <c r="H31" s="122"/>
      <c r="I31" s="122"/>
      <c r="J31" s="122"/>
      <c r="K31" s="122"/>
    </row>
    <row r="32" spans="2:13" ht="14.5" customHeight="1" x14ac:dyDescent="0.2">
      <c r="B32" s="397"/>
      <c r="C32" s="117" t="s">
        <v>361</v>
      </c>
      <c r="D32" s="117" t="s">
        <v>295</v>
      </c>
      <c r="E32" s="122">
        <v>118</v>
      </c>
      <c r="F32" s="122">
        <v>100</v>
      </c>
      <c r="G32" s="163">
        <f t="shared" si="0"/>
        <v>1.18</v>
      </c>
      <c r="H32" s="117"/>
      <c r="I32" s="117"/>
      <c r="J32" s="117"/>
      <c r="K32" s="117"/>
    </row>
    <row r="33" spans="2:11" s="37" customFormat="1" ht="14.5" customHeight="1" x14ac:dyDescent="0.2">
      <c r="B33" s="397"/>
      <c r="C33" s="78"/>
      <c r="D33" s="78" t="s">
        <v>72</v>
      </c>
      <c r="E33" s="65">
        <f>SUM(E29:E32)</f>
        <v>495</v>
      </c>
      <c r="F33" s="65">
        <f>SUM(F29:F32)</f>
        <v>466</v>
      </c>
      <c r="G33" s="168">
        <f t="shared" si="0"/>
        <v>1.0622317596566524</v>
      </c>
      <c r="H33" s="64" t="s">
        <v>20</v>
      </c>
      <c r="I33" s="63">
        <v>240000</v>
      </c>
      <c r="J33" s="63">
        <f>I33</f>
        <v>240000</v>
      </c>
      <c r="K33" s="63">
        <v>0</v>
      </c>
    </row>
    <row r="34" spans="2:11" ht="14.5" customHeight="1" x14ac:dyDescent="0.2">
      <c r="B34" s="397"/>
      <c r="C34" s="77"/>
      <c r="D34" s="77" t="s">
        <v>34</v>
      </c>
      <c r="E34" s="24">
        <f>SUM(E33)</f>
        <v>495</v>
      </c>
      <c r="F34" s="24">
        <f>SUM(F33)</f>
        <v>466</v>
      </c>
      <c r="G34" s="76">
        <f t="shared" si="0"/>
        <v>1.0622317596566524</v>
      </c>
      <c r="H34" s="42"/>
      <c r="I34" s="23">
        <f>SUM(I29:I33)</f>
        <v>240000</v>
      </c>
      <c r="J34" s="23">
        <f t="shared" ref="J34:K34" si="17">SUM(J29:J33)</f>
        <v>240000</v>
      </c>
      <c r="K34" s="23">
        <f t="shared" si="17"/>
        <v>0</v>
      </c>
    </row>
    <row r="35" spans="2:11" ht="14.5" customHeight="1" x14ac:dyDescent="0.2">
      <c r="B35" s="397" t="s">
        <v>256</v>
      </c>
      <c r="C35" s="74" t="s">
        <v>362</v>
      </c>
      <c r="D35" s="74" t="s">
        <v>106</v>
      </c>
      <c r="E35" s="15">
        <v>112</v>
      </c>
      <c r="F35" s="15">
        <v>105</v>
      </c>
      <c r="G35" s="20">
        <f t="shared" si="0"/>
        <v>1.0666666666666667</v>
      </c>
      <c r="H35" s="12" t="s">
        <v>14</v>
      </c>
      <c r="I35" s="15">
        <v>120000</v>
      </c>
      <c r="J35" s="15">
        <f t="shared" ref="J35" si="18">I35*55%</f>
        <v>66000</v>
      </c>
      <c r="K35" s="15">
        <f t="shared" ref="K35" si="19">I35*45%</f>
        <v>54000</v>
      </c>
    </row>
    <row r="36" spans="2:11" ht="14.5" customHeight="1" x14ac:dyDescent="0.2">
      <c r="B36" s="397"/>
      <c r="C36" s="52" t="s">
        <v>363</v>
      </c>
      <c r="D36" s="52" t="s">
        <v>298</v>
      </c>
      <c r="E36" s="15">
        <v>125</v>
      </c>
      <c r="F36" s="15">
        <v>110</v>
      </c>
      <c r="G36" s="20">
        <f t="shared" si="0"/>
        <v>1.1363636363636365</v>
      </c>
      <c r="H36" s="12" t="s">
        <v>18</v>
      </c>
      <c r="I36" s="15">
        <v>112500</v>
      </c>
      <c r="J36" s="15">
        <f t="shared" ref="J36:J37" si="20">I36*70%</f>
        <v>78750</v>
      </c>
      <c r="K36" s="15">
        <f t="shared" ref="K36:K37" si="21">I36*30%</f>
        <v>33750</v>
      </c>
    </row>
    <row r="37" spans="2:11" ht="14.5" customHeight="1" x14ac:dyDescent="0.2">
      <c r="B37" s="397"/>
      <c r="C37" s="52" t="s">
        <v>364</v>
      </c>
      <c r="D37" s="52" t="s">
        <v>274</v>
      </c>
      <c r="E37" s="15">
        <v>100</v>
      </c>
      <c r="F37" s="15">
        <v>90</v>
      </c>
      <c r="G37" s="20">
        <f t="shared" si="0"/>
        <v>1.1111111111111112</v>
      </c>
      <c r="H37" s="12" t="s">
        <v>18</v>
      </c>
      <c r="I37" s="15">
        <v>112500</v>
      </c>
      <c r="J37" s="15">
        <f t="shared" si="20"/>
        <v>78750</v>
      </c>
      <c r="K37" s="15">
        <f t="shared" si="21"/>
        <v>33750</v>
      </c>
    </row>
    <row r="38" spans="2:11" s="37" customFormat="1" ht="14.5" customHeight="1" x14ac:dyDescent="0.2">
      <c r="B38" s="397"/>
      <c r="C38" s="70"/>
      <c r="D38" s="70" t="s">
        <v>259</v>
      </c>
      <c r="E38" s="65">
        <f>SUM(E35:E37)</f>
        <v>337</v>
      </c>
      <c r="F38" s="65">
        <f>SUM(F35:F37)</f>
        <v>305</v>
      </c>
      <c r="G38" s="66">
        <f t="shared" si="0"/>
        <v>1.1049180327868853</v>
      </c>
      <c r="H38" s="64" t="s">
        <v>20</v>
      </c>
      <c r="I38" s="63">
        <v>336000</v>
      </c>
      <c r="J38" s="63">
        <f>I38</f>
        <v>336000</v>
      </c>
      <c r="K38" s="63">
        <v>0</v>
      </c>
    </row>
    <row r="39" spans="2:11" ht="14.5" customHeight="1" x14ac:dyDescent="0.2">
      <c r="B39" s="397"/>
      <c r="C39" s="77"/>
      <c r="D39" s="77" t="s">
        <v>257</v>
      </c>
      <c r="E39" s="24">
        <f>SUM(E38)</f>
        <v>337</v>
      </c>
      <c r="F39" s="24">
        <f>SUM(F38)</f>
        <v>305</v>
      </c>
      <c r="G39" s="76">
        <f t="shared" si="0"/>
        <v>1.1049180327868853</v>
      </c>
      <c r="H39" s="42"/>
      <c r="I39" s="23">
        <f>SUM(I35:I38)</f>
        <v>681000</v>
      </c>
      <c r="J39" s="23">
        <f t="shared" ref="J39:K39" si="22">SUM(J35:J38)</f>
        <v>559500</v>
      </c>
      <c r="K39" s="23">
        <f t="shared" si="22"/>
        <v>121500</v>
      </c>
    </row>
    <row r="40" spans="2:11" s="21" customFormat="1" ht="14.5" customHeight="1" x14ac:dyDescent="0.2">
      <c r="B40" s="79"/>
      <c r="C40" s="80"/>
      <c r="D40" s="80" t="s">
        <v>110</v>
      </c>
      <c r="E40" s="43">
        <f>SUM(E39,E34,E28)</f>
        <v>2470</v>
      </c>
      <c r="F40" s="43">
        <f>SUM(F39,F34,F28)</f>
        <v>2508.5499999999997</v>
      </c>
      <c r="G40" s="81">
        <f t="shared" si="0"/>
        <v>0.98463255665623584</v>
      </c>
      <c r="H40" s="205"/>
      <c r="I40" s="43">
        <f t="shared" ref="I40:K40" si="23">SUM(I39,I34,I28)</f>
        <v>1430000</v>
      </c>
      <c r="J40" s="43">
        <f t="shared" si="23"/>
        <v>1286000</v>
      </c>
      <c r="K40" s="43">
        <f t="shared" si="23"/>
        <v>144000</v>
      </c>
    </row>
    <row r="46" spans="2:11" ht="14.5" customHeight="1" x14ac:dyDescent="0.2">
      <c r="B46" s="4" t="s">
        <v>168</v>
      </c>
      <c r="C46" s="5"/>
      <c r="D46" s="5"/>
      <c r="E46" s="33"/>
      <c r="F46" s="33"/>
      <c r="G46" s="34"/>
    </row>
    <row r="47" spans="2:11" ht="14.5" customHeight="1" x14ac:dyDescent="0.2">
      <c r="B47" s="8"/>
      <c r="C47" s="8"/>
      <c r="D47" s="8"/>
      <c r="E47" s="35"/>
      <c r="F47" s="35"/>
      <c r="G47" s="34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385" t="s">
        <v>5</v>
      </c>
      <c r="F48" s="385"/>
      <c r="G48" s="417" t="s">
        <v>56</v>
      </c>
      <c r="H48" s="394" t="s">
        <v>3</v>
      </c>
      <c r="I48" s="398" t="s">
        <v>421</v>
      </c>
      <c r="J48" s="398" t="s">
        <v>8</v>
      </c>
      <c r="K48" s="398" t="s">
        <v>75</v>
      </c>
    </row>
    <row r="49" spans="2:12" ht="14.5" customHeight="1" x14ac:dyDescent="0.2">
      <c r="B49" s="388"/>
      <c r="C49" s="388"/>
      <c r="D49" s="388"/>
      <c r="E49" s="36" t="s">
        <v>77</v>
      </c>
      <c r="F49" s="54" t="s">
        <v>58</v>
      </c>
      <c r="G49" s="417"/>
      <c r="H49" s="394"/>
      <c r="I49" s="398"/>
      <c r="J49" s="398"/>
      <c r="K49" s="398"/>
    </row>
    <row r="50" spans="2:12" ht="14.5" customHeight="1" x14ac:dyDescent="0.2">
      <c r="B50" s="397" t="s">
        <v>25</v>
      </c>
      <c r="C50" s="193"/>
      <c r="D50" s="193" t="s">
        <v>148</v>
      </c>
      <c r="E50" s="122"/>
      <c r="F50" s="122"/>
      <c r="G50" s="163"/>
      <c r="H50" s="122"/>
      <c r="I50" s="122"/>
      <c r="J50" s="122"/>
      <c r="K50" s="122"/>
    </row>
    <row r="51" spans="2:12" s="21" customFormat="1" ht="14.5" customHeight="1" x14ac:dyDescent="0.2">
      <c r="B51" s="397"/>
      <c r="C51" s="125" t="s">
        <v>365</v>
      </c>
      <c r="D51" s="125" t="s">
        <v>151</v>
      </c>
      <c r="E51" s="122">
        <v>160</v>
      </c>
      <c r="F51" s="122">
        <v>156.75</v>
      </c>
      <c r="G51" s="163">
        <f t="shared" ref="G51:G77" si="24">E51/F51*100%</f>
        <v>1.0207336523125996</v>
      </c>
      <c r="H51" s="122"/>
      <c r="I51" s="122"/>
      <c r="J51" s="122">
        <f>I51*70%</f>
        <v>0</v>
      </c>
      <c r="K51" s="122">
        <f>I51*30%</f>
        <v>0</v>
      </c>
    </row>
    <row r="52" spans="2:12" ht="14.5" customHeight="1" x14ac:dyDescent="0.2">
      <c r="B52" s="397"/>
      <c r="C52" s="117" t="s">
        <v>366</v>
      </c>
      <c r="D52" s="117" t="s">
        <v>241</v>
      </c>
      <c r="E52" s="122">
        <v>164</v>
      </c>
      <c r="F52" s="122">
        <v>154.85</v>
      </c>
      <c r="G52" s="163">
        <f t="shared" si="24"/>
        <v>1.0590894413948984</v>
      </c>
      <c r="H52" s="122"/>
      <c r="I52" s="122"/>
      <c r="J52" s="122">
        <f>I52*70%</f>
        <v>0</v>
      </c>
      <c r="K52" s="122">
        <f>I52*30%</f>
        <v>0</v>
      </c>
    </row>
    <row r="53" spans="2:12" ht="14.5" customHeight="1" x14ac:dyDescent="0.2">
      <c r="B53" s="397"/>
      <c r="C53" s="117" t="s">
        <v>368</v>
      </c>
      <c r="D53" s="117" t="s">
        <v>107</v>
      </c>
      <c r="E53" s="122">
        <v>181</v>
      </c>
      <c r="F53" s="122">
        <v>171.95</v>
      </c>
      <c r="G53" s="163">
        <f t="shared" si="24"/>
        <v>1.0526315789473686</v>
      </c>
      <c r="H53" s="122"/>
      <c r="I53" s="122"/>
      <c r="J53" s="122">
        <f>I53*70%</f>
        <v>0</v>
      </c>
      <c r="K53" s="122">
        <f>I53*30%</f>
        <v>0</v>
      </c>
    </row>
    <row r="54" spans="2:12" ht="14.5" customHeight="1" x14ac:dyDescent="0.2">
      <c r="B54" s="397"/>
      <c r="C54" s="117" t="s">
        <v>369</v>
      </c>
      <c r="D54" s="117" t="s">
        <v>262</v>
      </c>
      <c r="E54" s="122">
        <v>195</v>
      </c>
      <c r="F54" s="122">
        <v>209</v>
      </c>
      <c r="G54" s="163">
        <f t="shared" si="24"/>
        <v>0.93301435406698563</v>
      </c>
      <c r="H54" s="122"/>
      <c r="I54" s="122"/>
      <c r="J54" s="122">
        <f>I54*70%</f>
        <v>0</v>
      </c>
      <c r="K54" s="122">
        <f>I54*30%</f>
        <v>0</v>
      </c>
    </row>
    <row r="55" spans="2:12" s="37" customFormat="1" ht="14.5" customHeight="1" x14ac:dyDescent="0.2">
      <c r="B55" s="397"/>
      <c r="C55" s="78"/>
      <c r="D55" s="78" t="s">
        <v>177</v>
      </c>
      <c r="E55" s="65">
        <f>SUM(E50:E54)</f>
        <v>700</v>
      </c>
      <c r="F55" s="65">
        <f>SUM(F50:F54)</f>
        <v>692.55</v>
      </c>
      <c r="G55" s="168">
        <f t="shared" si="24"/>
        <v>1.0107573460399972</v>
      </c>
      <c r="H55" s="64" t="s">
        <v>20</v>
      </c>
      <c r="I55" s="63">
        <v>240000</v>
      </c>
      <c r="J55" s="63">
        <f>I55</f>
        <v>240000</v>
      </c>
      <c r="K55" s="63">
        <v>0</v>
      </c>
    </row>
    <row r="56" spans="2:12" ht="14.5" customHeight="1" x14ac:dyDescent="0.2">
      <c r="B56" s="397"/>
      <c r="C56" s="117" t="s">
        <v>370</v>
      </c>
      <c r="D56" s="117" t="s">
        <v>244</v>
      </c>
      <c r="E56" s="122">
        <v>164</v>
      </c>
      <c r="F56" s="122">
        <v>159.6</v>
      </c>
      <c r="G56" s="163">
        <f t="shared" si="24"/>
        <v>1.0275689223057645</v>
      </c>
      <c r="H56" s="122"/>
      <c r="I56" s="122"/>
      <c r="J56" s="122">
        <f t="shared" ref="J56" si="25">I56*70%</f>
        <v>0</v>
      </c>
      <c r="K56" s="122">
        <f t="shared" ref="K56" si="26">I56*30%</f>
        <v>0</v>
      </c>
    </row>
    <row r="57" spans="2:12" ht="14.5" customHeight="1" x14ac:dyDescent="0.2">
      <c r="B57" s="397"/>
      <c r="C57" s="117" t="s">
        <v>367</v>
      </c>
      <c r="D57" s="117" t="s">
        <v>242</v>
      </c>
      <c r="E57" s="122">
        <v>130</v>
      </c>
      <c r="F57" s="122">
        <v>115.89999999999999</v>
      </c>
      <c r="G57" s="163">
        <f t="shared" si="24"/>
        <v>1.1216566005176878</v>
      </c>
      <c r="H57" s="122"/>
      <c r="I57" s="122"/>
      <c r="J57" s="122">
        <f>I57*70%</f>
        <v>0</v>
      </c>
      <c r="K57" s="122">
        <f>I57*30%</f>
        <v>0</v>
      </c>
    </row>
    <row r="58" spans="2:12" ht="14.5" customHeight="1" x14ac:dyDescent="0.2">
      <c r="B58" s="397"/>
      <c r="C58" s="193"/>
      <c r="D58" s="193" t="s">
        <v>148</v>
      </c>
      <c r="E58" s="122"/>
      <c r="F58" s="122"/>
      <c r="G58" s="163"/>
      <c r="H58" s="122"/>
      <c r="I58" s="122"/>
      <c r="J58" s="122"/>
      <c r="K58" s="122"/>
    </row>
    <row r="59" spans="2:12" ht="14.5" customHeight="1" x14ac:dyDescent="0.2">
      <c r="B59" s="397"/>
      <c r="C59" s="117" t="s">
        <v>371</v>
      </c>
      <c r="D59" s="117" t="s">
        <v>303</v>
      </c>
      <c r="E59" s="122">
        <v>146</v>
      </c>
      <c r="F59" s="122">
        <v>139.65</v>
      </c>
      <c r="G59" s="163">
        <f t="shared" si="24"/>
        <v>1.04547081990691</v>
      </c>
      <c r="H59" s="122"/>
      <c r="I59" s="122"/>
      <c r="J59" s="122">
        <f>I59*55%</f>
        <v>0</v>
      </c>
      <c r="K59" s="122">
        <f>I59*45%</f>
        <v>0</v>
      </c>
    </row>
    <row r="60" spans="2:12" ht="14.5" customHeight="1" x14ac:dyDescent="0.2">
      <c r="B60" s="397"/>
      <c r="C60" s="117" t="s">
        <v>372</v>
      </c>
      <c r="D60" s="117" t="s">
        <v>108</v>
      </c>
      <c r="E60" s="122">
        <v>82</v>
      </c>
      <c r="F60" s="122">
        <v>76.95</v>
      </c>
      <c r="G60" s="163">
        <f t="shared" si="24"/>
        <v>1.0656270305393112</v>
      </c>
      <c r="H60" s="122"/>
      <c r="I60" s="122"/>
      <c r="J60" s="122">
        <f>I60*55%</f>
        <v>0</v>
      </c>
      <c r="K60" s="122">
        <f>I60*45%</f>
        <v>0</v>
      </c>
    </row>
    <row r="61" spans="2:12" ht="14.5" customHeight="1" x14ac:dyDescent="0.2">
      <c r="B61" s="397"/>
      <c r="C61" s="52" t="s">
        <v>373</v>
      </c>
      <c r="D61" s="52" t="s">
        <v>268</v>
      </c>
      <c r="E61" s="183">
        <v>41</v>
      </c>
      <c r="F61" s="183">
        <v>42.75</v>
      </c>
      <c r="G61" s="20">
        <f t="shared" si="24"/>
        <v>0.95906432748538006</v>
      </c>
      <c r="H61" s="185" t="s">
        <v>468</v>
      </c>
      <c r="I61" s="183">
        <v>98000</v>
      </c>
      <c r="J61" s="183">
        <f>I61</f>
        <v>98000</v>
      </c>
      <c r="K61" s="183">
        <v>0</v>
      </c>
    </row>
    <row r="62" spans="2:12" s="37" customFormat="1" ht="14.5" customHeight="1" x14ac:dyDescent="0.2">
      <c r="B62" s="397"/>
      <c r="C62" s="78"/>
      <c r="D62" s="78" t="s">
        <v>177</v>
      </c>
      <c r="E62" s="65">
        <f>SUM(E56:E61)</f>
        <v>563</v>
      </c>
      <c r="F62" s="65">
        <f>SUM(F56:F61)</f>
        <v>534.84999999999991</v>
      </c>
      <c r="G62" s="168">
        <f t="shared" si="24"/>
        <v>1.0526315789473686</v>
      </c>
      <c r="H62" s="64" t="s">
        <v>20</v>
      </c>
      <c r="I62" s="63">
        <v>240000</v>
      </c>
      <c r="J62" s="63">
        <f>I62</f>
        <v>240000</v>
      </c>
      <c r="K62" s="63">
        <v>0</v>
      </c>
    </row>
    <row r="63" spans="2:12" ht="14.5" customHeight="1" x14ac:dyDescent="0.2">
      <c r="B63" s="397"/>
      <c r="C63" s="117" t="s">
        <v>374</v>
      </c>
      <c r="D63" s="117" t="s">
        <v>249</v>
      </c>
      <c r="E63" s="122"/>
      <c r="F63" s="122"/>
      <c r="G63" s="163" t="e">
        <f t="shared" si="24"/>
        <v>#DIV/0!</v>
      </c>
      <c r="H63" s="122"/>
      <c r="I63" s="122"/>
      <c r="J63" s="122">
        <f t="shared" ref="J63" si="27">I63*70%</f>
        <v>0</v>
      </c>
      <c r="K63" s="122">
        <f t="shared" ref="K63" si="28">I63*30%</f>
        <v>0</v>
      </c>
    </row>
    <row r="64" spans="2:12" s="21" customFormat="1" ht="14.5" customHeight="1" x14ac:dyDescent="0.2">
      <c r="B64" s="397"/>
      <c r="C64" s="77"/>
      <c r="D64" s="77" t="s">
        <v>30</v>
      </c>
      <c r="E64" s="24">
        <f>SUM(E63,E62,E55)</f>
        <v>1263</v>
      </c>
      <c r="F64" s="24">
        <f>SUM(F63,F62,F55)</f>
        <v>1227.3999999999999</v>
      </c>
      <c r="G64" s="169">
        <f t="shared" si="24"/>
        <v>1.0290043995437512</v>
      </c>
      <c r="H64" s="42"/>
      <c r="I64" s="23">
        <f>SUM(I50:I63)</f>
        <v>578000</v>
      </c>
      <c r="J64" s="23">
        <f t="shared" ref="J64:K64" si="29">SUM(J50:J63)</f>
        <v>578000</v>
      </c>
      <c r="K64" s="23">
        <f t="shared" si="29"/>
        <v>0</v>
      </c>
      <c r="L64"/>
    </row>
    <row r="65" spans="2:11" ht="14.5" customHeight="1" x14ac:dyDescent="0.2">
      <c r="B65" s="397" t="s">
        <v>59</v>
      </c>
      <c r="C65" s="117" t="s">
        <v>375</v>
      </c>
      <c r="D65" s="117" t="s">
        <v>211</v>
      </c>
      <c r="E65" s="122">
        <v>91</v>
      </c>
      <c r="F65" s="122">
        <v>131.1</v>
      </c>
      <c r="G65" s="163">
        <f t="shared" si="24"/>
        <v>0.69412662090007626</v>
      </c>
      <c r="H65" s="122"/>
      <c r="I65" s="122"/>
      <c r="J65" s="122">
        <f>I65</f>
        <v>0</v>
      </c>
      <c r="K65" s="122">
        <v>0</v>
      </c>
    </row>
    <row r="66" spans="2:11" ht="14.5" customHeight="1" x14ac:dyDescent="0.2">
      <c r="B66" s="397"/>
      <c r="C66" s="117" t="s">
        <v>376</v>
      </c>
      <c r="D66" s="117" t="s">
        <v>145</v>
      </c>
      <c r="E66" s="122">
        <v>167</v>
      </c>
      <c r="F66" s="122">
        <v>180.5</v>
      </c>
      <c r="G66" s="163">
        <f t="shared" si="24"/>
        <v>0.92520775623268703</v>
      </c>
      <c r="H66" s="122"/>
      <c r="I66" s="122"/>
      <c r="J66" s="122">
        <f t="shared" ref="J66:J67" si="30">I66*70%</f>
        <v>0</v>
      </c>
      <c r="K66" s="122">
        <f t="shared" ref="K66:K67" si="31">I66*30%</f>
        <v>0</v>
      </c>
    </row>
    <row r="67" spans="2:11" ht="14.5" customHeight="1" x14ac:dyDescent="0.2">
      <c r="B67" s="397"/>
      <c r="C67" s="117" t="s">
        <v>377</v>
      </c>
      <c r="D67" s="117" t="s">
        <v>287</v>
      </c>
      <c r="E67" s="122">
        <v>219</v>
      </c>
      <c r="F67" s="122">
        <v>247.95</v>
      </c>
      <c r="G67" s="163">
        <f t="shared" si="24"/>
        <v>0.88324258923169996</v>
      </c>
      <c r="H67" s="122"/>
      <c r="I67" s="122"/>
      <c r="J67" s="122">
        <f t="shared" si="30"/>
        <v>0</v>
      </c>
      <c r="K67" s="122">
        <f t="shared" si="31"/>
        <v>0</v>
      </c>
    </row>
    <row r="68" spans="2:11" ht="14.5" customHeight="1" x14ac:dyDescent="0.2">
      <c r="B68" s="397"/>
      <c r="C68" s="117" t="s">
        <v>379</v>
      </c>
      <c r="D68" s="117" t="s">
        <v>380</v>
      </c>
      <c r="E68" s="122">
        <v>17</v>
      </c>
      <c r="F68" s="122">
        <v>19.95</v>
      </c>
      <c r="G68" s="163">
        <f t="shared" si="24"/>
        <v>0.8521303258145364</v>
      </c>
      <c r="H68" s="122"/>
      <c r="I68" s="122"/>
      <c r="J68" s="122">
        <f>I68</f>
        <v>0</v>
      </c>
      <c r="K68" s="122">
        <v>0</v>
      </c>
    </row>
    <row r="69" spans="2:11" ht="14.5" customHeight="1" x14ac:dyDescent="0.2">
      <c r="B69" s="397"/>
      <c r="C69" s="52" t="s">
        <v>378</v>
      </c>
      <c r="D69" s="52" t="s">
        <v>210</v>
      </c>
      <c r="E69" s="183"/>
      <c r="F69" s="183"/>
      <c r="G69" s="20" t="e">
        <f t="shared" si="24"/>
        <v>#DIV/0!</v>
      </c>
      <c r="H69" s="12" t="s">
        <v>467</v>
      </c>
      <c r="I69" s="183">
        <v>0</v>
      </c>
      <c r="J69" s="183">
        <f>I69</f>
        <v>0</v>
      </c>
      <c r="K69" s="183">
        <v>0</v>
      </c>
    </row>
    <row r="70" spans="2:11" s="37" customFormat="1" ht="14.5" customHeight="1" x14ac:dyDescent="0.2">
      <c r="B70" s="397"/>
      <c r="C70" s="78"/>
      <c r="D70" s="78" t="s">
        <v>74</v>
      </c>
      <c r="E70" s="65">
        <f>SUM(E65:E69)</f>
        <v>494</v>
      </c>
      <c r="F70" s="65">
        <f>SUM(F65:F69)</f>
        <v>579.5</v>
      </c>
      <c r="G70" s="168">
        <f t="shared" si="24"/>
        <v>0.85245901639344257</v>
      </c>
      <c r="H70" s="64" t="s">
        <v>20</v>
      </c>
      <c r="I70" s="63">
        <v>108000</v>
      </c>
      <c r="J70" s="63">
        <f>I70</f>
        <v>108000</v>
      </c>
      <c r="K70" s="63">
        <v>0</v>
      </c>
    </row>
    <row r="71" spans="2:11" ht="14.5" customHeight="1" x14ac:dyDescent="0.2">
      <c r="B71" s="397"/>
      <c r="C71" s="77"/>
      <c r="D71" s="77" t="s">
        <v>36</v>
      </c>
      <c r="E71" s="24">
        <f>SUM(E70)</f>
        <v>494</v>
      </c>
      <c r="F71" s="24">
        <f>SUM(F70)</f>
        <v>579.5</v>
      </c>
      <c r="G71" s="76">
        <f t="shared" si="24"/>
        <v>0.85245901639344257</v>
      </c>
      <c r="H71" s="42"/>
      <c r="I71" s="23">
        <f>SUM(I65:I70)</f>
        <v>108000</v>
      </c>
      <c r="J71" s="23">
        <f t="shared" ref="J71:K71" si="32">SUM(J65:J70)</f>
        <v>108000</v>
      </c>
      <c r="K71" s="23">
        <f t="shared" si="32"/>
        <v>0</v>
      </c>
    </row>
    <row r="72" spans="2:11" ht="14.5" customHeight="1" x14ac:dyDescent="0.2">
      <c r="B72" s="397" t="s">
        <v>131</v>
      </c>
      <c r="C72" s="74" t="s">
        <v>381</v>
      </c>
      <c r="D72" s="74" t="s">
        <v>132</v>
      </c>
      <c r="E72" s="15">
        <v>40</v>
      </c>
      <c r="F72" s="15">
        <v>110.19999999999999</v>
      </c>
      <c r="G72" s="20">
        <f t="shared" si="24"/>
        <v>0.36297640653357538</v>
      </c>
      <c r="H72" s="12" t="s">
        <v>18</v>
      </c>
      <c r="I72" s="15">
        <v>0</v>
      </c>
      <c r="J72" s="15">
        <f t="shared" ref="J72:J74" si="33">I72*70%</f>
        <v>0</v>
      </c>
      <c r="K72" s="15">
        <f t="shared" ref="K72:K74" si="34">I72*30%</f>
        <v>0</v>
      </c>
    </row>
    <row r="73" spans="2:11" ht="14.5" customHeight="1" x14ac:dyDescent="0.2">
      <c r="B73" s="397"/>
      <c r="C73" s="52" t="s">
        <v>382</v>
      </c>
      <c r="D73" s="52" t="s">
        <v>667</v>
      </c>
      <c r="E73" s="15">
        <v>54</v>
      </c>
      <c r="F73" s="15">
        <v>110.19999999999999</v>
      </c>
      <c r="G73" s="20">
        <f t="shared" si="24"/>
        <v>0.49001814882032674</v>
      </c>
      <c r="H73" s="12" t="s">
        <v>18</v>
      </c>
      <c r="I73" s="15">
        <v>0</v>
      </c>
      <c r="J73" s="15">
        <f t="shared" si="33"/>
        <v>0</v>
      </c>
      <c r="K73" s="15">
        <f t="shared" si="34"/>
        <v>0</v>
      </c>
    </row>
    <row r="74" spans="2:11" ht="14.5" customHeight="1" x14ac:dyDescent="0.2">
      <c r="B74" s="397"/>
      <c r="C74" s="52" t="s">
        <v>383</v>
      </c>
      <c r="D74" s="52" t="s">
        <v>613</v>
      </c>
      <c r="E74" s="15">
        <v>106</v>
      </c>
      <c r="F74" s="15">
        <v>158.65</v>
      </c>
      <c r="G74" s="20">
        <f t="shared" si="24"/>
        <v>0.66813740939174282</v>
      </c>
      <c r="H74" s="12" t="s">
        <v>18</v>
      </c>
      <c r="I74" s="15">
        <v>0</v>
      </c>
      <c r="J74" s="15">
        <f t="shared" si="33"/>
        <v>0</v>
      </c>
      <c r="K74" s="15">
        <f t="shared" si="34"/>
        <v>0</v>
      </c>
    </row>
    <row r="75" spans="2:11" s="37" customFormat="1" ht="14.5" customHeight="1" x14ac:dyDescent="0.2">
      <c r="B75" s="397"/>
      <c r="C75" s="70"/>
      <c r="D75" s="70" t="s">
        <v>483</v>
      </c>
      <c r="E75" s="65">
        <f>SUM(E72:E74)</f>
        <v>200</v>
      </c>
      <c r="F75" s="65">
        <f>SUM(F72:F74)</f>
        <v>379.04999999999995</v>
      </c>
      <c r="G75" s="66">
        <f t="shared" si="24"/>
        <v>0.5276348766653477</v>
      </c>
      <c r="H75" s="64" t="s">
        <v>20</v>
      </c>
      <c r="I75" s="63">
        <v>0</v>
      </c>
      <c r="J75" s="63">
        <f>I75</f>
        <v>0</v>
      </c>
      <c r="K75" s="63">
        <v>0</v>
      </c>
    </row>
    <row r="76" spans="2:11" ht="14.5" customHeight="1" x14ac:dyDescent="0.2">
      <c r="B76" s="397"/>
      <c r="C76" s="77"/>
      <c r="D76" s="77" t="s">
        <v>133</v>
      </c>
      <c r="E76" s="24">
        <f>SUM(E75)</f>
        <v>200</v>
      </c>
      <c r="F76" s="24">
        <f>SUM(F75)</f>
        <v>379.04999999999995</v>
      </c>
      <c r="G76" s="76">
        <f t="shared" si="24"/>
        <v>0.5276348766653477</v>
      </c>
      <c r="H76" s="42"/>
      <c r="I76" s="23">
        <f>SUM(I72:I75)</f>
        <v>0</v>
      </c>
      <c r="J76" s="23">
        <f t="shared" ref="J76:K76" si="35">SUM(J72:J75)</f>
        <v>0</v>
      </c>
      <c r="K76" s="23">
        <f t="shared" si="35"/>
        <v>0</v>
      </c>
    </row>
    <row r="77" spans="2:11" s="21" customFormat="1" ht="14.5" customHeight="1" x14ac:dyDescent="0.2">
      <c r="B77" s="79"/>
      <c r="C77" s="80"/>
      <c r="D77" s="80" t="s">
        <v>109</v>
      </c>
      <c r="E77" s="43">
        <f>SUM(E76,E71,E64)</f>
        <v>1957</v>
      </c>
      <c r="F77" s="43">
        <f>SUM(F76,F71,F64)</f>
        <v>2185.9499999999998</v>
      </c>
      <c r="G77" s="81">
        <f t="shared" si="24"/>
        <v>0.89526292916123429</v>
      </c>
      <c r="H77" s="205"/>
      <c r="I77" s="43">
        <f>SUM(I76,I71,I64)</f>
        <v>686000</v>
      </c>
      <c r="J77" s="43">
        <f t="shared" ref="J77:K77" si="36">SUM(J76,J71,J64)</f>
        <v>686000</v>
      </c>
      <c r="K77" s="43">
        <f t="shared" si="36"/>
        <v>0</v>
      </c>
    </row>
    <row r="83" spans="2:13" ht="14.5" customHeight="1" x14ac:dyDescent="0.2">
      <c r="B83" s="4" t="s">
        <v>223</v>
      </c>
      <c r="C83" s="5"/>
      <c r="D83" s="5"/>
      <c r="E83" s="33"/>
      <c r="F83" s="33"/>
      <c r="G83" s="34"/>
    </row>
    <row r="84" spans="2:13" ht="14.5" customHeight="1" x14ac:dyDescent="0.2">
      <c r="B84" s="8"/>
      <c r="C84" s="8"/>
      <c r="D84" s="8"/>
      <c r="E84" s="35"/>
      <c r="F84" s="35"/>
      <c r="G84" s="34"/>
    </row>
    <row r="85" spans="2:13" ht="14.5" customHeight="1" x14ac:dyDescent="0.2">
      <c r="B85" s="388" t="s">
        <v>0</v>
      </c>
      <c r="C85" s="388" t="s">
        <v>270</v>
      </c>
      <c r="D85" s="388" t="s">
        <v>2</v>
      </c>
      <c r="E85" s="385" t="s">
        <v>5</v>
      </c>
      <c r="F85" s="385"/>
      <c r="G85" s="417" t="s">
        <v>56</v>
      </c>
      <c r="H85" s="394" t="s">
        <v>3</v>
      </c>
      <c r="I85" s="398" t="s">
        <v>421</v>
      </c>
      <c r="J85" s="398" t="s">
        <v>8</v>
      </c>
      <c r="K85" s="398" t="s">
        <v>75</v>
      </c>
    </row>
    <row r="86" spans="2:13" ht="14.5" customHeight="1" x14ac:dyDescent="0.2">
      <c r="B86" s="388"/>
      <c r="C86" s="388"/>
      <c r="D86" s="388"/>
      <c r="E86" s="36" t="s">
        <v>77</v>
      </c>
      <c r="F86" s="54" t="s">
        <v>58</v>
      </c>
      <c r="G86" s="417"/>
      <c r="H86" s="394"/>
      <c r="I86" s="398"/>
      <c r="J86" s="398"/>
      <c r="K86" s="398"/>
    </row>
    <row r="87" spans="2:13" ht="14.5" customHeight="1" x14ac:dyDescent="0.2">
      <c r="B87" s="397" t="s">
        <v>37</v>
      </c>
      <c r="C87" s="74" t="s">
        <v>385</v>
      </c>
      <c r="D87" s="74" t="s">
        <v>98</v>
      </c>
      <c r="E87" s="183">
        <v>148</v>
      </c>
      <c r="F87" s="15">
        <v>175</v>
      </c>
      <c r="G87" s="20">
        <f t="shared" ref="G87:G95" si="37">E87/F87*100%</f>
        <v>0.84571428571428575</v>
      </c>
      <c r="H87" s="12" t="s">
        <v>18</v>
      </c>
      <c r="I87" s="15">
        <v>45000</v>
      </c>
      <c r="J87" s="15">
        <f t="shared" ref="J87:J88" si="38">I87*70%</f>
        <v>31499.999999999996</v>
      </c>
      <c r="K87" s="15">
        <f t="shared" ref="K87:K88" si="39">I87*30%</f>
        <v>13500</v>
      </c>
    </row>
    <row r="88" spans="2:13" ht="14.5" customHeight="1" x14ac:dyDescent="0.2">
      <c r="B88" s="397"/>
      <c r="C88" s="52" t="s">
        <v>384</v>
      </c>
      <c r="D88" s="52" t="s">
        <v>310</v>
      </c>
      <c r="E88" s="183">
        <v>191</v>
      </c>
      <c r="F88" s="15">
        <v>150</v>
      </c>
      <c r="G88" s="20">
        <f t="shared" si="37"/>
        <v>1.2733333333333334</v>
      </c>
      <c r="H88" s="12" t="s">
        <v>18</v>
      </c>
      <c r="I88" s="15">
        <v>112500</v>
      </c>
      <c r="J88" s="15">
        <f t="shared" si="38"/>
        <v>78750</v>
      </c>
      <c r="K88" s="15">
        <f t="shared" si="39"/>
        <v>33750</v>
      </c>
    </row>
    <row r="89" spans="2:13" s="37" customFormat="1" ht="14.5" customHeight="1" x14ac:dyDescent="0.2">
      <c r="B89" s="397"/>
      <c r="C89" s="70"/>
      <c r="D89" s="70" t="s">
        <v>230</v>
      </c>
      <c r="E89" s="65">
        <f>SUM(E87:E88)</f>
        <v>339</v>
      </c>
      <c r="F89" s="65">
        <f>SUM(F87:F88)</f>
        <v>325</v>
      </c>
      <c r="G89" s="66">
        <f t="shared" si="37"/>
        <v>1.043076923076923</v>
      </c>
      <c r="H89" s="64" t="s">
        <v>20</v>
      </c>
      <c r="I89" s="63">
        <v>240000</v>
      </c>
      <c r="J89" s="63">
        <f>I89</f>
        <v>240000</v>
      </c>
      <c r="K89" s="63">
        <v>0</v>
      </c>
    </row>
    <row r="90" spans="2:13" ht="14.5" customHeight="1" x14ac:dyDescent="0.2">
      <c r="B90" s="397"/>
      <c r="C90" s="77"/>
      <c r="D90" s="77" t="s">
        <v>38</v>
      </c>
      <c r="E90" s="24">
        <f>SUM(E89)</f>
        <v>339</v>
      </c>
      <c r="F90" s="24">
        <f>SUM(F89)</f>
        <v>325</v>
      </c>
      <c r="G90" s="76">
        <f t="shared" si="37"/>
        <v>1.043076923076923</v>
      </c>
      <c r="H90" s="42"/>
      <c r="I90" s="23">
        <f>SUM(I87:I89)</f>
        <v>397500</v>
      </c>
      <c r="J90" s="23">
        <f t="shared" ref="J90:K90" si="40">SUM(J87:J89)</f>
        <v>350250</v>
      </c>
      <c r="K90" s="23">
        <f t="shared" si="40"/>
        <v>47250</v>
      </c>
    </row>
    <row r="91" spans="2:13" s="21" customFormat="1" ht="14.5" customHeight="1" x14ac:dyDescent="0.2">
      <c r="B91" s="397" t="s">
        <v>614</v>
      </c>
      <c r="C91" s="69" t="s">
        <v>386</v>
      </c>
      <c r="D91" s="69" t="s">
        <v>265</v>
      </c>
      <c r="E91" s="183">
        <v>101</v>
      </c>
      <c r="F91" s="15">
        <v>166</v>
      </c>
      <c r="G91" s="20">
        <f t="shared" si="37"/>
        <v>0.60843373493975905</v>
      </c>
      <c r="H91" s="12" t="s">
        <v>18</v>
      </c>
      <c r="I91" s="15">
        <v>0</v>
      </c>
      <c r="J91" s="15">
        <f t="shared" ref="J91:J92" si="41">I91*70%</f>
        <v>0</v>
      </c>
      <c r="K91" s="15">
        <f t="shared" ref="K91:K92" si="42">I91*30%</f>
        <v>0</v>
      </c>
      <c r="M91"/>
    </row>
    <row r="92" spans="2:13" ht="14.5" customHeight="1" x14ac:dyDescent="0.2">
      <c r="B92" s="397"/>
      <c r="C92" s="52" t="s">
        <v>387</v>
      </c>
      <c r="D92" s="52" t="s">
        <v>97</v>
      </c>
      <c r="E92" s="183">
        <v>72</v>
      </c>
      <c r="F92" s="15">
        <v>85</v>
      </c>
      <c r="G92" s="20">
        <f t="shared" si="37"/>
        <v>0.84705882352941175</v>
      </c>
      <c r="H92" s="38" t="s">
        <v>18</v>
      </c>
      <c r="I92" s="15">
        <v>45000</v>
      </c>
      <c r="J92" s="15">
        <f t="shared" si="41"/>
        <v>31499.999999999996</v>
      </c>
      <c r="K92" s="15">
        <f t="shared" si="42"/>
        <v>13500</v>
      </c>
    </row>
    <row r="93" spans="2:13" s="37" customFormat="1" ht="14.5" customHeight="1" x14ac:dyDescent="0.2">
      <c r="B93" s="397"/>
      <c r="C93" s="78"/>
      <c r="D93" s="78" t="s">
        <v>497</v>
      </c>
      <c r="E93" s="65">
        <f>SUM(E91:E92)</f>
        <v>173</v>
      </c>
      <c r="F93" s="65">
        <f>SUM(F91:F92)</f>
        <v>251</v>
      </c>
      <c r="G93" s="66">
        <f t="shared" si="37"/>
        <v>0.68924302788844627</v>
      </c>
      <c r="H93" s="64" t="s">
        <v>20</v>
      </c>
      <c r="I93" s="63">
        <v>0</v>
      </c>
      <c r="J93" s="63">
        <f>I93</f>
        <v>0</v>
      </c>
      <c r="K93" s="63">
        <v>0</v>
      </c>
      <c r="M93"/>
    </row>
    <row r="94" spans="2:13" ht="14.5" customHeight="1" x14ac:dyDescent="0.2">
      <c r="B94" s="397"/>
      <c r="C94" s="77"/>
      <c r="D94" s="77" t="s">
        <v>615</v>
      </c>
      <c r="E94" s="24">
        <f>SUM(E93)</f>
        <v>173</v>
      </c>
      <c r="F94" s="24">
        <f>SUM(F93)</f>
        <v>251</v>
      </c>
      <c r="G94" s="76">
        <f t="shared" si="37"/>
        <v>0.68924302788844627</v>
      </c>
      <c r="H94" s="42"/>
      <c r="I94" s="23">
        <f>SUM(I91:I93)</f>
        <v>45000</v>
      </c>
      <c r="J94" s="23">
        <f t="shared" ref="J94:K94" si="43">SUM(J91:J93)</f>
        <v>31499.999999999996</v>
      </c>
      <c r="K94" s="23">
        <f t="shared" si="43"/>
        <v>13500</v>
      </c>
    </row>
    <row r="95" spans="2:13" s="21" customFormat="1" ht="14.5" customHeight="1" x14ac:dyDescent="0.2">
      <c r="B95" s="79"/>
      <c r="C95" s="80"/>
      <c r="D95" s="80" t="s">
        <v>219</v>
      </c>
      <c r="E95" s="43">
        <f>SUM(E90,E94)</f>
        <v>512</v>
      </c>
      <c r="F95" s="43">
        <f>SUM(F90,F94)</f>
        <v>576</v>
      </c>
      <c r="G95" s="81">
        <f t="shared" si="37"/>
        <v>0.88888888888888884</v>
      </c>
      <c r="H95" s="205"/>
      <c r="I95" s="43">
        <f>SUM(I90,I94)</f>
        <v>442500</v>
      </c>
      <c r="J95" s="43">
        <f t="shared" ref="J95:K95" si="44">SUM(J90,J94)</f>
        <v>381750</v>
      </c>
      <c r="K95" s="43">
        <f t="shared" si="44"/>
        <v>60750</v>
      </c>
    </row>
    <row r="101" spans="2:12" ht="14.5" customHeight="1" x14ac:dyDescent="0.2">
      <c r="B101" s="4" t="s">
        <v>169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5</v>
      </c>
      <c r="F103" s="385"/>
      <c r="G103" s="417" t="s">
        <v>56</v>
      </c>
      <c r="H103" s="394" t="s">
        <v>3</v>
      </c>
      <c r="I103" s="398" t="s">
        <v>421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397" t="s">
        <v>39</v>
      </c>
      <c r="C105" s="182" t="s">
        <v>388</v>
      </c>
      <c r="D105" s="182" t="s">
        <v>389</v>
      </c>
      <c r="E105" s="122">
        <v>77</v>
      </c>
      <c r="F105" s="122">
        <v>110</v>
      </c>
      <c r="G105" s="163">
        <f t="shared" ref="G105:G147" si="45">E105/F105*100%</f>
        <v>0.7</v>
      </c>
      <c r="H105" s="122"/>
      <c r="I105" s="122"/>
      <c r="J105" s="122">
        <f t="shared" ref="J105:J106" si="46">I105*70%</f>
        <v>0</v>
      </c>
      <c r="K105" s="122">
        <f t="shared" ref="K105:K106" si="47">I105*30%</f>
        <v>0</v>
      </c>
      <c r="L105" s="2"/>
    </row>
    <row r="106" spans="2:12" ht="14.5" customHeight="1" x14ac:dyDescent="0.2">
      <c r="B106" s="397"/>
      <c r="C106" s="182" t="s">
        <v>390</v>
      </c>
      <c r="D106" s="182" t="s">
        <v>111</v>
      </c>
      <c r="E106" s="122">
        <v>121</v>
      </c>
      <c r="F106" s="122">
        <v>130</v>
      </c>
      <c r="G106" s="163">
        <f t="shared" si="45"/>
        <v>0.93076923076923079</v>
      </c>
      <c r="H106" s="122"/>
      <c r="I106" s="122"/>
      <c r="J106" s="122">
        <f t="shared" si="46"/>
        <v>0</v>
      </c>
      <c r="K106" s="122">
        <f t="shared" si="47"/>
        <v>0</v>
      </c>
      <c r="L106" s="2"/>
    </row>
    <row r="107" spans="2:12" ht="14.5" customHeight="1" x14ac:dyDescent="0.2">
      <c r="B107" s="397"/>
      <c r="C107" s="182" t="s">
        <v>391</v>
      </c>
      <c r="D107" s="182" t="s">
        <v>271</v>
      </c>
      <c r="E107" s="122"/>
      <c r="F107" s="122"/>
      <c r="G107" s="163"/>
      <c r="H107" s="122"/>
      <c r="I107" s="122"/>
      <c r="J107" s="122"/>
      <c r="K107" s="122"/>
      <c r="L107" s="2"/>
    </row>
    <row r="108" spans="2:12" ht="14.5" customHeight="1" x14ac:dyDescent="0.2">
      <c r="B108" s="397"/>
      <c r="C108" s="78"/>
      <c r="D108" s="78" t="s">
        <v>891</v>
      </c>
      <c r="E108" s="65">
        <f>SUM(E105:E107)</f>
        <v>198</v>
      </c>
      <c r="F108" s="65">
        <f>SUM(F105:F107)</f>
        <v>240</v>
      </c>
      <c r="G108" s="168">
        <f t="shared" si="45"/>
        <v>0.82499999999999996</v>
      </c>
      <c r="H108" s="64" t="s">
        <v>20</v>
      </c>
      <c r="I108" s="63">
        <v>108000</v>
      </c>
      <c r="J108" s="63">
        <f>I108</f>
        <v>108000</v>
      </c>
      <c r="K108" s="63">
        <v>0</v>
      </c>
      <c r="L108" s="2"/>
    </row>
    <row r="109" spans="2:12" ht="14.5" customHeight="1" x14ac:dyDescent="0.2">
      <c r="B109" s="397"/>
      <c r="C109" s="77"/>
      <c r="D109" s="77" t="s">
        <v>40</v>
      </c>
      <c r="E109" s="24">
        <f>SUM(E108)</f>
        <v>198</v>
      </c>
      <c r="F109" s="24">
        <f>SUM(F108)</f>
        <v>240</v>
      </c>
      <c r="G109" s="169">
        <f t="shared" si="45"/>
        <v>0.82499999999999996</v>
      </c>
      <c r="H109" s="42"/>
      <c r="I109" s="23">
        <f>SUM(I105:I108)</f>
        <v>108000</v>
      </c>
      <c r="J109" s="23">
        <f t="shared" ref="J109:K109" si="48">SUM(J105:J108)</f>
        <v>108000</v>
      </c>
      <c r="K109" s="23">
        <f t="shared" si="48"/>
        <v>0</v>
      </c>
      <c r="L109" s="2"/>
    </row>
    <row r="110" spans="2:12" ht="14.5" customHeight="1" x14ac:dyDescent="0.2">
      <c r="B110" s="397" t="s">
        <v>41</v>
      </c>
      <c r="C110" s="117" t="s">
        <v>392</v>
      </c>
      <c r="D110" s="117" t="s">
        <v>112</v>
      </c>
      <c r="E110" s="122">
        <v>123</v>
      </c>
      <c r="F110" s="122">
        <v>155</v>
      </c>
      <c r="G110" s="163">
        <f t="shared" si="45"/>
        <v>0.79354838709677422</v>
      </c>
      <c r="H110" s="122"/>
      <c r="I110" s="122"/>
      <c r="J110" s="122">
        <f t="shared" ref="J110:J113" si="49">I110</f>
        <v>0</v>
      </c>
      <c r="K110" s="122">
        <v>0</v>
      </c>
      <c r="L110" s="2"/>
    </row>
    <row r="111" spans="2:12" ht="14.5" customHeight="1" x14ac:dyDescent="0.2">
      <c r="B111" s="397"/>
      <c r="C111" s="117" t="s">
        <v>393</v>
      </c>
      <c r="D111" s="117" t="s">
        <v>394</v>
      </c>
      <c r="E111" s="122">
        <v>90</v>
      </c>
      <c r="F111" s="122">
        <v>105</v>
      </c>
      <c r="G111" s="163">
        <f t="shared" si="45"/>
        <v>0.8571428571428571</v>
      </c>
      <c r="H111" s="122"/>
      <c r="I111" s="122"/>
      <c r="J111" s="122">
        <f t="shared" si="49"/>
        <v>0</v>
      </c>
      <c r="K111" s="122">
        <v>0</v>
      </c>
      <c r="L111" s="2"/>
    </row>
    <row r="112" spans="2:12" ht="14.5" customHeight="1" x14ac:dyDescent="0.2">
      <c r="B112" s="397"/>
      <c r="C112" s="117" t="s">
        <v>395</v>
      </c>
      <c r="D112" s="117" t="s">
        <v>113</v>
      </c>
      <c r="E112" s="122">
        <v>149</v>
      </c>
      <c r="F112" s="122">
        <v>165</v>
      </c>
      <c r="G112" s="163">
        <f t="shared" si="45"/>
        <v>0.90303030303030307</v>
      </c>
      <c r="H112" s="122"/>
      <c r="I112" s="122"/>
      <c r="J112" s="122">
        <f t="shared" si="49"/>
        <v>0</v>
      </c>
      <c r="K112" s="122">
        <v>0</v>
      </c>
      <c r="L112" s="2"/>
    </row>
    <row r="113" spans="2:12" ht="14.5" customHeight="1" x14ac:dyDescent="0.2">
      <c r="B113" s="397"/>
      <c r="C113" s="117" t="s">
        <v>396</v>
      </c>
      <c r="D113" s="117" t="s">
        <v>253</v>
      </c>
      <c r="E113" s="122">
        <v>113</v>
      </c>
      <c r="F113" s="122">
        <v>165</v>
      </c>
      <c r="G113" s="163">
        <f t="shared" si="45"/>
        <v>0.68484848484848482</v>
      </c>
      <c r="H113" s="122"/>
      <c r="I113" s="122"/>
      <c r="J113" s="122">
        <f t="shared" si="49"/>
        <v>0</v>
      </c>
      <c r="K113" s="122">
        <v>0</v>
      </c>
      <c r="L113" s="2"/>
    </row>
    <row r="114" spans="2:12" ht="14.5" customHeight="1" x14ac:dyDescent="0.2">
      <c r="B114" s="397"/>
      <c r="C114" s="78"/>
      <c r="D114" s="78" t="s">
        <v>316</v>
      </c>
      <c r="E114" s="65">
        <f>SUM(E110:E113)</f>
        <v>475</v>
      </c>
      <c r="F114" s="65">
        <f>SUM(F110:F113)</f>
        <v>590</v>
      </c>
      <c r="G114" s="168">
        <f t="shared" si="45"/>
        <v>0.80508474576271183</v>
      </c>
      <c r="H114" s="64" t="s">
        <v>20</v>
      </c>
      <c r="I114" s="63">
        <v>108000</v>
      </c>
      <c r="J114" s="63">
        <f>I114</f>
        <v>108000</v>
      </c>
      <c r="K114" s="63">
        <v>0</v>
      </c>
      <c r="L114" s="2"/>
    </row>
    <row r="115" spans="2:12" ht="14.5" customHeight="1" x14ac:dyDescent="0.2">
      <c r="B115" s="397"/>
      <c r="C115" s="77"/>
      <c r="D115" s="77" t="s">
        <v>42</v>
      </c>
      <c r="E115" s="24">
        <f>SUM(E114)</f>
        <v>475</v>
      </c>
      <c r="F115" s="24">
        <f>SUM(F114)</f>
        <v>590</v>
      </c>
      <c r="G115" s="169">
        <f t="shared" si="45"/>
        <v>0.80508474576271183</v>
      </c>
      <c r="H115" s="42"/>
      <c r="I115" s="23">
        <f>SUM(I110:I114)</f>
        <v>108000</v>
      </c>
      <c r="J115" s="23">
        <f t="shared" ref="J115:K115" si="50">SUM(J110:J114)</f>
        <v>108000</v>
      </c>
      <c r="K115" s="23">
        <f t="shared" si="50"/>
        <v>0</v>
      </c>
      <c r="L115" s="2"/>
    </row>
    <row r="116" spans="2:12" ht="14.5" customHeight="1" x14ac:dyDescent="0.2">
      <c r="B116" s="397" t="s">
        <v>43</v>
      </c>
      <c r="C116" s="117" t="s">
        <v>397</v>
      </c>
      <c r="D116" s="117" t="s">
        <v>114</v>
      </c>
      <c r="E116" s="122">
        <v>114</v>
      </c>
      <c r="F116" s="122">
        <v>160</v>
      </c>
      <c r="G116" s="163">
        <f t="shared" si="45"/>
        <v>0.71250000000000002</v>
      </c>
      <c r="H116" s="122"/>
      <c r="I116" s="122"/>
      <c r="J116" s="122">
        <f t="shared" ref="J116:J117" si="51">I116</f>
        <v>0</v>
      </c>
      <c r="K116" s="122">
        <v>0</v>
      </c>
      <c r="L116" s="2"/>
    </row>
    <row r="117" spans="2:12" ht="14.5" customHeight="1" x14ac:dyDescent="0.2">
      <c r="B117" s="397"/>
      <c r="C117" s="117" t="s">
        <v>398</v>
      </c>
      <c r="D117" s="117" t="s">
        <v>341</v>
      </c>
      <c r="E117" s="122">
        <v>177</v>
      </c>
      <c r="F117" s="122">
        <v>200</v>
      </c>
      <c r="G117" s="163">
        <f t="shared" si="45"/>
        <v>0.88500000000000001</v>
      </c>
      <c r="H117" s="122"/>
      <c r="I117" s="122"/>
      <c r="J117" s="122">
        <f t="shared" si="51"/>
        <v>0</v>
      </c>
      <c r="K117" s="122">
        <v>0</v>
      </c>
      <c r="L117" s="2"/>
    </row>
    <row r="118" spans="2:12" ht="14.5" customHeight="1" x14ac:dyDescent="0.2">
      <c r="B118" s="397"/>
      <c r="C118" s="117" t="s">
        <v>399</v>
      </c>
      <c r="D118" s="117" t="s">
        <v>321</v>
      </c>
      <c r="E118" s="122">
        <v>62</v>
      </c>
      <c r="F118" s="122">
        <v>100</v>
      </c>
      <c r="G118" s="163">
        <f t="shared" si="45"/>
        <v>0.62</v>
      </c>
      <c r="H118" s="122"/>
      <c r="I118" s="122"/>
      <c r="J118" s="122">
        <f t="shared" ref="J118" si="52">I118*70%</f>
        <v>0</v>
      </c>
      <c r="K118" s="122">
        <f t="shared" ref="K118" si="53">I118*30%</f>
        <v>0</v>
      </c>
      <c r="L118" s="2"/>
    </row>
    <row r="119" spans="2:12" ht="14.5" customHeight="1" x14ac:dyDescent="0.2">
      <c r="B119" s="397"/>
      <c r="C119" s="117" t="s">
        <v>400</v>
      </c>
      <c r="D119" s="117" t="s">
        <v>322</v>
      </c>
      <c r="E119" s="122">
        <v>94</v>
      </c>
      <c r="F119" s="122">
        <v>100</v>
      </c>
      <c r="G119" s="163">
        <f t="shared" ref="G119" si="54">E119/F119*100%</f>
        <v>0.94</v>
      </c>
      <c r="H119" s="122"/>
      <c r="I119" s="122"/>
      <c r="J119" s="122">
        <f t="shared" ref="J119" si="55">I119*70%</f>
        <v>0</v>
      </c>
      <c r="K119" s="122">
        <f t="shared" ref="K119" si="56">I119*30%</f>
        <v>0</v>
      </c>
      <c r="L119" s="2"/>
    </row>
    <row r="120" spans="2:12" ht="14.5" customHeight="1" x14ac:dyDescent="0.2">
      <c r="B120" s="397"/>
      <c r="C120" s="117"/>
      <c r="D120" s="117" t="s">
        <v>474</v>
      </c>
      <c r="E120" s="122">
        <v>1</v>
      </c>
      <c r="F120" s="122"/>
      <c r="G120" s="163"/>
      <c r="H120" s="122"/>
      <c r="I120" s="122"/>
      <c r="J120" s="122"/>
      <c r="K120" s="122"/>
      <c r="L120" s="2"/>
    </row>
    <row r="121" spans="2:12" s="21" customFormat="1" ht="14.5" customHeight="1" x14ac:dyDescent="0.2">
      <c r="B121" s="396" t="s">
        <v>836</v>
      </c>
      <c r="C121" s="117"/>
      <c r="D121" s="117" t="s">
        <v>837</v>
      </c>
      <c r="E121" s="117"/>
      <c r="F121" s="117"/>
      <c r="G121" s="117"/>
      <c r="H121" s="117"/>
      <c r="I121" s="117"/>
      <c r="J121" s="117"/>
      <c r="K121" s="117"/>
      <c r="L121" s="19"/>
    </row>
    <row r="122" spans="2:12" s="21" customFormat="1" ht="14.5" customHeight="1" x14ac:dyDescent="0.2">
      <c r="B122" s="386"/>
      <c r="C122" s="117"/>
      <c r="D122" s="117" t="s">
        <v>838</v>
      </c>
      <c r="E122" s="117"/>
      <c r="F122" s="117"/>
      <c r="G122" s="117"/>
      <c r="H122" s="117"/>
      <c r="I122" s="117"/>
      <c r="J122" s="117"/>
      <c r="K122" s="117"/>
      <c r="L122" s="19"/>
    </row>
    <row r="123" spans="2:12" s="21" customFormat="1" ht="14.5" customHeight="1" x14ac:dyDescent="0.2">
      <c r="B123" s="386"/>
      <c r="C123" s="117"/>
      <c r="D123" s="117" t="s">
        <v>839</v>
      </c>
      <c r="E123" s="117"/>
      <c r="F123" s="117"/>
      <c r="G123" s="117"/>
      <c r="H123" s="117"/>
      <c r="I123" s="117"/>
      <c r="J123" s="117"/>
      <c r="K123" s="117"/>
      <c r="L123" s="19"/>
    </row>
    <row r="124" spans="2:12" s="21" customFormat="1" ht="14.5" customHeight="1" x14ac:dyDescent="0.2">
      <c r="B124" s="386"/>
      <c r="C124" s="52"/>
      <c r="D124" s="69" t="s">
        <v>963</v>
      </c>
      <c r="E124" s="15">
        <v>9</v>
      </c>
      <c r="F124" s="15">
        <v>100</v>
      </c>
      <c r="G124" s="20">
        <f>E124/F124*100%</f>
        <v>0.09</v>
      </c>
      <c r="H124" s="12" t="s">
        <v>571</v>
      </c>
      <c r="I124" s="15">
        <v>0</v>
      </c>
      <c r="J124" s="15">
        <f t="shared" ref="J124" si="57">I124</f>
        <v>0</v>
      </c>
      <c r="K124" s="15">
        <v>0</v>
      </c>
      <c r="L124" s="19"/>
    </row>
    <row r="125" spans="2:12" s="21" customFormat="1" ht="14.5" customHeight="1" x14ac:dyDescent="0.2">
      <c r="B125" s="386"/>
      <c r="C125" s="117"/>
      <c r="D125" s="117" t="s">
        <v>840</v>
      </c>
      <c r="E125" s="117"/>
      <c r="F125" s="117"/>
      <c r="G125" s="117"/>
      <c r="H125" s="117"/>
      <c r="I125" s="117"/>
      <c r="J125" s="117"/>
      <c r="K125" s="117"/>
      <c r="L125" s="19"/>
    </row>
    <row r="126" spans="2:12" s="21" customFormat="1" ht="14.5" customHeight="1" x14ac:dyDescent="0.2">
      <c r="B126" s="386"/>
      <c r="C126" s="117"/>
      <c r="D126" s="117" t="s">
        <v>841</v>
      </c>
      <c r="E126" s="117"/>
      <c r="F126" s="117"/>
      <c r="G126" s="117"/>
      <c r="H126" s="117"/>
      <c r="I126" s="117"/>
      <c r="J126" s="117"/>
      <c r="K126" s="117"/>
      <c r="L126" s="19"/>
    </row>
    <row r="127" spans="2:12" ht="14.5" customHeight="1" x14ac:dyDescent="0.2">
      <c r="B127" s="386"/>
      <c r="C127" s="78"/>
      <c r="D127" s="78" t="s">
        <v>275</v>
      </c>
      <c r="E127" s="65">
        <f>SUM(E116:E126)</f>
        <v>457</v>
      </c>
      <c r="F127" s="65">
        <f>SUM(F116:F126)</f>
        <v>660</v>
      </c>
      <c r="G127" s="168">
        <f t="shared" ref="G127" si="58">E127/F127*100%</f>
        <v>0.69242424242424239</v>
      </c>
      <c r="H127" s="64" t="s">
        <v>20</v>
      </c>
      <c r="I127" s="63">
        <v>0</v>
      </c>
      <c r="J127" s="63">
        <f>I127</f>
        <v>0</v>
      </c>
      <c r="K127" s="63">
        <v>0</v>
      </c>
      <c r="L127" s="2"/>
    </row>
    <row r="128" spans="2:12" s="21" customFormat="1" ht="14.5" customHeight="1" x14ac:dyDescent="0.2">
      <c r="B128" s="387"/>
      <c r="C128" s="77"/>
      <c r="D128" s="77" t="s">
        <v>964</v>
      </c>
      <c r="E128" s="22">
        <f>SUM(E127)</f>
        <v>457</v>
      </c>
      <c r="F128" s="22">
        <f>SUM(F127)</f>
        <v>660</v>
      </c>
      <c r="G128" s="27">
        <f>E128/F128*100%</f>
        <v>0.69242424242424239</v>
      </c>
      <c r="H128" s="42"/>
      <c r="I128" s="23">
        <f>SUM(I116:I127)</f>
        <v>0</v>
      </c>
      <c r="J128" s="23">
        <f>SUM(J116:J127)</f>
        <v>0</v>
      </c>
      <c r="K128" s="23">
        <f>SUM(K116:K127)</f>
        <v>0</v>
      </c>
      <c r="L128" s="19"/>
    </row>
    <row r="129" spans="2:12" ht="14.5" customHeight="1" x14ac:dyDescent="0.2">
      <c r="B129" s="397" t="s">
        <v>45</v>
      </c>
      <c r="C129" s="117"/>
      <c r="D129" s="117" t="s">
        <v>175</v>
      </c>
      <c r="E129" s="122"/>
      <c r="F129" s="122"/>
      <c r="G129" s="163"/>
      <c r="H129" s="122"/>
      <c r="I129" s="122"/>
      <c r="J129" s="122"/>
      <c r="K129" s="122"/>
      <c r="L129" s="2"/>
    </row>
    <row r="130" spans="2:12" ht="14.5" customHeight="1" x14ac:dyDescent="0.2">
      <c r="B130" s="397"/>
      <c r="C130" s="52" t="s">
        <v>401</v>
      </c>
      <c r="D130" s="52" t="s">
        <v>288</v>
      </c>
      <c r="E130" s="15">
        <v>78</v>
      </c>
      <c r="F130" s="15">
        <v>110</v>
      </c>
      <c r="G130" s="20">
        <f t="shared" si="45"/>
        <v>0.70909090909090911</v>
      </c>
      <c r="H130" s="12" t="s">
        <v>18</v>
      </c>
      <c r="I130" s="15">
        <v>22500</v>
      </c>
      <c r="J130" s="15">
        <f t="shared" ref="J130:J131" si="59">I130*70%</f>
        <v>15749.999999999998</v>
      </c>
      <c r="K130" s="15">
        <f t="shared" ref="K130:K131" si="60">I130*30%</f>
        <v>6750</v>
      </c>
      <c r="L130" s="2"/>
    </row>
    <row r="131" spans="2:12" ht="14.5" customHeight="1" x14ac:dyDescent="0.2">
      <c r="B131" s="397"/>
      <c r="C131" s="52" t="s">
        <v>402</v>
      </c>
      <c r="D131" s="52" t="s">
        <v>251</v>
      </c>
      <c r="E131" s="15">
        <v>99</v>
      </c>
      <c r="F131" s="15">
        <v>110</v>
      </c>
      <c r="G131" s="20">
        <f t="shared" si="45"/>
        <v>0.9</v>
      </c>
      <c r="H131" s="12" t="s">
        <v>18</v>
      </c>
      <c r="I131" s="15">
        <v>67500</v>
      </c>
      <c r="J131" s="15">
        <f t="shared" si="59"/>
        <v>47250</v>
      </c>
      <c r="K131" s="15">
        <f t="shared" si="60"/>
        <v>20250</v>
      </c>
      <c r="L131" s="2"/>
    </row>
    <row r="132" spans="2:12" ht="14.5" customHeight="1" x14ac:dyDescent="0.2">
      <c r="B132" s="397"/>
      <c r="C132" s="70"/>
      <c r="D132" s="70" t="s">
        <v>315</v>
      </c>
      <c r="E132" s="65">
        <f>SUM(E129:E131)</f>
        <v>177</v>
      </c>
      <c r="F132" s="65">
        <f>SUM(F129:F131)</f>
        <v>220</v>
      </c>
      <c r="G132" s="66">
        <f t="shared" si="45"/>
        <v>0.80454545454545456</v>
      </c>
      <c r="H132" s="64" t="s">
        <v>20</v>
      </c>
      <c r="I132" s="63">
        <v>108000</v>
      </c>
      <c r="J132" s="63">
        <f>I132</f>
        <v>108000</v>
      </c>
      <c r="K132" s="63">
        <v>0</v>
      </c>
      <c r="L132" s="2"/>
    </row>
    <row r="133" spans="2:12" ht="14.5" customHeight="1" x14ac:dyDescent="0.2">
      <c r="B133" s="397"/>
      <c r="C133" s="71"/>
      <c r="D133" s="71" t="s">
        <v>46</v>
      </c>
      <c r="E133" s="22">
        <f>SUM(E132)</f>
        <v>177</v>
      </c>
      <c r="F133" s="22">
        <f>SUM(F132)</f>
        <v>220</v>
      </c>
      <c r="G133" s="27">
        <f t="shared" si="45"/>
        <v>0.80454545454545456</v>
      </c>
      <c r="H133" s="42"/>
      <c r="I133" s="23">
        <f>SUM(I129:I132)</f>
        <v>198000</v>
      </c>
      <c r="J133" s="23">
        <f>SUM(J129:J132)</f>
        <v>171000</v>
      </c>
      <c r="K133" s="23">
        <f>SUM(K129:K132)</f>
        <v>27000</v>
      </c>
      <c r="L133" s="2"/>
    </row>
    <row r="134" spans="2:12" s="21" customFormat="1" ht="14.5" customHeight="1" x14ac:dyDescent="0.2">
      <c r="B134" s="396" t="s">
        <v>47</v>
      </c>
      <c r="C134" s="52" t="s">
        <v>403</v>
      </c>
      <c r="D134" s="69" t="s">
        <v>668</v>
      </c>
      <c r="E134" s="15">
        <v>107</v>
      </c>
      <c r="F134" s="15">
        <v>120</v>
      </c>
      <c r="G134" s="20">
        <f t="shared" si="45"/>
        <v>0.89166666666666672</v>
      </c>
      <c r="H134" s="12" t="s">
        <v>571</v>
      </c>
      <c r="I134" s="15">
        <v>198000</v>
      </c>
      <c r="J134" s="15">
        <f t="shared" ref="J134:J145" si="61">I134</f>
        <v>198000</v>
      </c>
      <c r="K134" s="15">
        <v>0</v>
      </c>
      <c r="L134" s="19"/>
    </row>
    <row r="135" spans="2:12" s="21" customFormat="1" ht="14.5" customHeight="1" x14ac:dyDescent="0.2">
      <c r="B135" s="386"/>
      <c r="C135" s="52"/>
      <c r="D135" s="69" t="s">
        <v>526</v>
      </c>
      <c r="E135" s="15">
        <v>5</v>
      </c>
      <c r="F135" s="15">
        <v>200</v>
      </c>
      <c r="G135" s="20">
        <f t="shared" si="45"/>
        <v>2.5000000000000001E-2</v>
      </c>
      <c r="H135" s="12" t="s">
        <v>675</v>
      </c>
      <c r="I135" s="15">
        <v>0</v>
      </c>
      <c r="J135" s="15">
        <f t="shared" si="61"/>
        <v>0</v>
      </c>
      <c r="K135" s="15">
        <v>0</v>
      </c>
      <c r="L135" s="19"/>
    </row>
    <row r="136" spans="2:12" s="21" customFormat="1" ht="14.5" customHeight="1" x14ac:dyDescent="0.2">
      <c r="B136" s="386"/>
      <c r="C136" s="52"/>
      <c r="D136" s="69" t="s">
        <v>616</v>
      </c>
      <c r="E136" s="15">
        <v>2</v>
      </c>
      <c r="F136" s="15">
        <v>0</v>
      </c>
      <c r="G136" s="20" t="e">
        <f t="shared" si="45"/>
        <v>#DIV/0!</v>
      </c>
      <c r="H136" s="12" t="s">
        <v>675</v>
      </c>
      <c r="I136" s="15">
        <v>0</v>
      </c>
      <c r="J136" s="15">
        <f t="shared" si="61"/>
        <v>0</v>
      </c>
      <c r="K136" s="15">
        <v>0</v>
      </c>
      <c r="L136" s="19"/>
    </row>
    <row r="137" spans="2:12" s="21" customFormat="1" ht="14.5" customHeight="1" x14ac:dyDescent="0.2">
      <c r="B137" s="386"/>
      <c r="C137" s="52"/>
      <c r="D137" s="69" t="s">
        <v>499</v>
      </c>
      <c r="E137" s="15">
        <v>0</v>
      </c>
      <c r="F137" s="15">
        <v>0</v>
      </c>
      <c r="G137" s="20" t="e">
        <f t="shared" si="45"/>
        <v>#DIV/0!</v>
      </c>
      <c r="H137" s="12" t="s">
        <v>675</v>
      </c>
      <c r="I137" s="15">
        <v>0</v>
      </c>
      <c r="J137" s="15">
        <f t="shared" si="61"/>
        <v>0</v>
      </c>
      <c r="K137" s="15">
        <v>0</v>
      </c>
      <c r="L137" s="19"/>
    </row>
    <row r="138" spans="2:12" s="21" customFormat="1" ht="14.5" customHeight="1" x14ac:dyDescent="0.2">
      <c r="B138" s="386"/>
      <c r="C138" s="52"/>
      <c r="D138" s="69" t="s">
        <v>527</v>
      </c>
      <c r="E138" s="15">
        <v>11</v>
      </c>
      <c r="F138" s="15">
        <v>0</v>
      </c>
      <c r="G138" s="20" t="e">
        <f t="shared" si="45"/>
        <v>#DIV/0!</v>
      </c>
      <c r="H138" s="12" t="s">
        <v>675</v>
      </c>
      <c r="I138" s="15">
        <v>0</v>
      </c>
      <c r="J138" s="15">
        <f t="shared" si="61"/>
        <v>0</v>
      </c>
      <c r="K138" s="15">
        <v>0</v>
      </c>
      <c r="L138" s="19"/>
    </row>
    <row r="139" spans="2:12" s="21" customFormat="1" ht="14.5" customHeight="1" x14ac:dyDescent="0.2">
      <c r="B139" s="386"/>
      <c r="C139" s="52"/>
      <c r="D139" s="69" t="s">
        <v>528</v>
      </c>
      <c r="E139" s="15">
        <v>0</v>
      </c>
      <c r="F139" s="15">
        <v>0</v>
      </c>
      <c r="G139" s="20" t="e">
        <f t="shared" si="45"/>
        <v>#DIV/0!</v>
      </c>
      <c r="H139" s="12" t="s">
        <v>675</v>
      </c>
      <c r="I139" s="15">
        <v>0</v>
      </c>
      <c r="J139" s="15">
        <f t="shared" si="61"/>
        <v>0</v>
      </c>
      <c r="K139" s="15">
        <v>0</v>
      </c>
      <c r="L139" s="19"/>
    </row>
    <row r="140" spans="2:12" s="21" customFormat="1" ht="14.5" customHeight="1" x14ac:dyDescent="0.2">
      <c r="B140" s="386"/>
      <c r="C140" s="52"/>
      <c r="D140" s="69" t="s">
        <v>789</v>
      </c>
      <c r="E140" s="15">
        <v>0</v>
      </c>
      <c r="F140" s="15">
        <v>0</v>
      </c>
      <c r="G140" s="20" t="e">
        <f t="shared" si="45"/>
        <v>#DIV/0!</v>
      </c>
      <c r="H140" s="12" t="s">
        <v>675</v>
      </c>
      <c r="I140" s="15">
        <v>0</v>
      </c>
      <c r="J140" s="15">
        <f t="shared" si="61"/>
        <v>0</v>
      </c>
      <c r="K140" s="15">
        <v>0</v>
      </c>
      <c r="L140" s="19"/>
    </row>
    <row r="141" spans="2:12" s="21" customFormat="1" ht="14.5" customHeight="1" x14ac:dyDescent="0.2">
      <c r="B141" s="386"/>
      <c r="C141" s="52"/>
      <c r="D141" s="69" t="s">
        <v>835</v>
      </c>
      <c r="E141" s="15">
        <v>1</v>
      </c>
      <c r="F141" s="15">
        <v>0</v>
      </c>
      <c r="G141" s="20" t="e">
        <f t="shared" si="45"/>
        <v>#DIV/0!</v>
      </c>
      <c r="H141" s="12" t="s">
        <v>675</v>
      </c>
      <c r="I141" s="15">
        <v>0</v>
      </c>
      <c r="J141" s="15">
        <f t="shared" si="61"/>
        <v>0</v>
      </c>
      <c r="K141" s="15">
        <v>0</v>
      </c>
      <c r="L141" s="19"/>
    </row>
    <row r="142" spans="2:12" s="21" customFormat="1" ht="14.5" customHeight="1" x14ac:dyDescent="0.2">
      <c r="B142" s="386"/>
      <c r="C142" s="52"/>
      <c r="D142" s="69" t="s">
        <v>529</v>
      </c>
      <c r="E142" s="15">
        <v>6</v>
      </c>
      <c r="F142" s="15">
        <v>0</v>
      </c>
      <c r="G142" s="20" t="e">
        <f t="shared" si="45"/>
        <v>#DIV/0!</v>
      </c>
      <c r="H142" s="12" t="s">
        <v>675</v>
      </c>
      <c r="I142" s="15">
        <v>0</v>
      </c>
      <c r="J142" s="15">
        <f t="shared" si="61"/>
        <v>0</v>
      </c>
      <c r="K142" s="15">
        <v>0</v>
      </c>
      <c r="L142" s="19"/>
    </row>
    <row r="143" spans="2:12" s="21" customFormat="1" ht="14.5" customHeight="1" x14ac:dyDescent="0.2">
      <c r="B143" s="386"/>
      <c r="C143" s="52"/>
      <c r="D143" s="69" t="s">
        <v>530</v>
      </c>
      <c r="E143" s="15">
        <v>2</v>
      </c>
      <c r="F143" s="15">
        <v>0</v>
      </c>
      <c r="G143" s="20" t="e">
        <f t="shared" si="45"/>
        <v>#DIV/0!</v>
      </c>
      <c r="H143" s="12" t="s">
        <v>675</v>
      </c>
      <c r="I143" s="15">
        <v>0</v>
      </c>
      <c r="J143" s="15">
        <f t="shared" si="61"/>
        <v>0</v>
      </c>
      <c r="K143" s="15">
        <v>0</v>
      </c>
      <c r="L143" s="19"/>
    </row>
    <row r="144" spans="2:12" s="21" customFormat="1" ht="14.5" customHeight="1" x14ac:dyDescent="0.2">
      <c r="B144" s="386"/>
      <c r="C144" s="52"/>
      <c r="D144" s="69" t="s">
        <v>531</v>
      </c>
      <c r="E144" s="15">
        <v>1</v>
      </c>
      <c r="F144" s="15">
        <v>0</v>
      </c>
      <c r="G144" s="20" t="e">
        <f t="shared" si="45"/>
        <v>#DIV/0!</v>
      </c>
      <c r="H144" s="12" t="s">
        <v>675</v>
      </c>
      <c r="I144" s="15">
        <v>0</v>
      </c>
      <c r="J144" s="15">
        <f t="shared" si="61"/>
        <v>0</v>
      </c>
      <c r="K144" s="15">
        <v>0</v>
      </c>
      <c r="L144" s="19"/>
    </row>
    <row r="145" spans="2:12" s="21" customFormat="1" ht="14.5" customHeight="1" x14ac:dyDescent="0.2">
      <c r="B145" s="386"/>
      <c r="C145" s="78"/>
      <c r="D145" s="78" t="s">
        <v>74</v>
      </c>
      <c r="E145" s="65">
        <f>SUM(E134:E144)</f>
        <v>135</v>
      </c>
      <c r="F145" s="65">
        <f>SUM(F134:F144)</f>
        <v>320</v>
      </c>
      <c r="G145" s="66">
        <f t="shared" si="45"/>
        <v>0.421875</v>
      </c>
      <c r="H145" s="64" t="s">
        <v>20</v>
      </c>
      <c r="I145" s="63">
        <v>0</v>
      </c>
      <c r="J145" s="63">
        <f t="shared" si="61"/>
        <v>0</v>
      </c>
      <c r="K145" s="63">
        <v>0</v>
      </c>
      <c r="L145" s="19"/>
    </row>
    <row r="146" spans="2:12" s="21" customFormat="1" ht="14.5" customHeight="1" x14ac:dyDescent="0.2">
      <c r="B146" s="387"/>
      <c r="C146" s="77"/>
      <c r="D146" s="77" t="s">
        <v>48</v>
      </c>
      <c r="E146" s="22">
        <f>SUM(E145)</f>
        <v>135</v>
      </c>
      <c r="F146" s="22">
        <f>SUM(F145)</f>
        <v>320</v>
      </c>
      <c r="G146" s="27">
        <f t="shared" si="45"/>
        <v>0.421875</v>
      </c>
      <c r="H146" s="42"/>
      <c r="I146" s="23">
        <f>SUM(I134:I145)</f>
        <v>198000</v>
      </c>
      <c r="J146" s="23">
        <f>SUM(J134:J145)</f>
        <v>198000</v>
      </c>
      <c r="K146" s="23">
        <f>SUM(K134:K145)</f>
        <v>0</v>
      </c>
      <c r="L146" s="19"/>
    </row>
    <row r="147" spans="2:12" ht="14.5" customHeight="1" x14ac:dyDescent="0.2">
      <c r="B147" s="206"/>
      <c r="C147" s="207"/>
      <c r="D147" s="207" t="s">
        <v>49</v>
      </c>
      <c r="E147" s="208">
        <f>SUM(E146,E133,E128,E115,E109)</f>
        <v>1442</v>
      </c>
      <c r="F147" s="208">
        <f>SUM(F146,F133,F128,F115,F109)</f>
        <v>2030</v>
      </c>
      <c r="G147" s="44">
        <f t="shared" si="45"/>
        <v>0.71034482758620687</v>
      </c>
      <c r="H147" s="209"/>
      <c r="I147" s="208">
        <f>SUM(I146,I133,I128,I115,I109)</f>
        <v>612000</v>
      </c>
      <c r="J147" s="208">
        <f>SUM(J146,J133,J128,J115,J109)</f>
        <v>585000</v>
      </c>
      <c r="K147" s="208">
        <f>SUM(K146,K133,K128,K115,K109)</f>
        <v>27000</v>
      </c>
      <c r="L147" s="2"/>
    </row>
    <row r="153" spans="2:12" ht="14.5" customHeight="1" x14ac:dyDescent="0.2">
      <c r="B153" s="4" t="s">
        <v>170</v>
      </c>
      <c r="C153" s="5"/>
      <c r="D153" s="5"/>
      <c r="E153" s="33"/>
      <c r="F153" s="33"/>
    </row>
    <row r="154" spans="2:12" ht="14.5" customHeight="1" x14ac:dyDescent="0.2">
      <c r="B154" s="8"/>
      <c r="C154" s="8"/>
      <c r="D154" s="8"/>
      <c r="E154" s="35"/>
      <c r="F154" s="35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5</v>
      </c>
      <c r="F155" s="385"/>
      <c r="G155" s="417" t="s">
        <v>56</v>
      </c>
      <c r="H155" s="394" t="s">
        <v>3</v>
      </c>
      <c r="I155" s="398" t="s">
        <v>421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396" t="s">
        <v>53</v>
      </c>
      <c r="C157" s="52" t="s">
        <v>404</v>
      </c>
      <c r="D157" s="52" t="s">
        <v>115</v>
      </c>
      <c r="E157" s="15">
        <v>285</v>
      </c>
      <c r="F157" s="15">
        <v>215</v>
      </c>
      <c r="G157" s="20">
        <f t="shared" ref="G157:G212" si="62">E157/F157*100%</f>
        <v>1.3255813953488371</v>
      </c>
      <c r="H157" s="12" t="s">
        <v>571</v>
      </c>
      <c r="I157" s="15">
        <v>495000</v>
      </c>
      <c r="J157" s="15">
        <f t="shared" ref="J157:J164" si="63">I157</f>
        <v>495000</v>
      </c>
      <c r="K157" s="15">
        <v>0</v>
      </c>
    </row>
    <row r="158" spans="2:12" ht="14.5" customHeight="1" x14ac:dyDescent="0.2">
      <c r="B158" s="386"/>
      <c r="C158" s="52"/>
      <c r="D158" s="69" t="s">
        <v>800</v>
      </c>
      <c r="E158" s="15">
        <v>1</v>
      </c>
      <c r="F158" s="15">
        <v>0</v>
      </c>
      <c r="G158" s="20" t="e">
        <f t="shared" si="62"/>
        <v>#DIV/0!</v>
      </c>
      <c r="H158" s="12"/>
      <c r="I158" s="15">
        <v>0</v>
      </c>
      <c r="J158" s="15">
        <f t="shared" si="63"/>
        <v>0</v>
      </c>
      <c r="K158" s="15">
        <v>0</v>
      </c>
    </row>
    <row r="159" spans="2:12" ht="14.5" customHeight="1" x14ac:dyDescent="0.2">
      <c r="B159" s="386"/>
      <c r="C159" s="52"/>
      <c r="D159" s="69" t="s">
        <v>532</v>
      </c>
      <c r="E159" s="15">
        <v>45</v>
      </c>
      <c r="F159" s="15">
        <v>50</v>
      </c>
      <c r="G159" s="20">
        <f t="shared" si="62"/>
        <v>0.9</v>
      </c>
      <c r="H159" s="12" t="s">
        <v>675</v>
      </c>
      <c r="I159" s="15">
        <v>120000</v>
      </c>
      <c r="J159" s="15">
        <f t="shared" si="63"/>
        <v>120000</v>
      </c>
      <c r="K159" s="15">
        <v>0</v>
      </c>
    </row>
    <row r="160" spans="2:12" ht="14.5" customHeight="1" x14ac:dyDescent="0.2">
      <c r="B160" s="386"/>
      <c r="C160" s="52"/>
      <c r="D160" s="69" t="s">
        <v>535</v>
      </c>
      <c r="E160" s="15">
        <v>25</v>
      </c>
      <c r="F160" s="15">
        <v>25</v>
      </c>
      <c r="G160" s="20">
        <f t="shared" si="62"/>
        <v>1</v>
      </c>
      <c r="H160" s="12" t="s">
        <v>675</v>
      </c>
      <c r="I160" s="15">
        <v>135000</v>
      </c>
      <c r="J160" s="15">
        <f t="shared" si="63"/>
        <v>135000</v>
      </c>
      <c r="K160" s="15">
        <v>0</v>
      </c>
    </row>
    <row r="161" spans="2:11" ht="14.5" customHeight="1" x14ac:dyDescent="0.2">
      <c r="B161" s="386"/>
      <c r="C161" s="52"/>
      <c r="D161" s="69" t="s">
        <v>533</v>
      </c>
      <c r="E161" s="15">
        <v>52</v>
      </c>
      <c r="F161" s="15">
        <v>50</v>
      </c>
      <c r="G161" s="20">
        <f t="shared" si="62"/>
        <v>1.04</v>
      </c>
      <c r="H161" s="12" t="s">
        <v>675</v>
      </c>
      <c r="I161" s="15">
        <v>135000</v>
      </c>
      <c r="J161" s="15">
        <f t="shared" si="63"/>
        <v>135000</v>
      </c>
      <c r="K161" s="15">
        <v>0</v>
      </c>
    </row>
    <row r="162" spans="2:11" ht="14.5" customHeight="1" x14ac:dyDescent="0.2">
      <c r="B162" s="386"/>
      <c r="C162" s="52"/>
      <c r="D162" s="69" t="s">
        <v>534</v>
      </c>
      <c r="E162" s="15">
        <v>32</v>
      </c>
      <c r="F162" s="15">
        <v>50</v>
      </c>
      <c r="G162" s="20">
        <f t="shared" si="62"/>
        <v>0.64</v>
      </c>
      <c r="H162" s="12" t="s">
        <v>675</v>
      </c>
      <c r="I162" s="15">
        <v>0</v>
      </c>
      <c r="J162" s="15">
        <f t="shared" si="63"/>
        <v>0</v>
      </c>
      <c r="K162" s="15">
        <v>0</v>
      </c>
    </row>
    <row r="163" spans="2:11" ht="14.5" customHeight="1" x14ac:dyDescent="0.2">
      <c r="B163" s="386"/>
      <c r="C163" s="78"/>
      <c r="D163" s="78" t="s">
        <v>894</v>
      </c>
      <c r="E163" s="67">
        <f>SUM(E157:E162)</f>
        <v>440</v>
      </c>
      <c r="F163" s="67">
        <f>SUM(F157:F162)</f>
        <v>390</v>
      </c>
      <c r="G163" s="66">
        <f t="shared" si="62"/>
        <v>1.1282051282051282</v>
      </c>
      <c r="H163" s="64" t="s">
        <v>673</v>
      </c>
      <c r="I163" s="63">
        <v>270000</v>
      </c>
      <c r="J163" s="63">
        <f t="shared" si="63"/>
        <v>270000</v>
      </c>
      <c r="K163" s="63">
        <v>0</v>
      </c>
    </row>
    <row r="164" spans="2:11" ht="14.5" customHeight="1" x14ac:dyDescent="0.2">
      <c r="B164" s="386"/>
      <c r="C164" s="78"/>
      <c r="D164" s="78" t="s">
        <v>154</v>
      </c>
      <c r="E164" s="67">
        <f>SUM(E157:E162)</f>
        <v>440</v>
      </c>
      <c r="F164" s="67">
        <f>SUM(F157:F162)</f>
        <v>390</v>
      </c>
      <c r="G164" s="66">
        <f t="shared" si="62"/>
        <v>1.1282051282051282</v>
      </c>
      <c r="H164" s="64" t="s">
        <v>20</v>
      </c>
      <c r="I164" s="63">
        <v>1008000</v>
      </c>
      <c r="J164" s="63">
        <f t="shared" si="63"/>
        <v>1008000</v>
      </c>
      <c r="K164" s="63">
        <v>0</v>
      </c>
    </row>
    <row r="165" spans="2:11" ht="14.5" customHeight="1" x14ac:dyDescent="0.2">
      <c r="B165" s="387"/>
      <c r="C165" s="71"/>
      <c r="D165" s="71" t="s">
        <v>54</v>
      </c>
      <c r="E165" s="22">
        <f>SUM(E164)</f>
        <v>440</v>
      </c>
      <c r="F165" s="22">
        <f>SUM(F164)</f>
        <v>390</v>
      </c>
      <c r="G165" s="27">
        <f t="shared" si="62"/>
        <v>1.1282051282051282</v>
      </c>
      <c r="H165" s="42"/>
      <c r="I165" s="23">
        <f>SUM(I157:I164)</f>
        <v>2163000</v>
      </c>
      <c r="J165" s="23">
        <f>SUM(J157:J164)</f>
        <v>2163000</v>
      </c>
      <c r="K165" s="23">
        <f>SUM(K157:K164)</f>
        <v>0</v>
      </c>
    </row>
    <row r="166" spans="2:11" ht="14.5" customHeight="1" x14ac:dyDescent="0.2">
      <c r="B166" s="396" t="s">
        <v>536</v>
      </c>
      <c r="C166" s="52" t="s">
        <v>405</v>
      </c>
      <c r="D166" s="52" t="s">
        <v>116</v>
      </c>
      <c r="E166" s="15">
        <v>34</v>
      </c>
      <c r="F166" s="15">
        <v>75</v>
      </c>
      <c r="G166" s="20">
        <f t="shared" si="62"/>
        <v>0.45333333333333331</v>
      </c>
      <c r="H166" s="12" t="s">
        <v>571</v>
      </c>
      <c r="I166" s="15">
        <v>0</v>
      </c>
      <c r="J166" s="15">
        <f t="shared" ref="J166:J180" si="64">I166</f>
        <v>0</v>
      </c>
      <c r="K166" s="15">
        <v>0</v>
      </c>
    </row>
    <row r="167" spans="2:11" ht="14.5" customHeight="1" x14ac:dyDescent="0.2">
      <c r="B167" s="386"/>
      <c r="C167" s="52"/>
      <c r="D167" s="69" t="s">
        <v>801</v>
      </c>
      <c r="E167" s="15">
        <v>1</v>
      </c>
      <c r="F167" s="15">
        <v>0</v>
      </c>
      <c r="G167" s="20" t="e">
        <f t="shared" si="62"/>
        <v>#DIV/0!</v>
      </c>
      <c r="H167" s="12"/>
      <c r="I167" s="15">
        <v>0</v>
      </c>
      <c r="J167" s="15">
        <f t="shared" si="64"/>
        <v>0</v>
      </c>
      <c r="K167" s="15">
        <v>0</v>
      </c>
    </row>
    <row r="168" spans="2:11" ht="14.5" customHeight="1" x14ac:dyDescent="0.2">
      <c r="B168" s="386"/>
      <c r="C168" s="52"/>
      <c r="D168" s="69" t="s">
        <v>541</v>
      </c>
      <c r="E168" s="15">
        <v>21</v>
      </c>
      <c r="F168" s="15">
        <v>25</v>
      </c>
      <c r="G168" s="20">
        <f t="shared" si="62"/>
        <v>0.84</v>
      </c>
      <c r="H168" s="12" t="s">
        <v>675</v>
      </c>
      <c r="I168" s="15">
        <v>90000</v>
      </c>
      <c r="J168" s="15">
        <f t="shared" si="64"/>
        <v>90000</v>
      </c>
      <c r="K168" s="15">
        <v>0</v>
      </c>
    </row>
    <row r="169" spans="2:11" ht="14.5" customHeight="1" x14ac:dyDescent="0.2">
      <c r="B169" s="386"/>
      <c r="C169" s="52"/>
      <c r="D169" s="69" t="s">
        <v>538</v>
      </c>
      <c r="E169" s="15">
        <v>16</v>
      </c>
      <c r="F169" s="15">
        <v>50</v>
      </c>
      <c r="G169" s="20">
        <f t="shared" si="62"/>
        <v>0.32</v>
      </c>
      <c r="H169" s="12" t="s">
        <v>675</v>
      </c>
      <c r="I169" s="15">
        <v>0</v>
      </c>
      <c r="J169" s="15">
        <f t="shared" si="64"/>
        <v>0</v>
      </c>
      <c r="K169" s="15">
        <v>0</v>
      </c>
    </row>
    <row r="170" spans="2:11" ht="14.5" customHeight="1" x14ac:dyDescent="0.2">
      <c r="B170" s="386"/>
      <c r="C170" s="52"/>
      <c r="D170" s="69" t="s">
        <v>539</v>
      </c>
      <c r="E170" s="15">
        <v>10</v>
      </c>
      <c r="F170" s="15">
        <v>50</v>
      </c>
      <c r="G170" s="20">
        <f t="shared" si="62"/>
        <v>0.2</v>
      </c>
      <c r="H170" s="12" t="s">
        <v>675</v>
      </c>
      <c r="I170" s="15">
        <v>0</v>
      </c>
      <c r="J170" s="15">
        <f t="shared" si="64"/>
        <v>0</v>
      </c>
      <c r="K170" s="15">
        <v>0</v>
      </c>
    </row>
    <row r="171" spans="2:11" ht="14.5" customHeight="1" x14ac:dyDescent="0.2">
      <c r="B171" s="386"/>
      <c r="C171" s="52"/>
      <c r="D171" s="69" t="s">
        <v>537</v>
      </c>
      <c r="E171" s="15">
        <v>8</v>
      </c>
      <c r="F171" s="15">
        <v>50</v>
      </c>
      <c r="G171" s="20">
        <f t="shared" si="62"/>
        <v>0.16</v>
      </c>
      <c r="H171" s="12" t="s">
        <v>675</v>
      </c>
      <c r="I171" s="15">
        <v>0</v>
      </c>
      <c r="J171" s="15">
        <f t="shared" si="64"/>
        <v>0</v>
      </c>
      <c r="K171" s="15">
        <v>0</v>
      </c>
    </row>
    <row r="172" spans="2:11" ht="14.5" customHeight="1" x14ac:dyDescent="0.2">
      <c r="B172" s="386"/>
      <c r="C172" s="52"/>
      <c r="D172" s="69" t="s">
        <v>540</v>
      </c>
      <c r="E172" s="15">
        <v>17</v>
      </c>
      <c r="F172" s="15">
        <v>50</v>
      </c>
      <c r="G172" s="20">
        <f t="shared" si="62"/>
        <v>0.34</v>
      </c>
      <c r="H172" s="12" t="s">
        <v>675</v>
      </c>
      <c r="I172" s="15">
        <v>0</v>
      </c>
      <c r="J172" s="15">
        <f t="shared" si="64"/>
        <v>0</v>
      </c>
      <c r="K172" s="15">
        <v>0</v>
      </c>
    </row>
    <row r="173" spans="2:11" ht="14.5" customHeight="1" x14ac:dyDescent="0.2">
      <c r="B173" s="386"/>
      <c r="C173" s="78"/>
      <c r="D173" s="78" t="s">
        <v>680</v>
      </c>
      <c r="E173" s="67">
        <f>SUM(E166:E172)</f>
        <v>107</v>
      </c>
      <c r="F173" s="67">
        <f>SUM(F166:F172)</f>
        <v>300</v>
      </c>
      <c r="G173" s="66">
        <f t="shared" si="62"/>
        <v>0.35666666666666669</v>
      </c>
      <c r="H173" s="64" t="s">
        <v>673</v>
      </c>
      <c r="I173" s="63">
        <v>0</v>
      </c>
      <c r="J173" s="63">
        <f t="shared" si="64"/>
        <v>0</v>
      </c>
      <c r="K173" s="63">
        <v>0</v>
      </c>
    </row>
    <row r="174" spans="2:11" ht="14.5" customHeight="1" x14ac:dyDescent="0.2">
      <c r="B174" s="386"/>
      <c r="C174" s="52"/>
      <c r="D174" s="69" t="s">
        <v>617</v>
      </c>
      <c r="E174" s="15">
        <v>23</v>
      </c>
      <c r="F174" s="15">
        <v>50</v>
      </c>
      <c r="G174" s="20">
        <f t="shared" si="62"/>
        <v>0.46</v>
      </c>
      <c r="H174" s="12" t="s">
        <v>675</v>
      </c>
      <c r="I174" s="15">
        <v>0</v>
      </c>
      <c r="J174" s="15">
        <f t="shared" si="64"/>
        <v>0</v>
      </c>
      <c r="K174" s="15">
        <v>0</v>
      </c>
    </row>
    <row r="175" spans="2:11" ht="14.5" customHeight="1" x14ac:dyDescent="0.2">
      <c r="B175" s="386"/>
      <c r="C175" s="52"/>
      <c r="D175" s="69" t="s">
        <v>802</v>
      </c>
      <c r="E175" s="15">
        <v>0</v>
      </c>
      <c r="F175" s="15">
        <v>0</v>
      </c>
      <c r="G175" s="20" t="e">
        <f t="shared" si="62"/>
        <v>#DIV/0!</v>
      </c>
      <c r="H175" s="12"/>
      <c r="I175" s="15">
        <v>0</v>
      </c>
      <c r="J175" s="15">
        <f t="shared" si="64"/>
        <v>0</v>
      </c>
      <c r="K175" s="15">
        <v>0</v>
      </c>
    </row>
    <row r="176" spans="2:11" ht="14.5" customHeight="1" x14ac:dyDescent="0.2">
      <c r="B176" s="386"/>
      <c r="C176" s="52"/>
      <c r="D176" s="69" t="s">
        <v>542</v>
      </c>
      <c r="E176" s="15">
        <v>26</v>
      </c>
      <c r="F176" s="15">
        <v>50</v>
      </c>
      <c r="G176" s="20">
        <f t="shared" si="62"/>
        <v>0.52</v>
      </c>
      <c r="H176" s="12" t="s">
        <v>675</v>
      </c>
      <c r="I176" s="15">
        <v>0</v>
      </c>
      <c r="J176" s="15">
        <f t="shared" si="64"/>
        <v>0</v>
      </c>
      <c r="K176" s="15">
        <v>0</v>
      </c>
    </row>
    <row r="177" spans="2:11" ht="14.5" customHeight="1" x14ac:dyDescent="0.2">
      <c r="B177" s="386"/>
      <c r="C177" s="52"/>
      <c r="D177" s="69" t="s">
        <v>543</v>
      </c>
      <c r="E177" s="15">
        <v>22</v>
      </c>
      <c r="F177" s="15">
        <v>50</v>
      </c>
      <c r="G177" s="20">
        <f t="shared" si="62"/>
        <v>0.44</v>
      </c>
      <c r="H177" s="12" t="s">
        <v>675</v>
      </c>
      <c r="I177" s="15">
        <v>0</v>
      </c>
      <c r="J177" s="15">
        <f t="shared" si="64"/>
        <v>0</v>
      </c>
      <c r="K177" s="15">
        <v>0</v>
      </c>
    </row>
    <row r="178" spans="2:11" ht="14.5" customHeight="1" x14ac:dyDescent="0.2">
      <c r="B178" s="386"/>
      <c r="C178" s="52"/>
      <c r="D178" s="69" t="s">
        <v>618</v>
      </c>
      <c r="E178" s="15">
        <v>10</v>
      </c>
      <c r="F178" s="15">
        <v>20</v>
      </c>
      <c r="G178" s="20">
        <f t="shared" si="62"/>
        <v>0.5</v>
      </c>
      <c r="H178" s="12" t="s">
        <v>675</v>
      </c>
      <c r="I178" s="15">
        <v>0</v>
      </c>
      <c r="J178" s="15">
        <f t="shared" si="64"/>
        <v>0</v>
      </c>
      <c r="K178" s="15">
        <v>0</v>
      </c>
    </row>
    <row r="179" spans="2:11" ht="14.5" customHeight="1" x14ac:dyDescent="0.2">
      <c r="B179" s="386"/>
      <c r="C179" s="78"/>
      <c r="D179" s="78" t="s">
        <v>687</v>
      </c>
      <c r="E179" s="67">
        <f>SUM(E174:E178)</f>
        <v>81</v>
      </c>
      <c r="F179" s="67">
        <f>SUM(F174:F178)</f>
        <v>170</v>
      </c>
      <c r="G179" s="66">
        <f t="shared" si="62"/>
        <v>0.47647058823529409</v>
      </c>
      <c r="H179" s="64" t="s">
        <v>673</v>
      </c>
      <c r="I179" s="63">
        <v>0</v>
      </c>
      <c r="J179" s="63">
        <f t="shared" si="64"/>
        <v>0</v>
      </c>
      <c r="K179" s="63">
        <v>0</v>
      </c>
    </row>
    <row r="180" spans="2:11" ht="14.5" customHeight="1" x14ac:dyDescent="0.2">
      <c r="B180" s="386"/>
      <c r="C180" s="78"/>
      <c r="D180" s="78" t="s">
        <v>95</v>
      </c>
      <c r="E180" s="67">
        <f>SUM(E179,E173)</f>
        <v>188</v>
      </c>
      <c r="F180" s="67">
        <f>SUM(F179,F173)</f>
        <v>470</v>
      </c>
      <c r="G180" s="66">
        <f t="shared" si="62"/>
        <v>0.4</v>
      </c>
      <c r="H180" s="64" t="s">
        <v>20</v>
      </c>
      <c r="I180" s="63">
        <v>0</v>
      </c>
      <c r="J180" s="63">
        <f t="shared" si="64"/>
        <v>0</v>
      </c>
      <c r="K180" s="63">
        <v>0</v>
      </c>
    </row>
    <row r="181" spans="2:11" ht="14.5" customHeight="1" x14ac:dyDescent="0.2">
      <c r="B181" s="387"/>
      <c r="C181" s="71"/>
      <c r="D181" s="71" t="s">
        <v>556</v>
      </c>
      <c r="E181" s="22">
        <f>SUM(E180)</f>
        <v>188</v>
      </c>
      <c r="F181" s="22">
        <f>SUM(F180)</f>
        <v>470</v>
      </c>
      <c r="G181" s="27">
        <f t="shared" si="62"/>
        <v>0.4</v>
      </c>
      <c r="H181" s="42"/>
      <c r="I181" s="23">
        <f>SUM(I166:I180)</f>
        <v>90000</v>
      </c>
      <c r="J181" s="23">
        <f t="shared" ref="J181:K181" si="65">SUM(J166:J180)</f>
        <v>90000</v>
      </c>
      <c r="K181" s="23">
        <f t="shared" si="65"/>
        <v>0</v>
      </c>
    </row>
    <row r="182" spans="2:11" ht="14.5" customHeight="1" x14ac:dyDescent="0.2">
      <c r="B182" s="396" t="s">
        <v>555</v>
      </c>
      <c r="C182" s="52" t="s">
        <v>408</v>
      </c>
      <c r="D182" s="74" t="s">
        <v>330</v>
      </c>
      <c r="E182" s="15">
        <v>88</v>
      </c>
      <c r="F182" s="15">
        <v>100</v>
      </c>
      <c r="G182" s="20">
        <f t="shared" si="62"/>
        <v>0.88</v>
      </c>
      <c r="H182" s="12" t="s">
        <v>571</v>
      </c>
      <c r="I182" s="15">
        <v>198000</v>
      </c>
      <c r="J182" s="15">
        <f t="shared" ref="J182:J189" si="66">I182</f>
        <v>198000</v>
      </c>
      <c r="K182" s="15">
        <v>0</v>
      </c>
    </row>
    <row r="183" spans="2:11" ht="14.5" customHeight="1" x14ac:dyDescent="0.2">
      <c r="B183" s="386"/>
      <c r="C183" s="52"/>
      <c r="D183" s="69" t="s">
        <v>560</v>
      </c>
      <c r="E183" s="15">
        <v>40</v>
      </c>
      <c r="F183" s="15">
        <v>50</v>
      </c>
      <c r="G183" s="20">
        <f t="shared" si="62"/>
        <v>0.8</v>
      </c>
      <c r="H183" s="12" t="s">
        <v>675</v>
      </c>
      <c r="I183" s="15">
        <v>0</v>
      </c>
      <c r="J183" s="15">
        <f t="shared" si="66"/>
        <v>0</v>
      </c>
      <c r="K183" s="15">
        <v>0</v>
      </c>
    </row>
    <row r="184" spans="2:11" ht="14.5" customHeight="1" x14ac:dyDescent="0.2">
      <c r="B184" s="386"/>
      <c r="C184" s="52"/>
      <c r="D184" s="69" t="s">
        <v>562</v>
      </c>
      <c r="E184" s="15">
        <v>13</v>
      </c>
      <c r="F184" s="15">
        <v>25</v>
      </c>
      <c r="G184" s="20">
        <f t="shared" si="62"/>
        <v>0.52</v>
      </c>
      <c r="H184" s="12" t="s">
        <v>675</v>
      </c>
      <c r="I184" s="15">
        <v>0</v>
      </c>
      <c r="J184" s="15">
        <f t="shared" si="66"/>
        <v>0</v>
      </c>
      <c r="K184" s="15">
        <v>0</v>
      </c>
    </row>
    <row r="185" spans="2:11" ht="14.5" customHeight="1" x14ac:dyDescent="0.2">
      <c r="B185" s="386"/>
      <c r="C185" s="52"/>
      <c r="D185" s="69" t="s">
        <v>561</v>
      </c>
      <c r="E185" s="15">
        <v>1</v>
      </c>
      <c r="F185" s="15">
        <v>50</v>
      </c>
      <c r="G185" s="20">
        <f t="shared" si="62"/>
        <v>0.02</v>
      </c>
      <c r="H185" s="12" t="s">
        <v>675</v>
      </c>
      <c r="I185" s="15">
        <v>0</v>
      </c>
      <c r="J185" s="15">
        <f t="shared" si="66"/>
        <v>0</v>
      </c>
      <c r="K185" s="15">
        <v>0</v>
      </c>
    </row>
    <row r="186" spans="2:11" ht="14.5" customHeight="1" x14ac:dyDescent="0.2">
      <c r="B186" s="386"/>
      <c r="C186" s="52"/>
      <c r="D186" s="69" t="s">
        <v>803</v>
      </c>
      <c r="E186" s="15">
        <v>1</v>
      </c>
      <c r="F186" s="15">
        <v>0</v>
      </c>
      <c r="G186" s="20" t="e">
        <f t="shared" si="62"/>
        <v>#DIV/0!</v>
      </c>
      <c r="H186" s="12"/>
      <c r="I186" s="15">
        <v>0</v>
      </c>
      <c r="J186" s="15">
        <f t="shared" si="66"/>
        <v>0</v>
      </c>
      <c r="K186" s="15">
        <v>0</v>
      </c>
    </row>
    <row r="187" spans="2:11" ht="14.5" customHeight="1" x14ac:dyDescent="0.2">
      <c r="B187" s="386"/>
      <c r="C187" s="52"/>
      <c r="D187" s="69" t="s">
        <v>790</v>
      </c>
      <c r="E187" s="15">
        <v>118</v>
      </c>
      <c r="F187" s="15">
        <v>50</v>
      </c>
      <c r="G187" s="20">
        <f t="shared" si="62"/>
        <v>2.36</v>
      </c>
      <c r="H187" s="12" t="s">
        <v>675</v>
      </c>
      <c r="I187" s="15">
        <v>135000</v>
      </c>
      <c r="J187" s="15">
        <f t="shared" si="66"/>
        <v>135000</v>
      </c>
      <c r="K187" s="15">
        <v>0</v>
      </c>
    </row>
    <row r="188" spans="2:11" ht="14.5" customHeight="1" x14ac:dyDescent="0.2">
      <c r="B188" s="386"/>
      <c r="C188" s="52"/>
      <c r="D188" s="69" t="s">
        <v>559</v>
      </c>
      <c r="E188" s="15">
        <v>1</v>
      </c>
      <c r="F188" s="15">
        <v>15</v>
      </c>
      <c r="G188" s="20">
        <f t="shared" si="62"/>
        <v>6.6666666666666666E-2</v>
      </c>
      <c r="H188" s="12" t="s">
        <v>675</v>
      </c>
      <c r="I188" s="15">
        <v>0</v>
      </c>
      <c r="J188" s="15">
        <f t="shared" si="66"/>
        <v>0</v>
      </c>
      <c r="K188" s="15">
        <v>0</v>
      </c>
    </row>
    <row r="189" spans="2:11" ht="14.5" customHeight="1" x14ac:dyDescent="0.2">
      <c r="B189" s="387"/>
      <c r="C189" s="78"/>
      <c r="D189" s="78" t="s">
        <v>719</v>
      </c>
      <c r="E189" s="67">
        <f>SUM(E182:E188)</f>
        <v>262</v>
      </c>
      <c r="F189" s="67">
        <f>SUM(F182:F188)</f>
        <v>290</v>
      </c>
      <c r="G189" s="66">
        <f t="shared" si="62"/>
        <v>0.90344827586206899</v>
      </c>
      <c r="H189" s="64" t="s">
        <v>673</v>
      </c>
      <c r="I189" s="63">
        <v>150000</v>
      </c>
      <c r="J189" s="63">
        <f t="shared" si="66"/>
        <v>150000</v>
      </c>
      <c r="K189" s="63">
        <v>0</v>
      </c>
    </row>
    <row r="190" spans="2:11" ht="14.5" customHeight="1" x14ac:dyDescent="0.2">
      <c r="B190" s="206"/>
      <c r="C190" s="206"/>
      <c r="D190" s="206" t="s">
        <v>619</v>
      </c>
      <c r="E190" s="208">
        <f>SUM(E189,E181,E165)</f>
        <v>890</v>
      </c>
      <c r="F190" s="208">
        <f>SUM(F189,F181,F165)</f>
        <v>1150</v>
      </c>
      <c r="G190" s="44">
        <f t="shared" si="62"/>
        <v>0.77391304347826084</v>
      </c>
      <c r="H190" s="209"/>
      <c r="I190" s="208">
        <f>SUM(I181,I165)</f>
        <v>2253000</v>
      </c>
      <c r="J190" s="208">
        <f t="shared" ref="J190:K190" si="67">SUM(J181,J165)</f>
        <v>2253000</v>
      </c>
      <c r="K190" s="208">
        <f t="shared" si="67"/>
        <v>0</v>
      </c>
    </row>
    <row r="191" spans="2:11" ht="14.5" customHeight="1" x14ac:dyDescent="0.2">
      <c r="B191" s="386" t="s">
        <v>833</v>
      </c>
      <c r="C191" s="52"/>
      <c r="D191" s="69" t="s">
        <v>842</v>
      </c>
      <c r="E191" s="15">
        <v>0</v>
      </c>
      <c r="F191" s="15">
        <v>0</v>
      </c>
      <c r="G191" s="20" t="e">
        <f t="shared" si="62"/>
        <v>#DIV/0!</v>
      </c>
      <c r="H191" s="12" t="s">
        <v>675</v>
      </c>
      <c r="I191" s="15">
        <v>0</v>
      </c>
      <c r="J191" s="15">
        <f t="shared" ref="J191:J198" si="68">I191</f>
        <v>0</v>
      </c>
      <c r="K191" s="15">
        <v>0</v>
      </c>
    </row>
    <row r="192" spans="2:11" ht="14.5" customHeight="1" x14ac:dyDescent="0.2">
      <c r="B192" s="386"/>
      <c r="C192" s="52"/>
      <c r="D192" s="69" t="s">
        <v>563</v>
      </c>
      <c r="E192" s="15">
        <v>3</v>
      </c>
      <c r="F192" s="15">
        <v>40</v>
      </c>
      <c r="G192" s="20">
        <f t="shared" si="62"/>
        <v>7.4999999999999997E-2</v>
      </c>
      <c r="H192" s="12" t="s">
        <v>675</v>
      </c>
      <c r="I192" s="15">
        <v>0</v>
      </c>
      <c r="J192" s="15">
        <f t="shared" si="68"/>
        <v>0</v>
      </c>
      <c r="K192" s="15">
        <v>0</v>
      </c>
    </row>
    <row r="193" spans="2:11" ht="14.5" customHeight="1" x14ac:dyDescent="0.2">
      <c r="B193" s="386"/>
      <c r="C193" s="52"/>
      <c r="D193" s="69" t="s">
        <v>804</v>
      </c>
      <c r="E193" s="15">
        <v>0</v>
      </c>
      <c r="F193" s="15">
        <v>0</v>
      </c>
      <c r="G193" s="20" t="e">
        <f t="shared" si="62"/>
        <v>#DIV/0!</v>
      </c>
      <c r="H193" s="12"/>
      <c r="I193" s="15">
        <v>0</v>
      </c>
      <c r="J193" s="15">
        <f t="shared" si="68"/>
        <v>0</v>
      </c>
      <c r="K193" s="15">
        <v>0</v>
      </c>
    </row>
    <row r="194" spans="2:11" ht="14.5" customHeight="1" x14ac:dyDescent="0.2">
      <c r="B194" s="386"/>
      <c r="C194" s="52"/>
      <c r="D194" s="69" t="s">
        <v>565</v>
      </c>
      <c r="E194" s="15">
        <v>6</v>
      </c>
      <c r="F194" s="15">
        <v>25</v>
      </c>
      <c r="G194" s="20">
        <f t="shared" si="62"/>
        <v>0.24</v>
      </c>
      <c r="H194" s="12" t="s">
        <v>675</v>
      </c>
      <c r="I194" s="15">
        <v>0</v>
      </c>
      <c r="J194" s="15">
        <f t="shared" si="68"/>
        <v>0</v>
      </c>
      <c r="K194" s="15">
        <v>0</v>
      </c>
    </row>
    <row r="195" spans="2:11" ht="14.5" customHeight="1" x14ac:dyDescent="0.2">
      <c r="B195" s="386"/>
      <c r="C195" s="52"/>
      <c r="D195" s="69" t="s">
        <v>843</v>
      </c>
      <c r="E195" s="15">
        <v>4</v>
      </c>
      <c r="F195" s="15">
        <v>30</v>
      </c>
      <c r="G195" s="20">
        <f t="shared" si="62"/>
        <v>0.13333333333333333</v>
      </c>
      <c r="H195" s="12" t="s">
        <v>675</v>
      </c>
      <c r="I195" s="15">
        <v>0</v>
      </c>
      <c r="J195" s="15">
        <f t="shared" si="68"/>
        <v>0</v>
      </c>
      <c r="K195" s="15">
        <v>0</v>
      </c>
    </row>
    <row r="196" spans="2:11" ht="14.5" customHeight="1" x14ac:dyDescent="0.2">
      <c r="B196" s="386"/>
      <c r="C196" s="52"/>
      <c r="D196" s="69" t="s">
        <v>564</v>
      </c>
      <c r="E196" s="15">
        <v>7</v>
      </c>
      <c r="F196" s="15">
        <v>40</v>
      </c>
      <c r="G196" s="20">
        <f t="shared" si="62"/>
        <v>0.17499999999999999</v>
      </c>
      <c r="H196" s="12" t="s">
        <v>675</v>
      </c>
      <c r="I196" s="15">
        <v>0</v>
      </c>
      <c r="J196" s="15">
        <f t="shared" si="68"/>
        <v>0</v>
      </c>
      <c r="K196" s="15">
        <v>0</v>
      </c>
    </row>
    <row r="197" spans="2:11" ht="14.5" customHeight="1" x14ac:dyDescent="0.2">
      <c r="B197" s="386"/>
      <c r="C197" s="78"/>
      <c r="D197" s="78" t="s">
        <v>726</v>
      </c>
      <c r="E197" s="67">
        <f>SUM(E191:E196)</f>
        <v>20</v>
      </c>
      <c r="F197" s="67">
        <f>SUM(F191:F196)</f>
        <v>135</v>
      </c>
      <c r="G197" s="66">
        <f t="shared" si="62"/>
        <v>0.14814814814814814</v>
      </c>
      <c r="H197" s="64" t="s">
        <v>673</v>
      </c>
      <c r="I197" s="63">
        <v>0</v>
      </c>
      <c r="J197" s="63">
        <f t="shared" si="68"/>
        <v>0</v>
      </c>
      <c r="K197" s="63">
        <v>0</v>
      </c>
    </row>
    <row r="198" spans="2:11" ht="14.5" customHeight="1" x14ac:dyDescent="0.2">
      <c r="B198" s="386"/>
      <c r="C198" s="78"/>
      <c r="D198" s="78" t="s">
        <v>155</v>
      </c>
      <c r="E198" s="67">
        <f>SUM(E197,E189)</f>
        <v>282</v>
      </c>
      <c r="F198" s="67">
        <f>SUM(F197,F189)</f>
        <v>425</v>
      </c>
      <c r="G198" s="66">
        <f t="shared" si="62"/>
        <v>0.66352941176470592</v>
      </c>
      <c r="H198" s="64" t="s">
        <v>20</v>
      </c>
      <c r="I198" s="63">
        <v>0</v>
      </c>
      <c r="J198" s="63">
        <f t="shared" si="68"/>
        <v>0</v>
      </c>
      <c r="K198" s="63">
        <v>0</v>
      </c>
    </row>
    <row r="199" spans="2:11" ht="14.5" customHeight="1" x14ac:dyDescent="0.2">
      <c r="B199" s="387"/>
      <c r="C199" s="71"/>
      <c r="D199" s="71" t="s">
        <v>558</v>
      </c>
      <c r="E199" s="22">
        <f>SUM(E198)</f>
        <v>282</v>
      </c>
      <c r="F199" s="22">
        <f>SUM(F198)</f>
        <v>425</v>
      </c>
      <c r="G199" s="27">
        <f t="shared" si="62"/>
        <v>0.66352941176470592</v>
      </c>
      <c r="H199" s="42"/>
      <c r="I199" s="23">
        <f>SUM(I191:I198,I182:I189)</f>
        <v>483000</v>
      </c>
      <c r="J199" s="23">
        <f>SUM(J191:J198,J182:J189)</f>
        <v>483000</v>
      </c>
      <c r="K199" s="23">
        <f>SUM(K191:K198,K182:K189)</f>
        <v>0</v>
      </c>
    </row>
    <row r="200" spans="2:11" ht="14.5" customHeight="1" x14ac:dyDescent="0.2">
      <c r="B200" s="396" t="s">
        <v>554</v>
      </c>
      <c r="C200" s="52"/>
      <c r="D200" s="69" t="s">
        <v>550</v>
      </c>
      <c r="E200" s="15">
        <v>14</v>
      </c>
      <c r="F200" s="15">
        <v>50</v>
      </c>
      <c r="G200" s="20">
        <f t="shared" si="62"/>
        <v>0.28000000000000003</v>
      </c>
      <c r="H200" s="12" t="s">
        <v>675</v>
      </c>
      <c r="I200" s="15">
        <v>0</v>
      </c>
      <c r="J200" s="15">
        <f t="shared" ref="J200:J214" si="69">I200</f>
        <v>0</v>
      </c>
      <c r="K200" s="15">
        <v>0</v>
      </c>
    </row>
    <row r="201" spans="2:11" ht="14.5" customHeight="1" x14ac:dyDescent="0.2">
      <c r="B201" s="386"/>
      <c r="C201" s="52"/>
      <c r="D201" s="69" t="s">
        <v>900</v>
      </c>
      <c r="E201" s="15">
        <v>1</v>
      </c>
      <c r="F201" s="15">
        <v>0</v>
      </c>
      <c r="G201" s="20" t="e">
        <f t="shared" si="62"/>
        <v>#DIV/0!</v>
      </c>
      <c r="H201" s="12"/>
      <c r="I201" s="15">
        <v>0</v>
      </c>
      <c r="J201" s="15">
        <f t="shared" si="69"/>
        <v>0</v>
      </c>
      <c r="K201" s="15">
        <v>0</v>
      </c>
    </row>
    <row r="202" spans="2:11" ht="14.5" customHeight="1" x14ac:dyDescent="0.2">
      <c r="B202" s="386"/>
      <c r="C202" s="52"/>
      <c r="D202" s="69" t="s">
        <v>551</v>
      </c>
      <c r="E202" s="15">
        <v>8</v>
      </c>
      <c r="F202" s="15">
        <v>30</v>
      </c>
      <c r="G202" s="20">
        <f t="shared" si="62"/>
        <v>0.26666666666666666</v>
      </c>
      <c r="H202" s="12" t="s">
        <v>675</v>
      </c>
      <c r="I202" s="15">
        <v>0</v>
      </c>
      <c r="J202" s="15">
        <f t="shared" si="69"/>
        <v>0</v>
      </c>
      <c r="K202" s="15">
        <v>0</v>
      </c>
    </row>
    <row r="203" spans="2:11" ht="14.5" customHeight="1" x14ac:dyDescent="0.2">
      <c r="B203" s="386"/>
      <c r="C203" s="52"/>
      <c r="D203" s="69" t="s">
        <v>548</v>
      </c>
      <c r="E203" s="15">
        <v>5</v>
      </c>
      <c r="F203" s="15">
        <v>30</v>
      </c>
      <c r="G203" s="20">
        <f t="shared" si="62"/>
        <v>0.16666666666666666</v>
      </c>
      <c r="H203" s="12" t="s">
        <v>675</v>
      </c>
      <c r="I203" s="15">
        <v>0</v>
      </c>
      <c r="J203" s="15">
        <f t="shared" si="69"/>
        <v>0</v>
      </c>
      <c r="K203" s="15">
        <v>0</v>
      </c>
    </row>
    <row r="204" spans="2:11" ht="14.5" customHeight="1" x14ac:dyDescent="0.2">
      <c r="B204" s="386"/>
      <c r="C204" s="52"/>
      <c r="D204" s="69" t="s">
        <v>549</v>
      </c>
      <c r="E204" s="15">
        <v>24</v>
      </c>
      <c r="F204" s="15">
        <v>50</v>
      </c>
      <c r="G204" s="20">
        <f t="shared" si="62"/>
        <v>0.48</v>
      </c>
      <c r="H204" s="12" t="s">
        <v>675</v>
      </c>
      <c r="I204" s="15">
        <v>0</v>
      </c>
      <c r="J204" s="15">
        <f t="shared" si="69"/>
        <v>0</v>
      </c>
      <c r="K204" s="15">
        <v>0</v>
      </c>
    </row>
    <row r="205" spans="2:11" ht="14.5" customHeight="1" x14ac:dyDescent="0.2">
      <c r="B205" s="386"/>
      <c r="C205" s="78"/>
      <c r="D205" s="78" t="s">
        <v>708</v>
      </c>
      <c r="E205" s="67">
        <f>SUM(E200:E204)</f>
        <v>52</v>
      </c>
      <c r="F205" s="67">
        <f>SUM(F200:F204)</f>
        <v>160</v>
      </c>
      <c r="G205" s="66">
        <f t="shared" si="62"/>
        <v>0.32500000000000001</v>
      </c>
      <c r="H205" s="64" t="s">
        <v>673</v>
      </c>
      <c r="I205" s="63">
        <v>0</v>
      </c>
      <c r="J205" s="63">
        <f t="shared" si="69"/>
        <v>0</v>
      </c>
      <c r="K205" s="63">
        <v>0</v>
      </c>
    </row>
    <row r="206" spans="2:11" ht="14.5" customHeight="1" x14ac:dyDescent="0.2">
      <c r="B206" s="386"/>
      <c r="C206" s="52" t="s">
        <v>407</v>
      </c>
      <c r="D206" s="12" t="s">
        <v>326</v>
      </c>
      <c r="E206" s="15">
        <v>66</v>
      </c>
      <c r="F206" s="15">
        <v>100</v>
      </c>
      <c r="G206" s="20">
        <f t="shared" si="62"/>
        <v>0.66</v>
      </c>
      <c r="H206" s="12" t="s">
        <v>571</v>
      </c>
      <c r="I206" s="15">
        <v>0</v>
      </c>
      <c r="J206" s="15">
        <f t="shared" si="69"/>
        <v>0</v>
      </c>
      <c r="K206" s="15">
        <v>0</v>
      </c>
    </row>
    <row r="207" spans="2:11" ht="14.5" customHeight="1" x14ac:dyDescent="0.2">
      <c r="B207" s="386"/>
      <c r="C207" s="52"/>
      <c r="D207" s="69" t="s">
        <v>553</v>
      </c>
      <c r="E207" s="15">
        <v>0</v>
      </c>
      <c r="F207" s="15">
        <v>30</v>
      </c>
      <c r="G207" s="20">
        <f t="shared" si="62"/>
        <v>0</v>
      </c>
      <c r="H207" s="12" t="s">
        <v>675</v>
      </c>
      <c r="I207" s="15">
        <v>0</v>
      </c>
      <c r="J207" s="15">
        <f t="shared" si="69"/>
        <v>0</v>
      </c>
      <c r="K207" s="15">
        <v>0</v>
      </c>
    </row>
    <row r="208" spans="2:11" ht="14.5" customHeight="1" x14ac:dyDescent="0.2">
      <c r="B208" s="386"/>
      <c r="C208" s="52"/>
      <c r="D208" s="69" t="s">
        <v>552</v>
      </c>
      <c r="E208" s="15">
        <v>0</v>
      </c>
      <c r="F208" s="15">
        <v>30</v>
      </c>
      <c r="G208" s="20">
        <f t="shared" si="62"/>
        <v>0</v>
      </c>
      <c r="H208" s="12" t="s">
        <v>675</v>
      </c>
      <c r="I208" s="15">
        <v>0</v>
      </c>
      <c r="J208" s="15">
        <f t="shared" si="69"/>
        <v>0</v>
      </c>
      <c r="K208" s="15">
        <v>0</v>
      </c>
    </row>
    <row r="209" spans="2:11" ht="14.5" customHeight="1" x14ac:dyDescent="0.2">
      <c r="B209" s="386"/>
      <c r="C209" s="52"/>
      <c r="D209" s="69" t="s">
        <v>620</v>
      </c>
      <c r="E209" s="15">
        <v>0</v>
      </c>
      <c r="F209" s="15">
        <v>30</v>
      </c>
      <c r="G209" s="20">
        <f t="shared" si="62"/>
        <v>0</v>
      </c>
      <c r="H209" s="12" t="s">
        <v>675</v>
      </c>
      <c r="I209" s="15">
        <v>0</v>
      </c>
      <c r="J209" s="15">
        <f t="shared" si="69"/>
        <v>0</v>
      </c>
      <c r="K209" s="15">
        <v>0</v>
      </c>
    </row>
    <row r="210" spans="2:11" ht="14.5" customHeight="1" x14ac:dyDescent="0.2">
      <c r="B210" s="386"/>
      <c r="C210" s="52"/>
      <c r="D210" s="69" t="s">
        <v>216</v>
      </c>
      <c r="E210" s="15">
        <v>4</v>
      </c>
      <c r="F210" s="15">
        <v>30</v>
      </c>
      <c r="G210" s="20">
        <f t="shared" si="62"/>
        <v>0.13333333333333333</v>
      </c>
      <c r="H210" s="12" t="s">
        <v>675</v>
      </c>
      <c r="I210" s="15">
        <v>0</v>
      </c>
      <c r="J210" s="15">
        <f t="shared" si="69"/>
        <v>0</v>
      </c>
      <c r="K210" s="15">
        <v>0</v>
      </c>
    </row>
    <row r="211" spans="2:11" ht="14.5" customHeight="1" x14ac:dyDescent="0.2">
      <c r="B211" s="386"/>
      <c r="C211" s="52"/>
      <c r="D211" s="69" t="s">
        <v>805</v>
      </c>
      <c r="E211" s="15">
        <v>1</v>
      </c>
      <c r="F211" s="15">
        <v>0</v>
      </c>
      <c r="G211" s="20" t="e">
        <f t="shared" si="62"/>
        <v>#DIV/0!</v>
      </c>
      <c r="H211" s="12"/>
      <c r="I211" s="15">
        <v>0</v>
      </c>
      <c r="J211" s="15">
        <f t="shared" si="69"/>
        <v>0</v>
      </c>
      <c r="K211" s="15">
        <v>0</v>
      </c>
    </row>
    <row r="212" spans="2:11" ht="14.5" customHeight="1" x14ac:dyDescent="0.2">
      <c r="B212" s="386"/>
      <c r="C212" s="52"/>
      <c r="D212" s="69" t="s">
        <v>844</v>
      </c>
      <c r="E212" s="15">
        <v>0</v>
      </c>
      <c r="F212" s="15">
        <v>25</v>
      </c>
      <c r="G212" s="20">
        <f t="shared" si="62"/>
        <v>0</v>
      </c>
      <c r="H212" s="12" t="s">
        <v>675</v>
      </c>
      <c r="I212" s="15">
        <v>0</v>
      </c>
      <c r="J212" s="15">
        <f t="shared" si="69"/>
        <v>0</v>
      </c>
      <c r="K212" s="15">
        <v>0</v>
      </c>
    </row>
    <row r="213" spans="2:11" ht="14.5" customHeight="1" x14ac:dyDescent="0.2">
      <c r="B213" s="386"/>
      <c r="C213" s="78"/>
      <c r="D213" s="78" t="s">
        <v>715</v>
      </c>
      <c r="E213" s="67">
        <f>SUM(E206:E212)</f>
        <v>71</v>
      </c>
      <c r="F213" s="67">
        <f>SUM(F206:F212)</f>
        <v>245</v>
      </c>
      <c r="G213" s="66">
        <f t="shared" ref="G213:G260" si="70">E213/F213*100%</f>
        <v>0.28979591836734692</v>
      </c>
      <c r="H213" s="64" t="s">
        <v>673</v>
      </c>
      <c r="I213" s="63">
        <v>0</v>
      </c>
      <c r="J213" s="63">
        <f t="shared" si="69"/>
        <v>0</v>
      </c>
      <c r="K213" s="63">
        <v>0</v>
      </c>
    </row>
    <row r="214" spans="2:11" ht="14.5" customHeight="1" x14ac:dyDescent="0.2">
      <c r="B214" s="386"/>
      <c r="C214" s="78"/>
      <c r="D214" s="78" t="s">
        <v>74</v>
      </c>
      <c r="E214" s="67">
        <f>SUM(E213,E205)</f>
        <v>123</v>
      </c>
      <c r="F214" s="67">
        <f>SUM(F213,F205)</f>
        <v>405</v>
      </c>
      <c r="G214" s="66">
        <f t="shared" si="70"/>
        <v>0.3037037037037037</v>
      </c>
      <c r="H214" s="64" t="s">
        <v>20</v>
      </c>
      <c r="I214" s="63">
        <v>0</v>
      </c>
      <c r="J214" s="63">
        <f t="shared" si="69"/>
        <v>0</v>
      </c>
      <c r="K214" s="63">
        <v>0</v>
      </c>
    </row>
    <row r="215" spans="2:11" ht="14.5" customHeight="1" x14ac:dyDescent="0.2">
      <c r="B215" s="387"/>
      <c r="C215" s="71"/>
      <c r="D215" s="71" t="s">
        <v>557</v>
      </c>
      <c r="E215" s="22">
        <f>SUM(E214)</f>
        <v>123</v>
      </c>
      <c r="F215" s="22">
        <f>SUM(F214)</f>
        <v>405</v>
      </c>
      <c r="G215" s="27">
        <f t="shared" si="70"/>
        <v>0.3037037037037037</v>
      </c>
      <c r="H215" s="42"/>
      <c r="I215" s="23">
        <f>SUM(I200:I214)</f>
        <v>0</v>
      </c>
      <c r="J215" s="23">
        <f>SUM(J200:J214)</f>
        <v>0</v>
      </c>
      <c r="K215" s="23">
        <f>SUM(K200:K214)</f>
        <v>0</v>
      </c>
    </row>
    <row r="216" spans="2:11" ht="14.5" customHeight="1" x14ac:dyDescent="0.2">
      <c r="B216" s="396" t="s">
        <v>621</v>
      </c>
      <c r="C216" s="52"/>
      <c r="D216" s="69" t="s">
        <v>623</v>
      </c>
      <c r="E216" s="15">
        <v>0</v>
      </c>
      <c r="F216" s="15">
        <v>25</v>
      </c>
      <c r="G216" s="20">
        <f t="shared" si="70"/>
        <v>0</v>
      </c>
      <c r="H216" s="12" t="s">
        <v>675</v>
      </c>
      <c r="I216" s="15">
        <v>0</v>
      </c>
      <c r="J216" s="15">
        <f t="shared" ref="J216:J219" si="71">I216</f>
        <v>0</v>
      </c>
      <c r="K216" s="15">
        <v>0</v>
      </c>
    </row>
    <row r="217" spans="2:11" ht="14.5" customHeight="1" x14ac:dyDescent="0.2">
      <c r="B217" s="386"/>
      <c r="C217" s="52"/>
      <c r="D217" s="69" t="s">
        <v>624</v>
      </c>
      <c r="E217" s="15">
        <v>18</v>
      </c>
      <c r="F217" s="15">
        <v>25</v>
      </c>
      <c r="G217" s="20">
        <f t="shared" si="70"/>
        <v>0.72</v>
      </c>
      <c r="H217" s="12" t="s">
        <v>675</v>
      </c>
      <c r="I217" s="15">
        <v>0</v>
      </c>
      <c r="J217" s="15">
        <f t="shared" si="71"/>
        <v>0</v>
      </c>
      <c r="K217" s="15">
        <v>0</v>
      </c>
    </row>
    <row r="218" spans="2:11" ht="14.5" customHeight="1" x14ac:dyDescent="0.2">
      <c r="B218" s="386"/>
      <c r="C218" s="52"/>
      <c r="D218" s="69" t="s">
        <v>845</v>
      </c>
      <c r="E218" s="15">
        <v>4</v>
      </c>
      <c r="F218" s="15">
        <v>25</v>
      </c>
      <c r="G218" s="20">
        <f t="shared" si="70"/>
        <v>0.16</v>
      </c>
      <c r="H218" s="12" t="s">
        <v>675</v>
      </c>
      <c r="I218" s="15">
        <v>0</v>
      </c>
      <c r="J218" s="15">
        <f t="shared" si="71"/>
        <v>0</v>
      </c>
      <c r="K218" s="15">
        <v>0</v>
      </c>
    </row>
    <row r="219" spans="2:11" ht="14.5" customHeight="1" x14ac:dyDescent="0.2">
      <c r="B219" s="386"/>
      <c r="C219" s="78"/>
      <c r="D219" s="78" t="s">
        <v>730</v>
      </c>
      <c r="E219" s="67">
        <f>SUM(E216:E218)</f>
        <v>22</v>
      </c>
      <c r="F219" s="67">
        <f>SUM(F216:F218)</f>
        <v>75</v>
      </c>
      <c r="G219" s="66">
        <f t="shared" si="70"/>
        <v>0.29333333333333333</v>
      </c>
      <c r="H219" s="64" t="s">
        <v>673</v>
      </c>
      <c r="I219" s="63">
        <v>0</v>
      </c>
      <c r="J219" s="63">
        <f t="shared" si="71"/>
        <v>0</v>
      </c>
      <c r="K219" s="63">
        <v>0</v>
      </c>
    </row>
    <row r="220" spans="2:11" ht="14.5" customHeight="1" x14ac:dyDescent="0.2">
      <c r="B220" s="387"/>
      <c r="C220" s="71"/>
      <c r="D220" s="71" t="s">
        <v>622</v>
      </c>
      <c r="E220" s="22">
        <f>SUM(E219)</f>
        <v>22</v>
      </c>
      <c r="F220" s="22">
        <f>SUM(F219)</f>
        <v>75</v>
      </c>
      <c r="G220" s="27">
        <f t="shared" si="70"/>
        <v>0.29333333333333333</v>
      </c>
      <c r="H220" s="42"/>
      <c r="I220" s="23">
        <f>SUM(I216:I219)</f>
        <v>0</v>
      </c>
      <c r="J220" s="23">
        <f>SUM(J216:J219)</f>
        <v>0</v>
      </c>
      <c r="K220" s="23">
        <f>SUM(K216:K219)</f>
        <v>0</v>
      </c>
    </row>
    <row r="221" spans="2:11" ht="14.5" customHeight="1" x14ac:dyDescent="0.2">
      <c r="B221" s="396" t="s">
        <v>625</v>
      </c>
      <c r="C221" s="52"/>
      <c r="D221" s="69" t="s">
        <v>626</v>
      </c>
      <c r="E221" s="15">
        <v>0</v>
      </c>
      <c r="F221" s="15">
        <v>25</v>
      </c>
      <c r="G221" s="20">
        <f t="shared" si="70"/>
        <v>0</v>
      </c>
      <c r="H221" s="12" t="s">
        <v>675</v>
      </c>
      <c r="I221" s="15">
        <v>0</v>
      </c>
      <c r="J221" s="15">
        <f t="shared" ref="J221:J224" si="72">I221</f>
        <v>0</v>
      </c>
      <c r="K221" s="15">
        <v>0</v>
      </c>
    </row>
    <row r="222" spans="2:11" ht="14.5" customHeight="1" x14ac:dyDescent="0.2">
      <c r="B222" s="386"/>
      <c r="C222" s="52"/>
      <c r="D222" s="69" t="s">
        <v>627</v>
      </c>
      <c r="E222" s="15">
        <v>1</v>
      </c>
      <c r="F222" s="15">
        <v>25</v>
      </c>
      <c r="G222" s="20">
        <f t="shared" si="70"/>
        <v>0.04</v>
      </c>
      <c r="H222" s="12" t="s">
        <v>675</v>
      </c>
      <c r="I222" s="15">
        <v>0</v>
      </c>
      <c r="J222" s="15">
        <f t="shared" si="72"/>
        <v>0</v>
      </c>
      <c r="K222" s="15">
        <v>0</v>
      </c>
    </row>
    <row r="223" spans="2:11" ht="14.5" customHeight="1" x14ac:dyDescent="0.2">
      <c r="B223" s="386"/>
      <c r="C223" s="52"/>
      <c r="D223" s="69" t="s">
        <v>846</v>
      </c>
      <c r="E223" s="15">
        <v>0</v>
      </c>
      <c r="F223" s="15">
        <v>25</v>
      </c>
      <c r="G223" s="20">
        <f t="shared" si="70"/>
        <v>0</v>
      </c>
      <c r="H223" s="12" t="s">
        <v>675</v>
      </c>
      <c r="I223" s="15">
        <v>0</v>
      </c>
      <c r="J223" s="15">
        <f t="shared" si="72"/>
        <v>0</v>
      </c>
      <c r="K223" s="15">
        <v>0</v>
      </c>
    </row>
    <row r="224" spans="2:11" ht="14.5" customHeight="1" x14ac:dyDescent="0.2">
      <c r="B224" s="386"/>
      <c r="C224" s="78"/>
      <c r="D224" s="78" t="s">
        <v>732</v>
      </c>
      <c r="E224" s="67">
        <f>SUM(E221:E223)</f>
        <v>1</v>
      </c>
      <c r="F224" s="67">
        <f>SUM(F221:F223)</f>
        <v>75</v>
      </c>
      <c r="G224" s="66">
        <f t="shared" si="70"/>
        <v>1.3333333333333334E-2</v>
      </c>
      <c r="H224" s="64" t="s">
        <v>673</v>
      </c>
      <c r="I224" s="63">
        <v>0</v>
      </c>
      <c r="J224" s="63">
        <f t="shared" si="72"/>
        <v>0</v>
      </c>
      <c r="K224" s="63">
        <v>0</v>
      </c>
    </row>
    <row r="225" spans="2:11" ht="14.5" customHeight="1" x14ac:dyDescent="0.2">
      <c r="B225" s="387"/>
      <c r="C225" s="71"/>
      <c r="D225" s="71" t="s">
        <v>628</v>
      </c>
      <c r="E225" s="22">
        <f>SUM(E224)</f>
        <v>1</v>
      </c>
      <c r="F225" s="22">
        <f>SUM(F224)</f>
        <v>75</v>
      </c>
      <c r="G225" s="27">
        <f t="shared" si="70"/>
        <v>1.3333333333333334E-2</v>
      </c>
      <c r="H225" s="42"/>
      <c r="I225" s="23">
        <f>SUM(I221:I224)</f>
        <v>0</v>
      </c>
      <c r="J225" s="23">
        <f>SUM(J221:J224)</f>
        <v>0</v>
      </c>
      <c r="K225" s="23">
        <f>SUM(K221:K224)</f>
        <v>0</v>
      </c>
    </row>
    <row r="226" spans="2:11" ht="14" customHeight="1" x14ac:dyDescent="0.2">
      <c r="B226" s="206"/>
      <c r="C226" s="206"/>
      <c r="D226" s="206" t="s">
        <v>629</v>
      </c>
      <c r="E226" s="208">
        <f>SUM(E225,E220,E215,E197)</f>
        <v>166</v>
      </c>
      <c r="F226" s="208">
        <f>SUM(F225,F220,F215,F197)</f>
        <v>690</v>
      </c>
      <c r="G226" s="44">
        <f t="shared" si="70"/>
        <v>0.24057971014492754</v>
      </c>
      <c r="H226" s="209"/>
      <c r="I226" s="208">
        <f>SUM(I225,I220,I215,I199)</f>
        <v>483000</v>
      </c>
      <c r="J226" s="208">
        <f>SUM(J225,J220,J215,J199)</f>
        <v>483000</v>
      </c>
      <c r="K226" s="208">
        <f>SUM(K225,K220,K215,K199)</f>
        <v>0</v>
      </c>
    </row>
    <row r="227" spans="2:11" ht="14.5" customHeight="1" x14ac:dyDescent="0.2">
      <c r="B227" s="396" t="s">
        <v>603</v>
      </c>
      <c r="C227" s="52" t="s">
        <v>406</v>
      </c>
      <c r="D227" s="52" t="s">
        <v>895</v>
      </c>
      <c r="E227" s="15">
        <v>0</v>
      </c>
      <c r="F227" s="15">
        <v>0</v>
      </c>
      <c r="G227" s="20" t="e">
        <f t="shared" si="70"/>
        <v>#DIV/0!</v>
      </c>
      <c r="H227" s="12" t="s">
        <v>571</v>
      </c>
      <c r="I227" s="15">
        <v>0</v>
      </c>
      <c r="J227" s="15">
        <f t="shared" ref="J227:J241" si="73">I227</f>
        <v>0</v>
      </c>
      <c r="K227" s="15">
        <v>0</v>
      </c>
    </row>
    <row r="228" spans="2:11" ht="14.5" customHeight="1" x14ac:dyDescent="0.2">
      <c r="B228" s="386"/>
      <c r="C228" s="52"/>
      <c r="D228" s="69" t="s">
        <v>544</v>
      </c>
      <c r="E228" s="15">
        <v>21</v>
      </c>
      <c r="F228" s="15">
        <v>30</v>
      </c>
      <c r="G228" s="20">
        <f t="shared" si="70"/>
        <v>0.7</v>
      </c>
      <c r="H228" s="12" t="s">
        <v>675</v>
      </c>
      <c r="I228" s="15">
        <v>0</v>
      </c>
      <c r="J228" s="15">
        <f t="shared" si="73"/>
        <v>0</v>
      </c>
      <c r="K228" s="15">
        <v>0</v>
      </c>
    </row>
    <row r="229" spans="2:11" ht="14.5" customHeight="1" x14ac:dyDescent="0.2">
      <c r="B229" s="386"/>
      <c r="C229" s="52"/>
      <c r="D229" s="69" t="s">
        <v>545</v>
      </c>
      <c r="E229" s="15">
        <v>13</v>
      </c>
      <c r="F229" s="15">
        <v>50</v>
      </c>
      <c r="G229" s="20">
        <f t="shared" si="70"/>
        <v>0.26</v>
      </c>
      <c r="H229" s="12" t="s">
        <v>675</v>
      </c>
      <c r="I229" s="15">
        <v>0</v>
      </c>
      <c r="J229" s="15">
        <f t="shared" si="73"/>
        <v>0</v>
      </c>
      <c r="K229" s="15">
        <v>0</v>
      </c>
    </row>
    <row r="230" spans="2:11" ht="14.5" customHeight="1" x14ac:dyDescent="0.2">
      <c r="B230" s="386"/>
      <c r="C230" s="52"/>
      <c r="D230" s="69" t="s">
        <v>806</v>
      </c>
      <c r="E230" s="15">
        <v>1</v>
      </c>
      <c r="F230" s="15">
        <v>0</v>
      </c>
      <c r="G230" s="20" t="e">
        <f t="shared" si="70"/>
        <v>#DIV/0!</v>
      </c>
      <c r="H230" s="12"/>
      <c r="I230" s="15">
        <v>0</v>
      </c>
      <c r="J230" s="15">
        <f t="shared" si="73"/>
        <v>0</v>
      </c>
      <c r="K230" s="15">
        <v>0</v>
      </c>
    </row>
    <row r="231" spans="2:11" ht="14.5" customHeight="1" x14ac:dyDescent="0.2">
      <c r="B231" s="386"/>
      <c r="C231" s="52"/>
      <c r="D231" s="69" t="s">
        <v>630</v>
      </c>
      <c r="E231" s="15">
        <v>19</v>
      </c>
      <c r="F231" s="15">
        <v>40</v>
      </c>
      <c r="G231" s="20">
        <f t="shared" si="70"/>
        <v>0.47499999999999998</v>
      </c>
      <c r="H231" s="12" t="s">
        <v>675</v>
      </c>
      <c r="I231" s="15">
        <v>0</v>
      </c>
      <c r="J231" s="15">
        <f t="shared" si="73"/>
        <v>0</v>
      </c>
      <c r="K231" s="15">
        <v>0</v>
      </c>
    </row>
    <row r="232" spans="2:11" ht="14.5" customHeight="1" x14ac:dyDescent="0.2">
      <c r="B232" s="386"/>
      <c r="C232" s="52"/>
      <c r="D232" s="69" t="s">
        <v>546</v>
      </c>
      <c r="E232" s="15">
        <v>11</v>
      </c>
      <c r="F232" s="15">
        <v>25</v>
      </c>
      <c r="G232" s="20">
        <f t="shared" si="70"/>
        <v>0.44</v>
      </c>
      <c r="H232" s="12" t="s">
        <v>675</v>
      </c>
      <c r="I232" s="15">
        <v>0</v>
      </c>
      <c r="J232" s="15">
        <f t="shared" si="73"/>
        <v>0</v>
      </c>
      <c r="K232" s="15">
        <v>0</v>
      </c>
    </row>
    <row r="233" spans="2:11" ht="14.5" customHeight="1" x14ac:dyDescent="0.2">
      <c r="B233" s="386"/>
      <c r="C233" s="52"/>
      <c r="D233" s="69" t="s">
        <v>547</v>
      </c>
      <c r="E233" s="15">
        <v>22</v>
      </c>
      <c r="F233" s="15">
        <v>25</v>
      </c>
      <c r="G233" s="20">
        <f t="shared" si="70"/>
        <v>0.88</v>
      </c>
      <c r="H233" s="12" t="s">
        <v>675</v>
      </c>
      <c r="I233" s="15">
        <v>90000</v>
      </c>
      <c r="J233" s="15">
        <f t="shared" si="73"/>
        <v>90000</v>
      </c>
      <c r="K233" s="15">
        <v>0</v>
      </c>
    </row>
    <row r="234" spans="2:11" ht="14.5" customHeight="1" x14ac:dyDescent="0.2">
      <c r="B234" s="386"/>
      <c r="C234" s="78"/>
      <c r="D234" s="78" t="s">
        <v>694</v>
      </c>
      <c r="E234" s="67">
        <f>SUM(E227:E233)</f>
        <v>87</v>
      </c>
      <c r="F234" s="67">
        <f>SUM(F227:F233)</f>
        <v>170</v>
      </c>
      <c r="G234" s="66">
        <f t="shared" si="70"/>
        <v>0.5117647058823529</v>
      </c>
      <c r="H234" s="64" t="s">
        <v>673</v>
      </c>
      <c r="I234" s="63">
        <v>0</v>
      </c>
      <c r="J234" s="63">
        <f t="shared" si="73"/>
        <v>0</v>
      </c>
      <c r="K234" s="63">
        <v>0</v>
      </c>
    </row>
    <row r="235" spans="2:11" ht="14.5" customHeight="1" x14ac:dyDescent="0.2">
      <c r="B235" s="386"/>
      <c r="C235" s="52"/>
      <c r="D235" s="69" t="s">
        <v>631</v>
      </c>
      <c r="E235" s="15">
        <v>2</v>
      </c>
      <c r="F235" s="15">
        <v>25</v>
      </c>
      <c r="G235" s="20">
        <f t="shared" si="70"/>
        <v>0.08</v>
      </c>
      <c r="H235" s="12" t="s">
        <v>675</v>
      </c>
      <c r="I235" s="15">
        <v>0</v>
      </c>
      <c r="J235" s="15">
        <f t="shared" si="73"/>
        <v>0</v>
      </c>
      <c r="K235" s="15">
        <v>0</v>
      </c>
    </row>
    <row r="236" spans="2:11" ht="14.5" customHeight="1" x14ac:dyDescent="0.2">
      <c r="B236" s="386"/>
      <c r="C236" s="52"/>
      <c r="D236" s="69" t="s">
        <v>847</v>
      </c>
      <c r="E236" s="15">
        <v>0</v>
      </c>
      <c r="F236" s="15">
        <v>25</v>
      </c>
      <c r="G236" s="20">
        <f t="shared" si="70"/>
        <v>0</v>
      </c>
      <c r="H236" s="12" t="s">
        <v>675</v>
      </c>
      <c r="I236" s="15">
        <v>0</v>
      </c>
      <c r="J236" s="15">
        <f t="shared" si="73"/>
        <v>0</v>
      </c>
      <c r="K236" s="15">
        <v>0</v>
      </c>
    </row>
    <row r="237" spans="2:11" ht="14.5" customHeight="1" x14ac:dyDescent="0.2">
      <c r="B237" s="386"/>
      <c r="C237" s="52"/>
      <c r="D237" s="69" t="s">
        <v>848</v>
      </c>
      <c r="E237" s="15">
        <v>1</v>
      </c>
      <c r="F237" s="15">
        <v>20</v>
      </c>
      <c r="G237" s="20">
        <f t="shared" si="70"/>
        <v>0.05</v>
      </c>
      <c r="H237" s="12" t="s">
        <v>675</v>
      </c>
      <c r="I237" s="15">
        <v>0</v>
      </c>
      <c r="J237" s="15">
        <f t="shared" si="73"/>
        <v>0</v>
      </c>
      <c r="K237" s="15">
        <v>0</v>
      </c>
    </row>
    <row r="238" spans="2:11" ht="14.5" customHeight="1" x14ac:dyDescent="0.2">
      <c r="B238" s="386"/>
      <c r="C238" s="52"/>
      <c r="D238" s="69" t="s">
        <v>849</v>
      </c>
      <c r="E238" s="15">
        <v>0</v>
      </c>
      <c r="F238" s="15">
        <v>30</v>
      </c>
      <c r="G238" s="20">
        <f t="shared" si="70"/>
        <v>0</v>
      </c>
      <c r="H238" s="12" t="s">
        <v>675</v>
      </c>
      <c r="I238" s="15">
        <v>0</v>
      </c>
      <c r="J238" s="15">
        <f t="shared" si="73"/>
        <v>0</v>
      </c>
      <c r="K238" s="15">
        <v>0</v>
      </c>
    </row>
    <row r="239" spans="2:11" ht="14.5" customHeight="1" x14ac:dyDescent="0.2">
      <c r="B239" s="386"/>
      <c r="C239" s="52"/>
      <c r="D239" s="69" t="s">
        <v>605</v>
      </c>
      <c r="E239" s="15">
        <v>1</v>
      </c>
      <c r="F239" s="15">
        <v>25</v>
      </c>
      <c r="G239" s="20">
        <f t="shared" si="70"/>
        <v>0.04</v>
      </c>
      <c r="H239" s="12" t="s">
        <v>675</v>
      </c>
      <c r="I239" s="15">
        <v>0</v>
      </c>
      <c r="J239" s="15">
        <f t="shared" si="73"/>
        <v>0</v>
      </c>
      <c r="K239" s="15">
        <v>0</v>
      </c>
    </row>
    <row r="240" spans="2:11" ht="14.5" customHeight="1" x14ac:dyDescent="0.2">
      <c r="B240" s="386"/>
      <c r="C240" s="78"/>
      <c r="D240" s="78" t="s">
        <v>896</v>
      </c>
      <c r="E240" s="67">
        <f>SUM(E235:E239)</f>
        <v>4</v>
      </c>
      <c r="F240" s="67">
        <f>SUM(F235:F239)</f>
        <v>125</v>
      </c>
      <c r="G240" s="66">
        <f t="shared" si="70"/>
        <v>3.2000000000000001E-2</v>
      </c>
      <c r="H240" s="64" t="s">
        <v>673</v>
      </c>
      <c r="I240" s="63">
        <v>0</v>
      </c>
      <c r="J240" s="63">
        <f t="shared" si="73"/>
        <v>0</v>
      </c>
      <c r="K240" s="63">
        <v>0</v>
      </c>
    </row>
    <row r="241" spans="2:11" ht="14.5" customHeight="1" x14ac:dyDescent="0.2">
      <c r="B241" s="386"/>
      <c r="C241" s="78"/>
      <c r="D241" s="78" t="s">
        <v>73</v>
      </c>
      <c r="E241" s="67">
        <f>SUM(E240,E234)</f>
        <v>91</v>
      </c>
      <c r="F241" s="67">
        <f>SUM(F240,F234)</f>
        <v>295</v>
      </c>
      <c r="G241" s="66">
        <f t="shared" si="70"/>
        <v>0.30847457627118646</v>
      </c>
      <c r="H241" s="64" t="s">
        <v>20</v>
      </c>
      <c r="I241" s="63">
        <v>0</v>
      </c>
      <c r="J241" s="63">
        <f t="shared" si="73"/>
        <v>0</v>
      </c>
      <c r="K241" s="63">
        <v>0</v>
      </c>
    </row>
    <row r="242" spans="2:11" ht="14.5" customHeight="1" x14ac:dyDescent="0.2">
      <c r="B242" s="387"/>
      <c r="C242" s="71"/>
      <c r="D242" s="71" t="s">
        <v>604</v>
      </c>
      <c r="E242" s="22">
        <f>SUM(E241)</f>
        <v>91</v>
      </c>
      <c r="F242" s="22">
        <f>SUM(F241)</f>
        <v>295</v>
      </c>
      <c r="G242" s="27">
        <f t="shared" si="70"/>
        <v>0.30847457627118646</v>
      </c>
      <c r="H242" s="42"/>
      <c r="I242" s="23">
        <f>SUM(I227:I241)</f>
        <v>90000</v>
      </c>
      <c r="J242" s="23">
        <f>SUM(J227:J241)</f>
        <v>90000</v>
      </c>
      <c r="K242" s="23">
        <f>SUM(K227:K241)</f>
        <v>0</v>
      </c>
    </row>
    <row r="243" spans="2:11" ht="14.5" customHeight="1" x14ac:dyDescent="0.2">
      <c r="B243" s="396" t="s">
        <v>632</v>
      </c>
      <c r="C243" s="52"/>
      <c r="D243" s="69" t="s">
        <v>634</v>
      </c>
      <c r="E243" s="15">
        <v>2</v>
      </c>
      <c r="F243" s="15">
        <v>30</v>
      </c>
      <c r="G243" s="20">
        <f t="shared" si="70"/>
        <v>6.6666666666666666E-2</v>
      </c>
      <c r="H243" s="12" t="s">
        <v>675</v>
      </c>
      <c r="I243" s="15">
        <v>0</v>
      </c>
      <c r="J243" s="15">
        <f t="shared" ref="J243:J248" si="74">I243</f>
        <v>0</v>
      </c>
      <c r="K243" s="15">
        <v>0</v>
      </c>
    </row>
    <row r="244" spans="2:11" ht="14.5" customHeight="1" x14ac:dyDescent="0.2">
      <c r="B244" s="386"/>
      <c r="C244" s="52"/>
      <c r="D244" s="69" t="s">
        <v>635</v>
      </c>
      <c r="E244" s="15">
        <v>3</v>
      </c>
      <c r="F244" s="15">
        <v>35</v>
      </c>
      <c r="G244" s="20">
        <f t="shared" si="70"/>
        <v>8.5714285714285715E-2</v>
      </c>
      <c r="H244" s="12" t="s">
        <v>675</v>
      </c>
      <c r="I244" s="15">
        <v>0</v>
      </c>
      <c r="J244" s="15">
        <f t="shared" si="74"/>
        <v>0</v>
      </c>
      <c r="K244" s="15">
        <v>0</v>
      </c>
    </row>
    <row r="245" spans="2:11" ht="14.5" customHeight="1" x14ac:dyDescent="0.2">
      <c r="B245" s="386"/>
      <c r="C245" s="52"/>
      <c r="D245" s="69" t="s">
        <v>636</v>
      </c>
      <c r="E245" s="15">
        <v>1</v>
      </c>
      <c r="F245" s="15">
        <v>35</v>
      </c>
      <c r="G245" s="20">
        <f t="shared" si="70"/>
        <v>2.8571428571428571E-2</v>
      </c>
      <c r="H245" s="12" t="s">
        <v>675</v>
      </c>
      <c r="I245" s="15">
        <v>0</v>
      </c>
      <c r="J245" s="15">
        <f t="shared" si="74"/>
        <v>0</v>
      </c>
      <c r="K245" s="15">
        <v>0</v>
      </c>
    </row>
    <row r="246" spans="2:11" ht="14.5" customHeight="1" x14ac:dyDescent="0.2">
      <c r="B246" s="386"/>
      <c r="C246" s="52"/>
      <c r="D246" s="69" t="s">
        <v>807</v>
      </c>
      <c r="E246" s="15">
        <v>0</v>
      </c>
      <c r="F246" s="15">
        <v>0</v>
      </c>
      <c r="G246" s="20" t="e">
        <f t="shared" si="70"/>
        <v>#DIV/0!</v>
      </c>
      <c r="H246" s="12"/>
      <c r="I246" s="15">
        <v>0</v>
      </c>
      <c r="J246" s="15">
        <f t="shared" si="74"/>
        <v>0</v>
      </c>
      <c r="K246" s="15">
        <v>0</v>
      </c>
    </row>
    <row r="247" spans="2:11" ht="14.5" customHeight="1" x14ac:dyDescent="0.2">
      <c r="B247" s="386"/>
      <c r="C247" s="52"/>
      <c r="D247" s="69" t="s">
        <v>637</v>
      </c>
      <c r="E247" s="15">
        <v>0</v>
      </c>
      <c r="F247" s="15">
        <v>35</v>
      </c>
      <c r="G247" s="20">
        <f t="shared" si="70"/>
        <v>0</v>
      </c>
      <c r="H247" s="12" t="s">
        <v>675</v>
      </c>
      <c r="I247" s="15">
        <v>0</v>
      </c>
      <c r="J247" s="15">
        <f t="shared" si="74"/>
        <v>0</v>
      </c>
      <c r="K247" s="15">
        <v>0</v>
      </c>
    </row>
    <row r="248" spans="2:11" ht="14.5" customHeight="1" x14ac:dyDescent="0.2">
      <c r="B248" s="386"/>
      <c r="C248" s="78"/>
      <c r="D248" s="78" t="s">
        <v>702</v>
      </c>
      <c r="E248" s="67">
        <f>SUM(E243:E247)</f>
        <v>6</v>
      </c>
      <c r="F248" s="67">
        <f>SUM(F243:F247)</f>
        <v>135</v>
      </c>
      <c r="G248" s="66">
        <f t="shared" si="70"/>
        <v>4.4444444444444446E-2</v>
      </c>
      <c r="H248" s="64" t="s">
        <v>673</v>
      </c>
      <c r="I248" s="63">
        <v>0</v>
      </c>
      <c r="J248" s="63">
        <f t="shared" si="74"/>
        <v>0</v>
      </c>
      <c r="K248" s="63">
        <v>0</v>
      </c>
    </row>
    <row r="249" spans="2:11" ht="14.5" customHeight="1" x14ac:dyDescent="0.2">
      <c r="B249" s="387"/>
      <c r="C249" s="71"/>
      <c r="D249" s="71" t="s">
        <v>633</v>
      </c>
      <c r="E249" s="22">
        <f>SUM(E248)</f>
        <v>6</v>
      </c>
      <c r="F249" s="22">
        <f>SUM(F248)</f>
        <v>135</v>
      </c>
      <c r="G249" s="27">
        <f t="shared" si="70"/>
        <v>4.4444444444444446E-2</v>
      </c>
      <c r="H249" s="42"/>
      <c r="I249" s="23">
        <f>SUM(I243:I248)</f>
        <v>0</v>
      </c>
      <c r="J249" s="23">
        <f>SUM(J243:J248)</f>
        <v>0</v>
      </c>
      <c r="K249" s="23">
        <f>SUM(K243:K248)</f>
        <v>0</v>
      </c>
    </row>
    <row r="250" spans="2:11" ht="14.5" customHeight="1" x14ac:dyDescent="0.2">
      <c r="B250" s="396" t="s">
        <v>786</v>
      </c>
      <c r="C250" s="52" t="s">
        <v>409</v>
      </c>
      <c r="D250" s="52" t="s">
        <v>117</v>
      </c>
      <c r="E250" s="15">
        <v>0</v>
      </c>
      <c r="F250" s="15">
        <v>0</v>
      </c>
      <c r="G250" s="20" t="e">
        <f t="shared" si="70"/>
        <v>#DIV/0!</v>
      </c>
      <c r="H250" s="12" t="s">
        <v>571</v>
      </c>
      <c r="I250" s="15">
        <v>0</v>
      </c>
      <c r="J250" s="15">
        <f t="shared" ref="J250:J257" si="75">I250</f>
        <v>0</v>
      </c>
      <c r="K250" s="15">
        <v>0</v>
      </c>
    </row>
    <row r="251" spans="2:11" ht="14.5" customHeight="1" x14ac:dyDescent="0.2">
      <c r="B251" s="386"/>
      <c r="C251" s="52"/>
      <c r="D251" s="69" t="s">
        <v>567</v>
      </c>
      <c r="E251" s="15">
        <v>28</v>
      </c>
      <c r="F251" s="15">
        <v>50</v>
      </c>
      <c r="G251" s="20">
        <f t="shared" si="70"/>
        <v>0.56000000000000005</v>
      </c>
      <c r="H251" s="12" t="s">
        <v>675</v>
      </c>
      <c r="I251" s="15">
        <v>0</v>
      </c>
      <c r="J251" s="15">
        <f t="shared" si="75"/>
        <v>0</v>
      </c>
      <c r="K251" s="15">
        <v>0</v>
      </c>
    </row>
    <row r="252" spans="2:11" ht="14.5" customHeight="1" x14ac:dyDescent="0.2">
      <c r="B252" s="386"/>
      <c r="C252" s="52"/>
      <c r="D252" s="69" t="s">
        <v>569</v>
      </c>
      <c r="E252" s="15">
        <v>19</v>
      </c>
      <c r="F252" s="15">
        <v>50</v>
      </c>
      <c r="G252" s="20">
        <f t="shared" si="70"/>
        <v>0.38</v>
      </c>
      <c r="H252" s="12" t="s">
        <v>675</v>
      </c>
      <c r="I252" s="15">
        <v>0</v>
      </c>
      <c r="J252" s="15">
        <f t="shared" si="75"/>
        <v>0</v>
      </c>
      <c r="K252" s="15">
        <v>0</v>
      </c>
    </row>
    <row r="253" spans="2:11" ht="14.5" customHeight="1" x14ac:dyDescent="0.2">
      <c r="B253" s="386"/>
      <c r="C253" s="52"/>
      <c r="D253" s="69" t="s">
        <v>808</v>
      </c>
      <c r="E253" s="15">
        <v>1</v>
      </c>
      <c r="F253" s="15">
        <v>0</v>
      </c>
      <c r="G253" s="20" t="e">
        <f t="shared" si="70"/>
        <v>#DIV/0!</v>
      </c>
      <c r="H253" s="12"/>
      <c r="I253" s="15">
        <v>0</v>
      </c>
      <c r="J253" s="15">
        <f t="shared" si="75"/>
        <v>0</v>
      </c>
      <c r="K253" s="15">
        <v>0</v>
      </c>
    </row>
    <row r="254" spans="2:11" ht="14.5" customHeight="1" x14ac:dyDescent="0.2">
      <c r="B254" s="386"/>
      <c r="C254" s="52"/>
      <c r="D254" s="69" t="s">
        <v>568</v>
      </c>
      <c r="E254" s="15">
        <v>21</v>
      </c>
      <c r="F254" s="15">
        <v>50</v>
      </c>
      <c r="G254" s="20">
        <f t="shared" si="70"/>
        <v>0.42</v>
      </c>
      <c r="H254" s="12" t="s">
        <v>675</v>
      </c>
      <c r="I254" s="15">
        <v>0</v>
      </c>
      <c r="J254" s="15">
        <f t="shared" si="75"/>
        <v>0</v>
      </c>
      <c r="K254" s="15">
        <v>0</v>
      </c>
    </row>
    <row r="255" spans="2:11" ht="14.5" customHeight="1" x14ac:dyDescent="0.2">
      <c r="B255" s="386"/>
      <c r="C255" s="52"/>
      <c r="D255" s="69" t="s">
        <v>566</v>
      </c>
      <c r="E255" s="15">
        <v>1</v>
      </c>
      <c r="F255" s="15">
        <v>10</v>
      </c>
      <c r="G255" s="20">
        <f t="shared" si="70"/>
        <v>0.1</v>
      </c>
      <c r="H255" s="12" t="s">
        <v>675</v>
      </c>
      <c r="I255" s="15">
        <v>0</v>
      </c>
      <c r="J255" s="15">
        <f t="shared" si="75"/>
        <v>0</v>
      </c>
      <c r="K255" s="15">
        <v>0</v>
      </c>
    </row>
    <row r="256" spans="2:11" ht="14.5" customHeight="1" x14ac:dyDescent="0.2">
      <c r="B256" s="386"/>
      <c r="C256" s="52"/>
      <c r="D256" s="69" t="s">
        <v>570</v>
      </c>
      <c r="E256" s="15">
        <v>17</v>
      </c>
      <c r="F256" s="15">
        <v>25</v>
      </c>
      <c r="G256" s="20">
        <f t="shared" si="70"/>
        <v>0.68</v>
      </c>
      <c r="H256" s="12" t="s">
        <v>675</v>
      </c>
      <c r="I256" s="15">
        <v>0</v>
      </c>
      <c r="J256" s="15">
        <f t="shared" si="75"/>
        <v>0</v>
      </c>
      <c r="K256" s="15">
        <v>0</v>
      </c>
    </row>
    <row r="257" spans="2:11" ht="14.5" customHeight="1" x14ac:dyDescent="0.2">
      <c r="B257" s="386"/>
      <c r="C257" s="78"/>
      <c r="D257" s="78" t="s">
        <v>734</v>
      </c>
      <c r="E257" s="67">
        <f>SUM(E250:E256)</f>
        <v>87</v>
      </c>
      <c r="F257" s="67">
        <f>SUM(F250:F256)</f>
        <v>185</v>
      </c>
      <c r="G257" s="66">
        <f t="shared" si="70"/>
        <v>0.4702702702702703</v>
      </c>
      <c r="H257" s="64" t="s">
        <v>673</v>
      </c>
      <c r="I257" s="63">
        <v>0</v>
      </c>
      <c r="J257" s="63">
        <f t="shared" si="75"/>
        <v>0</v>
      </c>
      <c r="K257" s="63">
        <v>0</v>
      </c>
    </row>
    <row r="258" spans="2:11" ht="14.5" customHeight="1" x14ac:dyDescent="0.2">
      <c r="B258" s="387"/>
      <c r="C258" s="71"/>
      <c r="D258" s="71" t="s">
        <v>51</v>
      </c>
      <c r="E258" s="22">
        <f>SUM(E257)</f>
        <v>87</v>
      </c>
      <c r="F258" s="22">
        <f>SUM(F257)</f>
        <v>185</v>
      </c>
      <c r="G258" s="27">
        <f t="shared" si="70"/>
        <v>0.4702702702702703</v>
      </c>
      <c r="H258" s="42"/>
      <c r="I258" s="23">
        <f>SUM(I250:I257)</f>
        <v>0</v>
      </c>
      <c r="J258" s="23">
        <f>SUM(J250:J257)</f>
        <v>0</v>
      </c>
      <c r="K258" s="23">
        <f>SUM(K250:K257)</f>
        <v>0</v>
      </c>
    </row>
    <row r="259" spans="2:11" ht="14.5" customHeight="1" x14ac:dyDescent="0.2">
      <c r="B259" s="206"/>
      <c r="C259" s="206"/>
      <c r="D259" s="206" t="s">
        <v>638</v>
      </c>
      <c r="E259" s="208">
        <f>SUM(E249,E242,E258)</f>
        <v>184</v>
      </c>
      <c r="F259" s="208">
        <f>SUM(F249,F242,F258)</f>
        <v>615</v>
      </c>
      <c r="G259" s="44">
        <f t="shared" si="70"/>
        <v>0.29918699186991871</v>
      </c>
      <c r="H259" s="209"/>
      <c r="I259" s="208">
        <f>SUM(I249,I242,I258)</f>
        <v>90000</v>
      </c>
      <c r="J259" s="208">
        <f>SUM(J249,J242,J258)</f>
        <v>90000</v>
      </c>
      <c r="K259" s="208">
        <f>SUM(K249,K242,K258)</f>
        <v>0</v>
      </c>
    </row>
    <row r="260" spans="2:11" ht="14.5" customHeight="1" x14ac:dyDescent="0.2">
      <c r="B260" s="386" t="s">
        <v>787</v>
      </c>
      <c r="C260" s="52"/>
      <c r="D260" s="69" t="s">
        <v>612</v>
      </c>
      <c r="E260" s="15">
        <v>4</v>
      </c>
      <c r="F260" s="15">
        <v>25</v>
      </c>
      <c r="G260" s="20">
        <f t="shared" si="70"/>
        <v>0.16</v>
      </c>
      <c r="H260" s="12" t="s">
        <v>675</v>
      </c>
      <c r="I260" s="15">
        <v>0</v>
      </c>
      <c r="J260" s="15">
        <f t="shared" ref="J260:J273" si="76">I260</f>
        <v>0</v>
      </c>
      <c r="K260" s="15">
        <v>0</v>
      </c>
    </row>
    <row r="261" spans="2:11" ht="14.5" customHeight="1" x14ac:dyDescent="0.2">
      <c r="B261" s="386"/>
      <c r="C261" s="52"/>
      <c r="D261" s="69" t="s">
        <v>609</v>
      </c>
      <c r="E261" s="15">
        <v>9</v>
      </c>
      <c r="F261" s="15">
        <v>30</v>
      </c>
      <c r="G261" s="20">
        <f t="shared" ref="G261:G307" si="77">E261/F261*100%</f>
        <v>0.3</v>
      </c>
      <c r="H261" s="12" t="s">
        <v>675</v>
      </c>
      <c r="I261" s="15">
        <v>0</v>
      </c>
      <c r="J261" s="15">
        <f t="shared" si="76"/>
        <v>0</v>
      </c>
      <c r="K261" s="15">
        <v>0</v>
      </c>
    </row>
    <row r="262" spans="2:11" ht="14.5" customHeight="1" x14ac:dyDescent="0.2">
      <c r="B262" s="386"/>
      <c r="C262" s="52"/>
      <c r="D262" s="69" t="s">
        <v>610</v>
      </c>
      <c r="E262" s="15">
        <v>3</v>
      </c>
      <c r="F262" s="15">
        <v>30</v>
      </c>
      <c r="G262" s="20">
        <f t="shared" si="77"/>
        <v>0.1</v>
      </c>
      <c r="H262" s="12" t="s">
        <v>675</v>
      </c>
      <c r="I262" s="15">
        <v>0</v>
      </c>
      <c r="J262" s="15">
        <f t="shared" si="76"/>
        <v>0</v>
      </c>
      <c r="K262" s="15">
        <v>0</v>
      </c>
    </row>
    <row r="263" spans="2:11" ht="14.5" customHeight="1" x14ac:dyDescent="0.2">
      <c r="B263" s="386"/>
      <c r="C263" s="52"/>
      <c r="D263" s="69" t="s">
        <v>611</v>
      </c>
      <c r="E263" s="15">
        <v>1</v>
      </c>
      <c r="F263" s="15">
        <v>20</v>
      </c>
      <c r="G263" s="20">
        <f t="shared" si="77"/>
        <v>0.05</v>
      </c>
      <c r="H263" s="12" t="s">
        <v>675</v>
      </c>
      <c r="I263" s="15">
        <v>0</v>
      </c>
      <c r="J263" s="15">
        <f t="shared" si="76"/>
        <v>0</v>
      </c>
      <c r="K263" s="15">
        <v>0</v>
      </c>
    </row>
    <row r="264" spans="2:11" ht="14.5" customHeight="1" x14ac:dyDescent="0.2">
      <c r="B264" s="386"/>
      <c r="C264" s="52"/>
      <c r="D264" s="69" t="s">
        <v>850</v>
      </c>
      <c r="E264" s="15">
        <v>1</v>
      </c>
      <c r="F264" s="15">
        <v>30</v>
      </c>
      <c r="G264" s="20">
        <f t="shared" si="77"/>
        <v>3.3333333333333333E-2</v>
      </c>
      <c r="H264" s="12" t="s">
        <v>675</v>
      </c>
      <c r="I264" s="15">
        <v>0</v>
      </c>
      <c r="J264" s="15">
        <f t="shared" si="76"/>
        <v>0</v>
      </c>
      <c r="K264" s="15">
        <v>0</v>
      </c>
    </row>
    <row r="265" spans="2:11" ht="14.5" customHeight="1" x14ac:dyDescent="0.2">
      <c r="B265" s="386"/>
      <c r="C265" s="78"/>
      <c r="D265" s="78" t="s">
        <v>743</v>
      </c>
      <c r="E265" s="67">
        <f>SUM(E260:E264)</f>
        <v>18</v>
      </c>
      <c r="F265" s="67">
        <f>SUM(F260:F264)</f>
        <v>135</v>
      </c>
      <c r="G265" s="66">
        <f t="shared" si="77"/>
        <v>0.13333333333333333</v>
      </c>
      <c r="H265" s="64" t="s">
        <v>673</v>
      </c>
      <c r="I265" s="63">
        <v>0</v>
      </c>
      <c r="J265" s="63">
        <f t="shared" si="76"/>
        <v>0</v>
      </c>
      <c r="K265" s="63">
        <v>0</v>
      </c>
    </row>
    <row r="266" spans="2:11" ht="14.5" customHeight="1" x14ac:dyDescent="0.2">
      <c r="B266" s="386"/>
      <c r="C266" s="52"/>
      <c r="D266" s="69" t="s">
        <v>606</v>
      </c>
      <c r="E266" s="15">
        <v>3</v>
      </c>
      <c r="F266" s="15">
        <v>25</v>
      </c>
      <c r="G266" s="20">
        <f t="shared" si="77"/>
        <v>0.12</v>
      </c>
      <c r="H266" s="12" t="s">
        <v>675</v>
      </c>
      <c r="I266" s="15">
        <v>0</v>
      </c>
      <c r="J266" s="15">
        <f t="shared" si="76"/>
        <v>0</v>
      </c>
      <c r="K266" s="15">
        <v>0</v>
      </c>
    </row>
    <row r="267" spans="2:11" ht="14.5" customHeight="1" x14ac:dyDescent="0.2">
      <c r="B267" s="386"/>
      <c r="C267" s="52"/>
      <c r="D267" s="69" t="s">
        <v>901</v>
      </c>
      <c r="E267" s="15">
        <v>1</v>
      </c>
      <c r="F267" s="15"/>
      <c r="G267" s="20" t="e">
        <f t="shared" si="77"/>
        <v>#DIV/0!</v>
      </c>
      <c r="H267" s="12"/>
      <c r="I267" s="15">
        <v>0</v>
      </c>
      <c r="J267" s="15">
        <f t="shared" si="76"/>
        <v>0</v>
      </c>
      <c r="K267" s="15">
        <v>0</v>
      </c>
    </row>
    <row r="268" spans="2:11" ht="14.5" customHeight="1" x14ac:dyDescent="0.2">
      <c r="B268" s="386"/>
      <c r="C268" s="52"/>
      <c r="D268" s="69" t="s">
        <v>607</v>
      </c>
      <c r="E268" s="15">
        <v>10</v>
      </c>
      <c r="F268" s="15">
        <v>25</v>
      </c>
      <c r="G268" s="20">
        <f t="shared" si="77"/>
        <v>0.4</v>
      </c>
      <c r="H268" s="12" t="s">
        <v>675</v>
      </c>
      <c r="I268" s="15">
        <v>0</v>
      </c>
      <c r="J268" s="15">
        <f t="shared" si="76"/>
        <v>0</v>
      </c>
      <c r="K268" s="15">
        <v>0</v>
      </c>
    </row>
    <row r="269" spans="2:11" ht="14.5" customHeight="1" x14ac:dyDescent="0.2">
      <c r="B269" s="386"/>
      <c r="C269" s="52"/>
      <c r="D269" s="69" t="s">
        <v>608</v>
      </c>
      <c r="E269" s="15">
        <v>6</v>
      </c>
      <c r="F269" s="15">
        <v>25</v>
      </c>
      <c r="G269" s="20">
        <f t="shared" si="77"/>
        <v>0.24</v>
      </c>
      <c r="H269" s="12" t="s">
        <v>675</v>
      </c>
      <c r="I269" s="15">
        <v>0</v>
      </c>
      <c r="J269" s="15">
        <f t="shared" si="76"/>
        <v>0</v>
      </c>
      <c r="K269" s="15">
        <v>0</v>
      </c>
    </row>
    <row r="270" spans="2:11" ht="14.5" customHeight="1" x14ac:dyDescent="0.2">
      <c r="B270" s="386"/>
      <c r="C270" s="52"/>
      <c r="D270" s="69" t="s">
        <v>640</v>
      </c>
      <c r="E270" s="15">
        <v>5</v>
      </c>
      <c r="F270" s="15">
        <v>25</v>
      </c>
      <c r="G270" s="20">
        <f t="shared" si="77"/>
        <v>0.2</v>
      </c>
      <c r="H270" s="12" t="s">
        <v>675</v>
      </c>
      <c r="I270" s="15">
        <v>0</v>
      </c>
      <c r="J270" s="15">
        <f t="shared" si="76"/>
        <v>0</v>
      </c>
      <c r="K270" s="15">
        <v>0</v>
      </c>
    </row>
    <row r="271" spans="2:11" ht="14.5" customHeight="1" x14ac:dyDescent="0.2">
      <c r="B271" s="386"/>
      <c r="C271" s="52"/>
      <c r="D271" s="69" t="s">
        <v>851</v>
      </c>
      <c r="E271" s="15">
        <v>5</v>
      </c>
      <c r="F271" s="15">
        <v>25</v>
      </c>
      <c r="G271" s="20">
        <f t="shared" si="77"/>
        <v>0.2</v>
      </c>
      <c r="H271" s="12" t="s">
        <v>675</v>
      </c>
      <c r="I271" s="15">
        <v>0</v>
      </c>
      <c r="J271" s="15">
        <f t="shared" si="76"/>
        <v>0</v>
      </c>
      <c r="K271" s="15">
        <v>0</v>
      </c>
    </row>
    <row r="272" spans="2:11" ht="14.5" customHeight="1" x14ac:dyDescent="0.2">
      <c r="B272" s="386"/>
      <c r="C272" s="78"/>
      <c r="D272" s="78" t="s">
        <v>898</v>
      </c>
      <c r="E272" s="67">
        <f>SUM(E266:E271)</f>
        <v>30</v>
      </c>
      <c r="F272" s="67">
        <f>SUM(F266:F271)</f>
        <v>125</v>
      </c>
      <c r="G272" s="66">
        <f t="shared" si="77"/>
        <v>0.24</v>
      </c>
      <c r="H272" s="64" t="s">
        <v>673</v>
      </c>
      <c r="I272" s="63">
        <v>0</v>
      </c>
      <c r="J272" s="63">
        <f t="shared" si="76"/>
        <v>0</v>
      </c>
      <c r="K272" s="63">
        <v>0</v>
      </c>
    </row>
    <row r="273" spans="2:11" ht="14.5" customHeight="1" x14ac:dyDescent="0.2">
      <c r="B273" s="386"/>
      <c r="C273" s="78"/>
      <c r="D273" s="78" t="s">
        <v>897</v>
      </c>
      <c r="E273" s="67">
        <f>SUM(E272,E265,E257)</f>
        <v>135</v>
      </c>
      <c r="F273" s="67">
        <f>SUM(F272,F265,F257)</f>
        <v>445</v>
      </c>
      <c r="G273" s="66">
        <f t="shared" si="77"/>
        <v>0.30337078651685395</v>
      </c>
      <c r="H273" s="64" t="s">
        <v>20</v>
      </c>
      <c r="I273" s="63">
        <v>0</v>
      </c>
      <c r="J273" s="63">
        <f t="shared" si="76"/>
        <v>0</v>
      </c>
      <c r="K273" s="63">
        <v>0</v>
      </c>
    </row>
    <row r="274" spans="2:11" ht="14.5" customHeight="1" x14ac:dyDescent="0.2">
      <c r="B274" s="387"/>
      <c r="C274" s="71"/>
      <c r="D274" s="71" t="s">
        <v>639</v>
      </c>
      <c r="E274" s="22">
        <f>SUM(E272,E265)</f>
        <v>48</v>
      </c>
      <c r="F274" s="22">
        <f>SUM(F272,F265)</f>
        <v>260</v>
      </c>
      <c r="G274" s="27">
        <f t="shared" si="77"/>
        <v>0.18461538461538463</v>
      </c>
      <c r="H274" s="42"/>
      <c r="I274" s="23">
        <f>SUM(I260:I273)</f>
        <v>0</v>
      </c>
      <c r="J274" s="23">
        <f>SUM(J260:J273)</f>
        <v>0</v>
      </c>
      <c r="K274" s="23">
        <f>SUM(K260:K273)</f>
        <v>0</v>
      </c>
    </row>
    <row r="275" spans="2:11" ht="14.5" customHeight="1" x14ac:dyDescent="0.2">
      <c r="B275" s="396" t="s">
        <v>641</v>
      </c>
      <c r="C275" s="52"/>
      <c r="D275" s="69" t="s">
        <v>902</v>
      </c>
      <c r="E275" s="15">
        <v>1</v>
      </c>
      <c r="F275" s="15">
        <v>0</v>
      </c>
      <c r="G275" s="20" t="e">
        <f t="shared" si="77"/>
        <v>#DIV/0!</v>
      </c>
      <c r="H275" s="12"/>
      <c r="I275" s="15">
        <v>0</v>
      </c>
      <c r="J275" s="15">
        <f t="shared" ref="J275:J279" si="78">I275</f>
        <v>0</v>
      </c>
      <c r="K275" s="15">
        <v>0</v>
      </c>
    </row>
    <row r="276" spans="2:11" ht="14.5" customHeight="1" x14ac:dyDescent="0.2">
      <c r="B276" s="386"/>
      <c r="C276" s="52"/>
      <c r="D276" s="69" t="s">
        <v>852</v>
      </c>
      <c r="E276" s="15">
        <v>9</v>
      </c>
      <c r="F276" s="15">
        <v>25</v>
      </c>
      <c r="G276" s="20">
        <f t="shared" si="77"/>
        <v>0.36</v>
      </c>
      <c r="H276" s="12" t="s">
        <v>675</v>
      </c>
      <c r="I276" s="15">
        <v>0</v>
      </c>
      <c r="J276" s="15">
        <f t="shared" si="78"/>
        <v>0</v>
      </c>
      <c r="K276" s="15">
        <v>0</v>
      </c>
    </row>
    <row r="277" spans="2:11" ht="14.5" customHeight="1" x14ac:dyDescent="0.2">
      <c r="B277" s="386"/>
      <c r="C277" s="52"/>
      <c r="D277" s="69" t="s">
        <v>853</v>
      </c>
      <c r="E277" s="15">
        <v>4</v>
      </c>
      <c r="F277" s="15">
        <v>25</v>
      </c>
      <c r="G277" s="20">
        <f t="shared" si="77"/>
        <v>0.16</v>
      </c>
      <c r="H277" s="12" t="s">
        <v>675</v>
      </c>
      <c r="I277" s="15">
        <v>0</v>
      </c>
      <c r="J277" s="15">
        <f t="shared" si="78"/>
        <v>0</v>
      </c>
      <c r="K277" s="15">
        <v>0</v>
      </c>
    </row>
    <row r="278" spans="2:11" ht="14.5" customHeight="1" x14ac:dyDescent="0.2">
      <c r="B278" s="386"/>
      <c r="C278" s="52"/>
      <c r="D278" s="69" t="s">
        <v>854</v>
      </c>
      <c r="E278" s="15">
        <v>1</v>
      </c>
      <c r="F278" s="15">
        <v>0</v>
      </c>
      <c r="G278" s="20" t="e">
        <f t="shared" si="77"/>
        <v>#DIV/0!</v>
      </c>
      <c r="H278" s="12" t="s">
        <v>675</v>
      </c>
      <c r="I278" s="15">
        <v>0</v>
      </c>
      <c r="J278" s="15">
        <f t="shared" si="78"/>
        <v>0</v>
      </c>
      <c r="K278" s="15">
        <v>0</v>
      </c>
    </row>
    <row r="279" spans="2:11" ht="14.5" customHeight="1" x14ac:dyDescent="0.2">
      <c r="B279" s="386"/>
      <c r="C279" s="78"/>
      <c r="D279" s="78" t="s">
        <v>746</v>
      </c>
      <c r="E279" s="67">
        <f>SUM(E275:E278)</f>
        <v>15</v>
      </c>
      <c r="F279" s="67">
        <f>SUM(F275:F278)</f>
        <v>50</v>
      </c>
      <c r="G279" s="66">
        <f t="shared" si="77"/>
        <v>0.3</v>
      </c>
      <c r="H279" s="64" t="s">
        <v>673</v>
      </c>
      <c r="I279" s="63">
        <v>0</v>
      </c>
      <c r="J279" s="63">
        <f t="shared" si="78"/>
        <v>0</v>
      </c>
      <c r="K279" s="63">
        <v>0</v>
      </c>
    </row>
    <row r="280" spans="2:11" ht="14.5" customHeight="1" x14ac:dyDescent="0.2">
      <c r="B280" s="387"/>
      <c r="C280" s="71"/>
      <c r="D280" s="71" t="s">
        <v>642</v>
      </c>
      <c r="E280" s="22">
        <f>SUM(E279)</f>
        <v>15</v>
      </c>
      <c r="F280" s="22">
        <f>SUM(F279)</f>
        <v>50</v>
      </c>
      <c r="G280" s="27">
        <f t="shared" si="77"/>
        <v>0.3</v>
      </c>
      <c r="H280" s="42"/>
      <c r="I280" s="23">
        <f>SUM(I275:I279)</f>
        <v>0</v>
      </c>
      <c r="J280" s="23">
        <f>SUM(J275:J279)</f>
        <v>0</v>
      </c>
      <c r="K280" s="23">
        <f>SUM(K275:K279)</f>
        <v>0</v>
      </c>
    </row>
    <row r="281" spans="2:11" ht="14.5" customHeight="1" x14ac:dyDescent="0.2">
      <c r="B281" s="206"/>
      <c r="C281" s="206"/>
      <c r="D281" s="206" t="s">
        <v>643</v>
      </c>
      <c r="E281" s="208">
        <f>SUM(E280,E274)</f>
        <v>63</v>
      </c>
      <c r="F281" s="208">
        <f>SUM(F280,F274)</f>
        <v>310</v>
      </c>
      <c r="G281" s="44">
        <f t="shared" si="77"/>
        <v>0.20322580645161289</v>
      </c>
      <c r="H281" s="209"/>
      <c r="I281" s="208">
        <f>SUM(I280,I274)</f>
        <v>0</v>
      </c>
      <c r="J281" s="208">
        <f>SUM(J280,J274)</f>
        <v>0</v>
      </c>
      <c r="K281" s="208">
        <f>SUM(K280,K274)</f>
        <v>0</v>
      </c>
    </row>
    <row r="282" spans="2:11" ht="14.5" customHeight="1" x14ac:dyDescent="0.2">
      <c r="B282" s="396" t="s">
        <v>644</v>
      </c>
      <c r="C282" s="52"/>
      <c r="D282" s="69" t="s">
        <v>646</v>
      </c>
      <c r="E282" s="15">
        <v>1</v>
      </c>
      <c r="F282" s="15">
        <v>30</v>
      </c>
      <c r="G282" s="20">
        <f t="shared" si="77"/>
        <v>3.3333333333333333E-2</v>
      </c>
      <c r="H282" s="12" t="s">
        <v>675</v>
      </c>
      <c r="I282" s="15">
        <v>0</v>
      </c>
      <c r="J282" s="15">
        <f t="shared" ref="J282:J287" si="79">I282</f>
        <v>0</v>
      </c>
      <c r="K282" s="15">
        <v>0</v>
      </c>
    </row>
    <row r="283" spans="2:11" ht="14.5" customHeight="1" x14ac:dyDescent="0.2">
      <c r="B283" s="386"/>
      <c r="C283" s="52"/>
      <c r="D283" s="69" t="s">
        <v>791</v>
      </c>
      <c r="E283" s="15">
        <v>5</v>
      </c>
      <c r="F283" s="15">
        <v>30</v>
      </c>
      <c r="G283" s="20">
        <f t="shared" si="77"/>
        <v>0.16666666666666666</v>
      </c>
      <c r="H283" s="12" t="s">
        <v>675</v>
      </c>
      <c r="I283" s="15">
        <v>0</v>
      </c>
      <c r="J283" s="15">
        <f t="shared" si="79"/>
        <v>0</v>
      </c>
      <c r="K283" s="15">
        <v>0</v>
      </c>
    </row>
    <row r="284" spans="2:11" ht="14.5" customHeight="1" x14ac:dyDescent="0.2">
      <c r="B284" s="386"/>
      <c r="C284" s="52"/>
      <c r="D284" s="69" t="s">
        <v>647</v>
      </c>
      <c r="E284" s="15">
        <v>1</v>
      </c>
      <c r="F284" s="15">
        <v>25</v>
      </c>
      <c r="G284" s="20">
        <f t="shared" si="77"/>
        <v>0.04</v>
      </c>
      <c r="H284" s="12" t="s">
        <v>675</v>
      </c>
      <c r="I284" s="15">
        <v>0</v>
      </c>
      <c r="J284" s="15">
        <f t="shared" si="79"/>
        <v>0</v>
      </c>
      <c r="K284" s="15">
        <v>0</v>
      </c>
    </row>
    <row r="285" spans="2:11" ht="14.5" customHeight="1" x14ac:dyDescent="0.2">
      <c r="B285" s="386"/>
      <c r="C285" s="52"/>
      <c r="D285" s="69" t="s">
        <v>857</v>
      </c>
      <c r="E285" s="15">
        <v>0</v>
      </c>
      <c r="F285" s="15">
        <v>30</v>
      </c>
      <c r="G285" s="20">
        <f t="shared" si="77"/>
        <v>0</v>
      </c>
      <c r="H285" s="12" t="s">
        <v>675</v>
      </c>
      <c r="I285" s="15">
        <v>0</v>
      </c>
      <c r="J285" s="15">
        <f t="shared" si="79"/>
        <v>0</v>
      </c>
      <c r="K285" s="15">
        <v>0</v>
      </c>
    </row>
    <row r="286" spans="2:11" ht="14.5" customHeight="1" x14ac:dyDescent="0.2">
      <c r="B286" s="386"/>
      <c r="C286" s="52"/>
      <c r="D286" s="69" t="s">
        <v>648</v>
      </c>
      <c r="E286" s="15">
        <v>2</v>
      </c>
      <c r="F286" s="15">
        <v>19.8</v>
      </c>
      <c r="G286" s="20">
        <f t="shared" si="77"/>
        <v>0.10101010101010101</v>
      </c>
      <c r="H286" s="12" t="s">
        <v>675</v>
      </c>
      <c r="I286" s="15">
        <v>0</v>
      </c>
      <c r="J286" s="15">
        <f t="shared" si="79"/>
        <v>0</v>
      </c>
      <c r="K286" s="15">
        <v>0</v>
      </c>
    </row>
    <row r="287" spans="2:11" ht="14.5" customHeight="1" x14ac:dyDescent="0.2">
      <c r="B287" s="386"/>
      <c r="C287" s="78"/>
      <c r="D287" s="78" t="s">
        <v>747</v>
      </c>
      <c r="E287" s="67">
        <f>SUM(E282:E286)</f>
        <v>9</v>
      </c>
      <c r="F287" s="67">
        <f>SUM(F282:F286)</f>
        <v>134.80000000000001</v>
      </c>
      <c r="G287" s="66">
        <f t="shared" si="77"/>
        <v>6.6765578635014824E-2</v>
      </c>
      <c r="H287" s="64" t="s">
        <v>673</v>
      </c>
      <c r="I287" s="63">
        <v>0</v>
      </c>
      <c r="J287" s="63">
        <f t="shared" si="79"/>
        <v>0</v>
      </c>
      <c r="K287" s="63">
        <v>0</v>
      </c>
    </row>
    <row r="288" spans="2:11" ht="14.5" customHeight="1" x14ac:dyDescent="0.2">
      <c r="B288" s="387"/>
      <c r="C288" s="71"/>
      <c r="D288" s="71" t="s">
        <v>645</v>
      </c>
      <c r="E288" s="22">
        <f>SUM(E287)</f>
        <v>9</v>
      </c>
      <c r="F288" s="22">
        <f>SUM(F287)</f>
        <v>134.80000000000001</v>
      </c>
      <c r="G288" s="27">
        <f t="shared" si="77"/>
        <v>6.6765578635014824E-2</v>
      </c>
      <c r="H288" s="42"/>
      <c r="I288" s="23">
        <f>SUM(I282:I287)</f>
        <v>0</v>
      </c>
      <c r="J288" s="23">
        <f>SUM(J282:J287)</f>
        <v>0</v>
      </c>
      <c r="K288" s="23">
        <f>SUM(K282:K287)</f>
        <v>0</v>
      </c>
    </row>
    <row r="289" spans="2:11" ht="14.5" customHeight="1" x14ac:dyDescent="0.2">
      <c r="B289" s="396" t="s">
        <v>858</v>
      </c>
      <c r="C289" s="52"/>
      <c r="D289" s="69" t="s">
        <v>855</v>
      </c>
      <c r="E289" s="15">
        <v>0</v>
      </c>
      <c r="F289" s="15">
        <v>0</v>
      </c>
      <c r="G289" s="20" t="e">
        <f t="shared" si="77"/>
        <v>#DIV/0!</v>
      </c>
      <c r="H289" s="12" t="s">
        <v>675</v>
      </c>
      <c r="I289" s="15">
        <v>0</v>
      </c>
      <c r="J289" s="15">
        <f t="shared" ref="J289:J291" si="80">I289</f>
        <v>0</v>
      </c>
      <c r="K289" s="15">
        <v>0</v>
      </c>
    </row>
    <row r="290" spans="2:11" ht="14.5" customHeight="1" x14ac:dyDescent="0.2">
      <c r="B290" s="386"/>
      <c r="C290" s="52"/>
      <c r="D290" s="69" t="s">
        <v>856</v>
      </c>
      <c r="E290" s="15">
        <v>0</v>
      </c>
      <c r="F290" s="15">
        <v>0</v>
      </c>
      <c r="G290" s="20" t="e">
        <f t="shared" si="77"/>
        <v>#DIV/0!</v>
      </c>
      <c r="H290" s="12" t="s">
        <v>675</v>
      </c>
      <c r="I290" s="15">
        <v>0</v>
      </c>
      <c r="J290" s="15">
        <f t="shared" si="80"/>
        <v>0</v>
      </c>
      <c r="K290" s="15">
        <v>0</v>
      </c>
    </row>
    <row r="291" spans="2:11" ht="14.5" customHeight="1" x14ac:dyDescent="0.2">
      <c r="B291" s="386"/>
      <c r="C291" s="78"/>
      <c r="D291" s="78" t="s">
        <v>899</v>
      </c>
      <c r="E291" s="67">
        <f>SUM(E289:E290)</f>
        <v>0</v>
      </c>
      <c r="F291" s="67">
        <f>SUM(F289:F290)</f>
        <v>0</v>
      </c>
      <c r="G291" s="66" t="e">
        <f t="shared" si="77"/>
        <v>#DIV/0!</v>
      </c>
      <c r="H291" s="64" t="s">
        <v>673</v>
      </c>
      <c r="I291" s="63">
        <v>0</v>
      </c>
      <c r="J291" s="63">
        <f t="shared" si="80"/>
        <v>0</v>
      </c>
      <c r="K291" s="63">
        <v>0</v>
      </c>
    </row>
    <row r="292" spans="2:11" ht="14.5" customHeight="1" x14ac:dyDescent="0.2">
      <c r="B292" s="387"/>
      <c r="C292" s="71"/>
      <c r="D292" s="71" t="s">
        <v>860</v>
      </c>
      <c r="E292" s="22">
        <f>SUM(E291)</f>
        <v>0</v>
      </c>
      <c r="F292" s="22">
        <f>SUM(F291)</f>
        <v>0</v>
      </c>
      <c r="G292" s="27" t="e">
        <f t="shared" si="77"/>
        <v>#DIV/0!</v>
      </c>
      <c r="H292" s="42"/>
      <c r="I292" s="23">
        <f>SUM(I289:I291)</f>
        <v>0</v>
      </c>
      <c r="J292" s="23">
        <f>SUM(J289:J291)</f>
        <v>0</v>
      </c>
      <c r="K292" s="23">
        <f>SUM(K289:K291)</f>
        <v>0</v>
      </c>
    </row>
    <row r="293" spans="2:11" ht="14.5" customHeight="1" x14ac:dyDescent="0.2">
      <c r="B293" s="396" t="s">
        <v>649</v>
      </c>
      <c r="C293" s="52"/>
      <c r="D293" s="69" t="s">
        <v>650</v>
      </c>
      <c r="E293" s="15">
        <v>0</v>
      </c>
      <c r="F293" s="15">
        <v>20</v>
      </c>
      <c r="G293" s="20">
        <f t="shared" si="77"/>
        <v>0</v>
      </c>
      <c r="H293" s="12" t="s">
        <v>675</v>
      </c>
      <c r="I293" s="15"/>
      <c r="J293" s="15">
        <f t="shared" ref="J293:J298" si="81">I293</f>
        <v>0</v>
      </c>
      <c r="K293" s="15">
        <v>0</v>
      </c>
    </row>
    <row r="294" spans="2:11" ht="14.5" customHeight="1" x14ac:dyDescent="0.2">
      <c r="B294" s="386"/>
      <c r="C294" s="52"/>
      <c r="D294" s="69" t="s">
        <v>861</v>
      </c>
      <c r="E294" s="15">
        <v>1</v>
      </c>
      <c r="F294" s="15">
        <v>25</v>
      </c>
      <c r="G294" s="20">
        <f t="shared" si="77"/>
        <v>0.04</v>
      </c>
      <c r="H294" s="12" t="s">
        <v>675</v>
      </c>
      <c r="I294" s="15">
        <v>0</v>
      </c>
      <c r="J294" s="15">
        <f t="shared" si="81"/>
        <v>0</v>
      </c>
      <c r="K294" s="15">
        <v>0</v>
      </c>
    </row>
    <row r="295" spans="2:11" ht="14.5" customHeight="1" x14ac:dyDescent="0.2">
      <c r="B295" s="386"/>
      <c r="C295" s="52"/>
      <c r="D295" s="69" t="s">
        <v>651</v>
      </c>
      <c r="E295" s="15">
        <v>3</v>
      </c>
      <c r="F295" s="15">
        <v>25</v>
      </c>
      <c r="G295" s="20">
        <f t="shared" si="77"/>
        <v>0.12</v>
      </c>
      <c r="H295" s="12" t="s">
        <v>675</v>
      </c>
      <c r="I295" s="15">
        <v>0</v>
      </c>
      <c r="J295" s="15">
        <f t="shared" si="81"/>
        <v>0</v>
      </c>
      <c r="K295" s="15">
        <v>0</v>
      </c>
    </row>
    <row r="296" spans="2:11" ht="14.5" customHeight="1" x14ac:dyDescent="0.2">
      <c r="B296" s="386"/>
      <c r="C296" s="52"/>
      <c r="D296" s="69" t="s">
        <v>652</v>
      </c>
      <c r="E296" s="15">
        <v>0</v>
      </c>
      <c r="F296" s="15">
        <v>25</v>
      </c>
      <c r="G296" s="20">
        <f t="shared" si="77"/>
        <v>0</v>
      </c>
      <c r="H296" s="12" t="s">
        <v>675</v>
      </c>
      <c r="I296" s="15">
        <v>0</v>
      </c>
      <c r="J296" s="15">
        <f t="shared" si="81"/>
        <v>0</v>
      </c>
      <c r="K296" s="15">
        <v>0</v>
      </c>
    </row>
    <row r="297" spans="2:11" ht="14.5" customHeight="1" x14ac:dyDescent="0.2">
      <c r="B297" s="386"/>
      <c r="C297" s="52"/>
      <c r="D297" s="69" t="s">
        <v>653</v>
      </c>
      <c r="E297" s="15">
        <v>1</v>
      </c>
      <c r="F297" s="15">
        <v>25</v>
      </c>
      <c r="G297" s="20">
        <f t="shared" si="77"/>
        <v>0.04</v>
      </c>
      <c r="H297" s="12" t="s">
        <v>675</v>
      </c>
      <c r="I297" s="15">
        <v>0</v>
      </c>
      <c r="J297" s="15">
        <f t="shared" si="81"/>
        <v>0</v>
      </c>
      <c r="K297" s="15">
        <v>0</v>
      </c>
    </row>
    <row r="298" spans="2:11" ht="14.5" customHeight="1" x14ac:dyDescent="0.2">
      <c r="B298" s="386"/>
      <c r="C298" s="78"/>
      <c r="D298" s="78" t="s">
        <v>754</v>
      </c>
      <c r="E298" s="67">
        <f>SUM(E293:E297)</f>
        <v>5</v>
      </c>
      <c r="F298" s="67">
        <f>SUM(F293:F297)</f>
        <v>120</v>
      </c>
      <c r="G298" s="66">
        <f t="shared" si="77"/>
        <v>4.1666666666666664E-2</v>
      </c>
      <c r="H298" s="64" t="s">
        <v>673</v>
      </c>
      <c r="I298" s="63">
        <v>0</v>
      </c>
      <c r="J298" s="63">
        <f t="shared" si="81"/>
        <v>0</v>
      </c>
      <c r="K298" s="63">
        <v>0</v>
      </c>
    </row>
    <row r="299" spans="2:11" ht="14.5" customHeight="1" x14ac:dyDescent="0.2">
      <c r="B299" s="387"/>
      <c r="C299" s="71"/>
      <c r="D299" s="71" t="s">
        <v>654</v>
      </c>
      <c r="E299" s="22">
        <f>SUM(E298)</f>
        <v>5</v>
      </c>
      <c r="F299" s="22">
        <f>SUM(F298)</f>
        <v>120</v>
      </c>
      <c r="G299" s="27">
        <f t="shared" si="77"/>
        <v>4.1666666666666664E-2</v>
      </c>
      <c r="H299" s="42"/>
      <c r="I299" s="23">
        <f>SUM(I293:I298)</f>
        <v>0</v>
      </c>
      <c r="J299" s="23">
        <f>SUM(J293:J298)</f>
        <v>0</v>
      </c>
      <c r="K299" s="23">
        <f>SUM(K293:K298)</f>
        <v>0</v>
      </c>
    </row>
    <row r="300" spans="2:11" ht="14.5" customHeight="1" x14ac:dyDescent="0.2">
      <c r="B300" s="386" t="s">
        <v>655</v>
      </c>
      <c r="C300" s="52"/>
      <c r="D300" s="69" t="s">
        <v>792</v>
      </c>
      <c r="E300" s="15">
        <v>3</v>
      </c>
      <c r="F300" s="15">
        <v>25</v>
      </c>
      <c r="G300" s="20">
        <f t="shared" si="77"/>
        <v>0.12</v>
      </c>
      <c r="H300" s="12" t="s">
        <v>675</v>
      </c>
      <c r="I300" s="15">
        <v>0</v>
      </c>
      <c r="J300" s="15">
        <f t="shared" ref="J300:J306" si="82">I300</f>
        <v>0</v>
      </c>
      <c r="K300" s="15">
        <v>0</v>
      </c>
    </row>
    <row r="301" spans="2:11" ht="14.5" customHeight="1" x14ac:dyDescent="0.2">
      <c r="B301" s="386"/>
      <c r="C301" s="52"/>
      <c r="D301" s="69" t="s">
        <v>657</v>
      </c>
      <c r="E301" s="15">
        <v>0</v>
      </c>
      <c r="F301" s="15">
        <v>25</v>
      </c>
      <c r="G301" s="20">
        <f t="shared" si="77"/>
        <v>0</v>
      </c>
      <c r="H301" s="12" t="s">
        <v>675</v>
      </c>
      <c r="I301" s="15">
        <v>0</v>
      </c>
      <c r="J301" s="15">
        <f t="shared" si="82"/>
        <v>0</v>
      </c>
      <c r="K301" s="15">
        <v>0</v>
      </c>
    </row>
    <row r="302" spans="2:11" ht="14.5" customHeight="1" x14ac:dyDescent="0.2">
      <c r="B302" s="386"/>
      <c r="C302" s="52"/>
      <c r="D302" s="69" t="s">
        <v>793</v>
      </c>
      <c r="E302" s="15">
        <v>0</v>
      </c>
      <c r="F302" s="15">
        <v>25</v>
      </c>
      <c r="G302" s="20">
        <f t="shared" si="77"/>
        <v>0</v>
      </c>
      <c r="H302" s="12" t="s">
        <v>675</v>
      </c>
      <c r="I302" s="15">
        <v>0</v>
      </c>
      <c r="J302" s="15">
        <f t="shared" si="82"/>
        <v>0</v>
      </c>
      <c r="K302" s="15">
        <v>0</v>
      </c>
    </row>
    <row r="303" spans="2:11" ht="14.5" customHeight="1" x14ac:dyDescent="0.2">
      <c r="B303" s="386"/>
      <c r="C303" s="52"/>
      <c r="D303" s="69" t="s">
        <v>862</v>
      </c>
      <c r="E303" s="15">
        <v>1</v>
      </c>
      <c r="F303" s="15">
        <v>25</v>
      </c>
      <c r="G303" s="20">
        <f t="shared" si="77"/>
        <v>0.04</v>
      </c>
      <c r="H303" s="12" t="s">
        <v>675</v>
      </c>
      <c r="I303" s="15">
        <v>0</v>
      </c>
      <c r="J303" s="15">
        <f t="shared" si="82"/>
        <v>0</v>
      </c>
      <c r="K303" s="15">
        <v>0</v>
      </c>
    </row>
    <row r="304" spans="2:11" ht="14.5" customHeight="1" x14ac:dyDescent="0.2">
      <c r="B304" s="386"/>
      <c r="C304" s="52"/>
      <c r="D304" s="69" t="s">
        <v>809</v>
      </c>
      <c r="E304" s="15">
        <v>0</v>
      </c>
      <c r="F304" s="15">
        <v>0</v>
      </c>
      <c r="G304" s="20" t="e">
        <f t="shared" si="77"/>
        <v>#DIV/0!</v>
      </c>
      <c r="H304" s="12"/>
      <c r="I304" s="15">
        <v>0</v>
      </c>
      <c r="J304" s="15">
        <f t="shared" si="82"/>
        <v>0</v>
      </c>
      <c r="K304" s="15">
        <v>0</v>
      </c>
    </row>
    <row r="305" spans="2:11" ht="14.5" customHeight="1" x14ac:dyDescent="0.2">
      <c r="B305" s="386"/>
      <c r="C305" s="52"/>
      <c r="D305" s="69" t="s">
        <v>794</v>
      </c>
      <c r="E305" s="15">
        <v>0</v>
      </c>
      <c r="F305" s="15">
        <v>25</v>
      </c>
      <c r="G305" s="20">
        <f t="shared" si="77"/>
        <v>0</v>
      </c>
      <c r="H305" s="12" t="s">
        <v>675</v>
      </c>
      <c r="I305" s="15">
        <v>0</v>
      </c>
      <c r="J305" s="15">
        <f t="shared" si="82"/>
        <v>0</v>
      </c>
      <c r="K305" s="15">
        <v>0</v>
      </c>
    </row>
    <row r="306" spans="2:11" ht="14.5" customHeight="1" x14ac:dyDescent="0.2">
      <c r="B306" s="386"/>
      <c r="C306" s="78"/>
      <c r="D306" s="78" t="s">
        <v>752</v>
      </c>
      <c r="E306" s="67">
        <f>SUM(E300:E305)</f>
        <v>4</v>
      </c>
      <c r="F306" s="67">
        <f>SUM(F300:F305)</f>
        <v>125</v>
      </c>
      <c r="G306" s="66">
        <f t="shared" si="77"/>
        <v>3.2000000000000001E-2</v>
      </c>
      <c r="H306" s="64" t="s">
        <v>673</v>
      </c>
      <c r="I306" s="63">
        <v>0</v>
      </c>
      <c r="J306" s="63">
        <f t="shared" si="82"/>
        <v>0</v>
      </c>
      <c r="K306" s="63">
        <v>0</v>
      </c>
    </row>
    <row r="307" spans="2:11" ht="14.5" customHeight="1" x14ac:dyDescent="0.2">
      <c r="B307" s="387"/>
      <c r="C307" s="71"/>
      <c r="D307" s="71" t="s">
        <v>656</v>
      </c>
      <c r="E307" s="22">
        <f>SUM(E306)</f>
        <v>4</v>
      </c>
      <c r="F307" s="22">
        <f>SUM(F306)</f>
        <v>125</v>
      </c>
      <c r="G307" s="27">
        <f t="shared" si="77"/>
        <v>3.2000000000000001E-2</v>
      </c>
      <c r="H307" s="42"/>
      <c r="I307" s="23">
        <f>SUM(I300:I306)</f>
        <v>0</v>
      </c>
      <c r="J307" s="23">
        <f>SUM(J300:J306)</f>
        <v>0</v>
      </c>
      <c r="K307" s="23">
        <f>SUM(K300:K306)</f>
        <v>0</v>
      </c>
    </row>
    <row r="308" spans="2:11" ht="14.5" customHeight="1" x14ac:dyDescent="0.2">
      <c r="B308" s="386" t="s">
        <v>658</v>
      </c>
      <c r="C308" s="52"/>
      <c r="D308" s="69" t="s">
        <v>660</v>
      </c>
      <c r="E308" s="15">
        <v>4</v>
      </c>
      <c r="F308" s="15">
        <v>25</v>
      </c>
      <c r="G308" s="20">
        <f t="shared" ref="G308:G315" si="83">E308/F308*100%</f>
        <v>0.16</v>
      </c>
      <c r="H308" s="12" t="s">
        <v>675</v>
      </c>
      <c r="I308" s="15">
        <v>0</v>
      </c>
      <c r="J308" s="15">
        <f t="shared" ref="J308:J312" si="84">I308</f>
        <v>0</v>
      </c>
      <c r="K308" s="15">
        <v>0</v>
      </c>
    </row>
    <row r="309" spans="2:11" ht="14.5" customHeight="1" x14ac:dyDescent="0.2">
      <c r="B309" s="386"/>
      <c r="C309" s="52"/>
      <c r="D309" s="69" t="s">
        <v>795</v>
      </c>
      <c r="E309" s="15">
        <v>4</v>
      </c>
      <c r="F309" s="15">
        <v>25</v>
      </c>
      <c r="G309" s="20">
        <f t="shared" si="83"/>
        <v>0.16</v>
      </c>
      <c r="H309" s="12" t="s">
        <v>675</v>
      </c>
      <c r="I309" s="15">
        <v>0</v>
      </c>
      <c r="J309" s="15">
        <f t="shared" si="84"/>
        <v>0</v>
      </c>
      <c r="K309" s="15">
        <v>0</v>
      </c>
    </row>
    <row r="310" spans="2:11" ht="14.5" customHeight="1" x14ac:dyDescent="0.2">
      <c r="B310" s="386"/>
      <c r="C310" s="52"/>
      <c r="D310" s="69" t="s">
        <v>661</v>
      </c>
      <c r="E310" s="15">
        <v>1</v>
      </c>
      <c r="F310" s="15">
        <v>25</v>
      </c>
      <c r="G310" s="20">
        <f t="shared" si="83"/>
        <v>0.04</v>
      </c>
      <c r="H310" s="12" t="s">
        <v>675</v>
      </c>
      <c r="I310" s="15">
        <v>0</v>
      </c>
      <c r="J310" s="15">
        <f t="shared" si="84"/>
        <v>0</v>
      </c>
      <c r="K310" s="15">
        <v>0</v>
      </c>
    </row>
    <row r="311" spans="2:11" ht="14.5" customHeight="1" x14ac:dyDescent="0.2">
      <c r="B311" s="386"/>
      <c r="C311" s="52"/>
      <c r="D311" s="69" t="s">
        <v>662</v>
      </c>
      <c r="E311" s="15">
        <v>0</v>
      </c>
      <c r="F311" s="15">
        <v>25</v>
      </c>
      <c r="G311" s="20">
        <f t="shared" si="83"/>
        <v>0</v>
      </c>
      <c r="H311" s="12" t="s">
        <v>675</v>
      </c>
      <c r="I311" s="15">
        <v>0</v>
      </c>
      <c r="J311" s="15">
        <f t="shared" si="84"/>
        <v>0</v>
      </c>
      <c r="K311" s="15">
        <v>0</v>
      </c>
    </row>
    <row r="312" spans="2:11" ht="14.5" customHeight="1" x14ac:dyDescent="0.2">
      <c r="B312" s="386"/>
      <c r="C312" s="78"/>
      <c r="D312" s="78" t="s">
        <v>759</v>
      </c>
      <c r="E312" s="67">
        <f>SUM(E308:E311)</f>
        <v>9</v>
      </c>
      <c r="F312" s="67">
        <f>SUM(F308:F311)</f>
        <v>100</v>
      </c>
      <c r="G312" s="66">
        <f t="shared" si="83"/>
        <v>0.09</v>
      </c>
      <c r="H312" s="64" t="s">
        <v>673</v>
      </c>
      <c r="I312" s="63">
        <v>0</v>
      </c>
      <c r="J312" s="63">
        <f t="shared" si="84"/>
        <v>0</v>
      </c>
      <c r="K312" s="63">
        <v>0</v>
      </c>
    </row>
    <row r="313" spans="2:11" ht="14.5" customHeight="1" x14ac:dyDescent="0.2">
      <c r="B313" s="387"/>
      <c r="C313" s="71"/>
      <c r="D313" s="71" t="s">
        <v>659</v>
      </c>
      <c r="E313" s="22">
        <f>SUM(E312)</f>
        <v>9</v>
      </c>
      <c r="F313" s="22">
        <f>SUM(F312)</f>
        <v>100</v>
      </c>
      <c r="G313" s="27">
        <f t="shared" si="83"/>
        <v>0.09</v>
      </c>
      <c r="H313" s="42"/>
      <c r="I313" s="23">
        <f>SUM(I308:I312)</f>
        <v>0</v>
      </c>
      <c r="J313" s="23">
        <f>SUM(J308:J312)</f>
        <v>0</v>
      </c>
      <c r="K313" s="23">
        <f>SUM(K308:K312)</f>
        <v>0</v>
      </c>
    </row>
    <row r="314" spans="2:11" ht="14.5" customHeight="1" x14ac:dyDescent="0.2">
      <c r="B314" s="206"/>
      <c r="C314" s="206"/>
      <c r="D314" s="206" t="s">
        <v>863</v>
      </c>
      <c r="E314" s="208">
        <f>SUM(E313,E307,E299,E292,E288)</f>
        <v>27</v>
      </c>
      <c r="F314" s="208">
        <f>SUM(F313,F307,F299,F292,F288)</f>
        <v>479.8</v>
      </c>
      <c r="G314" s="44">
        <f t="shared" si="83"/>
        <v>5.6273447269695707E-2</v>
      </c>
      <c r="H314" s="209"/>
      <c r="I314" s="208">
        <f>SUM(I313,I307,I299,I292,I288)</f>
        <v>0</v>
      </c>
      <c r="J314" s="208">
        <f>SUM(J313,J307,J299,J292,J288)</f>
        <v>0</v>
      </c>
      <c r="K314" s="208">
        <f>SUM(K313,K307,K299,K292,K288)</f>
        <v>0</v>
      </c>
    </row>
    <row r="315" spans="2:11" ht="14.5" customHeight="1" x14ac:dyDescent="0.2">
      <c r="B315" s="206"/>
      <c r="C315" s="206"/>
      <c r="D315" s="206" t="s">
        <v>55</v>
      </c>
      <c r="E315" s="208">
        <f>SUM(E314,E281,E259,E226,E190)</f>
        <v>1330</v>
      </c>
      <c r="F315" s="208">
        <f>SUM(F314,F281,F259,F226,F190)</f>
        <v>3244.8</v>
      </c>
      <c r="G315" s="44">
        <f t="shared" si="83"/>
        <v>0.40988658777120313</v>
      </c>
      <c r="H315" s="209"/>
      <c r="I315" s="208">
        <f>SUM(I314,I281,I259,I226,I190)</f>
        <v>2826000</v>
      </c>
      <c r="J315" s="208">
        <f>SUM(J314,J281,J259,J226,J190)</f>
        <v>2826000</v>
      </c>
      <c r="K315" s="208">
        <f>SUM(K314,K281,K259,K226,K190)</f>
        <v>0</v>
      </c>
    </row>
    <row r="320" spans="2:11" ht="14.5" customHeight="1" x14ac:dyDescent="0.2">
      <c r="B320" s="4" t="s">
        <v>881</v>
      </c>
      <c r="C320" s="5"/>
      <c r="D320" s="5"/>
      <c r="E320" s="33"/>
      <c r="F320" s="33"/>
      <c r="G320" s="34"/>
    </row>
    <row r="321" spans="2:11" ht="14.5" customHeight="1" x14ac:dyDescent="0.2">
      <c r="B321" s="8"/>
      <c r="C321" s="8"/>
      <c r="D321" s="8"/>
      <c r="E321" s="35"/>
      <c r="F321" s="35"/>
      <c r="G321" s="34"/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385" t="s">
        <v>5</v>
      </c>
      <c r="F322" s="385"/>
      <c r="G322" s="417" t="s">
        <v>56</v>
      </c>
      <c r="H322" s="394" t="s">
        <v>3</v>
      </c>
      <c r="I322" s="398" t="s">
        <v>421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36" t="s">
        <v>77</v>
      </c>
      <c r="F323" s="54" t="s">
        <v>58</v>
      </c>
      <c r="G323" s="417"/>
      <c r="H323" s="394"/>
      <c r="I323" s="398"/>
      <c r="J323" s="398"/>
      <c r="K323" s="398"/>
    </row>
    <row r="324" spans="2:11" ht="14.5" customHeight="1" x14ac:dyDescent="0.2">
      <c r="B324" s="386" t="s">
        <v>865</v>
      </c>
      <c r="C324" s="117"/>
      <c r="D324" s="117" t="s">
        <v>868</v>
      </c>
      <c r="E324" s="117"/>
      <c r="F324" s="117"/>
      <c r="G324" s="117"/>
      <c r="H324" s="117"/>
      <c r="I324" s="117"/>
      <c r="J324" s="117"/>
      <c r="K324" s="117"/>
    </row>
    <row r="325" spans="2:11" ht="14.5" customHeight="1" x14ac:dyDescent="0.2">
      <c r="B325" s="386"/>
      <c r="C325" s="117"/>
      <c r="D325" s="117" t="s">
        <v>869</v>
      </c>
      <c r="E325" s="117"/>
      <c r="F325" s="117"/>
      <c r="G325" s="117"/>
      <c r="H325" s="117"/>
      <c r="I325" s="117"/>
      <c r="J325" s="117"/>
      <c r="K325" s="117"/>
    </row>
    <row r="326" spans="2:11" ht="14.5" customHeight="1" x14ac:dyDescent="0.2">
      <c r="B326" s="386"/>
      <c r="C326" s="52"/>
      <c r="D326" s="69" t="s">
        <v>870</v>
      </c>
      <c r="E326" s="15">
        <v>93</v>
      </c>
      <c r="F326" s="15">
        <v>100</v>
      </c>
      <c r="G326" s="20">
        <f t="shared" ref="G326:G337" si="85">E326/F326*100%</f>
        <v>0.93</v>
      </c>
      <c r="H326" s="12" t="s">
        <v>571</v>
      </c>
      <c r="I326" s="15">
        <v>297000</v>
      </c>
      <c r="J326" s="15">
        <f t="shared" ref="J326" si="86">I326</f>
        <v>297000</v>
      </c>
      <c r="K326" s="15">
        <v>0</v>
      </c>
    </row>
    <row r="327" spans="2:11" ht="14.5" customHeight="1" x14ac:dyDescent="0.2">
      <c r="B327" s="386"/>
      <c r="C327" s="117"/>
      <c r="D327" s="117" t="s">
        <v>871</v>
      </c>
      <c r="E327" s="117"/>
      <c r="F327" s="117"/>
      <c r="G327" s="117"/>
      <c r="H327" s="117"/>
      <c r="I327" s="117"/>
      <c r="J327" s="117"/>
      <c r="K327" s="117"/>
    </row>
    <row r="328" spans="2:11" ht="14.5" customHeight="1" x14ac:dyDescent="0.2">
      <c r="B328" s="386"/>
      <c r="C328" s="117"/>
      <c r="D328" s="117" t="s">
        <v>872</v>
      </c>
      <c r="E328" s="117"/>
      <c r="F328" s="117"/>
      <c r="G328" s="117"/>
      <c r="H328" s="117"/>
      <c r="I328" s="117"/>
      <c r="J328" s="117"/>
      <c r="K328" s="117"/>
    </row>
    <row r="329" spans="2:11" ht="14.5" customHeight="1" x14ac:dyDescent="0.2">
      <c r="B329" s="386"/>
      <c r="C329" s="117"/>
      <c r="D329" s="117" t="s">
        <v>873</v>
      </c>
      <c r="E329" s="117"/>
      <c r="F329" s="117"/>
      <c r="G329" s="117"/>
      <c r="H329" s="117"/>
      <c r="I329" s="117"/>
      <c r="J329" s="117"/>
      <c r="K329" s="117"/>
    </row>
    <row r="330" spans="2:11" ht="14.5" customHeight="1" x14ac:dyDescent="0.2">
      <c r="B330" s="386"/>
      <c r="C330" s="117"/>
      <c r="D330" s="117" t="s">
        <v>874</v>
      </c>
      <c r="E330" s="117"/>
      <c r="F330" s="117"/>
      <c r="G330" s="117"/>
      <c r="H330" s="117"/>
      <c r="I330" s="117"/>
      <c r="J330" s="117"/>
      <c r="K330" s="117"/>
    </row>
    <row r="331" spans="2:11" ht="14.5" customHeight="1" x14ac:dyDescent="0.2">
      <c r="B331" s="386"/>
      <c r="C331" s="117"/>
      <c r="D331" s="117" t="s">
        <v>875</v>
      </c>
      <c r="E331" s="117"/>
      <c r="F331" s="117"/>
      <c r="G331" s="117"/>
      <c r="H331" s="117"/>
      <c r="I331" s="117"/>
      <c r="J331" s="117"/>
      <c r="K331" s="117"/>
    </row>
    <row r="332" spans="2:11" ht="14.5" customHeight="1" x14ac:dyDescent="0.2">
      <c r="B332" s="386"/>
      <c r="C332" s="117"/>
      <c r="D332" s="117" t="s">
        <v>876</v>
      </c>
      <c r="E332" s="117"/>
      <c r="F332" s="117"/>
      <c r="G332" s="117"/>
      <c r="H332" s="117"/>
      <c r="I332" s="117"/>
      <c r="J332" s="117"/>
      <c r="K332" s="117"/>
    </row>
    <row r="333" spans="2:11" ht="14.5" customHeight="1" x14ac:dyDescent="0.2">
      <c r="B333" s="386"/>
      <c r="C333" s="117"/>
      <c r="D333" s="117" t="s">
        <v>877</v>
      </c>
      <c r="E333" s="117"/>
      <c r="F333" s="117"/>
      <c r="G333" s="117"/>
      <c r="H333" s="117"/>
      <c r="I333" s="117"/>
      <c r="J333" s="117"/>
      <c r="K333" s="117"/>
    </row>
    <row r="334" spans="2:11" ht="14.5" customHeight="1" x14ac:dyDescent="0.2">
      <c r="B334" s="386"/>
      <c r="C334" s="78"/>
      <c r="D334" s="78" t="s">
        <v>892</v>
      </c>
      <c r="E334" s="67">
        <f>SUM(E324:E333)</f>
        <v>93</v>
      </c>
      <c r="F334" s="67">
        <f>SUM(F324:F333)</f>
        <v>100</v>
      </c>
      <c r="G334" s="66">
        <f t="shared" ref="G334" si="87">E334/F334*100%</f>
        <v>0.93</v>
      </c>
      <c r="H334" s="64" t="s">
        <v>673</v>
      </c>
      <c r="I334" s="63">
        <v>210000</v>
      </c>
      <c r="J334" s="63">
        <f t="shared" ref="J334:J335" si="88">I334</f>
        <v>210000</v>
      </c>
      <c r="K334" s="63">
        <v>0</v>
      </c>
    </row>
    <row r="335" spans="2:11" ht="14.5" customHeight="1" x14ac:dyDescent="0.2">
      <c r="B335" s="386"/>
      <c r="C335" s="78"/>
      <c r="D335" s="78" t="s">
        <v>74</v>
      </c>
      <c r="E335" s="67">
        <f>SUM(E324:E333)</f>
        <v>93</v>
      </c>
      <c r="F335" s="67">
        <f>SUM(F324:F333)</f>
        <v>100</v>
      </c>
      <c r="G335" s="66">
        <f t="shared" si="85"/>
        <v>0.93</v>
      </c>
      <c r="H335" s="64" t="s">
        <v>20</v>
      </c>
      <c r="I335" s="63">
        <v>504000</v>
      </c>
      <c r="J335" s="63">
        <f t="shared" si="88"/>
        <v>504000</v>
      </c>
      <c r="K335" s="63">
        <v>0</v>
      </c>
    </row>
    <row r="336" spans="2:11" ht="14.5" customHeight="1" x14ac:dyDescent="0.2">
      <c r="B336" s="387"/>
      <c r="C336" s="71"/>
      <c r="D336" s="71" t="s">
        <v>866</v>
      </c>
      <c r="E336" s="22">
        <f>SUM(E335)</f>
        <v>93</v>
      </c>
      <c r="F336" s="22">
        <f>SUM(F335)</f>
        <v>100</v>
      </c>
      <c r="G336" s="27">
        <f t="shared" si="85"/>
        <v>0.93</v>
      </c>
      <c r="H336" s="42"/>
      <c r="I336" s="23">
        <f>SUM(I324:I335)</f>
        <v>1011000</v>
      </c>
      <c r="J336" s="23">
        <f>SUM(J324:J335)</f>
        <v>1011000</v>
      </c>
      <c r="K336" s="23">
        <f>SUM(K324:K335)</f>
        <v>0</v>
      </c>
    </row>
    <row r="337" spans="2:11" ht="14.5" customHeight="1" x14ac:dyDescent="0.2">
      <c r="B337" s="206"/>
      <c r="C337" s="206"/>
      <c r="D337" s="206" t="s">
        <v>867</v>
      </c>
      <c r="E337" s="208">
        <f>SUM(E336)</f>
        <v>93</v>
      </c>
      <c r="F337" s="208">
        <f>SUM(F336)</f>
        <v>100</v>
      </c>
      <c r="G337" s="44">
        <f t="shared" si="85"/>
        <v>0.93</v>
      </c>
      <c r="H337" s="209"/>
      <c r="I337" s="208">
        <f t="shared" ref="I337:K337" si="89">SUM(I336)</f>
        <v>1011000</v>
      </c>
      <c r="J337" s="208">
        <f t="shared" si="89"/>
        <v>1011000</v>
      </c>
      <c r="K337" s="208">
        <f t="shared" si="89"/>
        <v>0</v>
      </c>
    </row>
    <row r="339" spans="2:11" s="45" customFormat="1" ht="14.5" customHeight="1" x14ac:dyDescent="0.2">
      <c r="E339" s="46"/>
      <c r="F339" s="46"/>
      <c r="G339" s="228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46"/>
      <c r="F340" s="46"/>
      <c r="G340" s="228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46"/>
      <c r="F341" s="46"/>
      <c r="G341" s="228" t="s">
        <v>138</v>
      </c>
      <c r="H341" s="48"/>
      <c r="I341" s="128">
        <f>'Pencapaian Effective Call'!I341</f>
        <v>4324500</v>
      </c>
      <c r="J341" s="46"/>
      <c r="K341" s="46"/>
    </row>
    <row r="342" spans="2:11" s="45" customFormat="1" ht="14.5" customHeight="1" x14ac:dyDescent="0.2">
      <c r="E342" s="46"/>
      <c r="F342" s="46"/>
      <c r="G342" s="228" t="s">
        <v>153</v>
      </c>
      <c r="H342" s="48"/>
      <c r="I342" s="128">
        <f>'Pencapaian New Open Outlet'!I342</f>
        <v>1949250</v>
      </c>
      <c r="J342" s="46"/>
      <c r="K342" s="46"/>
    </row>
    <row r="343" spans="2:11" s="45" customFormat="1" ht="14.5" customHeight="1" x14ac:dyDescent="0.2">
      <c r="E343" s="46"/>
      <c r="F343" s="46"/>
      <c r="G343" s="228" t="s">
        <v>79</v>
      </c>
      <c r="H343" s="48"/>
      <c r="I343" s="128">
        <f>SUM(I315,I147,I95,I77,I40,I337)</f>
        <v>7007500</v>
      </c>
      <c r="J343" s="46"/>
      <c r="K343" s="46"/>
    </row>
    <row r="344" spans="2:11" s="45" customFormat="1" ht="14.5" customHeight="1" x14ac:dyDescent="0.2">
      <c r="E344" s="46"/>
      <c r="F344" s="46"/>
      <c r="G344" s="228" t="s">
        <v>136</v>
      </c>
      <c r="H344" s="48"/>
      <c r="I344" s="128">
        <f>'Pencapaian Item per Outlet'!I344</f>
        <v>1646000</v>
      </c>
      <c r="J344" s="46"/>
      <c r="K344" s="46"/>
    </row>
    <row r="345" spans="2:11" s="45" customFormat="1" ht="14.5" customHeight="1" x14ac:dyDescent="0.2">
      <c r="E345" s="46"/>
      <c r="F345" s="46"/>
      <c r="G345" s="228" t="s">
        <v>414</v>
      </c>
      <c r="I345" s="128">
        <f>'Pencapaian Product Display'!I345</f>
        <v>40000</v>
      </c>
      <c r="J345" s="46"/>
      <c r="K345" s="46"/>
    </row>
    <row r="346" spans="2:11" s="45" customFormat="1" ht="14.5" customHeight="1" x14ac:dyDescent="0.2">
      <c r="E346" s="46"/>
      <c r="F346" s="46"/>
      <c r="G346" s="228" t="s">
        <v>415</v>
      </c>
      <c r="I346" s="128">
        <f>'Pencapaian Sales Contract'!I346</f>
        <v>0</v>
      </c>
      <c r="J346" s="46"/>
      <c r="K346" s="46"/>
    </row>
    <row r="347" spans="2:11" ht="14.5" customHeight="1" x14ac:dyDescent="0.2">
      <c r="G347" s="228" t="s">
        <v>416</v>
      </c>
      <c r="H347" s="45"/>
      <c r="I347" s="128">
        <f>'Pencapaian Co-Branding'!I347</f>
        <v>0</v>
      </c>
      <c r="J347" s="46"/>
      <c r="K347" s="46"/>
    </row>
    <row r="348" spans="2:11" ht="14.5" customHeight="1" x14ac:dyDescent="0.2">
      <c r="G348" s="228" t="s">
        <v>417</v>
      </c>
      <c r="H348" s="45"/>
      <c r="I348" s="128">
        <f>'Pencapaian Join Event Activity'!I348</f>
        <v>50000</v>
      </c>
      <c r="J348" s="46"/>
      <c r="K348" s="46"/>
    </row>
    <row r="349" spans="2:11" ht="14.5" customHeight="1" x14ac:dyDescent="0.2">
      <c r="G349" s="228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47"/>
      <c r="I350" s="229"/>
      <c r="J350" s="46"/>
      <c r="K350" s="46"/>
    </row>
    <row r="351" spans="2:11" ht="14.5" customHeight="1" x14ac:dyDescent="0.2">
      <c r="G351" s="50" t="s">
        <v>62</v>
      </c>
      <c r="I351" s="235">
        <f>SUM(I339:I349)</f>
        <v>38916750</v>
      </c>
    </row>
  </sheetData>
  <mergeCells count="86">
    <mergeCell ref="B191:B199"/>
    <mergeCell ref="B200:B215"/>
    <mergeCell ref="J155:J156"/>
    <mergeCell ref="K155:K156"/>
    <mergeCell ref="D155:D156"/>
    <mergeCell ref="E155:F155"/>
    <mergeCell ref="G155:G156"/>
    <mergeCell ref="H155:H156"/>
    <mergeCell ref="I155:I156"/>
    <mergeCell ref="B157:B165"/>
    <mergeCell ref="B166:B181"/>
    <mergeCell ref="B182:B189"/>
    <mergeCell ref="B155:B156"/>
    <mergeCell ref="K48:K49"/>
    <mergeCell ref="B50:B64"/>
    <mergeCell ref="B65:B71"/>
    <mergeCell ref="B103:B104"/>
    <mergeCell ref="D103:D104"/>
    <mergeCell ref="E103:F103"/>
    <mergeCell ref="K85:K86"/>
    <mergeCell ref="G103:G104"/>
    <mergeCell ref="H103:H104"/>
    <mergeCell ref="I103:I104"/>
    <mergeCell ref="J103:J104"/>
    <mergeCell ref="K103:K104"/>
    <mergeCell ref="B72:B76"/>
    <mergeCell ref="B116:B120"/>
    <mergeCell ref="B129:B133"/>
    <mergeCell ref="J48:J49"/>
    <mergeCell ref="H48:H49"/>
    <mergeCell ref="I48:I49"/>
    <mergeCell ref="B85:B86"/>
    <mergeCell ref="D85:D86"/>
    <mergeCell ref="E85:F85"/>
    <mergeCell ref="G85:G86"/>
    <mergeCell ref="H85:H86"/>
    <mergeCell ref="B48:B49"/>
    <mergeCell ref="D48:D49"/>
    <mergeCell ref="E48:F48"/>
    <mergeCell ref="G48:G49"/>
    <mergeCell ref="B110:B115"/>
    <mergeCell ref="B121:B128"/>
    <mergeCell ref="B29:B34"/>
    <mergeCell ref="B35:B39"/>
    <mergeCell ref="B105:B109"/>
    <mergeCell ref="J3:J4"/>
    <mergeCell ref="K3:K4"/>
    <mergeCell ref="B5:B28"/>
    <mergeCell ref="H3:H4"/>
    <mergeCell ref="I3:I4"/>
    <mergeCell ref="B3:B4"/>
    <mergeCell ref="D3:D4"/>
    <mergeCell ref="E3:F3"/>
    <mergeCell ref="G3:G4"/>
    <mergeCell ref="B91:B94"/>
    <mergeCell ref="B87:B90"/>
    <mergeCell ref="I85:I86"/>
    <mergeCell ref="J85:J86"/>
    <mergeCell ref="C3:C4"/>
    <mergeCell ref="C48:C49"/>
    <mergeCell ref="C85:C86"/>
    <mergeCell ref="C103:C104"/>
    <mergeCell ref="C155:C156"/>
    <mergeCell ref="B134:B146"/>
    <mergeCell ref="B289:B292"/>
    <mergeCell ref="B322:B323"/>
    <mergeCell ref="C322:C323"/>
    <mergeCell ref="D322:D323"/>
    <mergeCell ref="B308:B313"/>
    <mergeCell ref="B260:B274"/>
    <mergeCell ref="B275:B280"/>
    <mergeCell ref="B282:B288"/>
    <mergeCell ref="B293:B299"/>
    <mergeCell ref="B300:B307"/>
    <mergeCell ref="B216:B220"/>
    <mergeCell ref="B221:B225"/>
    <mergeCell ref="B250:B258"/>
    <mergeCell ref="B227:B242"/>
    <mergeCell ref="B243:B249"/>
    <mergeCell ref="K322:K323"/>
    <mergeCell ref="B324:B336"/>
    <mergeCell ref="E322:F322"/>
    <mergeCell ref="G322:G323"/>
    <mergeCell ref="H322:H323"/>
    <mergeCell ref="I322:I323"/>
    <mergeCell ref="J322:J323"/>
  </mergeCells>
  <conditionalFormatting sqref="G11:G12">
    <cfRule type="cellIs" dxfId="119" priority="340" operator="greaterThan">
      <formula>1</formula>
    </cfRule>
    <cfRule type="cellIs" dxfId="118" priority="341" operator="greaterThan">
      <formula>0.7</formula>
    </cfRule>
    <cfRule type="cellIs" dxfId="117" priority="342" operator="lessThan">
      <formula>0.7</formula>
    </cfRule>
  </conditionalFormatting>
  <conditionalFormatting sqref="G22:G23">
    <cfRule type="cellIs" dxfId="116" priority="364" operator="greaterThan">
      <formula>1</formula>
    </cfRule>
    <cfRule type="cellIs" dxfId="115" priority="365" operator="greaterThan">
      <formula>0.7</formula>
    </cfRule>
    <cfRule type="cellIs" dxfId="114" priority="366" operator="lessThan">
      <formula>0.7</formula>
    </cfRule>
  </conditionalFormatting>
  <conditionalFormatting sqref="G35:G37">
    <cfRule type="cellIs" dxfId="113" priority="370" operator="greaterThan">
      <formula>1</formula>
    </cfRule>
    <cfRule type="cellIs" dxfId="112" priority="371" operator="greaterThan">
      <formula>0.7</formula>
    </cfRule>
    <cfRule type="cellIs" dxfId="111" priority="372" operator="lessThan">
      <formula>0.7</formula>
    </cfRule>
  </conditionalFormatting>
  <conditionalFormatting sqref="G61">
    <cfRule type="cellIs" dxfId="110" priority="334" operator="greaterThan">
      <formula>1</formula>
    </cfRule>
    <cfRule type="cellIs" dxfId="109" priority="335" operator="greaterThan">
      <formula>0.7</formula>
    </cfRule>
    <cfRule type="cellIs" dxfId="108" priority="336" operator="lessThan">
      <formula>0.7</formula>
    </cfRule>
  </conditionalFormatting>
  <conditionalFormatting sqref="G69">
    <cfRule type="cellIs" dxfId="107" priority="337" operator="greaterThan">
      <formula>1</formula>
    </cfRule>
    <cfRule type="cellIs" dxfId="106" priority="338" operator="greaterThan">
      <formula>0.7</formula>
    </cfRule>
    <cfRule type="cellIs" dxfId="105" priority="339" operator="lessThan">
      <formula>0.7</formula>
    </cfRule>
  </conditionalFormatting>
  <conditionalFormatting sqref="G72:G74">
    <cfRule type="cellIs" dxfId="104" priority="349" operator="greaterThan">
      <formula>1</formula>
    </cfRule>
    <cfRule type="cellIs" dxfId="103" priority="350" operator="greaterThan">
      <formula>0.7</formula>
    </cfRule>
    <cfRule type="cellIs" dxfId="102" priority="351" operator="lessThan">
      <formula>0.7</formula>
    </cfRule>
  </conditionalFormatting>
  <conditionalFormatting sqref="G87:G88 G91:G92">
    <cfRule type="cellIs" dxfId="101" priority="358" operator="greaterThan">
      <formula>1</formula>
    </cfRule>
    <cfRule type="cellIs" dxfId="100" priority="359" operator="greaterThan">
      <formula>0.7</formula>
    </cfRule>
    <cfRule type="cellIs" dxfId="99" priority="360" operator="lessThan">
      <formula>0.7</formula>
    </cfRule>
  </conditionalFormatting>
  <conditionalFormatting sqref="G124">
    <cfRule type="cellIs" dxfId="98" priority="241" operator="greaterThan">
      <formula>1</formula>
    </cfRule>
    <cfRule type="cellIs" dxfId="97" priority="242" operator="greaterThan">
      <formula>0.8</formula>
    </cfRule>
    <cfRule type="cellIs" dxfId="96" priority="243" operator="lessThan">
      <formula>0.8</formula>
    </cfRule>
  </conditionalFormatting>
  <conditionalFormatting sqref="G130:G131">
    <cfRule type="cellIs" dxfId="95" priority="373" operator="greaterThan">
      <formula>1</formula>
    </cfRule>
    <cfRule type="cellIs" dxfId="94" priority="374" operator="greaterThan">
      <formula>0.7</formula>
    </cfRule>
    <cfRule type="cellIs" dxfId="93" priority="375" operator="lessThan">
      <formula>0.7</formula>
    </cfRule>
  </conditionalFormatting>
  <conditionalFormatting sqref="G134:G144">
    <cfRule type="cellIs" dxfId="92" priority="112" operator="greaterThan">
      <formula>1</formula>
    </cfRule>
    <cfRule type="cellIs" dxfId="91" priority="113" operator="greaterThan">
      <formula>0.8</formula>
    </cfRule>
    <cfRule type="cellIs" dxfId="90" priority="114" operator="lessThan">
      <formula>0.8</formula>
    </cfRule>
  </conditionalFormatting>
  <conditionalFormatting sqref="G157:G162">
    <cfRule type="cellIs" dxfId="89" priority="160" operator="greaterThan">
      <formula>1</formula>
    </cfRule>
    <cfRule type="cellIs" dxfId="88" priority="161" operator="greaterThan">
      <formula>0.8</formula>
    </cfRule>
    <cfRule type="cellIs" dxfId="87" priority="162" operator="lessThan">
      <formula>0.8</formula>
    </cfRule>
  </conditionalFormatting>
  <conditionalFormatting sqref="G166:G172">
    <cfRule type="cellIs" dxfId="86" priority="232" operator="greaterThan">
      <formula>1</formula>
    </cfRule>
    <cfRule type="cellIs" dxfId="85" priority="233" operator="greaterThan">
      <formula>0.8</formula>
    </cfRule>
    <cfRule type="cellIs" dxfId="84" priority="234" operator="lessThan">
      <formula>0.8</formula>
    </cfRule>
  </conditionalFormatting>
  <conditionalFormatting sqref="G174:G178">
    <cfRule type="cellIs" dxfId="83" priority="229" operator="greaterThan">
      <formula>1</formula>
    </cfRule>
    <cfRule type="cellIs" dxfId="82" priority="230" operator="greaterThan">
      <formula>0.8</formula>
    </cfRule>
    <cfRule type="cellIs" dxfId="81" priority="231" operator="lessThan">
      <formula>0.8</formula>
    </cfRule>
  </conditionalFormatting>
  <conditionalFormatting sqref="G182:G188">
    <cfRule type="cellIs" dxfId="80" priority="226" operator="greaterThan">
      <formula>1</formula>
    </cfRule>
    <cfRule type="cellIs" dxfId="79" priority="227" operator="greaterThan">
      <formula>0.8</formula>
    </cfRule>
    <cfRule type="cellIs" dxfId="78" priority="228" operator="lessThan">
      <formula>0.8</formula>
    </cfRule>
  </conditionalFormatting>
  <conditionalFormatting sqref="G191:G196">
    <cfRule type="cellIs" dxfId="77" priority="103" operator="greaterThan">
      <formula>1</formula>
    </cfRule>
    <cfRule type="cellIs" dxfId="76" priority="104" operator="greaterThan">
      <formula>0.8</formula>
    </cfRule>
    <cfRule type="cellIs" dxfId="75" priority="105" operator="lessThan">
      <formula>0.8</formula>
    </cfRule>
  </conditionalFormatting>
  <conditionalFormatting sqref="G200:G204">
    <cfRule type="cellIs" dxfId="74" priority="220" operator="greaterThan">
      <formula>1</formula>
    </cfRule>
    <cfRule type="cellIs" dxfId="73" priority="221" operator="greaterThan">
      <formula>0.8</formula>
    </cfRule>
    <cfRule type="cellIs" dxfId="72" priority="222" operator="lessThan">
      <formula>0.8</formula>
    </cfRule>
  </conditionalFormatting>
  <conditionalFormatting sqref="G206:G212">
    <cfRule type="cellIs" dxfId="71" priority="97" operator="greaterThan">
      <formula>1</formula>
    </cfRule>
    <cfRule type="cellIs" dxfId="70" priority="98" operator="greaterThan">
      <formula>0.8</formula>
    </cfRule>
    <cfRule type="cellIs" dxfId="69" priority="99" operator="lessThan">
      <formula>0.8</formula>
    </cfRule>
  </conditionalFormatting>
  <conditionalFormatting sqref="G216:G218">
    <cfRule type="cellIs" dxfId="68" priority="91" operator="greaterThan">
      <formula>1</formula>
    </cfRule>
    <cfRule type="cellIs" dxfId="67" priority="92" operator="greaterThan">
      <formula>0.8</formula>
    </cfRule>
    <cfRule type="cellIs" dxfId="66" priority="93" operator="lessThan">
      <formula>0.8</formula>
    </cfRule>
  </conditionalFormatting>
  <conditionalFormatting sqref="G221:G223">
    <cfRule type="cellIs" dxfId="65" priority="82" operator="greaterThan">
      <formula>1</formula>
    </cfRule>
    <cfRule type="cellIs" dxfId="64" priority="83" operator="greaterThan">
      <formula>0.8</formula>
    </cfRule>
    <cfRule type="cellIs" dxfId="63" priority="84" operator="lessThan">
      <formula>0.8</formula>
    </cfRule>
  </conditionalFormatting>
  <conditionalFormatting sqref="G227:G233">
    <cfRule type="cellIs" dxfId="62" priority="76" operator="greaterThan">
      <formula>1</formula>
    </cfRule>
    <cfRule type="cellIs" dxfId="61" priority="77" operator="greaterThan">
      <formula>0.8</formula>
    </cfRule>
    <cfRule type="cellIs" dxfId="60" priority="78" operator="lessThan">
      <formula>0.8</formula>
    </cfRule>
  </conditionalFormatting>
  <conditionalFormatting sqref="G235:G239">
    <cfRule type="cellIs" dxfId="59" priority="73" operator="greaterThan">
      <formula>1</formula>
    </cfRule>
    <cfRule type="cellIs" dxfId="58" priority="74" operator="greaterThan">
      <formula>0.8</formula>
    </cfRule>
    <cfRule type="cellIs" dxfId="57" priority="75" operator="lessThan">
      <formula>0.8</formula>
    </cfRule>
  </conditionalFormatting>
  <conditionalFormatting sqref="G243:G247">
    <cfRule type="cellIs" dxfId="56" priority="64" operator="greaterThan">
      <formula>1</formula>
    </cfRule>
    <cfRule type="cellIs" dxfId="55" priority="65" operator="greaterThan">
      <formula>0.8</formula>
    </cfRule>
    <cfRule type="cellIs" dxfId="54" priority="66" operator="lessThan">
      <formula>0.8</formula>
    </cfRule>
  </conditionalFormatting>
  <conditionalFormatting sqref="G250:G256">
    <cfRule type="cellIs" dxfId="53" priority="208" operator="greaterThan">
      <formula>1</formula>
    </cfRule>
    <cfRule type="cellIs" dxfId="52" priority="209" operator="greaterThan">
      <formula>0.8</formula>
    </cfRule>
    <cfRule type="cellIs" dxfId="51" priority="210" operator="lessThan">
      <formula>0.8</formula>
    </cfRule>
  </conditionalFormatting>
  <conditionalFormatting sqref="G260:G264">
    <cfRule type="cellIs" dxfId="50" priority="58" operator="greaterThan">
      <formula>1</formula>
    </cfRule>
    <cfRule type="cellIs" dxfId="49" priority="59" operator="greaterThan">
      <formula>0.8</formula>
    </cfRule>
    <cfRule type="cellIs" dxfId="48" priority="60" operator="lessThan">
      <formula>0.8</formula>
    </cfRule>
  </conditionalFormatting>
  <conditionalFormatting sqref="G266:G271">
    <cfRule type="cellIs" dxfId="47" priority="49" operator="greaterThan">
      <formula>1</formula>
    </cfRule>
    <cfRule type="cellIs" dxfId="46" priority="50" operator="greaterThan">
      <formula>0.8</formula>
    </cfRule>
    <cfRule type="cellIs" dxfId="45" priority="51" operator="lessThan">
      <formula>0.8</formula>
    </cfRule>
  </conditionalFormatting>
  <conditionalFormatting sqref="G275:G278">
    <cfRule type="cellIs" dxfId="44" priority="43" operator="greaterThan">
      <formula>1</formula>
    </cfRule>
    <cfRule type="cellIs" dxfId="43" priority="44" operator="greaterThan">
      <formula>0.8</formula>
    </cfRule>
    <cfRule type="cellIs" dxfId="42" priority="45" operator="lessThan">
      <formula>0.8</formula>
    </cfRule>
  </conditionalFormatting>
  <conditionalFormatting sqref="G282:G286">
    <cfRule type="cellIs" dxfId="41" priority="37" operator="greaterThan">
      <formula>1</formula>
    </cfRule>
    <cfRule type="cellIs" dxfId="40" priority="38" operator="greaterThan">
      <formula>0.8</formula>
    </cfRule>
    <cfRule type="cellIs" dxfId="39" priority="39" operator="lessThan">
      <formula>0.8</formula>
    </cfRule>
  </conditionalFormatting>
  <conditionalFormatting sqref="G289:G290">
    <cfRule type="cellIs" dxfId="38" priority="31" operator="greaterThan">
      <formula>1</formula>
    </cfRule>
    <cfRule type="cellIs" dxfId="37" priority="32" operator="greaterThan">
      <formula>0.8</formula>
    </cfRule>
    <cfRule type="cellIs" dxfId="36" priority="33" operator="lessThan">
      <formula>0.8</formula>
    </cfRule>
  </conditionalFormatting>
  <conditionalFormatting sqref="G293:G297">
    <cfRule type="cellIs" dxfId="35" priority="25" operator="greaterThan">
      <formula>1</formula>
    </cfRule>
    <cfRule type="cellIs" dxfId="34" priority="26" operator="greaterThan">
      <formula>0.8</formula>
    </cfRule>
    <cfRule type="cellIs" dxfId="33" priority="27" operator="lessThan">
      <formula>0.8</formula>
    </cfRule>
  </conditionalFormatting>
  <conditionalFormatting sqref="G300:G305">
    <cfRule type="cellIs" dxfId="32" priority="19" operator="greaterThan">
      <formula>1</formula>
    </cfRule>
    <cfRule type="cellIs" dxfId="31" priority="20" operator="greaterThan">
      <formula>0.8</formula>
    </cfRule>
    <cfRule type="cellIs" dxfId="30" priority="21" operator="lessThan">
      <formula>0.8</formula>
    </cfRule>
  </conditionalFormatting>
  <conditionalFormatting sqref="G308:G311">
    <cfRule type="cellIs" dxfId="29" priority="16" operator="greaterThan">
      <formula>1</formula>
    </cfRule>
    <cfRule type="cellIs" dxfId="28" priority="17" operator="greaterThan">
      <formula>0.8</formula>
    </cfRule>
    <cfRule type="cellIs" dxfId="27" priority="18" operator="lessThan">
      <formula>0.8</formula>
    </cfRule>
  </conditionalFormatting>
  <conditionalFormatting sqref="G326">
    <cfRule type="cellIs" dxfId="26" priority="1" operator="greaterThan">
      <formula>1</formula>
    </cfRule>
    <cfRule type="cellIs" dxfId="25" priority="2" operator="greaterThan">
      <formula>0.8</formula>
    </cfRule>
    <cfRule type="cellIs" dxfId="24" priority="3" operator="lessThan">
      <formula>0.8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59A9-197D-42C6-8243-5ADA201A5D05}">
  <dimension ref="B1:L351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F2" sqref="F2"/>
    </sheetView>
  </sheetViews>
  <sheetFormatPr baseColWidth="10" defaultColWidth="8.83203125" defaultRowHeight="14.5" customHeight="1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53" customWidth="1"/>
    <col min="7" max="7" width="13.1640625" style="165" customWidth="1"/>
    <col min="8" max="8" width="10.83203125" customWidth="1"/>
    <col min="9" max="11" width="12.6640625" style="2" customWidth="1"/>
    <col min="12" max="12" width="3.5" customWidth="1"/>
  </cols>
  <sheetData>
    <row r="1" spans="2:11" ht="14.5" customHeight="1" x14ac:dyDescent="0.2">
      <c r="B1" s="4" t="s">
        <v>171</v>
      </c>
      <c r="C1" s="5"/>
      <c r="D1" s="5"/>
      <c r="E1" s="98"/>
      <c r="F1" s="98"/>
      <c r="G1" s="159"/>
    </row>
    <row r="2" spans="2:11" ht="14.5" customHeight="1" x14ac:dyDescent="0.2">
      <c r="B2" s="8"/>
      <c r="C2" s="8"/>
      <c r="D2" s="8"/>
      <c r="E2" s="99"/>
      <c r="F2" s="99"/>
      <c r="G2" s="159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424" t="s">
        <v>137</v>
      </c>
      <c r="F3" s="424"/>
      <c r="G3" s="417" t="s">
        <v>56</v>
      </c>
      <c r="H3" s="394" t="s">
        <v>3</v>
      </c>
      <c r="I3" s="398" t="s">
        <v>422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91" t="s">
        <v>77</v>
      </c>
      <c r="F4" s="90" t="s">
        <v>58</v>
      </c>
      <c r="G4" s="417"/>
      <c r="H4" s="394"/>
      <c r="I4" s="398"/>
      <c r="J4" s="398"/>
      <c r="K4" s="398"/>
    </row>
    <row r="5" spans="2:11" ht="14.5" customHeight="1" x14ac:dyDescent="0.2">
      <c r="B5" s="422" t="s">
        <v>13</v>
      </c>
      <c r="C5" s="52" t="s">
        <v>342</v>
      </c>
      <c r="D5" s="52" t="s">
        <v>233</v>
      </c>
      <c r="E5" s="100">
        <v>3.4745762711864407</v>
      </c>
      <c r="F5" s="100">
        <v>3.85</v>
      </c>
      <c r="G5" s="160">
        <f t="shared" ref="G5:G10" si="0">E5/F5*100%</f>
        <v>0.90248734316530932</v>
      </c>
      <c r="H5" s="12" t="s">
        <v>14</v>
      </c>
      <c r="I5" s="15">
        <v>135000</v>
      </c>
      <c r="J5" s="15">
        <f>I5*55%</f>
        <v>74250</v>
      </c>
      <c r="K5" s="15">
        <f>I5*45%</f>
        <v>60750</v>
      </c>
    </row>
    <row r="6" spans="2:11" ht="14.5" customHeight="1" x14ac:dyDescent="0.2">
      <c r="B6" s="422"/>
      <c r="C6" s="52" t="s">
        <v>343</v>
      </c>
      <c r="D6" s="52" t="s">
        <v>234</v>
      </c>
      <c r="E6" s="100">
        <v>3.3020134228187921</v>
      </c>
      <c r="F6" s="100">
        <v>3.45</v>
      </c>
      <c r="G6" s="160">
        <f t="shared" si="0"/>
        <v>0.95710533994747593</v>
      </c>
      <c r="H6" s="12" t="s">
        <v>14</v>
      </c>
      <c r="I6" s="15">
        <v>135000</v>
      </c>
      <c r="J6" s="15">
        <f t="shared" ref="J6:J8" si="1">I6*55%</f>
        <v>74250</v>
      </c>
      <c r="K6" s="15">
        <f t="shared" ref="K6:K8" si="2">I6*45%</f>
        <v>60750</v>
      </c>
    </row>
    <row r="7" spans="2:11" ht="14.5" customHeight="1" x14ac:dyDescent="0.2">
      <c r="B7" s="422"/>
      <c r="C7" s="52" t="s">
        <v>344</v>
      </c>
      <c r="D7" s="52" t="s">
        <v>235</v>
      </c>
      <c r="E7" s="100">
        <v>3.0089285714285716</v>
      </c>
      <c r="F7" s="100">
        <v>3.15</v>
      </c>
      <c r="G7" s="160">
        <f t="shared" si="0"/>
        <v>0.95521541950113387</v>
      </c>
      <c r="H7" s="12" t="s">
        <v>14</v>
      </c>
      <c r="I7" s="15">
        <v>135000</v>
      </c>
      <c r="J7" s="15">
        <f t="shared" si="1"/>
        <v>74250</v>
      </c>
      <c r="K7" s="15">
        <f t="shared" si="2"/>
        <v>60750</v>
      </c>
    </row>
    <row r="8" spans="2:11" ht="14.5" customHeight="1" x14ac:dyDescent="0.2">
      <c r="B8" s="422"/>
      <c r="C8" s="52" t="s">
        <v>345</v>
      </c>
      <c r="D8" s="52" t="s">
        <v>236</v>
      </c>
      <c r="E8" s="100">
        <v>3.6837606837606836</v>
      </c>
      <c r="F8" s="100">
        <v>3.85</v>
      </c>
      <c r="G8" s="160">
        <f t="shared" si="0"/>
        <v>0.95682095682095669</v>
      </c>
      <c r="H8" s="12" t="s">
        <v>14</v>
      </c>
      <c r="I8" s="15">
        <v>135000</v>
      </c>
      <c r="J8" s="15">
        <f t="shared" si="1"/>
        <v>74250</v>
      </c>
      <c r="K8" s="15">
        <f t="shared" si="2"/>
        <v>60750</v>
      </c>
    </row>
    <row r="9" spans="2:11" ht="14.5" customHeight="1" x14ac:dyDescent="0.2">
      <c r="B9" s="422"/>
      <c r="C9" s="52" t="s">
        <v>346</v>
      </c>
      <c r="D9" s="52" t="s">
        <v>237</v>
      </c>
      <c r="E9" s="100">
        <v>2.0775193798449614</v>
      </c>
      <c r="F9" s="100">
        <v>2.4500000000000002</v>
      </c>
      <c r="G9" s="160">
        <f t="shared" si="0"/>
        <v>0.84796709381426993</v>
      </c>
      <c r="H9" s="12" t="s">
        <v>18</v>
      </c>
      <c r="I9" s="15">
        <v>67500</v>
      </c>
      <c r="J9" s="15">
        <f t="shared" ref="J9:J12" si="3">I9*70%</f>
        <v>47250</v>
      </c>
      <c r="K9" s="15">
        <f t="shared" ref="K9:K12" si="4">I9*30%</f>
        <v>20250</v>
      </c>
    </row>
    <row r="10" spans="2:11" ht="14.5" customHeight="1" x14ac:dyDescent="0.2">
      <c r="B10" s="422"/>
      <c r="C10" s="52" t="s">
        <v>347</v>
      </c>
      <c r="D10" s="52" t="s">
        <v>101</v>
      </c>
      <c r="E10" s="100">
        <v>2.0451127819548871</v>
      </c>
      <c r="F10" s="100">
        <v>2.65</v>
      </c>
      <c r="G10" s="160">
        <f t="shared" si="0"/>
        <v>0.77174067243580646</v>
      </c>
      <c r="H10" s="12" t="s">
        <v>18</v>
      </c>
      <c r="I10" s="15">
        <v>33750</v>
      </c>
      <c r="J10" s="15">
        <f t="shared" si="3"/>
        <v>23625</v>
      </c>
      <c r="K10" s="15">
        <f t="shared" si="4"/>
        <v>10125</v>
      </c>
    </row>
    <row r="11" spans="2:11" ht="14.5" customHeight="1" x14ac:dyDescent="0.2">
      <c r="B11" s="422"/>
      <c r="C11" s="117" t="s">
        <v>348</v>
      </c>
      <c r="D11" s="117" t="s">
        <v>157</v>
      </c>
      <c r="E11" s="174"/>
      <c r="F11" s="174"/>
      <c r="G11" s="163"/>
      <c r="H11" s="122"/>
      <c r="I11" s="122"/>
      <c r="J11" s="122">
        <f t="shared" si="3"/>
        <v>0</v>
      </c>
      <c r="K11" s="122">
        <f t="shared" si="4"/>
        <v>0</v>
      </c>
    </row>
    <row r="12" spans="2:11" ht="14.5" customHeight="1" x14ac:dyDescent="0.2">
      <c r="B12" s="422"/>
      <c r="C12" s="117" t="s">
        <v>349</v>
      </c>
      <c r="D12" s="117" t="s">
        <v>158</v>
      </c>
      <c r="E12" s="174"/>
      <c r="F12" s="174"/>
      <c r="G12" s="163"/>
      <c r="H12" s="122"/>
      <c r="I12" s="122"/>
      <c r="J12" s="122">
        <f t="shared" si="3"/>
        <v>0</v>
      </c>
      <c r="K12" s="122">
        <f t="shared" si="4"/>
        <v>0</v>
      </c>
    </row>
    <row r="13" spans="2:11" s="37" customFormat="1" ht="14.5" customHeight="1" x14ac:dyDescent="0.2">
      <c r="B13" s="422"/>
      <c r="C13" s="78"/>
      <c r="D13" s="78" t="s">
        <v>289</v>
      </c>
      <c r="E13" s="68">
        <f t="shared" ref="E13:F13" si="5">AVERAGE(E5:E12)</f>
        <v>2.9319851851657224</v>
      </c>
      <c r="F13" s="68">
        <f t="shared" si="5"/>
        <v>3.2333333333333329</v>
      </c>
      <c r="G13" s="168">
        <f t="shared" ref="G13:G21" si="6">E13/F13*100%</f>
        <v>0.90679954180383182</v>
      </c>
      <c r="H13" s="64" t="s">
        <v>20</v>
      </c>
      <c r="I13" s="63">
        <v>168000</v>
      </c>
      <c r="J13" s="63">
        <f>I13</f>
        <v>168000</v>
      </c>
      <c r="K13" s="63">
        <v>0</v>
      </c>
    </row>
    <row r="14" spans="2:11" s="21" customFormat="1" ht="14.5" customHeight="1" x14ac:dyDescent="0.2">
      <c r="B14" s="422"/>
      <c r="C14" s="38" t="s">
        <v>350</v>
      </c>
      <c r="D14" s="38" t="s">
        <v>99</v>
      </c>
      <c r="E14" s="100">
        <v>2.8974358974358974</v>
      </c>
      <c r="F14" s="100">
        <v>3.5</v>
      </c>
      <c r="G14" s="160">
        <f t="shared" si="6"/>
        <v>0.82783882783882778</v>
      </c>
      <c r="H14" s="12" t="s">
        <v>14</v>
      </c>
      <c r="I14" s="15">
        <v>90000</v>
      </c>
      <c r="J14" s="15">
        <f>I14*55%</f>
        <v>49500.000000000007</v>
      </c>
      <c r="K14" s="15">
        <f>I14*45%</f>
        <v>40500</v>
      </c>
    </row>
    <row r="15" spans="2:11" ht="14.5" customHeight="1" x14ac:dyDescent="0.2">
      <c r="B15" s="422"/>
      <c r="C15" s="52" t="s">
        <v>351</v>
      </c>
      <c r="D15" s="52" t="s">
        <v>100</v>
      </c>
      <c r="E15" s="100">
        <v>2.5483870967741935</v>
      </c>
      <c r="F15" s="100">
        <v>3</v>
      </c>
      <c r="G15" s="160">
        <f t="shared" si="6"/>
        <v>0.84946236559139787</v>
      </c>
      <c r="H15" s="12" t="s">
        <v>14</v>
      </c>
      <c r="I15" s="15">
        <v>90000</v>
      </c>
      <c r="J15" s="15">
        <f>I15*55%</f>
        <v>49500.000000000007</v>
      </c>
      <c r="K15" s="15">
        <f>I15*45%</f>
        <v>40500</v>
      </c>
    </row>
    <row r="16" spans="2:11" ht="14.5" customHeight="1" x14ac:dyDescent="0.2">
      <c r="B16" s="422"/>
      <c r="C16" s="52" t="s">
        <v>352</v>
      </c>
      <c r="D16" s="52" t="s">
        <v>238</v>
      </c>
      <c r="E16" s="100">
        <v>4.299145299145299</v>
      </c>
      <c r="F16" s="100">
        <v>5</v>
      </c>
      <c r="G16" s="160">
        <f t="shared" si="6"/>
        <v>0.85982905982905977</v>
      </c>
      <c r="H16" s="12" t="s">
        <v>14</v>
      </c>
      <c r="I16" s="15">
        <v>90000</v>
      </c>
      <c r="J16" s="15">
        <f t="shared" ref="J16:J18" si="7">I16*55%</f>
        <v>49500.000000000007</v>
      </c>
      <c r="K16" s="15">
        <f t="shared" ref="K16:K18" si="8">I16*45%</f>
        <v>40500</v>
      </c>
    </row>
    <row r="17" spans="2:11" ht="14.5" customHeight="1" x14ac:dyDescent="0.2">
      <c r="B17" s="422"/>
      <c r="C17" s="52" t="s">
        <v>353</v>
      </c>
      <c r="D17" s="52" t="s">
        <v>239</v>
      </c>
      <c r="E17" s="100">
        <v>3.5471698113207548</v>
      </c>
      <c r="F17" s="100">
        <v>3.5</v>
      </c>
      <c r="G17" s="160">
        <f t="shared" si="6"/>
        <v>1.0134770889487872</v>
      </c>
      <c r="H17" s="83" t="s">
        <v>14</v>
      </c>
      <c r="I17" s="15">
        <v>180000</v>
      </c>
      <c r="J17" s="15">
        <f t="shared" si="7"/>
        <v>99000.000000000015</v>
      </c>
      <c r="K17" s="15">
        <f t="shared" si="8"/>
        <v>81000</v>
      </c>
    </row>
    <row r="18" spans="2:11" ht="14.5" customHeight="1" x14ac:dyDescent="0.2">
      <c r="B18" s="422"/>
      <c r="C18" s="52" t="s">
        <v>354</v>
      </c>
      <c r="D18" s="52" t="s">
        <v>294</v>
      </c>
      <c r="E18" s="100">
        <v>2.967741935483871</v>
      </c>
      <c r="F18" s="100">
        <v>3.5</v>
      </c>
      <c r="G18" s="160">
        <f t="shared" si="6"/>
        <v>0.84792626728110598</v>
      </c>
      <c r="H18" s="83" t="s">
        <v>14</v>
      </c>
      <c r="I18" s="15">
        <v>90000</v>
      </c>
      <c r="J18" s="15">
        <f t="shared" si="7"/>
        <v>49500.000000000007</v>
      </c>
      <c r="K18" s="15">
        <f t="shared" si="8"/>
        <v>40500</v>
      </c>
    </row>
    <row r="19" spans="2:11" ht="14.5" customHeight="1" x14ac:dyDescent="0.2">
      <c r="B19" s="422"/>
      <c r="C19" s="52" t="s">
        <v>355</v>
      </c>
      <c r="D19" s="52" t="s">
        <v>273</v>
      </c>
      <c r="E19" s="100">
        <v>1.4457831325301205</v>
      </c>
      <c r="F19" s="100">
        <v>2</v>
      </c>
      <c r="G19" s="160">
        <f t="shared" si="6"/>
        <v>0.72289156626506024</v>
      </c>
      <c r="H19" s="83" t="s">
        <v>18</v>
      </c>
      <c r="I19" s="15">
        <v>33750</v>
      </c>
      <c r="J19" s="15">
        <f t="shared" ref="J19" si="9">I19*70%</f>
        <v>23625</v>
      </c>
      <c r="K19" s="15">
        <f t="shared" ref="K19" si="10">I19*30%</f>
        <v>10125</v>
      </c>
    </row>
    <row r="20" spans="2:11" ht="14.5" customHeight="1" x14ac:dyDescent="0.2">
      <c r="B20" s="422"/>
      <c r="C20" s="52"/>
      <c r="D20" s="52" t="s">
        <v>243</v>
      </c>
      <c r="E20" s="100">
        <v>3.8357142857142859</v>
      </c>
      <c r="F20" s="100">
        <v>4</v>
      </c>
      <c r="G20" s="160">
        <f t="shared" si="6"/>
        <v>0.95892857142857146</v>
      </c>
      <c r="H20" s="83" t="s">
        <v>14</v>
      </c>
      <c r="I20" s="15">
        <v>135000</v>
      </c>
      <c r="J20" s="15">
        <f t="shared" ref="J20" si="11">I20*55%</f>
        <v>74250</v>
      </c>
      <c r="K20" s="15">
        <f t="shared" ref="K20" si="12">I20*45%</f>
        <v>60750</v>
      </c>
    </row>
    <row r="21" spans="2:11" s="37" customFormat="1" ht="14.5" customHeight="1" x14ac:dyDescent="0.2">
      <c r="B21" s="422"/>
      <c r="C21" s="78"/>
      <c r="D21" s="78" t="s">
        <v>293</v>
      </c>
      <c r="E21" s="68">
        <f t="shared" ref="E21:F21" si="13">AVERAGE(E14:E20)</f>
        <v>3.0773396369149175</v>
      </c>
      <c r="F21" s="68">
        <f t="shared" si="13"/>
        <v>3.5</v>
      </c>
      <c r="G21" s="168">
        <f t="shared" si="6"/>
        <v>0.87923989626140497</v>
      </c>
      <c r="H21" s="64" t="s">
        <v>20</v>
      </c>
      <c r="I21" s="63">
        <v>108000</v>
      </c>
      <c r="J21" s="63">
        <f t="shared" ref="J21:J27" si="14">I21</f>
        <v>108000</v>
      </c>
      <c r="K21" s="63">
        <v>0</v>
      </c>
    </row>
    <row r="22" spans="2:11" s="37" customFormat="1" ht="14.5" customHeight="1" x14ac:dyDescent="0.2">
      <c r="B22" s="422"/>
      <c r="C22" s="117" t="s">
        <v>356</v>
      </c>
      <c r="D22" s="117" t="s">
        <v>147</v>
      </c>
      <c r="E22" s="174"/>
      <c r="F22" s="174"/>
      <c r="G22" s="163"/>
      <c r="H22" s="122"/>
      <c r="I22" s="122"/>
      <c r="J22" s="122">
        <f t="shared" si="14"/>
        <v>0</v>
      </c>
      <c r="K22" s="122">
        <v>0</v>
      </c>
    </row>
    <row r="23" spans="2:11" s="37" customFormat="1" ht="14.5" customHeight="1" x14ac:dyDescent="0.2">
      <c r="B23" s="422"/>
      <c r="C23" s="117" t="s">
        <v>357</v>
      </c>
      <c r="D23" s="117" t="s">
        <v>813</v>
      </c>
      <c r="E23" s="174"/>
      <c r="F23" s="174"/>
      <c r="G23" s="163"/>
      <c r="H23" s="122"/>
      <c r="I23" s="122"/>
      <c r="J23" s="122">
        <f t="shared" si="14"/>
        <v>0</v>
      </c>
      <c r="K23" s="122">
        <v>0</v>
      </c>
    </row>
    <row r="24" spans="2:11" s="37" customFormat="1" ht="14.5" customHeight="1" x14ac:dyDescent="0.2">
      <c r="B24" s="422"/>
      <c r="C24" s="120"/>
      <c r="D24" s="120" t="s">
        <v>146</v>
      </c>
      <c r="E24" s="171"/>
      <c r="F24" s="171"/>
      <c r="G24" s="166"/>
      <c r="H24" s="151"/>
      <c r="I24" s="152"/>
      <c r="J24" s="152">
        <f t="shared" si="14"/>
        <v>0</v>
      </c>
      <c r="K24" s="152">
        <v>0</v>
      </c>
    </row>
    <row r="25" spans="2:11" s="37" customFormat="1" ht="14.5" customHeight="1" x14ac:dyDescent="0.2">
      <c r="B25" s="422"/>
      <c r="C25" s="52" t="s">
        <v>358</v>
      </c>
      <c r="D25" s="52" t="s">
        <v>258</v>
      </c>
      <c r="E25" s="100">
        <v>1.7749999999999999</v>
      </c>
      <c r="F25" s="100">
        <v>3</v>
      </c>
      <c r="G25" s="160">
        <f>E25/F25*100%</f>
        <v>0.59166666666666667</v>
      </c>
      <c r="H25" s="83" t="s">
        <v>469</v>
      </c>
      <c r="I25" s="15">
        <v>0</v>
      </c>
      <c r="J25" s="15">
        <f t="shared" si="14"/>
        <v>0</v>
      </c>
      <c r="K25" s="15">
        <v>0</v>
      </c>
    </row>
    <row r="26" spans="2:11" s="37" customFormat="1" ht="14.5" customHeight="1" x14ac:dyDescent="0.2">
      <c r="B26" s="422"/>
      <c r="C26" s="52" t="s">
        <v>525</v>
      </c>
      <c r="D26" s="52" t="s">
        <v>578</v>
      </c>
      <c r="E26" s="100">
        <v>1.6896551724137931</v>
      </c>
      <c r="F26" s="100">
        <v>3</v>
      </c>
      <c r="G26" s="160">
        <f>E26/F26*100%</f>
        <v>0.56321839080459768</v>
      </c>
      <c r="H26" s="83" t="s">
        <v>469</v>
      </c>
      <c r="I26" s="15">
        <v>0</v>
      </c>
      <c r="J26" s="15">
        <f t="shared" si="14"/>
        <v>0</v>
      </c>
      <c r="K26" s="15">
        <v>0</v>
      </c>
    </row>
    <row r="27" spans="2:11" s="37" customFormat="1" ht="14.5" customHeight="1" x14ac:dyDescent="0.2">
      <c r="B27" s="422"/>
      <c r="C27" s="119"/>
      <c r="D27" s="119" t="s">
        <v>587</v>
      </c>
      <c r="E27" s="222">
        <f t="shared" ref="E27:F27" si="15">AVERAGE(E25:E26)</f>
        <v>1.7323275862068965</v>
      </c>
      <c r="F27" s="222">
        <f t="shared" si="15"/>
        <v>3</v>
      </c>
      <c r="G27" s="223">
        <f>E27/F27*100%</f>
        <v>0.57744252873563218</v>
      </c>
      <c r="H27" s="221"/>
      <c r="I27" s="221"/>
      <c r="J27" s="221">
        <f t="shared" si="14"/>
        <v>0</v>
      </c>
      <c r="K27" s="221">
        <v>0</v>
      </c>
    </row>
    <row r="28" spans="2:11" s="21" customFormat="1" ht="14.5" customHeight="1" x14ac:dyDescent="0.2">
      <c r="B28" s="422"/>
      <c r="C28" s="126"/>
      <c r="D28" s="126" t="s">
        <v>24</v>
      </c>
      <c r="E28" s="172">
        <f>AVERAGE(E27,E24,E21,E13)</f>
        <v>2.5805508027625117</v>
      </c>
      <c r="F28" s="172">
        <f>AVERAGE(F27,F24,F21,F13)</f>
        <v>3.244444444444444</v>
      </c>
      <c r="G28" s="164">
        <f>E28/F28*100%</f>
        <v>0.79537524742680166</v>
      </c>
      <c r="H28" s="154"/>
      <c r="I28" s="148">
        <f>SUM(I5:I27)</f>
        <v>1626000</v>
      </c>
      <c r="J28" s="148">
        <f>SUM(J5:J27)</f>
        <v>1038750</v>
      </c>
      <c r="K28" s="148">
        <f>SUM(K5:K27)</f>
        <v>587250</v>
      </c>
    </row>
    <row r="29" spans="2:11" ht="14.5" customHeight="1" x14ac:dyDescent="0.2">
      <c r="B29" s="422" t="s">
        <v>32</v>
      </c>
      <c r="C29" s="117" t="s">
        <v>359</v>
      </c>
      <c r="D29" s="117" t="s">
        <v>103</v>
      </c>
      <c r="E29" s="174"/>
      <c r="F29" s="174"/>
      <c r="G29" s="163"/>
      <c r="H29" s="122"/>
      <c r="I29" s="122"/>
      <c r="J29" s="122">
        <f t="shared" ref="J29" si="16">I29*55%</f>
        <v>0</v>
      </c>
      <c r="K29" s="122">
        <f t="shared" ref="K29" si="17">I29*45%</f>
        <v>0</v>
      </c>
    </row>
    <row r="30" spans="2:11" ht="14.5" customHeight="1" x14ac:dyDescent="0.2">
      <c r="B30" s="422"/>
      <c r="C30" s="117" t="s">
        <v>360</v>
      </c>
      <c r="D30" s="117" t="s">
        <v>104</v>
      </c>
      <c r="E30" s="174"/>
      <c r="F30" s="174"/>
      <c r="G30" s="163"/>
      <c r="H30" s="122"/>
      <c r="I30" s="122"/>
      <c r="J30" s="122">
        <f t="shared" ref="J30" si="18">I30*70%</f>
        <v>0</v>
      </c>
      <c r="K30" s="122">
        <f t="shared" ref="K30" si="19">I30*30%</f>
        <v>0</v>
      </c>
    </row>
    <row r="31" spans="2:11" ht="14.5" customHeight="1" x14ac:dyDescent="0.2">
      <c r="B31" s="422"/>
      <c r="C31" s="117"/>
      <c r="D31" s="117" t="s">
        <v>148</v>
      </c>
      <c r="E31" s="174"/>
      <c r="F31" s="174"/>
      <c r="G31" s="163"/>
      <c r="H31" s="122"/>
      <c r="I31" s="122"/>
      <c r="J31" s="122"/>
      <c r="K31" s="122"/>
    </row>
    <row r="32" spans="2:11" ht="14.5" customHeight="1" x14ac:dyDescent="0.2">
      <c r="B32" s="422"/>
      <c r="C32" s="117" t="s">
        <v>361</v>
      </c>
      <c r="D32" s="117" t="s">
        <v>295</v>
      </c>
      <c r="E32" s="174"/>
      <c r="F32" s="174"/>
      <c r="G32" s="163"/>
      <c r="H32" s="122"/>
      <c r="I32" s="122"/>
      <c r="J32" s="122">
        <f t="shared" ref="J32" si="20">I32*70%</f>
        <v>0</v>
      </c>
      <c r="K32" s="122">
        <f t="shared" ref="K32" si="21">I32*30%</f>
        <v>0</v>
      </c>
    </row>
    <row r="33" spans="2:11" s="37" customFormat="1" ht="14.5" customHeight="1" x14ac:dyDescent="0.2">
      <c r="B33" s="422"/>
      <c r="C33" s="120"/>
      <c r="D33" s="120" t="s">
        <v>72</v>
      </c>
      <c r="E33" s="171"/>
      <c r="F33" s="171"/>
      <c r="G33" s="166"/>
      <c r="H33" s="151"/>
      <c r="I33" s="152"/>
      <c r="J33" s="152">
        <f>I33</f>
        <v>0</v>
      </c>
      <c r="K33" s="152">
        <v>0</v>
      </c>
    </row>
    <row r="34" spans="2:11" ht="14.5" customHeight="1" x14ac:dyDescent="0.2">
      <c r="B34" s="422"/>
      <c r="C34" s="121"/>
      <c r="D34" s="121" t="s">
        <v>34</v>
      </c>
      <c r="E34" s="173"/>
      <c r="F34" s="173"/>
      <c r="G34" s="164"/>
      <c r="H34" s="156"/>
      <c r="I34" s="157">
        <f>SUM(I29:I33)</f>
        <v>0</v>
      </c>
      <c r="J34" s="157">
        <f t="shared" ref="J34:K34" si="22">SUM(J29:J33)</f>
        <v>0</v>
      </c>
      <c r="K34" s="157">
        <f t="shared" si="22"/>
        <v>0</v>
      </c>
    </row>
    <row r="35" spans="2:11" ht="14.5" customHeight="1" x14ac:dyDescent="0.2">
      <c r="B35" s="422" t="s">
        <v>256</v>
      </c>
      <c r="C35" s="118" t="s">
        <v>362</v>
      </c>
      <c r="D35" s="118" t="s">
        <v>106</v>
      </c>
      <c r="E35" s="174"/>
      <c r="F35" s="174"/>
      <c r="G35" s="163"/>
      <c r="H35" s="122"/>
      <c r="I35" s="122"/>
      <c r="J35" s="122">
        <f t="shared" ref="J35" si="23">I35*55%</f>
        <v>0</v>
      </c>
      <c r="K35" s="122">
        <f t="shared" ref="K35" si="24">I35*45%</f>
        <v>0</v>
      </c>
    </row>
    <row r="36" spans="2:11" ht="14.5" customHeight="1" x14ac:dyDescent="0.2">
      <c r="B36" s="422"/>
      <c r="C36" s="117" t="s">
        <v>363</v>
      </c>
      <c r="D36" s="117" t="s">
        <v>298</v>
      </c>
      <c r="E36" s="174"/>
      <c r="F36" s="174"/>
      <c r="G36" s="163"/>
      <c r="H36" s="122"/>
      <c r="I36" s="122"/>
      <c r="J36" s="122">
        <f t="shared" ref="J36:J37" si="25">I36*70%</f>
        <v>0</v>
      </c>
      <c r="K36" s="122">
        <f t="shared" ref="K36:K37" si="26">I36*30%</f>
        <v>0</v>
      </c>
    </row>
    <row r="37" spans="2:11" ht="14.5" customHeight="1" x14ac:dyDescent="0.2">
      <c r="B37" s="422"/>
      <c r="C37" s="117" t="s">
        <v>364</v>
      </c>
      <c r="D37" s="117" t="s">
        <v>274</v>
      </c>
      <c r="E37" s="174"/>
      <c r="F37" s="174"/>
      <c r="G37" s="163"/>
      <c r="H37" s="122"/>
      <c r="I37" s="122"/>
      <c r="J37" s="122">
        <f t="shared" si="25"/>
        <v>0</v>
      </c>
      <c r="K37" s="122">
        <f t="shared" si="26"/>
        <v>0</v>
      </c>
    </row>
    <row r="38" spans="2:11" s="37" customFormat="1" ht="14.5" customHeight="1" x14ac:dyDescent="0.2">
      <c r="B38" s="422"/>
      <c r="C38" s="120"/>
      <c r="D38" s="120" t="s">
        <v>259</v>
      </c>
      <c r="E38" s="175"/>
      <c r="F38" s="175"/>
      <c r="G38" s="161"/>
      <c r="H38" s="123"/>
      <c r="I38" s="123"/>
      <c r="J38" s="123">
        <f>I38</f>
        <v>0</v>
      </c>
      <c r="K38" s="123">
        <v>0</v>
      </c>
    </row>
    <row r="39" spans="2:11" ht="14.5" customHeight="1" x14ac:dyDescent="0.2">
      <c r="B39" s="422"/>
      <c r="C39" s="121"/>
      <c r="D39" s="121" t="s">
        <v>257</v>
      </c>
      <c r="E39" s="176"/>
      <c r="F39" s="176"/>
      <c r="G39" s="162"/>
      <c r="H39" s="124"/>
      <c r="I39" s="124">
        <f>SUM(I35:I38)</f>
        <v>0</v>
      </c>
      <c r="J39" s="124">
        <f t="shared" ref="J39:K39" si="27">SUM(J35:J38)</f>
        <v>0</v>
      </c>
      <c r="K39" s="124">
        <f t="shared" si="27"/>
        <v>0</v>
      </c>
    </row>
    <row r="40" spans="2:11" s="21" customFormat="1" ht="14.5" customHeight="1" x14ac:dyDescent="0.2">
      <c r="B40" s="144"/>
      <c r="C40" s="126"/>
      <c r="D40" s="126" t="s">
        <v>110</v>
      </c>
      <c r="E40" s="146">
        <f>AVERAGE(E39,E34,E28)</f>
        <v>2.5805508027625117</v>
      </c>
      <c r="F40" s="146">
        <f>AVERAGE(F39,F34,F28)</f>
        <v>3.244444444444444</v>
      </c>
      <c r="G40" s="164">
        <f>E40/F40*100%</f>
        <v>0.79537524742680166</v>
      </c>
      <c r="H40" s="154"/>
      <c r="I40" s="148">
        <f t="shared" ref="I40:K40" si="28">SUM(I39,I34,I28)</f>
        <v>1626000</v>
      </c>
      <c r="J40" s="148">
        <f t="shared" si="28"/>
        <v>1038750</v>
      </c>
      <c r="K40" s="148">
        <f t="shared" si="28"/>
        <v>587250</v>
      </c>
    </row>
    <row r="46" spans="2:11" ht="14.5" customHeight="1" x14ac:dyDescent="0.2">
      <c r="B46" s="4" t="s">
        <v>172</v>
      </c>
      <c r="C46" s="5"/>
      <c r="D46" s="5"/>
      <c r="E46" s="98"/>
      <c r="F46" s="98"/>
      <c r="G46" s="159"/>
    </row>
    <row r="47" spans="2:11" ht="14.5" customHeight="1" x14ac:dyDescent="0.2">
      <c r="B47" s="8"/>
      <c r="C47" s="8"/>
      <c r="D47" s="8"/>
      <c r="E47" s="99"/>
      <c r="F47" s="99"/>
      <c r="G47" s="159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424" t="s">
        <v>137</v>
      </c>
      <c r="F48" s="424"/>
      <c r="G48" s="417" t="s">
        <v>56</v>
      </c>
      <c r="H48" s="394" t="s">
        <v>3</v>
      </c>
      <c r="I48" s="398" t="s">
        <v>422</v>
      </c>
      <c r="J48" s="398" t="s">
        <v>8</v>
      </c>
      <c r="K48" s="398" t="s">
        <v>75</v>
      </c>
    </row>
    <row r="49" spans="2:11" ht="14.5" customHeight="1" x14ac:dyDescent="0.2">
      <c r="B49" s="388"/>
      <c r="C49" s="388"/>
      <c r="D49" s="388"/>
      <c r="E49" s="91" t="s">
        <v>77</v>
      </c>
      <c r="F49" s="90" t="s">
        <v>58</v>
      </c>
      <c r="G49" s="417"/>
      <c r="H49" s="394"/>
      <c r="I49" s="398"/>
      <c r="J49" s="398"/>
      <c r="K49" s="398"/>
    </row>
    <row r="50" spans="2:11" ht="14.5" customHeight="1" x14ac:dyDescent="0.2">
      <c r="B50" s="422" t="s">
        <v>25</v>
      </c>
      <c r="C50" s="193"/>
      <c r="D50" s="193" t="s">
        <v>148</v>
      </c>
      <c r="E50" s="174"/>
      <c r="F50" s="174"/>
      <c r="G50" s="163"/>
      <c r="H50" s="122"/>
      <c r="I50" s="122"/>
      <c r="J50" s="122"/>
      <c r="K50" s="122"/>
    </row>
    <row r="51" spans="2:11" s="21" customFormat="1" ht="14.5" customHeight="1" x14ac:dyDescent="0.2">
      <c r="B51" s="422"/>
      <c r="C51" s="38" t="s">
        <v>365</v>
      </c>
      <c r="D51" s="38" t="s">
        <v>151</v>
      </c>
      <c r="E51" s="100">
        <v>2.2883435582822087</v>
      </c>
      <c r="F51" s="100">
        <v>5</v>
      </c>
      <c r="G51" s="160">
        <f t="shared" ref="G51:G77" si="29">E51/F51*100%</f>
        <v>0.45766871165644174</v>
      </c>
      <c r="H51" s="12" t="s">
        <v>18</v>
      </c>
      <c r="I51" s="15">
        <v>0</v>
      </c>
      <c r="J51" s="15">
        <f>I51*70%</f>
        <v>0</v>
      </c>
      <c r="K51" s="15">
        <f>I51*30%</f>
        <v>0</v>
      </c>
    </row>
    <row r="52" spans="2:11" ht="14.5" customHeight="1" x14ac:dyDescent="0.2">
      <c r="B52" s="422"/>
      <c r="C52" s="52" t="s">
        <v>366</v>
      </c>
      <c r="D52" s="52" t="s">
        <v>241</v>
      </c>
      <c r="E52" s="100">
        <v>3.0240963855421685</v>
      </c>
      <c r="F52" s="100">
        <v>5</v>
      </c>
      <c r="G52" s="160">
        <f t="shared" si="29"/>
        <v>0.60481927710843375</v>
      </c>
      <c r="H52" s="12" t="s">
        <v>18</v>
      </c>
      <c r="I52" s="15">
        <v>0</v>
      </c>
      <c r="J52" s="15">
        <f>I52*70%</f>
        <v>0</v>
      </c>
      <c r="K52" s="15">
        <f>I52*30%</f>
        <v>0</v>
      </c>
    </row>
    <row r="53" spans="2:11" ht="14.5" customHeight="1" x14ac:dyDescent="0.2">
      <c r="B53" s="422"/>
      <c r="C53" s="52" t="s">
        <v>368</v>
      </c>
      <c r="D53" s="52" t="s">
        <v>107</v>
      </c>
      <c r="E53" s="100">
        <v>2.7826086956521738</v>
      </c>
      <c r="F53" s="100">
        <v>5</v>
      </c>
      <c r="G53" s="160">
        <f t="shared" si="29"/>
        <v>0.55652173913043479</v>
      </c>
      <c r="H53" s="12" t="s">
        <v>18</v>
      </c>
      <c r="I53" s="15">
        <v>0</v>
      </c>
      <c r="J53" s="15">
        <f>I53*70%</f>
        <v>0</v>
      </c>
      <c r="K53" s="15">
        <f>I53*30%</f>
        <v>0</v>
      </c>
    </row>
    <row r="54" spans="2:11" ht="14.5" customHeight="1" x14ac:dyDescent="0.2">
      <c r="B54" s="422"/>
      <c r="C54" s="52" t="s">
        <v>369</v>
      </c>
      <c r="D54" s="52" t="s">
        <v>262</v>
      </c>
      <c r="E54" s="100">
        <v>2.2822966507177034</v>
      </c>
      <c r="F54" s="100">
        <v>5</v>
      </c>
      <c r="G54" s="160">
        <f t="shared" si="29"/>
        <v>0.45645933014354068</v>
      </c>
      <c r="H54" s="12" t="s">
        <v>18</v>
      </c>
      <c r="I54" s="15">
        <v>0</v>
      </c>
      <c r="J54" s="15">
        <f>I54*70%</f>
        <v>0</v>
      </c>
      <c r="K54" s="15">
        <f>I54*30%</f>
        <v>0</v>
      </c>
    </row>
    <row r="55" spans="2:11" s="37" customFormat="1" ht="14.5" customHeight="1" x14ac:dyDescent="0.2">
      <c r="B55" s="422"/>
      <c r="C55" s="78"/>
      <c r="D55" s="78" t="s">
        <v>177</v>
      </c>
      <c r="E55" s="68">
        <f t="shared" ref="E55" si="30">AVERAGE(E50:E54)</f>
        <v>2.5943363225485641</v>
      </c>
      <c r="F55" s="68">
        <f>AVERAGE(F50:F54)</f>
        <v>5</v>
      </c>
      <c r="G55" s="168">
        <f t="shared" si="29"/>
        <v>0.51886726450971277</v>
      </c>
      <c r="H55" s="64" t="s">
        <v>20</v>
      </c>
      <c r="I55" s="63">
        <v>0</v>
      </c>
      <c r="J55" s="63">
        <f>I55</f>
        <v>0</v>
      </c>
      <c r="K55" s="63">
        <v>0</v>
      </c>
    </row>
    <row r="56" spans="2:11" ht="14.5" customHeight="1" x14ac:dyDescent="0.2">
      <c r="B56" s="422"/>
      <c r="C56" s="52" t="s">
        <v>370</v>
      </c>
      <c r="D56" s="52" t="s">
        <v>244</v>
      </c>
      <c r="E56" s="100">
        <v>2.4545454545454546</v>
      </c>
      <c r="F56" s="100">
        <v>5</v>
      </c>
      <c r="G56" s="160">
        <f t="shared" si="29"/>
        <v>0.49090909090909091</v>
      </c>
      <c r="H56" s="12" t="s">
        <v>18</v>
      </c>
      <c r="I56" s="15">
        <v>0</v>
      </c>
      <c r="J56" s="15">
        <f t="shared" ref="J56" si="31">I56*70%</f>
        <v>0</v>
      </c>
      <c r="K56" s="15">
        <f t="shared" ref="K56" si="32">I56*30%</f>
        <v>0</v>
      </c>
    </row>
    <row r="57" spans="2:11" ht="14.5" customHeight="1" x14ac:dyDescent="0.2">
      <c r="B57" s="422"/>
      <c r="C57" s="52" t="s">
        <v>367</v>
      </c>
      <c r="D57" s="52" t="s">
        <v>242</v>
      </c>
      <c r="E57" s="100">
        <v>2.9541984732824429</v>
      </c>
      <c r="F57" s="100">
        <v>5</v>
      </c>
      <c r="G57" s="160">
        <f t="shared" si="29"/>
        <v>0.59083969465648856</v>
      </c>
      <c r="H57" s="12" t="s">
        <v>18</v>
      </c>
      <c r="I57" s="15">
        <v>0</v>
      </c>
      <c r="J57" s="15">
        <f>I57*70%</f>
        <v>0</v>
      </c>
      <c r="K57" s="15">
        <f>I57*30%</f>
        <v>0</v>
      </c>
    </row>
    <row r="58" spans="2:11" ht="14.5" customHeight="1" x14ac:dyDescent="0.2">
      <c r="B58" s="422"/>
      <c r="C58" s="193"/>
      <c r="D58" s="193" t="s">
        <v>148</v>
      </c>
      <c r="E58" s="174"/>
      <c r="F58" s="174"/>
      <c r="G58" s="163"/>
      <c r="H58" s="122"/>
      <c r="I58" s="122"/>
      <c r="J58" s="122"/>
      <c r="K58" s="122"/>
    </row>
    <row r="59" spans="2:11" ht="14.5" customHeight="1" x14ac:dyDescent="0.2">
      <c r="B59" s="422"/>
      <c r="C59" s="52" t="s">
        <v>371</v>
      </c>
      <c r="D59" s="52" t="s">
        <v>303</v>
      </c>
      <c r="E59" s="100">
        <v>3.2229729729729728</v>
      </c>
      <c r="F59" s="100">
        <v>5</v>
      </c>
      <c r="G59" s="160">
        <f t="shared" si="29"/>
        <v>0.64459459459459456</v>
      </c>
      <c r="H59" s="12" t="s">
        <v>471</v>
      </c>
      <c r="I59" s="15">
        <v>0</v>
      </c>
      <c r="J59" s="15">
        <f>I59*55%</f>
        <v>0</v>
      </c>
      <c r="K59" s="15">
        <f>I59*45%</f>
        <v>0</v>
      </c>
    </row>
    <row r="60" spans="2:11" ht="14.5" customHeight="1" x14ac:dyDescent="0.2">
      <c r="B60" s="422"/>
      <c r="C60" s="52" t="s">
        <v>372</v>
      </c>
      <c r="D60" s="52" t="s">
        <v>108</v>
      </c>
      <c r="E60" s="100">
        <v>4.4146341463414638</v>
      </c>
      <c r="F60" s="100">
        <v>5</v>
      </c>
      <c r="G60" s="160">
        <f t="shared" si="29"/>
        <v>0.8829268292682928</v>
      </c>
      <c r="H60" s="12" t="s">
        <v>471</v>
      </c>
      <c r="I60" s="15">
        <v>20000</v>
      </c>
      <c r="J60" s="15">
        <f>I60*55%</f>
        <v>11000</v>
      </c>
      <c r="K60" s="15">
        <f>I60*45%</f>
        <v>9000</v>
      </c>
    </row>
    <row r="61" spans="2:11" ht="14.5" customHeight="1" x14ac:dyDescent="0.2">
      <c r="B61" s="422"/>
      <c r="C61" s="117" t="s">
        <v>373</v>
      </c>
      <c r="D61" s="117" t="s">
        <v>268</v>
      </c>
      <c r="E61" s="174"/>
      <c r="F61" s="174"/>
      <c r="G61" s="163"/>
      <c r="H61" s="122"/>
      <c r="I61" s="122"/>
      <c r="J61" s="122">
        <f>I61</f>
        <v>0</v>
      </c>
      <c r="K61" s="122">
        <v>0</v>
      </c>
    </row>
    <row r="62" spans="2:11" s="37" customFormat="1" ht="14.5" customHeight="1" x14ac:dyDescent="0.2">
      <c r="B62" s="422"/>
      <c r="C62" s="78"/>
      <c r="D62" s="78" t="s">
        <v>177</v>
      </c>
      <c r="E62" s="68">
        <f t="shared" ref="E62:F62" si="33">AVERAGE(E56:E61)</f>
        <v>3.2615877617855835</v>
      </c>
      <c r="F62" s="68">
        <f t="shared" si="33"/>
        <v>5</v>
      </c>
      <c r="G62" s="168">
        <f t="shared" si="29"/>
        <v>0.65231755235711675</v>
      </c>
      <c r="H62" s="64" t="s">
        <v>20</v>
      </c>
      <c r="I62" s="63">
        <v>0</v>
      </c>
      <c r="J62" s="63">
        <f>I62</f>
        <v>0</v>
      </c>
      <c r="K62" s="63">
        <v>0</v>
      </c>
    </row>
    <row r="63" spans="2:11" ht="14.5" customHeight="1" x14ac:dyDescent="0.2">
      <c r="B63" s="422"/>
      <c r="C63" s="52" t="s">
        <v>374</v>
      </c>
      <c r="D63" s="52" t="s">
        <v>249</v>
      </c>
      <c r="E63" s="100">
        <v>2.375</v>
      </c>
      <c r="F63" s="100">
        <v>5</v>
      </c>
      <c r="G63" s="160">
        <f t="shared" si="29"/>
        <v>0.47499999999999998</v>
      </c>
      <c r="H63" s="12" t="s">
        <v>471</v>
      </c>
      <c r="I63" s="15">
        <v>0</v>
      </c>
      <c r="J63" s="15">
        <f t="shared" ref="J63" si="34">I63*70%</f>
        <v>0</v>
      </c>
      <c r="K63" s="15">
        <f t="shared" ref="K63" si="35">I63*30%</f>
        <v>0</v>
      </c>
    </row>
    <row r="64" spans="2:11" s="21" customFormat="1" ht="14.5" customHeight="1" x14ac:dyDescent="0.2">
      <c r="B64" s="422"/>
      <c r="C64" s="126"/>
      <c r="D64" s="126" t="s">
        <v>30</v>
      </c>
      <c r="E64" s="172">
        <f>AVERAGE(E63,E62,E55)</f>
        <v>2.7436413614447162</v>
      </c>
      <c r="F64" s="172">
        <f>AVERAGE(F63,F62,F55)</f>
        <v>5</v>
      </c>
      <c r="G64" s="164">
        <f t="shared" si="29"/>
        <v>0.54872827228894328</v>
      </c>
      <c r="H64" s="154"/>
      <c r="I64" s="148">
        <f>SUM(I50:I63)</f>
        <v>20000</v>
      </c>
      <c r="J64" s="148">
        <f t="shared" ref="J64:K64" si="36">SUM(J50:J63)</f>
        <v>11000</v>
      </c>
      <c r="K64" s="148">
        <f t="shared" si="36"/>
        <v>9000</v>
      </c>
    </row>
    <row r="65" spans="2:11" ht="14.5" customHeight="1" x14ac:dyDescent="0.2">
      <c r="B65" s="422" t="s">
        <v>59</v>
      </c>
      <c r="C65" s="117" t="s">
        <v>375</v>
      </c>
      <c r="D65" s="117" t="s">
        <v>211</v>
      </c>
      <c r="E65" s="174"/>
      <c r="F65" s="174"/>
      <c r="G65" s="163"/>
      <c r="H65" s="122"/>
      <c r="I65" s="122"/>
      <c r="J65" s="178">
        <f>I65</f>
        <v>0</v>
      </c>
      <c r="K65" s="178">
        <v>0</v>
      </c>
    </row>
    <row r="66" spans="2:11" ht="14.5" customHeight="1" x14ac:dyDescent="0.2">
      <c r="B66" s="422"/>
      <c r="C66" s="117" t="s">
        <v>376</v>
      </c>
      <c r="D66" s="117" t="s">
        <v>145</v>
      </c>
      <c r="E66" s="174"/>
      <c r="F66" s="174"/>
      <c r="G66" s="163"/>
      <c r="H66" s="122"/>
      <c r="I66" s="122"/>
      <c r="J66" s="178">
        <f t="shared" ref="J66:J67" si="37">I66*70%</f>
        <v>0</v>
      </c>
      <c r="K66" s="178">
        <f t="shared" ref="K66:K67" si="38">I66*30%</f>
        <v>0</v>
      </c>
    </row>
    <row r="67" spans="2:11" ht="14.5" customHeight="1" x14ac:dyDescent="0.2">
      <c r="B67" s="422"/>
      <c r="C67" s="117" t="s">
        <v>377</v>
      </c>
      <c r="D67" s="117" t="s">
        <v>287</v>
      </c>
      <c r="E67" s="174"/>
      <c r="F67" s="174"/>
      <c r="G67" s="163"/>
      <c r="H67" s="122"/>
      <c r="I67" s="122"/>
      <c r="J67" s="178">
        <f t="shared" si="37"/>
        <v>0</v>
      </c>
      <c r="K67" s="178">
        <f t="shared" si="38"/>
        <v>0</v>
      </c>
    </row>
    <row r="68" spans="2:11" ht="14.5" customHeight="1" x14ac:dyDescent="0.2">
      <c r="B68" s="422"/>
      <c r="C68" s="52" t="s">
        <v>379</v>
      </c>
      <c r="D68" s="52" t="s">
        <v>380</v>
      </c>
      <c r="E68" s="100">
        <v>1.2727272727272727</v>
      </c>
      <c r="F68" s="100">
        <v>2.5</v>
      </c>
      <c r="G68" s="160">
        <f t="shared" si="29"/>
        <v>0.50909090909090904</v>
      </c>
      <c r="H68" s="83" t="s">
        <v>469</v>
      </c>
      <c r="I68" s="15">
        <v>0</v>
      </c>
      <c r="J68" s="15">
        <f>I68</f>
        <v>0</v>
      </c>
      <c r="K68" s="15">
        <v>0</v>
      </c>
    </row>
    <row r="69" spans="2:11" ht="14.5" customHeight="1" x14ac:dyDescent="0.2">
      <c r="B69" s="422"/>
      <c r="C69" s="117" t="s">
        <v>378</v>
      </c>
      <c r="D69" s="117" t="s">
        <v>210</v>
      </c>
      <c r="E69" s="174"/>
      <c r="F69" s="174"/>
      <c r="G69" s="163"/>
      <c r="H69" s="122"/>
      <c r="I69" s="122"/>
      <c r="J69" s="178">
        <f>I69</f>
        <v>0</v>
      </c>
      <c r="K69" s="178">
        <v>0</v>
      </c>
    </row>
    <row r="70" spans="2:11" s="37" customFormat="1" ht="14.5" customHeight="1" x14ac:dyDescent="0.2">
      <c r="B70" s="422"/>
      <c r="C70" s="120"/>
      <c r="D70" s="120" t="s">
        <v>74</v>
      </c>
      <c r="E70" s="171">
        <f t="shared" ref="E70:F70" si="39">AVERAGE(E65:E69)</f>
        <v>1.2727272727272727</v>
      </c>
      <c r="F70" s="171">
        <f t="shared" si="39"/>
        <v>2.5</v>
      </c>
      <c r="G70" s="166">
        <f t="shared" si="29"/>
        <v>0.50909090909090904</v>
      </c>
      <c r="H70" s="151"/>
      <c r="I70" s="152"/>
      <c r="J70" s="152">
        <f>I70</f>
        <v>0</v>
      </c>
      <c r="K70" s="152">
        <v>0</v>
      </c>
    </row>
    <row r="71" spans="2:11" ht="14.5" customHeight="1" x14ac:dyDescent="0.2">
      <c r="B71" s="422"/>
      <c r="C71" s="121"/>
      <c r="D71" s="121" t="s">
        <v>36</v>
      </c>
      <c r="E71" s="173">
        <f t="shared" ref="E71:F71" si="40">AVERAGE(E70)</f>
        <v>1.2727272727272727</v>
      </c>
      <c r="F71" s="173">
        <f t="shared" si="40"/>
        <v>2.5</v>
      </c>
      <c r="G71" s="164">
        <f t="shared" si="29"/>
        <v>0.50909090909090904</v>
      </c>
      <c r="H71" s="156"/>
      <c r="I71" s="157">
        <f>SUM(I65:I70)</f>
        <v>0</v>
      </c>
      <c r="J71" s="157">
        <f t="shared" ref="J71:K71" si="41">SUM(J65:J70)</f>
        <v>0</v>
      </c>
      <c r="K71" s="157">
        <f t="shared" si="41"/>
        <v>0</v>
      </c>
    </row>
    <row r="72" spans="2:11" ht="14.5" customHeight="1" x14ac:dyDescent="0.2">
      <c r="B72" s="422" t="s">
        <v>131</v>
      </c>
      <c r="C72" s="118" t="s">
        <v>381</v>
      </c>
      <c r="D72" s="118" t="s">
        <v>132</v>
      </c>
      <c r="E72" s="174"/>
      <c r="F72" s="174"/>
      <c r="G72" s="163"/>
      <c r="H72" s="122"/>
      <c r="I72" s="122"/>
      <c r="J72" s="122">
        <f t="shared" ref="J72:J74" si="42">I72*70%</f>
        <v>0</v>
      </c>
      <c r="K72" s="122">
        <f t="shared" ref="K72:K74" si="43">I72*30%</f>
        <v>0</v>
      </c>
    </row>
    <row r="73" spans="2:11" ht="14.5" customHeight="1" x14ac:dyDescent="0.2">
      <c r="B73" s="422"/>
      <c r="C73" s="117" t="s">
        <v>382</v>
      </c>
      <c r="D73" s="117" t="s">
        <v>667</v>
      </c>
      <c r="E73" s="174"/>
      <c r="F73" s="174"/>
      <c r="G73" s="163"/>
      <c r="H73" s="122"/>
      <c r="I73" s="122"/>
      <c r="J73" s="122">
        <f t="shared" si="42"/>
        <v>0</v>
      </c>
      <c r="K73" s="122">
        <f t="shared" si="43"/>
        <v>0</v>
      </c>
    </row>
    <row r="74" spans="2:11" ht="14.5" customHeight="1" x14ac:dyDescent="0.2">
      <c r="B74" s="422"/>
      <c r="C74" s="117" t="s">
        <v>383</v>
      </c>
      <c r="D74" s="117" t="s">
        <v>613</v>
      </c>
      <c r="E74" s="174"/>
      <c r="F74" s="174"/>
      <c r="G74" s="163"/>
      <c r="H74" s="122"/>
      <c r="I74" s="122"/>
      <c r="J74" s="122">
        <f t="shared" si="42"/>
        <v>0</v>
      </c>
      <c r="K74" s="122">
        <f t="shared" si="43"/>
        <v>0</v>
      </c>
    </row>
    <row r="75" spans="2:11" s="37" customFormat="1" ht="14.5" customHeight="1" x14ac:dyDescent="0.2">
      <c r="B75" s="422"/>
      <c r="C75" s="120"/>
      <c r="D75" s="120" t="s">
        <v>483</v>
      </c>
      <c r="E75" s="175"/>
      <c r="F75" s="175"/>
      <c r="G75" s="161"/>
      <c r="H75" s="123"/>
      <c r="I75" s="123"/>
      <c r="J75" s="123">
        <f>I75</f>
        <v>0</v>
      </c>
      <c r="K75" s="123">
        <v>0</v>
      </c>
    </row>
    <row r="76" spans="2:11" ht="14.5" customHeight="1" x14ac:dyDescent="0.2">
      <c r="B76" s="422"/>
      <c r="C76" s="121"/>
      <c r="D76" s="121" t="s">
        <v>133</v>
      </c>
      <c r="E76" s="176"/>
      <c r="F76" s="176"/>
      <c r="G76" s="162"/>
      <c r="H76" s="124"/>
      <c r="I76" s="124"/>
      <c r="J76" s="124">
        <f t="shared" ref="J76:K76" si="44">SUM(J72:J75)</f>
        <v>0</v>
      </c>
      <c r="K76" s="124">
        <f t="shared" si="44"/>
        <v>0</v>
      </c>
    </row>
    <row r="77" spans="2:11" s="21" customFormat="1" ht="14.5" customHeight="1" x14ac:dyDescent="0.2">
      <c r="B77" s="144"/>
      <c r="C77" s="126"/>
      <c r="D77" s="126" t="s">
        <v>109</v>
      </c>
      <c r="E77" s="146">
        <f>AVERAGE(E76,E71,E64)</f>
        <v>2.0081843170859943</v>
      </c>
      <c r="F77" s="146">
        <f>AVERAGE(F76,F71,F64)</f>
        <v>3.75</v>
      </c>
      <c r="G77" s="164">
        <f t="shared" si="29"/>
        <v>0.53551581788959846</v>
      </c>
      <c r="H77" s="154"/>
      <c r="I77" s="148">
        <f>SUM(I76,I71,I64)</f>
        <v>20000</v>
      </c>
      <c r="J77" s="148">
        <f t="shared" ref="J77:K77" si="45">SUM(J76,J71,J64)</f>
        <v>11000</v>
      </c>
      <c r="K77" s="148">
        <f t="shared" si="45"/>
        <v>9000</v>
      </c>
    </row>
    <row r="83" spans="2:11" ht="14.5" customHeight="1" x14ac:dyDescent="0.2">
      <c r="B83" s="4" t="s">
        <v>224</v>
      </c>
      <c r="C83" s="5"/>
      <c r="D83" s="5"/>
      <c r="E83" s="98"/>
      <c r="F83" s="98"/>
      <c r="G83" s="159"/>
    </row>
    <row r="84" spans="2:11" ht="14.5" customHeight="1" x14ac:dyDescent="0.2">
      <c r="B84" s="8"/>
      <c r="C84" s="8"/>
      <c r="D84" s="8"/>
      <c r="E84" s="99"/>
      <c r="F84" s="99"/>
      <c r="G84" s="159"/>
    </row>
    <row r="85" spans="2:11" ht="14.5" customHeight="1" x14ac:dyDescent="0.2">
      <c r="B85" s="388" t="s">
        <v>0</v>
      </c>
      <c r="C85" s="388" t="s">
        <v>270</v>
      </c>
      <c r="D85" s="388" t="s">
        <v>2</v>
      </c>
      <c r="E85" s="424" t="s">
        <v>137</v>
      </c>
      <c r="F85" s="424"/>
      <c r="G85" s="417" t="s">
        <v>56</v>
      </c>
      <c r="H85" s="394" t="s">
        <v>3</v>
      </c>
      <c r="I85" s="398" t="s">
        <v>422</v>
      </c>
      <c r="J85" s="398" t="s">
        <v>8</v>
      </c>
      <c r="K85" s="398" t="s">
        <v>75</v>
      </c>
    </row>
    <row r="86" spans="2:11" ht="14.5" customHeight="1" x14ac:dyDescent="0.2">
      <c r="B86" s="388"/>
      <c r="C86" s="388"/>
      <c r="D86" s="388"/>
      <c r="E86" s="91" t="s">
        <v>77</v>
      </c>
      <c r="F86" s="90" t="s">
        <v>58</v>
      </c>
      <c r="G86" s="417"/>
      <c r="H86" s="394"/>
      <c r="I86" s="398"/>
      <c r="J86" s="398"/>
      <c r="K86" s="398"/>
    </row>
    <row r="87" spans="2:11" ht="14.5" customHeight="1" x14ac:dyDescent="0.2">
      <c r="B87" s="422" t="s">
        <v>37</v>
      </c>
      <c r="C87" s="118" t="s">
        <v>385</v>
      </c>
      <c r="D87" s="118" t="s">
        <v>98</v>
      </c>
      <c r="E87" s="174"/>
      <c r="F87" s="174"/>
      <c r="G87" s="163"/>
      <c r="H87" s="122"/>
      <c r="I87" s="122"/>
      <c r="J87" s="122"/>
      <c r="K87" s="122"/>
    </row>
    <row r="88" spans="2:11" ht="14.5" customHeight="1" x14ac:dyDescent="0.2">
      <c r="B88" s="422"/>
      <c r="C88" s="117" t="s">
        <v>384</v>
      </c>
      <c r="D88" s="117" t="s">
        <v>310</v>
      </c>
      <c r="E88" s="174"/>
      <c r="F88" s="174"/>
      <c r="G88" s="163"/>
      <c r="H88" s="122"/>
      <c r="I88" s="122"/>
      <c r="J88" s="122"/>
      <c r="K88" s="122"/>
    </row>
    <row r="89" spans="2:11" s="37" customFormat="1" ht="14.5" customHeight="1" x14ac:dyDescent="0.2">
      <c r="B89" s="422"/>
      <c r="C89" s="120"/>
      <c r="D89" s="120" t="s">
        <v>230</v>
      </c>
      <c r="E89" s="175"/>
      <c r="F89" s="175"/>
      <c r="G89" s="161"/>
      <c r="H89" s="123"/>
      <c r="I89" s="123"/>
      <c r="J89" s="123"/>
      <c r="K89" s="123"/>
    </row>
    <row r="90" spans="2:11" ht="14.5" customHeight="1" x14ac:dyDescent="0.2">
      <c r="B90" s="422"/>
      <c r="C90" s="121"/>
      <c r="D90" s="121" t="s">
        <v>38</v>
      </c>
      <c r="E90" s="176"/>
      <c r="F90" s="176"/>
      <c r="G90" s="162"/>
      <c r="H90" s="124"/>
      <c r="I90" s="124"/>
      <c r="J90" s="124"/>
      <c r="K90" s="124"/>
    </row>
    <row r="91" spans="2:11" s="21" customFormat="1" ht="14.5" customHeight="1" x14ac:dyDescent="0.2">
      <c r="B91" s="422" t="s">
        <v>614</v>
      </c>
      <c r="C91" s="116" t="s">
        <v>386</v>
      </c>
      <c r="D91" s="116" t="s">
        <v>265</v>
      </c>
      <c r="E91" s="174"/>
      <c r="F91" s="174"/>
      <c r="G91" s="163"/>
      <c r="H91" s="122"/>
      <c r="I91" s="122"/>
      <c r="J91" s="122"/>
      <c r="K91" s="122"/>
    </row>
    <row r="92" spans="2:11" ht="14.5" customHeight="1" x14ac:dyDescent="0.2">
      <c r="B92" s="422"/>
      <c r="C92" s="117" t="s">
        <v>387</v>
      </c>
      <c r="D92" s="117" t="s">
        <v>97</v>
      </c>
      <c r="E92" s="174"/>
      <c r="F92" s="174"/>
      <c r="G92" s="163"/>
      <c r="H92" s="122"/>
      <c r="I92" s="122"/>
      <c r="J92" s="122"/>
      <c r="K92" s="122"/>
    </row>
    <row r="93" spans="2:11" s="37" customFormat="1" ht="14.5" customHeight="1" x14ac:dyDescent="0.2">
      <c r="B93" s="422"/>
      <c r="C93" s="119"/>
      <c r="D93" s="119" t="s">
        <v>497</v>
      </c>
      <c r="E93" s="222"/>
      <c r="F93" s="222"/>
      <c r="G93" s="223"/>
      <c r="H93" s="221"/>
      <c r="I93" s="221"/>
      <c r="J93" s="221"/>
      <c r="K93" s="221"/>
    </row>
    <row r="94" spans="2:11" ht="14.5" customHeight="1" x14ac:dyDescent="0.2">
      <c r="B94" s="422"/>
      <c r="C94" s="121"/>
      <c r="D94" s="121" t="s">
        <v>615</v>
      </c>
      <c r="E94" s="226"/>
      <c r="F94" s="226"/>
      <c r="G94" s="181"/>
      <c r="H94" s="225"/>
      <c r="I94" s="225"/>
      <c r="J94" s="225"/>
      <c r="K94" s="225"/>
    </row>
    <row r="95" spans="2:11" s="21" customFormat="1" ht="14.5" customHeight="1" x14ac:dyDescent="0.2">
      <c r="B95" s="144"/>
      <c r="C95" s="126"/>
      <c r="D95" s="126" t="s">
        <v>219</v>
      </c>
      <c r="E95" s="146"/>
      <c r="F95" s="146"/>
      <c r="G95" s="164"/>
      <c r="H95" s="154"/>
      <c r="I95" s="146"/>
      <c r="J95" s="146"/>
      <c r="K95" s="146"/>
    </row>
    <row r="101" spans="2:12" ht="14.5" customHeight="1" x14ac:dyDescent="0.2">
      <c r="B101" s="4" t="s">
        <v>173</v>
      </c>
      <c r="C101" s="5"/>
      <c r="D101" s="5"/>
      <c r="E101" s="98"/>
      <c r="F101" s="98"/>
    </row>
    <row r="102" spans="2:12" ht="14.5" customHeight="1" x14ac:dyDescent="0.2">
      <c r="B102" s="8"/>
      <c r="C102" s="8"/>
      <c r="D102" s="8"/>
      <c r="E102" s="99"/>
      <c r="F102" s="99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424" t="s">
        <v>137</v>
      </c>
      <c r="F103" s="424"/>
      <c r="G103" s="417" t="s">
        <v>56</v>
      </c>
      <c r="H103" s="394" t="s">
        <v>3</v>
      </c>
      <c r="I103" s="398" t="s">
        <v>422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91" t="s">
        <v>77</v>
      </c>
      <c r="F104" s="90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422" t="s">
        <v>39</v>
      </c>
      <c r="C105" s="117" t="s">
        <v>388</v>
      </c>
      <c r="D105" s="117" t="s">
        <v>389</v>
      </c>
      <c r="E105" s="174"/>
      <c r="F105" s="174"/>
      <c r="G105" s="163"/>
      <c r="H105" s="122"/>
      <c r="I105" s="122"/>
      <c r="J105" s="122"/>
      <c r="K105" s="122"/>
      <c r="L105" s="2"/>
    </row>
    <row r="106" spans="2:12" ht="14.5" customHeight="1" x14ac:dyDescent="0.2">
      <c r="B106" s="422"/>
      <c r="C106" s="117" t="s">
        <v>390</v>
      </c>
      <c r="D106" s="117" t="s">
        <v>111</v>
      </c>
      <c r="E106" s="174"/>
      <c r="F106" s="174"/>
      <c r="G106" s="163"/>
      <c r="H106" s="122"/>
      <c r="I106" s="122"/>
      <c r="J106" s="122"/>
      <c r="K106" s="122"/>
      <c r="L106" s="2"/>
    </row>
    <row r="107" spans="2:12" ht="14.5" customHeight="1" x14ac:dyDescent="0.2">
      <c r="B107" s="422"/>
      <c r="C107" s="117" t="s">
        <v>391</v>
      </c>
      <c r="D107" s="117" t="s">
        <v>271</v>
      </c>
      <c r="E107" s="174"/>
      <c r="F107" s="174"/>
      <c r="G107" s="163"/>
      <c r="H107" s="122"/>
      <c r="I107" s="122"/>
      <c r="J107" s="122"/>
      <c r="K107" s="122"/>
      <c r="L107" s="2"/>
    </row>
    <row r="108" spans="2:12" ht="14.5" customHeight="1" x14ac:dyDescent="0.2">
      <c r="B108" s="422"/>
      <c r="C108" s="120"/>
      <c r="D108" s="120" t="s">
        <v>891</v>
      </c>
      <c r="E108" s="171"/>
      <c r="F108" s="171"/>
      <c r="G108" s="166"/>
      <c r="H108" s="151"/>
      <c r="I108" s="152"/>
      <c r="J108" s="152"/>
      <c r="K108" s="152"/>
      <c r="L108" s="2"/>
    </row>
    <row r="109" spans="2:12" ht="14.5" customHeight="1" x14ac:dyDescent="0.2">
      <c r="B109" s="422"/>
      <c r="C109" s="127"/>
      <c r="D109" s="127" t="s">
        <v>40</v>
      </c>
      <c r="E109" s="173"/>
      <c r="F109" s="173"/>
      <c r="G109" s="167"/>
      <c r="H109" s="156"/>
      <c r="I109" s="157"/>
      <c r="J109" s="157"/>
      <c r="K109" s="157"/>
      <c r="L109" s="2"/>
    </row>
    <row r="110" spans="2:12" ht="14.5" customHeight="1" x14ac:dyDescent="0.2">
      <c r="B110" s="422" t="s">
        <v>41</v>
      </c>
      <c r="C110" s="117" t="s">
        <v>392</v>
      </c>
      <c r="D110" s="117" t="s">
        <v>112</v>
      </c>
      <c r="E110" s="174"/>
      <c r="F110" s="174"/>
      <c r="G110" s="163"/>
      <c r="H110" s="122"/>
      <c r="I110" s="122"/>
      <c r="J110" s="122"/>
      <c r="K110" s="122"/>
      <c r="L110" s="2"/>
    </row>
    <row r="111" spans="2:12" ht="14.5" customHeight="1" x14ac:dyDescent="0.2">
      <c r="B111" s="422"/>
      <c r="C111" s="117" t="s">
        <v>393</v>
      </c>
      <c r="D111" s="117" t="s">
        <v>394</v>
      </c>
      <c r="E111" s="174"/>
      <c r="F111" s="174"/>
      <c r="G111" s="163"/>
      <c r="H111" s="122"/>
      <c r="I111" s="122"/>
      <c r="J111" s="122"/>
      <c r="K111" s="122"/>
      <c r="L111" s="2"/>
    </row>
    <row r="112" spans="2:12" ht="14.5" customHeight="1" x14ac:dyDescent="0.2">
      <c r="B112" s="422"/>
      <c r="C112" s="117" t="s">
        <v>395</v>
      </c>
      <c r="D112" s="117" t="s">
        <v>113</v>
      </c>
      <c r="E112" s="174"/>
      <c r="F112" s="174"/>
      <c r="G112" s="163"/>
      <c r="H112" s="122"/>
      <c r="I112" s="122"/>
      <c r="J112" s="122"/>
      <c r="K112" s="122"/>
      <c r="L112" s="2"/>
    </row>
    <row r="113" spans="2:12" ht="14.5" customHeight="1" x14ac:dyDescent="0.2">
      <c r="B113" s="422"/>
      <c r="C113" s="117" t="s">
        <v>396</v>
      </c>
      <c r="D113" s="117" t="s">
        <v>253</v>
      </c>
      <c r="E113" s="174"/>
      <c r="F113" s="174"/>
      <c r="G113" s="163"/>
      <c r="H113" s="122"/>
      <c r="I113" s="122"/>
      <c r="J113" s="122"/>
      <c r="K113" s="122"/>
      <c r="L113" s="2"/>
    </row>
    <row r="114" spans="2:12" ht="14.5" customHeight="1" x14ac:dyDescent="0.2">
      <c r="B114" s="422"/>
      <c r="C114" s="120"/>
      <c r="D114" s="120" t="s">
        <v>316</v>
      </c>
      <c r="E114" s="171"/>
      <c r="F114" s="171"/>
      <c r="G114" s="166"/>
      <c r="H114" s="151"/>
      <c r="I114" s="152"/>
      <c r="J114" s="152"/>
      <c r="K114" s="152"/>
      <c r="L114" s="2"/>
    </row>
    <row r="115" spans="2:12" ht="14.5" customHeight="1" x14ac:dyDescent="0.2">
      <c r="B115" s="422"/>
      <c r="C115" s="127"/>
      <c r="D115" s="127" t="s">
        <v>42</v>
      </c>
      <c r="E115" s="173"/>
      <c r="F115" s="173"/>
      <c r="G115" s="167"/>
      <c r="H115" s="156"/>
      <c r="I115" s="157"/>
      <c r="J115" s="157"/>
      <c r="K115" s="157"/>
      <c r="L115" s="2"/>
    </row>
    <row r="116" spans="2:12" ht="14.5" customHeight="1" x14ac:dyDescent="0.2">
      <c r="B116" s="422" t="s">
        <v>43</v>
      </c>
      <c r="C116" s="117" t="s">
        <v>397</v>
      </c>
      <c r="D116" s="117" t="s">
        <v>114</v>
      </c>
      <c r="E116" s="174"/>
      <c r="F116" s="174"/>
      <c r="G116" s="163"/>
      <c r="H116" s="122"/>
      <c r="I116" s="122"/>
      <c r="J116" s="122"/>
      <c r="K116" s="122"/>
      <c r="L116" s="2"/>
    </row>
    <row r="117" spans="2:12" ht="14.5" customHeight="1" x14ac:dyDescent="0.2">
      <c r="B117" s="422"/>
      <c r="C117" s="117" t="s">
        <v>398</v>
      </c>
      <c r="D117" s="117" t="s">
        <v>341</v>
      </c>
      <c r="E117" s="174"/>
      <c r="F117" s="174"/>
      <c r="G117" s="163"/>
      <c r="H117" s="122"/>
      <c r="I117" s="122"/>
      <c r="J117" s="122"/>
      <c r="K117" s="122"/>
      <c r="L117" s="2"/>
    </row>
    <row r="118" spans="2:12" ht="14.5" customHeight="1" x14ac:dyDescent="0.2">
      <c r="B118" s="422"/>
      <c r="C118" s="117" t="s">
        <v>399</v>
      </c>
      <c r="D118" s="117" t="s">
        <v>321</v>
      </c>
      <c r="E118" s="174"/>
      <c r="F118" s="174"/>
      <c r="G118" s="163"/>
      <c r="H118" s="122"/>
      <c r="I118" s="122"/>
      <c r="J118" s="122"/>
      <c r="K118" s="122"/>
      <c r="L118" s="2"/>
    </row>
    <row r="119" spans="2:12" ht="14.5" customHeight="1" x14ac:dyDescent="0.2">
      <c r="B119" s="422"/>
      <c r="C119" s="117" t="s">
        <v>400</v>
      </c>
      <c r="D119" s="117" t="s">
        <v>322</v>
      </c>
      <c r="E119" s="174"/>
      <c r="F119" s="174"/>
      <c r="G119" s="163"/>
      <c r="H119" s="122"/>
      <c r="I119" s="122"/>
      <c r="J119" s="122"/>
      <c r="K119" s="122"/>
      <c r="L119" s="2"/>
    </row>
    <row r="120" spans="2:12" ht="14.5" customHeight="1" x14ac:dyDescent="0.2">
      <c r="B120" s="422"/>
      <c r="C120" s="117"/>
      <c r="D120" s="117" t="s">
        <v>474</v>
      </c>
      <c r="E120" s="174"/>
      <c r="F120" s="174"/>
      <c r="G120" s="163"/>
      <c r="H120" s="122"/>
      <c r="I120" s="122"/>
      <c r="J120" s="122"/>
      <c r="K120" s="122"/>
      <c r="L120" s="2"/>
    </row>
    <row r="121" spans="2:12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74"/>
      <c r="H121" s="122"/>
      <c r="I121" s="122"/>
      <c r="J121" s="170"/>
      <c r="K121" s="170"/>
      <c r="L121" s="19"/>
    </row>
    <row r="122" spans="2:12" s="21" customFormat="1" ht="14.5" customHeight="1" x14ac:dyDescent="0.2">
      <c r="B122" s="418"/>
      <c r="C122" s="117"/>
      <c r="D122" s="117" t="s">
        <v>838</v>
      </c>
      <c r="E122" s="122"/>
      <c r="F122" s="174"/>
      <c r="G122" s="174"/>
      <c r="H122" s="122"/>
      <c r="I122" s="122"/>
      <c r="J122" s="170"/>
      <c r="K122" s="170"/>
      <c r="L122" s="19"/>
    </row>
    <row r="123" spans="2:12" s="21" customFormat="1" ht="14.5" customHeight="1" x14ac:dyDescent="0.2">
      <c r="B123" s="418"/>
      <c r="C123" s="117"/>
      <c r="D123" s="117" t="s">
        <v>839</v>
      </c>
      <c r="E123" s="122"/>
      <c r="F123" s="174"/>
      <c r="G123" s="174"/>
      <c r="H123" s="122"/>
      <c r="I123" s="122"/>
      <c r="J123" s="170"/>
      <c r="K123" s="170"/>
      <c r="L123" s="19"/>
    </row>
    <row r="124" spans="2:12" s="21" customFormat="1" ht="14.5" customHeight="1" x14ac:dyDescent="0.2">
      <c r="B124" s="418"/>
      <c r="C124" s="117"/>
      <c r="D124" s="117" t="s">
        <v>893</v>
      </c>
      <c r="E124" s="122"/>
      <c r="F124" s="174"/>
      <c r="G124" s="174"/>
      <c r="H124" s="122"/>
      <c r="I124" s="122"/>
      <c r="J124" s="170"/>
      <c r="K124" s="170"/>
      <c r="L124" s="19"/>
    </row>
    <row r="125" spans="2:12" s="21" customFormat="1" ht="14.5" customHeight="1" x14ac:dyDescent="0.2">
      <c r="B125" s="418"/>
      <c r="C125" s="117"/>
      <c r="D125" s="117" t="s">
        <v>840</v>
      </c>
      <c r="E125" s="122"/>
      <c r="F125" s="174"/>
      <c r="G125" s="174"/>
      <c r="H125" s="122"/>
      <c r="I125" s="122"/>
      <c r="J125" s="170"/>
      <c r="K125" s="170"/>
      <c r="L125" s="19"/>
    </row>
    <row r="126" spans="2:12" s="21" customFormat="1" ht="14.5" customHeight="1" x14ac:dyDescent="0.2">
      <c r="B126" s="418"/>
      <c r="C126" s="117"/>
      <c r="D126" s="117" t="s">
        <v>841</v>
      </c>
      <c r="E126" s="122"/>
      <c r="F126" s="174"/>
      <c r="G126" s="174"/>
      <c r="H126" s="122"/>
      <c r="I126" s="122"/>
      <c r="J126" s="170"/>
      <c r="K126" s="170"/>
      <c r="L126" s="19"/>
    </row>
    <row r="127" spans="2:12" ht="14.5" customHeight="1" x14ac:dyDescent="0.2">
      <c r="B127" s="418"/>
      <c r="C127" s="120"/>
      <c r="D127" s="120" t="s">
        <v>275</v>
      </c>
      <c r="E127" s="171"/>
      <c r="F127" s="171"/>
      <c r="G127" s="166"/>
      <c r="H127" s="151"/>
      <c r="I127" s="152"/>
      <c r="J127" s="152"/>
      <c r="K127" s="152"/>
      <c r="L127" s="2"/>
    </row>
    <row r="128" spans="2:12" s="21" customFormat="1" ht="14.5" customHeight="1" x14ac:dyDescent="0.2">
      <c r="B128" s="419"/>
      <c r="C128" s="127"/>
      <c r="D128" s="127" t="s">
        <v>964</v>
      </c>
      <c r="E128" s="124"/>
      <c r="F128" s="176"/>
      <c r="G128" s="176"/>
      <c r="H128" s="124"/>
      <c r="I128" s="124"/>
      <c r="J128" s="190"/>
      <c r="K128" s="190"/>
      <c r="L128" s="19"/>
    </row>
    <row r="129" spans="2:12" ht="14.5" customHeight="1" x14ac:dyDescent="0.2">
      <c r="B129" s="422" t="s">
        <v>45</v>
      </c>
      <c r="C129" s="117"/>
      <c r="D129" s="117" t="s">
        <v>175</v>
      </c>
      <c r="E129" s="174"/>
      <c r="F129" s="174"/>
      <c r="G129" s="163"/>
      <c r="H129" s="122"/>
      <c r="I129" s="122"/>
      <c r="J129" s="122"/>
      <c r="K129" s="122"/>
      <c r="L129" s="2"/>
    </row>
    <row r="130" spans="2:12" ht="14.5" customHeight="1" x14ac:dyDescent="0.2">
      <c r="B130" s="422"/>
      <c r="C130" s="117" t="s">
        <v>401</v>
      </c>
      <c r="D130" s="117" t="s">
        <v>288</v>
      </c>
      <c r="E130" s="174"/>
      <c r="F130" s="174"/>
      <c r="G130" s="163"/>
      <c r="H130" s="122"/>
      <c r="I130" s="122"/>
      <c r="J130" s="122"/>
      <c r="K130" s="122"/>
      <c r="L130" s="2"/>
    </row>
    <row r="131" spans="2:12" ht="14.5" customHeight="1" x14ac:dyDescent="0.2">
      <c r="B131" s="422"/>
      <c r="C131" s="117" t="s">
        <v>402</v>
      </c>
      <c r="D131" s="117" t="s">
        <v>251</v>
      </c>
      <c r="E131" s="174"/>
      <c r="F131" s="174"/>
      <c r="G131" s="163"/>
      <c r="H131" s="122"/>
      <c r="I131" s="122"/>
      <c r="J131" s="122"/>
      <c r="K131" s="122"/>
      <c r="L131" s="2"/>
    </row>
    <row r="132" spans="2:12" ht="14.5" customHeight="1" x14ac:dyDescent="0.2">
      <c r="B132" s="422"/>
      <c r="C132" s="120"/>
      <c r="D132" s="120" t="s">
        <v>315</v>
      </c>
      <c r="E132" s="175"/>
      <c r="F132" s="175"/>
      <c r="G132" s="161"/>
      <c r="H132" s="123"/>
      <c r="I132" s="123"/>
      <c r="J132" s="123"/>
      <c r="K132" s="123"/>
      <c r="L132" s="2"/>
    </row>
    <row r="133" spans="2:12" ht="14.5" customHeight="1" x14ac:dyDescent="0.2">
      <c r="B133" s="422"/>
      <c r="C133" s="127"/>
      <c r="D133" s="127" t="s">
        <v>46</v>
      </c>
      <c r="E133" s="176"/>
      <c r="F133" s="176"/>
      <c r="G133" s="162"/>
      <c r="H133" s="124"/>
      <c r="I133" s="124"/>
      <c r="J133" s="124"/>
      <c r="K133" s="124"/>
      <c r="L133" s="2"/>
    </row>
    <row r="134" spans="2:12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74"/>
      <c r="H134" s="122"/>
      <c r="I134" s="122"/>
      <c r="J134" s="170"/>
      <c r="K134" s="170"/>
      <c r="L134" s="19"/>
    </row>
    <row r="135" spans="2:12" s="21" customFormat="1" ht="14.5" customHeight="1" x14ac:dyDescent="0.2">
      <c r="B135" s="418"/>
      <c r="C135" s="117"/>
      <c r="D135" s="117" t="s">
        <v>526</v>
      </c>
      <c r="E135" s="122"/>
      <c r="F135" s="174"/>
      <c r="G135" s="174"/>
      <c r="H135" s="122"/>
      <c r="I135" s="122"/>
      <c r="J135" s="170"/>
      <c r="K135" s="170"/>
      <c r="L135" s="19"/>
    </row>
    <row r="136" spans="2:12" s="21" customFormat="1" ht="14.5" customHeight="1" x14ac:dyDescent="0.2">
      <c r="B136" s="418"/>
      <c r="C136" s="117"/>
      <c r="D136" s="117" t="s">
        <v>616</v>
      </c>
      <c r="E136" s="122"/>
      <c r="F136" s="174"/>
      <c r="G136" s="174"/>
      <c r="H136" s="122"/>
      <c r="I136" s="122"/>
      <c r="J136" s="170"/>
      <c r="K136" s="170"/>
      <c r="L136" s="19"/>
    </row>
    <row r="137" spans="2:12" s="21" customFormat="1" ht="14.5" customHeight="1" x14ac:dyDescent="0.2">
      <c r="B137" s="418"/>
      <c r="C137" s="117"/>
      <c r="D137" s="117" t="s">
        <v>499</v>
      </c>
      <c r="E137" s="122"/>
      <c r="F137" s="174"/>
      <c r="G137" s="174"/>
      <c r="H137" s="122"/>
      <c r="I137" s="122"/>
      <c r="J137" s="170"/>
      <c r="K137" s="170"/>
      <c r="L137" s="19"/>
    </row>
    <row r="138" spans="2:12" s="21" customFormat="1" ht="14.5" customHeight="1" x14ac:dyDescent="0.2">
      <c r="B138" s="418"/>
      <c r="C138" s="117"/>
      <c r="D138" s="117" t="s">
        <v>527</v>
      </c>
      <c r="E138" s="122"/>
      <c r="F138" s="174"/>
      <c r="G138" s="174"/>
      <c r="H138" s="122"/>
      <c r="I138" s="122"/>
      <c r="J138" s="170"/>
      <c r="K138" s="170"/>
      <c r="L138" s="19"/>
    </row>
    <row r="139" spans="2:12" s="21" customFormat="1" ht="14.5" customHeight="1" x14ac:dyDescent="0.2">
      <c r="B139" s="418"/>
      <c r="C139" s="117"/>
      <c r="D139" s="117" t="s">
        <v>528</v>
      </c>
      <c r="E139" s="122"/>
      <c r="F139" s="174"/>
      <c r="G139" s="174"/>
      <c r="H139" s="122"/>
      <c r="I139" s="122"/>
      <c r="J139" s="170"/>
      <c r="K139" s="170"/>
      <c r="L139" s="19"/>
    </row>
    <row r="140" spans="2:12" s="21" customFormat="1" ht="14.5" customHeight="1" x14ac:dyDescent="0.2">
      <c r="B140" s="418"/>
      <c r="C140" s="117"/>
      <c r="D140" s="117" t="s">
        <v>789</v>
      </c>
      <c r="E140" s="122"/>
      <c r="F140" s="174"/>
      <c r="G140" s="174"/>
      <c r="H140" s="122"/>
      <c r="I140" s="122"/>
      <c r="J140" s="170"/>
      <c r="K140" s="170"/>
      <c r="L140" s="19"/>
    </row>
    <row r="141" spans="2:12" s="21" customFormat="1" ht="14.5" customHeight="1" x14ac:dyDescent="0.2">
      <c r="B141" s="418"/>
      <c r="C141" s="117"/>
      <c r="D141" s="117" t="s">
        <v>835</v>
      </c>
      <c r="E141" s="122"/>
      <c r="F141" s="174"/>
      <c r="G141" s="174"/>
      <c r="H141" s="122"/>
      <c r="I141" s="122"/>
      <c r="J141" s="170"/>
      <c r="K141" s="170"/>
      <c r="L141" s="19"/>
    </row>
    <row r="142" spans="2:12" s="21" customFormat="1" ht="14.5" customHeight="1" x14ac:dyDescent="0.2">
      <c r="B142" s="418"/>
      <c r="C142" s="117"/>
      <c r="D142" s="117" t="s">
        <v>529</v>
      </c>
      <c r="E142" s="122"/>
      <c r="F142" s="174"/>
      <c r="G142" s="174"/>
      <c r="H142" s="122"/>
      <c r="I142" s="122"/>
      <c r="J142" s="170"/>
      <c r="K142" s="170"/>
      <c r="L142" s="19"/>
    </row>
    <row r="143" spans="2:12" s="21" customFormat="1" ht="14.5" customHeight="1" x14ac:dyDescent="0.2">
      <c r="B143" s="418"/>
      <c r="C143" s="117"/>
      <c r="D143" s="117" t="s">
        <v>530</v>
      </c>
      <c r="E143" s="122"/>
      <c r="F143" s="174"/>
      <c r="G143" s="174"/>
      <c r="H143" s="122"/>
      <c r="I143" s="122"/>
      <c r="J143" s="170"/>
      <c r="K143" s="170"/>
      <c r="L143" s="19"/>
    </row>
    <row r="144" spans="2:12" s="21" customFormat="1" ht="14.5" customHeight="1" x14ac:dyDescent="0.2">
      <c r="B144" s="418"/>
      <c r="C144" s="117"/>
      <c r="D144" s="117" t="s">
        <v>531</v>
      </c>
      <c r="E144" s="122"/>
      <c r="F144" s="174"/>
      <c r="G144" s="174"/>
      <c r="H144" s="122"/>
      <c r="I144" s="122"/>
      <c r="J144" s="170"/>
      <c r="K144" s="170"/>
      <c r="L144" s="19"/>
    </row>
    <row r="145" spans="2:12" s="21" customFormat="1" ht="14.5" customHeight="1" x14ac:dyDescent="0.2">
      <c r="B145" s="418"/>
      <c r="C145" s="119"/>
      <c r="D145" s="119" t="s">
        <v>74</v>
      </c>
      <c r="E145" s="123"/>
      <c r="F145" s="175"/>
      <c r="G145" s="175"/>
      <c r="H145" s="123"/>
      <c r="I145" s="123"/>
      <c r="J145" s="189"/>
      <c r="K145" s="189"/>
      <c r="L145" s="19"/>
    </row>
    <row r="146" spans="2:12" s="21" customFormat="1" ht="14.5" customHeight="1" x14ac:dyDescent="0.2">
      <c r="B146" s="419"/>
      <c r="C146" s="127"/>
      <c r="D146" s="127" t="s">
        <v>48</v>
      </c>
      <c r="E146" s="124"/>
      <c r="F146" s="176"/>
      <c r="G146" s="176"/>
      <c r="H146" s="124"/>
      <c r="I146" s="124"/>
      <c r="J146" s="190"/>
      <c r="K146" s="190"/>
      <c r="L146" s="19"/>
    </row>
    <row r="147" spans="2:12" ht="14.5" customHeight="1" x14ac:dyDescent="0.2">
      <c r="B147" s="127"/>
      <c r="C147" s="121"/>
      <c r="D147" s="121" t="s">
        <v>49</v>
      </c>
      <c r="E147" s="177"/>
      <c r="F147" s="177"/>
      <c r="G147" s="237"/>
      <c r="H147" s="177"/>
      <c r="I147" s="157"/>
      <c r="J147" s="157"/>
      <c r="K147" s="157"/>
      <c r="L147" s="2"/>
    </row>
    <row r="153" spans="2:12" ht="14.5" customHeight="1" x14ac:dyDescent="0.2">
      <c r="B153" s="4" t="s">
        <v>174</v>
      </c>
      <c r="C153" s="5"/>
      <c r="D153" s="5"/>
      <c r="E153" s="98"/>
      <c r="F153" s="98"/>
    </row>
    <row r="154" spans="2:12" ht="14.5" customHeight="1" x14ac:dyDescent="0.2">
      <c r="B154" s="8"/>
      <c r="C154" s="8"/>
      <c r="D154" s="8"/>
      <c r="E154" s="99"/>
      <c r="F154" s="99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424" t="s">
        <v>137</v>
      </c>
      <c r="F155" s="424"/>
      <c r="G155" s="417" t="s">
        <v>56</v>
      </c>
      <c r="H155" s="394" t="s">
        <v>3</v>
      </c>
      <c r="I155" s="398" t="s">
        <v>422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91" t="s">
        <v>77</v>
      </c>
      <c r="F156" s="90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74"/>
      <c r="H157" s="122"/>
      <c r="I157" s="122"/>
      <c r="J157" s="170"/>
      <c r="K157" s="170"/>
    </row>
    <row r="158" spans="2:12" ht="14.5" customHeight="1" x14ac:dyDescent="0.2">
      <c r="B158" s="418"/>
      <c r="C158" s="117"/>
      <c r="D158" s="117" t="s">
        <v>800</v>
      </c>
      <c r="E158" s="122"/>
      <c r="F158" s="174"/>
      <c r="G158" s="174"/>
      <c r="H158" s="122"/>
      <c r="I158" s="122"/>
      <c r="J158" s="170"/>
      <c r="K158" s="170"/>
    </row>
    <row r="159" spans="2:12" ht="14.5" customHeight="1" x14ac:dyDescent="0.2">
      <c r="B159" s="418"/>
      <c r="C159" s="117"/>
      <c r="D159" s="117" t="s">
        <v>532</v>
      </c>
      <c r="E159" s="122"/>
      <c r="F159" s="174"/>
      <c r="G159" s="174"/>
      <c r="H159" s="122"/>
      <c r="I159" s="122"/>
      <c r="J159" s="170"/>
      <c r="K159" s="170"/>
    </row>
    <row r="160" spans="2:12" ht="14.5" customHeight="1" x14ac:dyDescent="0.2">
      <c r="B160" s="418"/>
      <c r="C160" s="117"/>
      <c r="D160" s="117" t="s">
        <v>535</v>
      </c>
      <c r="E160" s="122"/>
      <c r="F160" s="174"/>
      <c r="G160" s="174"/>
      <c r="H160" s="122"/>
      <c r="I160" s="122"/>
      <c r="J160" s="170"/>
      <c r="K160" s="170"/>
    </row>
    <row r="161" spans="2:11" ht="14.5" customHeight="1" x14ac:dyDescent="0.2">
      <c r="B161" s="418"/>
      <c r="C161" s="117"/>
      <c r="D161" s="117" t="s">
        <v>533</v>
      </c>
      <c r="E161" s="122"/>
      <c r="F161" s="174"/>
      <c r="G161" s="174"/>
      <c r="H161" s="122"/>
      <c r="I161" s="122"/>
      <c r="J161" s="170"/>
      <c r="K161" s="170"/>
    </row>
    <row r="162" spans="2:11" ht="14.5" customHeight="1" x14ac:dyDescent="0.2">
      <c r="B162" s="418"/>
      <c r="C162" s="117"/>
      <c r="D162" s="117" t="s">
        <v>534</v>
      </c>
      <c r="E162" s="122"/>
      <c r="F162" s="174"/>
      <c r="G162" s="174"/>
      <c r="H162" s="122"/>
      <c r="I162" s="122"/>
      <c r="J162" s="170"/>
      <c r="K162" s="170"/>
    </row>
    <row r="163" spans="2:11" ht="14.5" customHeight="1" x14ac:dyDescent="0.2">
      <c r="B163" s="418"/>
      <c r="C163" s="119"/>
      <c r="D163" s="119" t="s">
        <v>894</v>
      </c>
      <c r="E163" s="123"/>
      <c r="F163" s="175"/>
      <c r="G163" s="175"/>
      <c r="H163" s="123"/>
      <c r="I163" s="123"/>
      <c r="J163" s="189"/>
      <c r="K163" s="189"/>
    </row>
    <row r="164" spans="2:11" ht="14.5" customHeight="1" x14ac:dyDescent="0.2">
      <c r="B164" s="418"/>
      <c r="C164" s="119"/>
      <c r="D164" s="119" t="s">
        <v>154</v>
      </c>
      <c r="E164" s="123"/>
      <c r="F164" s="175"/>
      <c r="G164" s="175"/>
      <c r="H164" s="123"/>
      <c r="I164" s="123"/>
      <c r="J164" s="189"/>
      <c r="K164" s="189"/>
    </row>
    <row r="165" spans="2:11" ht="14.5" customHeight="1" x14ac:dyDescent="0.2">
      <c r="B165" s="419"/>
      <c r="C165" s="127"/>
      <c r="D165" s="127" t="s">
        <v>54</v>
      </c>
      <c r="E165" s="124"/>
      <c r="F165" s="176"/>
      <c r="G165" s="176"/>
      <c r="H165" s="124"/>
      <c r="I165" s="124"/>
      <c r="J165" s="190"/>
      <c r="K165" s="190"/>
    </row>
    <row r="166" spans="2:11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74"/>
      <c r="H166" s="122"/>
      <c r="I166" s="122"/>
      <c r="J166" s="170"/>
      <c r="K166" s="170"/>
    </row>
    <row r="167" spans="2:11" ht="14.5" customHeight="1" x14ac:dyDescent="0.2">
      <c r="B167" s="418"/>
      <c r="C167" s="117"/>
      <c r="D167" s="117" t="s">
        <v>801</v>
      </c>
      <c r="E167" s="122"/>
      <c r="F167" s="174"/>
      <c r="G167" s="174"/>
      <c r="H167" s="122"/>
      <c r="I167" s="122"/>
      <c r="J167" s="170"/>
      <c r="K167" s="170"/>
    </row>
    <row r="168" spans="2:11" ht="14.5" customHeight="1" x14ac:dyDescent="0.2">
      <c r="B168" s="418"/>
      <c r="C168" s="117"/>
      <c r="D168" s="117" t="s">
        <v>541</v>
      </c>
      <c r="E168" s="122"/>
      <c r="F168" s="174"/>
      <c r="G168" s="174"/>
      <c r="H168" s="122"/>
      <c r="I168" s="122"/>
      <c r="J168" s="170"/>
      <c r="K168" s="170"/>
    </row>
    <row r="169" spans="2:11" ht="14.5" customHeight="1" x14ac:dyDescent="0.2">
      <c r="B169" s="418"/>
      <c r="C169" s="117"/>
      <c r="D169" s="117" t="s">
        <v>538</v>
      </c>
      <c r="E169" s="122"/>
      <c r="F169" s="174"/>
      <c r="G169" s="174"/>
      <c r="H169" s="122"/>
      <c r="I169" s="122"/>
      <c r="J169" s="170"/>
      <c r="K169" s="170"/>
    </row>
    <row r="170" spans="2:11" ht="14.5" customHeight="1" x14ac:dyDescent="0.2">
      <c r="B170" s="418"/>
      <c r="C170" s="117"/>
      <c r="D170" s="117" t="s">
        <v>539</v>
      </c>
      <c r="E170" s="122"/>
      <c r="F170" s="174"/>
      <c r="G170" s="174"/>
      <c r="H170" s="122"/>
      <c r="I170" s="122"/>
      <c r="J170" s="170"/>
      <c r="K170" s="170"/>
    </row>
    <row r="171" spans="2:11" ht="14.5" customHeight="1" x14ac:dyDescent="0.2">
      <c r="B171" s="418"/>
      <c r="C171" s="117"/>
      <c r="D171" s="117" t="s">
        <v>537</v>
      </c>
      <c r="E171" s="122"/>
      <c r="F171" s="174"/>
      <c r="G171" s="174"/>
      <c r="H171" s="122"/>
      <c r="I171" s="122"/>
      <c r="J171" s="170"/>
      <c r="K171" s="170"/>
    </row>
    <row r="172" spans="2:11" ht="14.5" customHeight="1" x14ac:dyDescent="0.2">
      <c r="B172" s="418"/>
      <c r="C172" s="117"/>
      <c r="D172" s="117" t="s">
        <v>540</v>
      </c>
      <c r="E172" s="122"/>
      <c r="F172" s="174"/>
      <c r="G172" s="174"/>
      <c r="H172" s="122"/>
      <c r="I172" s="122"/>
      <c r="J172" s="170"/>
      <c r="K172" s="170"/>
    </row>
    <row r="173" spans="2:11" ht="14.5" customHeight="1" x14ac:dyDescent="0.2">
      <c r="B173" s="418"/>
      <c r="C173" s="119"/>
      <c r="D173" s="119" t="s">
        <v>680</v>
      </c>
      <c r="E173" s="123"/>
      <c r="F173" s="175"/>
      <c r="G173" s="175"/>
      <c r="H173" s="123"/>
      <c r="I173" s="123"/>
      <c r="J173" s="189"/>
      <c r="K173" s="189"/>
    </row>
    <row r="174" spans="2:11" ht="14.5" customHeight="1" x14ac:dyDescent="0.2">
      <c r="B174" s="418"/>
      <c r="C174" s="117"/>
      <c r="D174" s="117" t="s">
        <v>617</v>
      </c>
      <c r="E174" s="122"/>
      <c r="F174" s="174"/>
      <c r="G174" s="174"/>
      <c r="H174" s="122"/>
      <c r="I174" s="122"/>
      <c r="J174" s="170"/>
      <c r="K174" s="170"/>
    </row>
    <row r="175" spans="2:11" ht="14.5" customHeight="1" x14ac:dyDescent="0.2">
      <c r="B175" s="418"/>
      <c r="C175" s="117"/>
      <c r="D175" s="117" t="s">
        <v>802</v>
      </c>
      <c r="E175" s="122"/>
      <c r="F175" s="174"/>
      <c r="G175" s="174"/>
      <c r="H175" s="122"/>
      <c r="I175" s="122"/>
      <c r="J175" s="170"/>
      <c r="K175" s="170"/>
    </row>
    <row r="176" spans="2:11" ht="14.5" customHeight="1" x14ac:dyDescent="0.2">
      <c r="B176" s="418"/>
      <c r="C176" s="117"/>
      <c r="D176" s="117" t="s">
        <v>542</v>
      </c>
      <c r="E176" s="122"/>
      <c r="F176" s="174"/>
      <c r="G176" s="174"/>
      <c r="H176" s="122"/>
      <c r="I176" s="122"/>
      <c r="J176" s="170"/>
      <c r="K176" s="170"/>
    </row>
    <row r="177" spans="2:11" ht="14.5" customHeight="1" x14ac:dyDescent="0.2">
      <c r="B177" s="418"/>
      <c r="C177" s="117"/>
      <c r="D177" s="117" t="s">
        <v>543</v>
      </c>
      <c r="E177" s="122"/>
      <c r="F177" s="174"/>
      <c r="G177" s="174"/>
      <c r="H177" s="122"/>
      <c r="I177" s="122"/>
      <c r="J177" s="170"/>
      <c r="K177" s="170"/>
    </row>
    <row r="178" spans="2:11" ht="14.5" customHeight="1" x14ac:dyDescent="0.2">
      <c r="B178" s="418"/>
      <c r="C178" s="117"/>
      <c r="D178" s="117" t="s">
        <v>618</v>
      </c>
      <c r="E178" s="122"/>
      <c r="F178" s="174"/>
      <c r="G178" s="174"/>
      <c r="H178" s="122"/>
      <c r="I178" s="122"/>
      <c r="J178" s="170"/>
      <c r="K178" s="170"/>
    </row>
    <row r="179" spans="2:11" ht="14.5" customHeight="1" x14ac:dyDescent="0.2">
      <c r="B179" s="418"/>
      <c r="C179" s="119"/>
      <c r="D179" s="119" t="s">
        <v>687</v>
      </c>
      <c r="E179" s="123"/>
      <c r="F179" s="175"/>
      <c r="G179" s="175"/>
      <c r="H179" s="123"/>
      <c r="I179" s="123"/>
      <c r="J179" s="189"/>
      <c r="K179" s="189"/>
    </row>
    <row r="180" spans="2:11" ht="14.5" customHeight="1" x14ac:dyDescent="0.2">
      <c r="B180" s="418"/>
      <c r="C180" s="119"/>
      <c r="D180" s="119" t="s">
        <v>95</v>
      </c>
      <c r="E180" s="123"/>
      <c r="F180" s="175"/>
      <c r="G180" s="175"/>
      <c r="H180" s="123"/>
      <c r="I180" s="123"/>
      <c r="J180" s="189"/>
      <c r="K180" s="189"/>
    </row>
    <row r="181" spans="2:11" ht="14.5" customHeight="1" x14ac:dyDescent="0.2">
      <c r="B181" s="419"/>
      <c r="C181" s="127"/>
      <c r="D181" s="127" t="s">
        <v>556</v>
      </c>
      <c r="E181" s="124"/>
      <c r="F181" s="176"/>
      <c r="G181" s="176"/>
      <c r="H181" s="124"/>
      <c r="I181" s="124"/>
      <c r="J181" s="190"/>
      <c r="K181" s="190"/>
    </row>
    <row r="182" spans="2:11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74"/>
      <c r="H182" s="122"/>
      <c r="I182" s="122"/>
      <c r="J182" s="170"/>
      <c r="K182" s="170"/>
    </row>
    <row r="183" spans="2:11" ht="14.5" customHeight="1" x14ac:dyDescent="0.2">
      <c r="B183" s="418"/>
      <c r="C183" s="117"/>
      <c r="D183" s="117" t="s">
        <v>560</v>
      </c>
      <c r="E183" s="122"/>
      <c r="F183" s="174"/>
      <c r="G183" s="174"/>
      <c r="H183" s="122"/>
      <c r="I183" s="122"/>
      <c r="J183" s="170"/>
      <c r="K183" s="170"/>
    </row>
    <row r="184" spans="2:11" ht="14.5" customHeight="1" x14ac:dyDescent="0.2">
      <c r="B184" s="418"/>
      <c r="C184" s="117"/>
      <c r="D184" s="117" t="s">
        <v>562</v>
      </c>
      <c r="E184" s="122"/>
      <c r="F184" s="174"/>
      <c r="G184" s="174"/>
      <c r="H184" s="122"/>
      <c r="I184" s="122"/>
      <c r="J184" s="170"/>
      <c r="K184" s="170"/>
    </row>
    <row r="185" spans="2:11" ht="14.5" customHeight="1" x14ac:dyDescent="0.2">
      <c r="B185" s="418"/>
      <c r="C185" s="117"/>
      <c r="D185" s="117" t="s">
        <v>561</v>
      </c>
      <c r="E185" s="122"/>
      <c r="F185" s="174"/>
      <c r="G185" s="174"/>
      <c r="H185" s="122"/>
      <c r="I185" s="122"/>
      <c r="J185" s="170"/>
      <c r="K185" s="170"/>
    </row>
    <row r="186" spans="2:11" ht="14.5" customHeight="1" x14ac:dyDescent="0.2">
      <c r="B186" s="418"/>
      <c r="C186" s="117"/>
      <c r="D186" s="117" t="s">
        <v>803</v>
      </c>
      <c r="E186" s="122"/>
      <c r="F186" s="174"/>
      <c r="G186" s="174"/>
      <c r="H186" s="122"/>
      <c r="I186" s="122"/>
      <c r="J186" s="170"/>
      <c r="K186" s="170"/>
    </row>
    <row r="187" spans="2:11" ht="14.5" customHeight="1" x14ac:dyDescent="0.2">
      <c r="B187" s="418"/>
      <c r="C187" s="117"/>
      <c r="D187" s="117" t="s">
        <v>790</v>
      </c>
      <c r="E187" s="122"/>
      <c r="F187" s="174"/>
      <c r="G187" s="174"/>
      <c r="H187" s="122"/>
      <c r="I187" s="122"/>
      <c r="J187" s="170"/>
      <c r="K187" s="170"/>
    </row>
    <row r="188" spans="2:11" ht="14.5" customHeight="1" x14ac:dyDescent="0.2">
      <c r="B188" s="418"/>
      <c r="C188" s="117"/>
      <c r="D188" s="117" t="s">
        <v>559</v>
      </c>
      <c r="E188" s="122"/>
      <c r="F188" s="174"/>
      <c r="G188" s="174"/>
      <c r="H188" s="122"/>
      <c r="I188" s="122"/>
      <c r="J188" s="170"/>
      <c r="K188" s="170"/>
    </row>
    <row r="189" spans="2:11" ht="14.5" customHeight="1" x14ac:dyDescent="0.2">
      <c r="B189" s="419"/>
      <c r="C189" s="119"/>
      <c r="D189" s="119" t="s">
        <v>719</v>
      </c>
      <c r="E189" s="123"/>
      <c r="F189" s="175"/>
      <c r="G189" s="175"/>
      <c r="H189" s="123"/>
      <c r="I189" s="123"/>
      <c r="J189" s="189"/>
      <c r="K189" s="189"/>
    </row>
    <row r="190" spans="2:11" ht="14.5" customHeight="1" x14ac:dyDescent="0.2">
      <c r="B190" s="127"/>
      <c r="C190" s="127"/>
      <c r="D190" s="127" t="s">
        <v>619</v>
      </c>
      <c r="E190" s="124"/>
      <c r="F190" s="176"/>
      <c r="G190" s="176"/>
      <c r="H190" s="124"/>
      <c r="I190" s="124"/>
      <c r="J190" s="190"/>
      <c r="K190" s="190"/>
    </row>
    <row r="191" spans="2:11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74"/>
      <c r="H191" s="122"/>
      <c r="I191" s="122"/>
      <c r="J191" s="170"/>
      <c r="K191" s="170"/>
    </row>
    <row r="192" spans="2:11" ht="14.5" customHeight="1" x14ac:dyDescent="0.2">
      <c r="B192" s="418"/>
      <c r="C192" s="117"/>
      <c r="D192" s="117" t="s">
        <v>563</v>
      </c>
      <c r="E192" s="122"/>
      <c r="F192" s="174"/>
      <c r="G192" s="174"/>
      <c r="H192" s="122"/>
      <c r="I192" s="122"/>
      <c r="J192" s="170"/>
      <c r="K192" s="170"/>
    </row>
    <row r="193" spans="2:11" ht="14.5" customHeight="1" x14ac:dyDescent="0.2">
      <c r="B193" s="418"/>
      <c r="C193" s="117"/>
      <c r="D193" s="117" t="s">
        <v>804</v>
      </c>
      <c r="E193" s="122"/>
      <c r="F193" s="174"/>
      <c r="G193" s="174"/>
      <c r="H193" s="122"/>
      <c r="I193" s="122"/>
      <c r="J193" s="170"/>
      <c r="K193" s="170"/>
    </row>
    <row r="194" spans="2:11" ht="14.5" customHeight="1" x14ac:dyDescent="0.2">
      <c r="B194" s="418"/>
      <c r="C194" s="117"/>
      <c r="D194" s="117" t="s">
        <v>565</v>
      </c>
      <c r="E194" s="122"/>
      <c r="F194" s="174"/>
      <c r="G194" s="174"/>
      <c r="H194" s="122"/>
      <c r="I194" s="122"/>
      <c r="J194" s="170"/>
      <c r="K194" s="170"/>
    </row>
    <row r="195" spans="2:11" ht="14.5" customHeight="1" x14ac:dyDescent="0.2">
      <c r="B195" s="418"/>
      <c r="C195" s="117"/>
      <c r="D195" s="117" t="s">
        <v>843</v>
      </c>
      <c r="E195" s="122"/>
      <c r="F195" s="174"/>
      <c r="G195" s="174"/>
      <c r="H195" s="122"/>
      <c r="I195" s="122"/>
      <c r="J195" s="170"/>
      <c r="K195" s="170"/>
    </row>
    <row r="196" spans="2:11" ht="14.5" customHeight="1" x14ac:dyDescent="0.2">
      <c r="B196" s="418"/>
      <c r="C196" s="117"/>
      <c r="D196" s="117" t="s">
        <v>564</v>
      </c>
      <c r="E196" s="122"/>
      <c r="F196" s="174"/>
      <c r="G196" s="174"/>
      <c r="H196" s="122"/>
      <c r="I196" s="122"/>
      <c r="J196" s="170"/>
      <c r="K196" s="170"/>
    </row>
    <row r="197" spans="2:11" ht="14.5" customHeight="1" x14ac:dyDescent="0.2">
      <c r="B197" s="418"/>
      <c r="C197" s="119"/>
      <c r="D197" s="119" t="s">
        <v>726</v>
      </c>
      <c r="E197" s="123"/>
      <c r="F197" s="175"/>
      <c r="G197" s="175"/>
      <c r="H197" s="123"/>
      <c r="I197" s="123"/>
      <c r="J197" s="189"/>
      <c r="K197" s="189"/>
    </row>
    <row r="198" spans="2:11" ht="14.5" customHeight="1" x14ac:dyDescent="0.2">
      <c r="B198" s="418"/>
      <c r="C198" s="119"/>
      <c r="D198" s="119" t="s">
        <v>155</v>
      </c>
      <c r="E198" s="123"/>
      <c r="F198" s="175"/>
      <c r="G198" s="175"/>
      <c r="H198" s="123"/>
      <c r="I198" s="123"/>
      <c r="J198" s="189"/>
      <c r="K198" s="189"/>
    </row>
    <row r="199" spans="2:11" ht="14.5" customHeight="1" x14ac:dyDescent="0.2">
      <c r="B199" s="419"/>
      <c r="C199" s="127"/>
      <c r="D199" s="127" t="s">
        <v>558</v>
      </c>
      <c r="E199" s="124"/>
      <c r="F199" s="176"/>
      <c r="G199" s="176"/>
      <c r="H199" s="124"/>
      <c r="I199" s="124"/>
      <c r="J199" s="190"/>
      <c r="K199" s="190"/>
    </row>
    <row r="200" spans="2:11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74"/>
      <c r="H200" s="122"/>
      <c r="I200" s="122"/>
      <c r="J200" s="170"/>
      <c r="K200" s="170"/>
    </row>
    <row r="201" spans="2:11" ht="14.5" customHeight="1" x14ac:dyDescent="0.2">
      <c r="B201" s="418"/>
      <c r="C201" s="117"/>
      <c r="D201" s="117" t="s">
        <v>900</v>
      </c>
      <c r="E201" s="122"/>
      <c r="F201" s="174"/>
      <c r="G201" s="174"/>
      <c r="H201" s="122"/>
      <c r="I201" s="122"/>
      <c r="J201" s="170"/>
      <c r="K201" s="170"/>
    </row>
    <row r="202" spans="2:11" ht="14.5" customHeight="1" x14ac:dyDescent="0.2">
      <c r="B202" s="418"/>
      <c r="C202" s="117"/>
      <c r="D202" s="117" t="s">
        <v>551</v>
      </c>
      <c r="E202" s="122"/>
      <c r="F202" s="174"/>
      <c r="G202" s="174"/>
      <c r="H202" s="122"/>
      <c r="I202" s="122"/>
      <c r="J202" s="170"/>
      <c r="K202" s="170"/>
    </row>
    <row r="203" spans="2:11" ht="14.5" customHeight="1" x14ac:dyDescent="0.2">
      <c r="B203" s="418"/>
      <c r="C203" s="117"/>
      <c r="D203" s="117" t="s">
        <v>548</v>
      </c>
      <c r="E203" s="122"/>
      <c r="F203" s="174"/>
      <c r="G203" s="174"/>
      <c r="H203" s="122"/>
      <c r="I203" s="122"/>
      <c r="J203" s="170"/>
      <c r="K203" s="170"/>
    </row>
    <row r="204" spans="2:11" ht="14.5" customHeight="1" x14ac:dyDescent="0.2">
      <c r="B204" s="418"/>
      <c r="C204" s="117"/>
      <c r="D204" s="117" t="s">
        <v>549</v>
      </c>
      <c r="E204" s="122"/>
      <c r="F204" s="174"/>
      <c r="G204" s="174"/>
      <c r="H204" s="122"/>
      <c r="I204" s="122"/>
      <c r="J204" s="170"/>
      <c r="K204" s="170"/>
    </row>
    <row r="205" spans="2:11" ht="14.5" customHeight="1" x14ac:dyDescent="0.2">
      <c r="B205" s="418"/>
      <c r="C205" s="119"/>
      <c r="D205" s="119" t="s">
        <v>708</v>
      </c>
      <c r="E205" s="123"/>
      <c r="F205" s="175"/>
      <c r="G205" s="175"/>
      <c r="H205" s="123"/>
      <c r="I205" s="123"/>
      <c r="J205" s="189"/>
      <c r="K205" s="189"/>
    </row>
    <row r="206" spans="2:11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74"/>
      <c r="H206" s="122"/>
      <c r="I206" s="122"/>
      <c r="J206" s="170"/>
      <c r="K206" s="170"/>
    </row>
    <row r="207" spans="2:11" ht="14.5" customHeight="1" x14ac:dyDescent="0.2">
      <c r="B207" s="418"/>
      <c r="C207" s="117"/>
      <c r="D207" s="117" t="s">
        <v>553</v>
      </c>
      <c r="E207" s="122"/>
      <c r="F207" s="174"/>
      <c r="G207" s="174"/>
      <c r="H207" s="122"/>
      <c r="I207" s="122"/>
      <c r="J207" s="170"/>
      <c r="K207" s="170"/>
    </row>
    <row r="208" spans="2:11" ht="14.5" customHeight="1" x14ac:dyDescent="0.2">
      <c r="B208" s="418"/>
      <c r="C208" s="117"/>
      <c r="D208" s="117" t="s">
        <v>552</v>
      </c>
      <c r="E208" s="122"/>
      <c r="F208" s="174"/>
      <c r="G208" s="174"/>
      <c r="H208" s="122"/>
      <c r="I208" s="122"/>
      <c r="J208" s="170"/>
      <c r="K208" s="170"/>
    </row>
    <row r="209" spans="2:11" ht="14.5" customHeight="1" x14ac:dyDescent="0.2">
      <c r="B209" s="418"/>
      <c r="C209" s="117"/>
      <c r="D209" s="117" t="s">
        <v>620</v>
      </c>
      <c r="E209" s="122"/>
      <c r="F209" s="174"/>
      <c r="G209" s="174"/>
      <c r="H209" s="122"/>
      <c r="I209" s="122"/>
      <c r="J209" s="170"/>
      <c r="K209" s="170"/>
    </row>
    <row r="210" spans="2:11" ht="14.5" customHeight="1" x14ac:dyDescent="0.2">
      <c r="B210" s="418"/>
      <c r="C210" s="117"/>
      <c r="D210" s="117" t="s">
        <v>216</v>
      </c>
      <c r="E210" s="122"/>
      <c r="F210" s="174"/>
      <c r="G210" s="174"/>
      <c r="H210" s="122"/>
      <c r="I210" s="122"/>
      <c r="J210" s="170"/>
      <c r="K210" s="170"/>
    </row>
    <row r="211" spans="2:11" ht="14.5" customHeight="1" x14ac:dyDescent="0.2">
      <c r="B211" s="418"/>
      <c r="C211" s="117"/>
      <c r="D211" s="117" t="s">
        <v>805</v>
      </c>
      <c r="E211" s="122"/>
      <c r="F211" s="174"/>
      <c r="G211" s="174"/>
      <c r="H211" s="122"/>
      <c r="I211" s="122"/>
      <c r="J211" s="170"/>
      <c r="K211" s="170"/>
    </row>
    <row r="212" spans="2:11" ht="14.5" customHeight="1" x14ac:dyDescent="0.2">
      <c r="B212" s="418"/>
      <c r="C212" s="117"/>
      <c r="D212" s="117" t="s">
        <v>844</v>
      </c>
      <c r="E212" s="122"/>
      <c r="F212" s="174"/>
      <c r="G212" s="174"/>
      <c r="H212" s="122"/>
      <c r="I212" s="122"/>
      <c r="J212" s="170"/>
      <c r="K212" s="170"/>
    </row>
    <row r="213" spans="2:11" ht="14.5" customHeight="1" x14ac:dyDescent="0.2">
      <c r="B213" s="418"/>
      <c r="C213" s="119"/>
      <c r="D213" s="119" t="s">
        <v>715</v>
      </c>
      <c r="E213" s="123"/>
      <c r="F213" s="175"/>
      <c r="G213" s="175"/>
      <c r="H213" s="123"/>
      <c r="I213" s="123"/>
      <c r="J213" s="189"/>
      <c r="K213" s="189"/>
    </row>
    <row r="214" spans="2:11" ht="14.5" customHeight="1" x14ac:dyDescent="0.2">
      <c r="B214" s="418"/>
      <c r="C214" s="119"/>
      <c r="D214" s="119" t="s">
        <v>74</v>
      </c>
      <c r="E214" s="123"/>
      <c r="F214" s="175"/>
      <c r="G214" s="175"/>
      <c r="H214" s="123"/>
      <c r="I214" s="123"/>
      <c r="J214" s="189"/>
      <c r="K214" s="189"/>
    </row>
    <row r="215" spans="2:11" ht="14.5" customHeight="1" x14ac:dyDescent="0.2">
      <c r="B215" s="419"/>
      <c r="C215" s="127"/>
      <c r="D215" s="127" t="s">
        <v>557</v>
      </c>
      <c r="E215" s="124"/>
      <c r="F215" s="176"/>
      <c r="G215" s="176"/>
      <c r="H215" s="124"/>
      <c r="I215" s="124"/>
      <c r="J215" s="190"/>
      <c r="K215" s="190"/>
    </row>
    <row r="216" spans="2:11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74"/>
      <c r="H216" s="122"/>
      <c r="I216" s="122"/>
      <c r="J216" s="170"/>
      <c r="K216" s="170"/>
    </row>
    <row r="217" spans="2:11" ht="14.5" customHeight="1" x14ac:dyDescent="0.2">
      <c r="B217" s="418"/>
      <c r="C217" s="117"/>
      <c r="D217" s="117" t="s">
        <v>624</v>
      </c>
      <c r="E217" s="122"/>
      <c r="F217" s="174"/>
      <c r="G217" s="174"/>
      <c r="H217" s="122"/>
      <c r="I217" s="122"/>
      <c r="J217" s="170"/>
      <c r="K217" s="170"/>
    </row>
    <row r="218" spans="2:11" ht="14.5" customHeight="1" x14ac:dyDescent="0.2">
      <c r="B218" s="418"/>
      <c r="C218" s="117"/>
      <c r="D218" s="117" t="s">
        <v>845</v>
      </c>
      <c r="E218" s="122"/>
      <c r="F218" s="174"/>
      <c r="G218" s="174"/>
      <c r="H218" s="122"/>
      <c r="I218" s="122"/>
      <c r="J218" s="170"/>
      <c r="K218" s="170"/>
    </row>
    <row r="219" spans="2:11" ht="14.5" customHeight="1" x14ac:dyDescent="0.2">
      <c r="B219" s="418"/>
      <c r="C219" s="119"/>
      <c r="D219" s="119" t="s">
        <v>730</v>
      </c>
      <c r="E219" s="123"/>
      <c r="F219" s="175"/>
      <c r="G219" s="175"/>
      <c r="H219" s="123"/>
      <c r="I219" s="123"/>
      <c r="J219" s="189"/>
      <c r="K219" s="189"/>
    </row>
    <row r="220" spans="2:11" ht="14.5" customHeight="1" x14ac:dyDescent="0.2">
      <c r="B220" s="419"/>
      <c r="C220" s="127"/>
      <c r="D220" s="127" t="s">
        <v>622</v>
      </c>
      <c r="E220" s="124"/>
      <c r="F220" s="176"/>
      <c r="G220" s="176"/>
      <c r="H220" s="124"/>
      <c r="I220" s="124"/>
      <c r="J220" s="190"/>
      <c r="K220" s="190"/>
    </row>
    <row r="221" spans="2:11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74"/>
      <c r="H221" s="122"/>
      <c r="I221" s="122"/>
      <c r="J221" s="170"/>
      <c r="K221" s="170"/>
    </row>
    <row r="222" spans="2:11" ht="14.5" customHeight="1" x14ac:dyDescent="0.2">
      <c r="B222" s="418"/>
      <c r="C222" s="117"/>
      <c r="D222" s="117" t="s">
        <v>627</v>
      </c>
      <c r="E222" s="122"/>
      <c r="F222" s="174"/>
      <c r="G222" s="174"/>
      <c r="H222" s="122"/>
      <c r="I222" s="122"/>
      <c r="J222" s="170"/>
      <c r="K222" s="170"/>
    </row>
    <row r="223" spans="2:11" ht="14.5" customHeight="1" x14ac:dyDescent="0.2">
      <c r="B223" s="418"/>
      <c r="C223" s="117"/>
      <c r="D223" s="117" t="s">
        <v>846</v>
      </c>
      <c r="E223" s="122"/>
      <c r="F223" s="174"/>
      <c r="G223" s="174"/>
      <c r="H223" s="122"/>
      <c r="I223" s="122"/>
      <c r="J223" s="170"/>
      <c r="K223" s="170"/>
    </row>
    <row r="224" spans="2:11" ht="14.5" customHeight="1" x14ac:dyDescent="0.2">
      <c r="B224" s="418"/>
      <c r="C224" s="119"/>
      <c r="D224" s="119" t="s">
        <v>732</v>
      </c>
      <c r="E224" s="123"/>
      <c r="F224" s="175"/>
      <c r="G224" s="175"/>
      <c r="H224" s="123"/>
      <c r="I224" s="123"/>
      <c r="J224" s="189"/>
      <c r="K224" s="189"/>
    </row>
    <row r="225" spans="2:11" ht="14.5" customHeight="1" x14ac:dyDescent="0.2">
      <c r="B225" s="419"/>
      <c r="C225" s="127"/>
      <c r="D225" s="127" t="s">
        <v>628</v>
      </c>
      <c r="E225" s="124"/>
      <c r="F225" s="176"/>
      <c r="G225" s="176"/>
      <c r="H225" s="124"/>
      <c r="I225" s="124"/>
      <c r="J225" s="190"/>
      <c r="K225" s="190"/>
    </row>
    <row r="226" spans="2:11" ht="14.5" customHeight="1" x14ac:dyDescent="0.2">
      <c r="B226" s="127"/>
      <c r="C226" s="127"/>
      <c r="D226" s="127" t="s">
        <v>629</v>
      </c>
      <c r="E226" s="124"/>
      <c r="F226" s="176"/>
      <c r="G226" s="176"/>
      <c r="H226" s="124"/>
      <c r="I226" s="124"/>
      <c r="J226" s="190"/>
      <c r="K226" s="190"/>
    </row>
    <row r="227" spans="2:11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74"/>
      <c r="H227" s="122"/>
      <c r="I227" s="122"/>
      <c r="J227" s="170"/>
      <c r="K227" s="170"/>
    </row>
    <row r="228" spans="2:11" ht="14.5" customHeight="1" x14ac:dyDescent="0.2">
      <c r="B228" s="418"/>
      <c r="C228" s="117"/>
      <c r="D228" s="117" t="s">
        <v>544</v>
      </c>
      <c r="E228" s="122"/>
      <c r="F228" s="174"/>
      <c r="G228" s="174"/>
      <c r="H228" s="122"/>
      <c r="I228" s="122"/>
      <c r="J228" s="170"/>
      <c r="K228" s="170"/>
    </row>
    <row r="229" spans="2:11" ht="14.5" customHeight="1" x14ac:dyDescent="0.2">
      <c r="B229" s="418"/>
      <c r="C229" s="117"/>
      <c r="D229" s="117" t="s">
        <v>545</v>
      </c>
      <c r="E229" s="122"/>
      <c r="F229" s="174"/>
      <c r="G229" s="174"/>
      <c r="H229" s="122"/>
      <c r="I229" s="122"/>
      <c r="J229" s="170"/>
      <c r="K229" s="170"/>
    </row>
    <row r="230" spans="2:11" ht="14.5" customHeight="1" x14ac:dyDescent="0.2">
      <c r="B230" s="418"/>
      <c r="C230" s="117"/>
      <c r="D230" s="117" t="s">
        <v>806</v>
      </c>
      <c r="E230" s="122"/>
      <c r="F230" s="174"/>
      <c r="G230" s="174"/>
      <c r="H230" s="122"/>
      <c r="I230" s="122"/>
      <c r="J230" s="170"/>
      <c r="K230" s="170"/>
    </row>
    <row r="231" spans="2:11" ht="14.5" customHeight="1" x14ac:dyDescent="0.2">
      <c r="B231" s="418"/>
      <c r="C231" s="117"/>
      <c r="D231" s="117" t="s">
        <v>630</v>
      </c>
      <c r="E231" s="122"/>
      <c r="F231" s="174"/>
      <c r="G231" s="174"/>
      <c r="H231" s="122"/>
      <c r="I231" s="122"/>
      <c r="J231" s="170"/>
      <c r="K231" s="170"/>
    </row>
    <row r="232" spans="2:11" ht="14.5" customHeight="1" x14ac:dyDescent="0.2">
      <c r="B232" s="418"/>
      <c r="C232" s="117"/>
      <c r="D232" s="117" t="s">
        <v>546</v>
      </c>
      <c r="E232" s="122"/>
      <c r="F232" s="174"/>
      <c r="G232" s="174"/>
      <c r="H232" s="122"/>
      <c r="I232" s="122"/>
      <c r="J232" s="170"/>
      <c r="K232" s="170"/>
    </row>
    <row r="233" spans="2:11" ht="14.5" customHeight="1" x14ac:dyDescent="0.2">
      <c r="B233" s="418"/>
      <c r="C233" s="117"/>
      <c r="D233" s="117" t="s">
        <v>547</v>
      </c>
      <c r="E233" s="122"/>
      <c r="F233" s="174"/>
      <c r="G233" s="174"/>
      <c r="H233" s="122"/>
      <c r="I233" s="122"/>
      <c r="J233" s="170"/>
      <c r="K233" s="170"/>
    </row>
    <row r="234" spans="2:11" ht="14.5" customHeight="1" x14ac:dyDescent="0.2">
      <c r="B234" s="418"/>
      <c r="C234" s="119"/>
      <c r="D234" s="119" t="s">
        <v>694</v>
      </c>
      <c r="E234" s="123"/>
      <c r="F234" s="175"/>
      <c r="G234" s="175"/>
      <c r="H234" s="123"/>
      <c r="I234" s="123"/>
      <c r="J234" s="189"/>
      <c r="K234" s="189"/>
    </row>
    <row r="235" spans="2:11" ht="14.5" customHeight="1" x14ac:dyDescent="0.2">
      <c r="B235" s="418"/>
      <c r="C235" s="117"/>
      <c r="D235" s="117" t="s">
        <v>631</v>
      </c>
      <c r="E235" s="122"/>
      <c r="F235" s="174"/>
      <c r="G235" s="174"/>
      <c r="H235" s="122"/>
      <c r="I235" s="122"/>
      <c r="J235" s="170"/>
      <c r="K235" s="170"/>
    </row>
    <row r="236" spans="2:11" ht="14.5" customHeight="1" x14ac:dyDescent="0.2">
      <c r="B236" s="418"/>
      <c r="C236" s="117"/>
      <c r="D236" s="117" t="s">
        <v>847</v>
      </c>
      <c r="E236" s="122"/>
      <c r="F236" s="174"/>
      <c r="G236" s="174"/>
      <c r="H236" s="122"/>
      <c r="I236" s="122"/>
      <c r="J236" s="170"/>
      <c r="K236" s="170"/>
    </row>
    <row r="237" spans="2:11" ht="14.5" customHeight="1" x14ac:dyDescent="0.2">
      <c r="B237" s="418"/>
      <c r="C237" s="117"/>
      <c r="D237" s="117" t="s">
        <v>848</v>
      </c>
      <c r="E237" s="122"/>
      <c r="F237" s="174"/>
      <c r="G237" s="174"/>
      <c r="H237" s="122"/>
      <c r="I237" s="122"/>
      <c r="J237" s="170"/>
      <c r="K237" s="170"/>
    </row>
    <row r="238" spans="2:11" ht="14.5" customHeight="1" x14ac:dyDescent="0.2">
      <c r="B238" s="418"/>
      <c r="C238" s="117"/>
      <c r="D238" s="117" t="s">
        <v>849</v>
      </c>
      <c r="E238" s="122"/>
      <c r="F238" s="174"/>
      <c r="G238" s="174"/>
      <c r="H238" s="122"/>
      <c r="I238" s="122"/>
      <c r="J238" s="170"/>
      <c r="K238" s="170"/>
    </row>
    <row r="239" spans="2:11" ht="14.5" customHeight="1" x14ac:dyDescent="0.2">
      <c r="B239" s="418"/>
      <c r="C239" s="117"/>
      <c r="D239" s="117" t="s">
        <v>605</v>
      </c>
      <c r="E239" s="122"/>
      <c r="F239" s="174"/>
      <c r="G239" s="174"/>
      <c r="H239" s="122"/>
      <c r="I239" s="122"/>
      <c r="J239" s="170"/>
      <c r="K239" s="170"/>
    </row>
    <row r="240" spans="2:11" ht="14.5" customHeight="1" x14ac:dyDescent="0.2">
      <c r="B240" s="418"/>
      <c r="C240" s="119"/>
      <c r="D240" s="119" t="s">
        <v>896</v>
      </c>
      <c r="E240" s="123"/>
      <c r="F240" s="175"/>
      <c r="G240" s="175"/>
      <c r="H240" s="123"/>
      <c r="I240" s="123"/>
      <c r="J240" s="189"/>
      <c r="K240" s="189"/>
    </row>
    <row r="241" spans="2:11" ht="14.5" customHeight="1" x14ac:dyDescent="0.2">
      <c r="B241" s="418"/>
      <c r="C241" s="119"/>
      <c r="D241" s="119" t="s">
        <v>73</v>
      </c>
      <c r="E241" s="123"/>
      <c r="F241" s="175"/>
      <c r="G241" s="175"/>
      <c r="H241" s="123"/>
      <c r="I241" s="123"/>
      <c r="J241" s="189"/>
      <c r="K241" s="189"/>
    </row>
    <row r="242" spans="2:11" ht="14.5" customHeight="1" x14ac:dyDescent="0.2">
      <c r="B242" s="419"/>
      <c r="C242" s="127"/>
      <c r="D242" s="127" t="s">
        <v>604</v>
      </c>
      <c r="E242" s="124"/>
      <c r="F242" s="176"/>
      <c r="G242" s="176"/>
      <c r="H242" s="124"/>
      <c r="I242" s="124"/>
      <c r="J242" s="190"/>
      <c r="K242" s="190"/>
    </row>
    <row r="243" spans="2:11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74"/>
      <c r="H243" s="122"/>
      <c r="I243" s="122"/>
      <c r="J243" s="170"/>
      <c r="K243" s="170"/>
    </row>
    <row r="244" spans="2:11" ht="14.5" customHeight="1" x14ac:dyDescent="0.2">
      <c r="B244" s="418"/>
      <c r="C244" s="117"/>
      <c r="D244" s="117" t="s">
        <v>635</v>
      </c>
      <c r="E244" s="122"/>
      <c r="F244" s="174"/>
      <c r="G244" s="174"/>
      <c r="H244" s="122"/>
      <c r="I244" s="122"/>
      <c r="J244" s="170"/>
      <c r="K244" s="170"/>
    </row>
    <row r="245" spans="2:11" ht="14.5" customHeight="1" x14ac:dyDescent="0.2">
      <c r="B245" s="418"/>
      <c r="C245" s="117"/>
      <c r="D245" s="117" t="s">
        <v>636</v>
      </c>
      <c r="E245" s="122"/>
      <c r="F245" s="174"/>
      <c r="G245" s="174"/>
      <c r="H245" s="122"/>
      <c r="I245" s="122"/>
      <c r="J245" s="170"/>
      <c r="K245" s="170"/>
    </row>
    <row r="246" spans="2:11" ht="14.5" customHeight="1" x14ac:dyDescent="0.2">
      <c r="B246" s="418"/>
      <c r="C246" s="117"/>
      <c r="D246" s="117" t="s">
        <v>807</v>
      </c>
      <c r="E246" s="122"/>
      <c r="F246" s="174"/>
      <c r="G246" s="174"/>
      <c r="H246" s="122"/>
      <c r="I246" s="122"/>
      <c r="J246" s="170"/>
      <c r="K246" s="170"/>
    </row>
    <row r="247" spans="2:11" ht="14.5" customHeight="1" x14ac:dyDescent="0.2">
      <c r="B247" s="418"/>
      <c r="C247" s="117"/>
      <c r="D247" s="117" t="s">
        <v>637</v>
      </c>
      <c r="E247" s="122"/>
      <c r="F247" s="174"/>
      <c r="G247" s="174"/>
      <c r="H247" s="122"/>
      <c r="I247" s="122"/>
      <c r="J247" s="170"/>
      <c r="K247" s="170"/>
    </row>
    <row r="248" spans="2:11" ht="14.5" customHeight="1" x14ac:dyDescent="0.2">
      <c r="B248" s="418"/>
      <c r="C248" s="119"/>
      <c r="D248" s="119" t="s">
        <v>702</v>
      </c>
      <c r="E248" s="123"/>
      <c r="F248" s="175"/>
      <c r="G248" s="175"/>
      <c r="H248" s="123"/>
      <c r="I248" s="123"/>
      <c r="J248" s="189"/>
      <c r="K248" s="189"/>
    </row>
    <row r="249" spans="2:11" ht="14.5" customHeight="1" x14ac:dyDescent="0.2">
      <c r="B249" s="419"/>
      <c r="C249" s="127"/>
      <c r="D249" s="127" t="s">
        <v>633</v>
      </c>
      <c r="E249" s="124"/>
      <c r="F249" s="176"/>
      <c r="G249" s="176"/>
      <c r="H249" s="124"/>
      <c r="I249" s="124"/>
      <c r="J249" s="190"/>
      <c r="K249" s="190"/>
    </row>
    <row r="250" spans="2:11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74"/>
      <c r="H250" s="122"/>
      <c r="I250" s="122"/>
      <c r="J250" s="170"/>
      <c r="K250" s="170"/>
    </row>
    <row r="251" spans="2:11" ht="14.5" customHeight="1" x14ac:dyDescent="0.2">
      <c r="B251" s="418"/>
      <c r="C251" s="117"/>
      <c r="D251" s="117" t="s">
        <v>567</v>
      </c>
      <c r="E251" s="122"/>
      <c r="F251" s="174"/>
      <c r="G251" s="174"/>
      <c r="H251" s="122"/>
      <c r="I251" s="122"/>
      <c r="J251" s="170"/>
      <c r="K251" s="170"/>
    </row>
    <row r="252" spans="2:11" ht="14.5" customHeight="1" x14ac:dyDescent="0.2">
      <c r="B252" s="418"/>
      <c r="C252" s="117"/>
      <c r="D252" s="117" t="s">
        <v>569</v>
      </c>
      <c r="E252" s="122"/>
      <c r="F252" s="174"/>
      <c r="G252" s="174"/>
      <c r="H252" s="122"/>
      <c r="I252" s="122"/>
      <c r="J252" s="170"/>
      <c r="K252" s="170"/>
    </row>
    <row r="253" spans="2:11" ht="14.5" customHeight="1" x14ac:dyDescent="0.2">
      <c r="B253" s="418"/>
      <c r="C253" s="117"/>
      <c r="D253" s="117" t="s">
        <v>808</v>
      </c>
      <c r="E253" s="122"/>
      <c r="F253" s="174"/>
      <c r="G253" s="174"/>
      <c r="H253" s="122"/>
      <c r="I253" s="122"/>
      <c r="J253" s="170"/>
      <c r="K253" s="170"/>
    </row>
    <row r="254" spans="2:11" ht="14.5" customHeight="1" x14ac:dyDescent="0.2">
      <c r="B254" s="418"/>
      <c r="C254" s="117"/>
      <c r="D254" s="117" t="s">
        <v>568</v>
      </c>
      <c r="E254" s="122"/>
      <c r="F254" s="174"/>
      <c r="G254" s="174"/>
      <c r="H254" s="122"/>
      <c r="I254" s="122"/>
      <c r="J254" s="170"/>
      <c r="K254" s="170"/>
    </row>
    <row r="255" spans="2:11" ht="14.5" customHeight="1" x14ac:dyDescent="0.2">
      <c r="B255" s="418"/>
      <c r="C255" s="117"/>
      <c r="D255" s="117" t="s">
        <v>566</v>
      </c>
      <c r="E255" s="122"/>
      <c r="F255" s="174"/>
      <c r="G255" s="174"/>
      <c r="H255" s="122"/>
      <c r="I255" s="122"/>
      <c r="J255" s="170"/>
      <c r="K255" s="170"/>
    </row>
    <row r="256" spans="2:11" ht="14.5" customHeight="1" x14ac:dyDescent="0.2">
      <c r="B256" s="418"/>
      <c r="C256" s="117"/>
      <c r="D256" s="117" t="s">
        <v>570</v>
      </c>
      <c r="E256" s="122"/>
      <c r="F256" s="174"/>
      <c r="G256" s="174"/>
      <c r="H256" s="122"/>
      <c r="I256" s="122"/>
      <c r="J256" s="170"/>
      <c r="K256" s="170"/>
    </row>
    <row r="257" spans="2:11" ht="14.5" customHeight="1" x14ac:dyDescent="0.2">
      <c r="B257" s="418"/>
      <c r="C257" s="119"/>
      <c r="D257" s="119" t="s">
        <v>734</v>
      </c>
      <c r="E257" s="123"/>
      <c r="F257" s="175"/>
      <c r="G257" s="175"/>
      <c r="H257" s="123"/>
      <c r="I257" s="123"/>
      <c r="J257" s="189"/>
      <c r="K257" s="189"/>
    </row>
    <row r="258" spans="2:11" ht="14.5" customHeight="1" x14ac:dyDescent="0.2">
      <c r="B258" s="419"/>
      <c r="C258" s="127"/>
      <c r="D258" s="127" t="s">
        <v>51</v>
      </c>
      <c r="E258" s="124"/>
      <c r="F258" s="176"/>
      <c r="G258" s="176"/>
      <c r="H258" s="124"/>
      <c r="I258" s="124"/>
      <c r="J258" s="190"/>
      <c r="K258" s="190"/>
    </row>
    <row r="259" spans="2:11" ht="14.5" customHeight="1" x14ac:dyDescent="0.2">
      <c r="B259" s="127"/>
      <c r="C259" s="127"/>
      <c r="D259" s="127" t="s">
        <v>638</v>
      </c>
      <c r="E259" s="124"/>
      <c r="F259" s="176"/>
      <c r="G259" s="176"/>
      <c r="H259" s="124"/>
      <c r="I259" s="124"/>
      <c r="J259" s="190"/>
      <c r="K259" s="190"/>
    </row>
    <row r="260" spans="2:11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74"/>
      <c r="H260" s="122"/>
      <c r="I260" s="122"/>
      <c r="J260" s="170"/>
      <c r="K260" s="170"/>
    </row>
    <row r="261" spans="2:11" ht="14.5" customHeight="1" x14ac:dyDescent="0.2">
      <c r="B261" s="418"/>
      <c r="C261" s="117"/>
      <c r="D261" s="117" t="s">
        <v>609</v>
      </c>
      <c r="E261" s="122"/>
      <c r="F261" s="174"/>
      <c r="G261" s="174"/>
      <c r="H261" s="122"/>
      <c r="I261" s="122"/>
      <c r="J261" s="170"/>
      <c r="K261" s="170"/>
    </row>
    <row r="262" spans="2:11" ht="14.5" customHeight="1" x14ac:dyDescent="0.2">
      <c r="B262" s="418"/>
      <c r="C262" s="117"/>
      <c r="D262" s="117" t="s">
        <v>610</v>
      </c>
      <c r="E262" s="122"/>
      <c r="F262" s="174"/>
      <c r="G262" s="174"/>
      <c r="H262" s="122"/>
      <c r="I262" s="122"/>
      <c r="J262" s="170"/>
      <c r="K262" s="170"/>
    </row>
    <row r="263" spans="2:11" ht="14.5" customHeight="1" x14ac:dyDescent="0.2">
      <c r="B263" s="418"/>
      <c r="C263" s="117"/>
      <c r="D263" s="117" t="s">
        <v>611</v>
      </c>
      <c r="E263" s="122"/>
      <c r="F263" s="174"/>
      <c r="G263" s="174"/>
      <c r="H263" s="122"/>
      <c r="I263" s="122"/>
      <c r="J263" s="170"/>
      <c r="K263" s="170"/>
    </row>
    <row r="264" spans="2:11" ht="14.5" customHeight="1" x14ac:dyDescent="0.2">
      <c r="B264" s="418"/>
      <c r="C264" s="117"/>
      <c r="D264" s="117" t="s">
        <v>850</v>
      </c>
      <c r="E264" s="122"/>
      <c r="F264" s="174"/>
      <c r="G264" s="174"/>
      <c r="H264" s="122"/>
      <c r="I264" s="122"/>
      <c r="J264" s="170"/>
      <c r="K264" s="170"/>
    </row>
    <row r="265" spans="2:11" ht="14.5" customHeight="1" x14ac:dyDescent="0.2">
      <c r="B265" s="418"/>
      <c r="C265" s="119"/>
      <c r="D265" s="119" t="s">
        <v>743</v>
      </c>
      <c r="E265" s="123"/>
      <c r="F265" s="175"/>
      <c r="G265" s="175"/>
      <c r="H265" s="123"/>
      <c r="I265" s="123"/>
      <c r="J265" s="189"/>
      <c r="K265" s="189"/>
    </row>
    <row r="266" spans="2:11" ht="14.5" customHeight="1" x14ac:dyDescent="0.2">
      <c r="B266" s="418"/>
      <c r="C266" s="117"/>
      <c r="D266" s="117" t="s">
        <v>606</v>
      </c>
      <c r="E266" s="122"/>
      <c r="F266" s="174"/>
      <c r="G266" s="174"/>
      <c r="H266" s="122"/>
      <c r="I266" s="122"/>
      <c r="J266" s="170"/>
      <c r="K266" s="170"/>
    </row>
    <row r="267" spans="2:11" ht="14.5" customHeight="1" x14ac:dyDescent="0.2">
      <c r="B267" s="418"/>
      <c r="C267" s="117"/>
      <c r="D267" s="117" t="s">
        <v>901</v>
      </c>
      <c r="E267" s="122"/>
      <c r="F267" s="174"/>
      <c r="G267" s="174"/>
      <c r="H267" s="122"/>
      <c r="I267" s="122"/>
      <c r="J267" s="170"/>
      <c r="K267" s="170"/>
    </row>
    <row r="268" spans="2:11" ht="14.5" customHeight="1" x14ac:dyDescent="0.2">
      <c r="B268" s="418"/>
      <c r="C268" s="117"/>
      <c r="D268" s="117" t="s">
        <v>607</v>
      </c>
      <c r="E268" s="122"/>
      <c r="F268" s="174"/>
      <c r="G268" s="174"/>
      <c r="H268" s="122"/>
      <c r="I268" s="122"/>
      <c r="J268" s="170"/>
      <c r="K268" s="170"/>
    </row>
    <row r="269" spans="2:11" ht="14.5" customHeight="1" x14ac:dyDescent="0.2">
      <c r="B269" s="418"/>
      <c r="C269" s="117"/>
      <c r="D269" s="117" t="s">
        <v>608</v>
      </c>
      <c r="E269" s="122"/>
      <c r="F269" s="174"/>
      <c r="G269" s="174"/>
      <c r="H269" s="122"/>
      <c r="I269" s="122"/>
      <c r="J269" s="170"/>
      <c r="K269" s="170"/>
    </row>
    <row r="270" spans="2:11" ht="14.5" customHeight="1" x14ac:dyDescent="0.2">
      <c r="B270" s="418"/>
      <c r="C270" s="117"/>
      <c r="D270" s="117" t="s">
        <v>640</v>
      </c>
      <c r="E270" s="122"/>
      <c r="F270" s="174"/>
      <c r="G270" s="174"/>
      <c r="H270" s="122"/>
      <c r="I270" s="122"/>
      <c r="J270" s="170"/>
      <c r="K270" s="170"/>
    </row>
    <row r="271" spans="2:11" ht="14.5" customHeight="1" x14ac:dyDescent="0.2">
      <c r="B271" s="418"/>
      <c r="C271" s="117"/>
      <c r="D271" s="117" t="s">
        <v>851</v>
      </c>
      <c r="E271" s="122"/>
      <c r="F271" s="174"/>
      <c r="G271" s="174"/>
      <c r="H271" s="122"/>
      <c r="I271" s="122"/>
      <c r="J271" s="170"/>
      <c r="K271" s="170"/>
    </row>
    <row r="272" spans="2:11" ht="14.5" customHeight="1" x14ac:dyDescent="0.2">
      <c r="B272" s="418"/>
      <c r="C272" s="119"/>
      <c r="D272" s="119" t="s">
        <v>898</v>
      </c>
      <c r="E272" s="123"/>
      <c r="F272" s="175"/>
      <c r="G272" s="175"/>
      <c r="H272" s="123"/>
      <c r="I272" s="123"/>
      <c r="J272" s="189"/>
      <c r="K272" s="189"/>
    </row>
    <row r="273" spans="2:11" ht="14.5" customHeight="1" x14ac:dyDescent="0.2">
      <c r="B273" s="418"/>
      <c r="C273" s="119"/>
      <c r="D273" s="119" t="s">
        <v>897</v>
      </c>
      <c r="E273" s="123"/>
      <c r="F273" s="175"/>
      <c r="G273" s="175"/>
      <c r="H273" s="123"/>
      <c r="I273" s="123"/>
      <c r="J273" s="189"/>
      <c r="K273" s="189"/>
    </row>
    <row r="274" spans="2:11" ht="14.5" customHeight="1" x14ac:dyDescent="0.2">
      <c r="B274" s="419"/>
      <c r="C274" s="127"/>
      <c r="D274" s="127" t="s">
        <v>639</v>
      </c>
      <c r="E274" s="124"/>
      <c r="F274" s="176"/>
      <c r="G274" s="176"/>
      <c r="H274" s="124"/>
      <c r="I274" s="124"/>
      <c r="J274" s="190"/>
      <c r="K274" s="190"/>
    </row>
    <row r="275" spans="2:11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74"/>
      <c r="H275" s="122"/>
      <c r="I275" s="122"/>
      <c r="J275" s="170"/>
      <c r="K275" s="170"/>
    </row>
    <row r="276" spans="2:11" ht="14.5" customHeight="1" x14ac:dyDescent="0.2">
      <c r="B276" s="418"/>
      <c r="C276" s="117"/>
      <c r="D276" s="117" t="s">
        <v>852</v>
      </c>
      <c r="E276" s="122"/>
      <c r="F276" s="174"/>
      <c r="G276" s="174"/>
      <c r="H276" s="122"/>
      <c r="I276" s="122"/>
      <c r="J276" s="170"/>
      <c r="K276" s="170"/>
    </row>
    <row r="277" spans="2:11" ht="14.5" customHeight="1" x14ac:dyDescent="0.2">
      <c r="B277" s="418"/>
      <c r="C277" s="117"/>
      <c r="D277" s="117" t="s">
        <v>853</v>
      </c>
      <c r="E277" s="122"/>
      <c r="F277" s="174"/>
      <c r="G277" s="174"/>
      <c r="H277" s="122"/>
      <c r="I277" s="122"/>
      <c r="J277" s="170"/>
      <c r="K277" s="170"/>
    </row>
    <row r="278" spans="2:11" ht="14.5" customHeight="1" x14ac:dyDescent="0.2">
      <c r="B278" s="418"/>
      <c r="C278" s="117"/>
      <c r="D278" s="117" t="s">
        <v>854</v>
      </c>
      <c r="E278" s="122"/>
      <c r="F278" s="174"/>
      <c r="G278" s="174"/>
      <c r="H278" s="122"/>
      <c r="I278" s="122"/>
      <c r="J278" s="170"/>
      <c r="K278" s="170"/>
    </row>
    <row r="279" spans="2:11" ht="14.5" customHeight="1" x14ac:dyDescent="0.2">
      <c r="B279" s="418"/>
      <c r="C279" s="119"/>
      <c r="D279" s="119" t="s">
        <v>746</v>
      </c>
      <c r="E279" s="123"/>
      <c r="F279" s="175"/>
      <c r="G279" s="175"/>
      <c r="H279" s="123"/>
      <c r="I279" s="123"/>
      <c r="J279" s="189"/>
      <c r="K279" s="189"/>
    </row>
    <row r="280" spans="2:11" ht="14.5" customHeight="1" x14ac:dyDescent="0.2">
      <c r="B280" s="419"/>
      <c r="C280" s="127"/>
      <c r="D280" s="127" t="s">
        <v>642</v>
      </c>
      <c r="E280" s="124"/>
      <c r="F280" s="176"/>
      <c r="G280" s="176"/>
      <c r="H280" s="124"/>
      <c r="I280" s="124"/>
      <c r="J280" s="190"/>
      <c r="K280" s="190"/>
    </row>
    <row r="281" spans="2:11" ht="14.5" customHeight="1" x14ac:dyDescent="0.2">
      <c r="B281" s="127"/>
      <c r="C281" s="127"/>
      <c r="D281" s="127" t="s">
        <v>643</v>
      </c>
      <c r="E281" s="124"/>
      <c r="F281" s="176"/>
      <c r="G281" s="176"/>
      <c r="H281" s="124"/>
      <c r="I281" s="124"/>
      <c r="J281" s="190"/>
      <c r="K281" s="190"/>
    </row>
    <row r="282" spans="2:11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74"/>
      <c r="H282" s="122"/>
      <c r="I282" s="122"/>
      <c r="J282" s="170"/>
      <c r="K282" s="170"/>
    </row>
    <row r="283" spans="2:11" ht="14.5" customHeight="1" x14ac:dyDescent="0.2">
      <c r="B283" s="418"/>
      <c r="C283" s="117"/>
      <c r="D283" s="117" t="s">
        <v>791</v>
      </c>
      <c r="E283" s="122"/>
      <c r="F283" s="174"/>
      <c r="G283" s="174"/>
      <c r="H283" s="122"/>
      <c r="I283" s="122"/>
      <c r="J283" s="170"/>
      <c r="K283" s="170"/>
    </row>
    <row r="284" spans="2:11" ht="14.5" customHeight="1" x14ac:dyDescent="0.2">
      <c r="B284" s="418"/>
      <c r="C284" s="117"/>
      <c r="D284" s="117" t="s">
        <v>647</v>
      </c>
      <c r="E284" s="122"/>
      <c r="F284" s="174"/>
      <c r="G284" s="174"/>
      <c r="H284" s="122"/>
      <c r="I284" s="122"/>
      <c r="J284" s="170"/>
      <c r="K284" s="170"/>
    </row>
    <row r="285" spans="2:11" ht="14.5" customHeight="1" x14ac:dyDescent="0.2">
      <c r="B285" s="418"/>
      <c r="C285" s="117"/>
      <c r="D285" s="117" t="s">
        <v>857</v>
      </c>
      <c r="E285" s="122"/>
      <c r="F285" s="174"/>
      <c r="G285" s="174"/>
      <c r="H285" s="122"/>
      <c r="I285" s="122"/>
      <c r="J285" s="170"/>
      <c r="K285" s="170"/>
    </row>
    <row r="286" spans="2:11" ht="14.5" customHeight="1" x14ac:dyDescent="0.2">
      <c r="B286" s="418"/>
      <c r="C286" s="117"/>
      <c r="D286" s="117" t="s">
        <v>648</v>
      </c>
      <c r="E286" s="122"/>
      <c r="F286" s="174"/>
      <c r="G286" s="174"/>
      <c r="H286" s="122"/>
      <c r="I286" s="122"/>
      <c r="J286" s="170"/>
      <c r="K286" s="170"/>
    </row>
    <row r="287" spans="2:11" ht="14.5" customHeight="1" x14ac:dyDescent="0.2">
      <c r="B287" s="418"/>
      <c r="C287" s="119"/>
      <c r="D287" s="119" t="s">
        <v>747</v>
      </c>
      <c r="E287" s="123"/>
      <c r="F287" s="175"/>
      <c r="G287" s="175"/>
      <c r="H287" s="123"/>
      <c r="I287" s="123"/>
      <c r="J287" s="189"/>
      <c r="K287" s="189"/>
    </row>
    <row r="288" spans="2:11" ht="14.5" customHeight="1" x14ac:dyDescent="0.2">
      <c r="B288" s="419"/>
      <c r="C288" s="127"/>
      <c r="D288" s="127" t="s">
        <v>645</v>
      </c>
      <c r="E288" s="124"/>
      <c r="F288" s="176"/>
      <c r="G288" s="176"/>
      <c r="H288" s="124"/>
      <c r="I288" s="124"/>
      <c r="J288" s="190"/>
      <c r="K288" s="190"/>
    </row>
    <row r="289" spans="2:11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74"/>
      <c r="H289" s="122"/>
      <c r="I289" s="122"/>
      <c r="J289" s="170"/>
      <c r="K289" s="170"/>
    </row>
    <row r="290" spans="2:11" ht="14.5" customHeight="1" x14ac:dyDescent="0.2">
      <c r="B290" s="418"/>
      <c r="C290" s="117"/>
      <c r="D290" s="117" t="s">
        <v>856</v>
      </c>
      <c r="E290" s="122"/>
      <c r="F290" s="174"/>
      <c r="G290" s="174"/>
      <c r="H290" s="122"/>
      <c r="I290" s="122"/>
      <c r="J290" s="170"/>
      <c r="K290" s="170"/>
    </row>
    <row r="291" spans="2:11" ht="14.5" customHeight="1" x14ac:dyDescent="0.2">
      <c r="B291" s="418"/>
      <c r="C291" s="119"/>
      <c r="D291" s="119" t="s">
        <v>899</v>
      </c>
      <c r="E291" s="123"/>
      <c r="F291" s="175"/>
      <c r="G291" s="175"/>
      <c r="H291" s="123"/>
      <c r="I291" s="123"/>
      <c r="J291" s="189"/>
      <c r="K291" s="189"/>
    </row>
    <row r="292" spans="2:11" ht="14.5" customHeight="1" x14ac:dyDescent="0.2">
      <c r="B292" s="419"/>
      <c r="C292" s="127"/>
      <c r="D292" s="127" t="s">
        <v>860</v>
      </c>
      <c r="E292" s="124"/>
      <c r="F292" s="176"/>
      <c r="G292" s="176"/>
      <c r="H292" s="124"/>
      <c r="I292" s="124"/>
      <c r="J292" s="190"/>
      <c r="K292" s="190"/>
    </row>
    <row r="293" spans="2:11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74"/>
      <c r="H293" s="122"/>
      <c r="I293" s="122"/>
      <c r="J293" s="170"/>
      <c r="K293" s="170"/>
    </row>
    <row r="294" spans="2:11" ht="14.5" customHeight="1" x14ac:dyDescent="0.2">
      <c r="B294" s="418"/>
      <c r="C294" s="117"/>
      <c r="D294" s="117" t="s">
        <v>861</v>
      </c>
      <c r="E294" s="122"/>
      <c r="F294" s="174"/>
      <c r="G294" s="174"/>
      <c r="H294" s="122"/>
      <c r="I294" s="122"/>
      <c r="J294" s="170"/>
      <c r="K294" s="170"/>
    </row>
    <row r="295" spans="2:11" ht="14.5" customHeight="1" x14ac:dyDescent="0.2">
      <c r="B295" s="418"/>
      <c r="C295" s="117"/>
      <c r="D295" s="117" t="s">
        <v>651</v>
      </c>
      <c r="E295" s="122"/>
      <c r="F295" s="174"/>
      <c r="G295" s="174"/>
      <c r="H295" s="122"/>
      <c r="I295" s="122"/>
      <c r="J295" s="170"/>
      <c r="K295" s="170"/>
    </row>
    <row r="296" spans="2:11" ht="14.5" customHeight="1" x14ac:dyDescent="0.2">
      <c r="B296" s="418"/>
      <c r="C296" s="117"/>
      <c r="D296" s="117" t="s">
        <v>652</v>
      </c>
      <c r="E296" s="122"/>
      <c r="F296" s="174"/>
      <c r="G296" s="174"/>
      <c r="H296" s="122"/>
      <c r="I296" s="122"/>
      <c r="J296" s="170"/>
      <c r="K296" s="170"/>
    </row>
    <row r="297" spans="2:11" ht="14.5" customHeight="1" x14ac:dyDescent="0.2">
      <c r="B297" s="418"/>
      <c r="C297" s="117"/>
      <c r="D297" s="117" t="s">
        <v>653</v>
      </c>
      <c r="E297" s="122"/>
      <c r="F297" s="174"/>
      <c r="G297" s="174"/>
      <c r="H297" s="122"/>
      <c r="I297" s="122"/>
      <c r="J297" s="170"/>
      <c r="K297" s="170"/>
    </row>
    <row r="298" spans="2:11" ht="14.5" customHeight="1" x14ac:dyDescent="0.2">
      <c r="B298" s="418"/>
      <c r="C298" s="119"/>
      <c r="D298" s="119" t="s">
        <v>754</v>
      </c>
      <c r="E298" s="123"/>
      <c r="F298" s="175"/>
      <c r="G298" s="175"/>
      <c r="H298" s="123"/>
      <c r="I298" s="123"/>
      <c r="J298" s="189"/>
      <c r="K298" s="189"/>
    </row>
    <row r="299" spans="2:11" ht="14.5" customHeight="1" x14ac:dyDescent="0.2">
      <c r="B299" s="419"/>
      <c r="C299" s="127"/>
      <c r="D299" s="127" t="s">
        <v>654</v>
      </c>
      <c r="E299" s="124"/>
      <c r="F299" s="176"/>
      <c r="G299" s="176"/>
      <c r="H299" s="124"/>
      <c r="I299" s="124"/>
      <c r="J299" s="190"/>
      <c r="K299" s="190"/>
    </row>
    <row r="300" spans="2:11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74"/>
      <c r="H300" s="122"/>
      <c r="I300" s="122"/>
      <c r="J300" s="170"/>
      <c r="K300" s="170"/>
    </row>
    <row r="301" spans="2:11" ht="14.5" customHeight="1" x14ac:dyDescent="0.2">
      <c r="B301" s="418"/>
      <c r="C301" s="117"/>
      <c r="D301" s="117" t="s">
        <v>657</v>
      </c>
      <c r="E301" s="122"/>
      <c r="F301" s="174"/>
      <c r="G301" s="174"/>
      <c r="H301" s="122"/>
      <c r="I301" s="122"/>
      <c r="J301" s="170"/>
      <c r="K301" s="170"/>
    </row>
    <row r="302" spans="2:11" ht="14.5" customHeight="1" x14ac:dyDescent="0.2">
      <c r="B302" s="418"/>
      <c r="C302" s="117"/>
      <c r="D302" s="117" t="s">
        <v>793</v>
      </c>
      <c r="E302" s="122"/>
      <c r="F302" s="174"/>
      <c r="G302" s="174"/>
      <c r="H302" s="122"/>
      <c r="I302" s="122"/>
      <c r="J302" s="170"/>
      <c r="K302" s="170"/>
    </row>
    <row r="303" spans="2:11" ht="14.5" customHeight="1" x14ac:dyDescent="0.2">
      <c r="B303" s="418"/>
      <c r="C303" s="117"/>
      <c r="D303" s="117" t="s">
        <v>862</v>
      </c>
      <c r="E303" s="122"/>
      <c r="F303" s="174"/>
      <c r="G303" s="174"/>
      <c r="H303" s="122"/>
      <c r="I303" s="122"/>
      <c r="J303" s="170"/>
      <c r="K303" s="170"/>
    </row>
    <row r="304" spans="2:11" ht="14.5" customHeight="1" x14ac:dyDescent="0.2">
      <c r="B304" s="418"/>
      <c r="C304" s="117"/>
      <c r="D304" s="117" t="s">
        <v>809</v>
      </c>
      <c r="E304" s="122"/>
      <c r="F304" s="174"/>
      <c r="G304" s="174"/>
      <c r="H304" s="122"/>
      <c r="I304" s="122"/>
      <c r="J304" s="170"/>
      <c r="K304" s="170"/>
    </row>
    <row r="305" spans="2:11" ht="14.5" customHeight="1" x14ac:dyDescent="0.2">
      <c r="B305" s="418"/>
      <c r="C305" s="117"/>
      <c r="D305" s="117" t="s">
        <v>794</v>
      </c>
      <c r="E305" s="122"/>
      <c r="F305" s="174"/>
      <c r="G305" s="174"/>
      <c r="H305" s="122"/>
      <c r="I305" s="122"/>
      <c r="J305" s="170"/>
      <c r="K305" s="170"/>
    </row>
    <row r="306" spans="2:11" ht="14.5" customHeight="1" x14ac:dyDescent="0.2">
      <c r="B306" s="418"/>
      <c r="C306" s="119"/>
      <c r="D306" s="119" t="s">
        <v>752</v>
      </c>
      <c r="E306" s="123"/>
      <c r="F306" s="175"/>
      <c r="G306" s="175"/>
      <c r="H306" s="123"/>
      <c r="I306" s="123"/>
      <c r="J306" s="189"/>
      <c r="K306" s="189"/>
    </row>
    <row r="307" spans="2:11" ht="14.5" customHeight="1" x14ac:dyDescent="0.2">
      <c r="B307" s="419"/>
      <c r="C307" s="127"/>
      <c r="D307" s="127" t="s">
        <v>656</v>
      </c>
      <c r="E307" s="124"/>
      <c r="F307" s="176"/>
      <c r="G307" s="176"/>
      <c r="H307" s="124"/>
      <c r="I307" s="124"/>
      <c r="J307" s="190"/>
      <c r="K307" s="190"/>
    </row>
    <row r="308" spans="2:11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74"/>
      <c r="H308" s="122"/>
      <c r="I308" s="122"/>
      <c r="J308" s="170"/>
      <c r="K308" s="170"/>
    </row>
    <row r="309" spans="2:11" ht="14.5" customHeight="1" x14ac:dyDescent="0.2">
      <c r="B309" s="418"/>
      <c r="C309" s="117"/>
      <c r="D309" s="117" t="s">
        <v>795</v>
      </c>
      <c r="E309" s="122"/>
      <c r="F309" s="174"/>
      <c r="G309" s="174"/>
      <c r="H309" s="122"/>
      <c r="I309" s="122"/>
      <c r="J309" s="170"/>
      <c r="K309" s="170"/>
    </row>
    <row r="310" spans="2:11" ht="14.5" customHeight="1" x14ac:dyDescent="0.2">
      <c r="B310" s="418"/>
      <c r="C310" s="117"/>
      <c r="D310" s="117" t="s">
        <v>661</v>
      </c>
      <c r="E310" s="122"/>
      <c r="F310" s="174"/>
      <c r="G310" s="174"/>
      <c r="H310" s="122"/>
      <c r="I310" s="122"/>
      <c r="J310" s="170"/>
      <c r="K310" s="170"/>
    </row>
    <row r="311" spans="2:11" ht="14.5" customHeight="1" x14ac:dyDescent="0.2">
      <c r="B311" s="418"/>
      <c r="C311" s="117"/>
      <c r="D311" s="117" t="s">
        <v>662</v>
      </c>
      <c r="E311" s="122"/>
      <c r="F311" s="174"/>
      <c r="G311" s="174"/>
      <c r="H311" s="122"/>
      <c r="I311" s="122"/>
      <c r="J311" s="170"/>
      <c r="K311" s="170"/>
    </row>
    <row r="312" spans="2:11" ht="14.5" customHeight="1" x14ac:dyDescent="0.2">
      <c r="B312" s="418"/>
      <c r="C312" s="119"/>
      <c r="D312" s="119" t="s">
        <v>759</v>
      </c>
      <c r="E312" s="123"/>
      <c r="F312" s="175"/>
      <c r="G312" s="175"/>
      <c r="H312" s="123"/>
      <c r="I312" s="123"/>
      <c r="J312" s="189"/>
      <c r="K312" s="189"/>
    </row>
    <row r="313" spans="2:11" ht="14.5" customHeight="1" x14ac:dyDescent="0.2">
      <c r="B313" s="419"/>
      <c r="C313" s="127"/>
      <c r="D313" s="127" t="s">
        <v>659</v>
      </c>
      <c r="E313" s="124"/>
      <c r="F313" s="176"/>
      <c r="G313" s="176"/>
      <c r="H313" s="124"/>
      <c r="I313" s="124"/>
      <c r="J313" s="190"/>
      <c r="K313" s="190"/>
    </row>
    <row r="314" spans="2:11" ht="14.5" customHeight="1" x14ac:dyDescent="0.2">
      <c r="B314" s="127"/>
      <c r="C314" s="127"/>
      <c r="D314" s="127" t="s">
        <v>863</v>
      </c>
      <c r="E314" s="124"/>
      <c r="F314" s="176"/>
      <c r="G314" s="176"/>
      <c r="H314" s="124"/>
      <c r="I314" s="124"/>
      <c r="J314" s="190"/>
      <c r="K314" s="190"/>
    </row>
    <row r="315" spans="2:11" ht="14.5" customHeight="1" x14ac:dyDescent="0.2">
      <c r="B315" s="127"/>
      <c r="C315" s="127"/>
      <c r="D315" s="127" t="s">
        <v>55</v>
      </c>
      <c r="E315" s="124"/>
      <c r="F315" s="176"/>
      <c r="G315" s="176"/>
      <c r="H315" s="124"/>
      <c r="I315" s="124"/>
      <c r="J315" s="190"/>
      <c r="K315" s="190"/>
    </row>
    <row r="316" spans="2:11" s="45" customFormat="1" ht="14.5" customHeight="1" x14ac:dyDescent="0.2">
      <c r="E316" s="102"/>
      <c r="F316" s="102"/>
      <c r="G316" s="240"/>
      <c r="H316" s="48"/>
      <c r="I316" s="128"/>
      <c r="J316" s="46"/>
      <c r="K316" s="46"/>
    </row>
    <row r="317" spans="2:11" s="45" customFormat="1" ht="14.5" customHeight="1" x14ac:dyDescent="0.2">
      <c r="E317" s="102"/>
      <c r="F317" s="102"/>
      <c r="G317" s="240"/>
      <c r="H317" s="48"/>
      <c r="I317" s="128"/>
      <c r="J317" s="46"/>
      <c r="K317" s="46"/>
    </row>
    <row r="318" spans="2:11" s="45" customFormat="1" ht="14.5" customHeight="1" x14ac:dyDescent="0.2">
      <c r="E318" s="102"/>
      <c r="F318" s="102"/>
      <c r="G318" s="240"/>
      <c r="H318" s="48"/>
      <c r="I318" s="128"/>
      <c r="J318" s="46"/>
      <c r="K318" s="46"/>
    </row>
    <row r="319" spans="2:11" s="45" customFormat="1" ht="14.5" customHeight="1" x14ac:dyDescent="0.2">
      <c r="E319" s="102"/>
      <c r="F319" s="102"/>
      <c r="G319" s="240"/>
      <c r="H319" s="48"/>
      <c r="I319" s="128"/>
      <c r="J319" s="46"/>
      <c r="K319" s="46"/>
    </row>
    <row r="320" spans="2:11" ht="14.5" customHeight="1" x14ac:dyDescent="0.2">
      <c r="B320" s="4" t="s">
        <v>882</v>
      </c>
      <c r="C320" s="5"/>
      <c r="D320" s="5"/>
      <c r="E320" s="98"/>
      <c r="F320" s="98"/>
      <c r="G320" s="159"/>
    </row>
    <row r="321" spans="2:11" ht="14.5" customHeight="1" x14ac:dyDescent="0.2">
      <c r="B321" s="8"/>
      <c r="C321" s="8"/>
      <c r="D321" s="8"/>
      <c r="E321" s="99"/>
      <c r="F321" s="99"/>
      <c r="G321" s="159"/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424" t="s">
        <v>137</v>
      </c>
      <c r="F322" s="424"/>
      <c r="G322" s="417" t="s">
        <v>56</v>
      </c>
      <c r="H322" s="394" t="s">
        <v>3</v>
      </c>
      <c r="I322" s="398" t="s">
        <v>422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91" t="s">
        <v>77</v>
      </c>
      <c r="F323" s="90" t="s">
        <v>58</v>
      </c>
      <c r="G323" s="417"/>
      <c r="H323" s="394"/>
      <c r="I323" s="398"/>
      <c r="J323" s="398"/>
      <c r="K323" s="398"/>
    </row>
    <row r="324" spans="2:11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74"/>
      <c r="H324" s="122"/>
      <c r="I324" s="122"/>
      <c r="J324" s="170"/>
      <c r="K324" s="170"/>
    </row>
    <row r="325" spans="2:11" ht="14.5" customHeight="1" x14ac:dyDescent="0.2">
      <c r="B325" s="418"/>
      <c r="C325" s="117"/>
      <c r="D325" s="117" t="s">
        <v>869</v>
      </c>
      <c r="E325" s="122"/>
      <c r="F325" s="174"/>
      <c r="G325" s="174"/>
      <c r="H325" s="122"/>
      <c r="I325" s="122"/>
      <c r="J325" s="170"/>
      <c r="K325" s="170"/>
    </row>
    <row r="326" spans="2:11" ht="14.5" customHeight="1" x14ac:dyDescent="0.2">
      <c r="B326" s="418"/>
      <c r="C326" s="117"/>
      <c r="D326" s="117" t="s">
        <v>870</v>
      </c>
      <c r="E326" s="122"/>
      <c r="F326" s="174"/>
      <c r="G326" s="174"/>
      <c r="H326" s="122"/>
      <c r="I326" s="122"/>
      <c r="J326" s="170"/>
      <c r="K326" s="170"/>
    </row>
    <row r="327" spans="2:11" ht="14.5" customHeight="1" x14ac:dyDescent="0.2">
      <c r="B327" s="418"/>
      <c r="C327" s="117"/>
      <c r="D327" s="117" t="s">
        <v>871</v>
      </c>
      <c r="E327" s="122"/>
      <c r="F327" s="174"/>
      <c r="G327" s="174"/>
      <c r="H327" s="122"/>
      <c r="I327" s="122"/>
      <c r="J327" s="170"/>
      <c r="K327" s="170"/>
    </row>
    <row r="328" spans="2:11" ht="14.5" customHeight="1" x14ac:dyDescent="0.2">
      <c r="B328" s="418"/>
      <c r="C328" s="117"/>
      <c r="D328" s="117" t="s">
        <v>872</v>
      </c>
      <c r="E328" s="122"/>
      <c r="F328" s="174"/>
      <c r="G328" s="174"/>
      <c r="H328" s="122"/>
      <c r="I328" s="122"/>
      <c r="J328" s="170"/>
      <c r="K328" s="170"/>
    </row>
    <row r="329" spans="2:11" ht="14.5" customHeight="1" x14ac:dyDescent="0.2">
      <c r="B329" s="418"/>
      <c r="C329" s="117"/>
      <c r="D329" s="117" t="s">
        <v>873</v>
      </c>
      <c r="E329" s="122"/>
      <c r="F329" s="174"/>
      <c r="G329" s="174"/>
      <c r="H329" s="122"/>
      <c r="I329" s="122"/>
      <c r="J329" s="170"/>
      <c r="K329" s="170"/>
    </row>
    <row r="330" spans="2:11" ht="14.5" customHeight="1" x14ac:dyDescent="0.2">
      <c r="B330" s="418"/>
      <c r="C330" s="117"/>
      <c r="D330" s="117" t="s">
        <v>874</v>
      </c>
      <c r="E330" s="122"/>
      <c r="F330" s="174"/>
      <c r="G330" s="174"/>
      <c r="H330" s="122"/>
      <c r="I330" s="122"/>
      <c r="J330" s="170"/>
      <c r="K330" s="170"/>
    </row>
    <row r="331" spans="2:11" ht="14.5" customHeight="1" x14ac:dyDescent="0.2">
      <c r="B331" s="418"/>
      <c r="C331" s="117"/>
      <c r="D331" s="117" t="s">
        <v>875</v>
      </c>
      <c r="E331" s="122"/>
      <c r="F331" s="174"/>
      <c r="G331" s="174"/>
      <c r="H331" s="122"/>
      <c r="I331" s="122"/>
      <c r="J331" s="170"/>
      <c r="K331" s="170"/>
    </row>
    <row r="332" spans="2:11" ht="14.5" customHeight="1" x14ac:dyDescent="0.2">
      <c r="B332" s="418"/>
      <c r="C332" s="117"/>
      <c r="D332" s="117" t="s">
        <v>876</v>
      </c>
      <c r="E332" s="122"/>
      <c r="F332" s="174"/>
      <c r="G332" s="174"/>
      <c r="H332" s="122"/>
      <c r="I332" s="122"/>
      <c r="J332" s="170"/>
      <c r="K332" s="170"/>
    </row>
    <row r="333" spans="2:11" ht="14.5" customHeight="1" x14ac:dyDescent="0.2">
      <c r="B333" s="418"/>
      <c r="C333" s="117"/>
      <c r="D333" s="117" t="s">
        <v>877</v>
      </c>
      <c r="E333" s="122"/>
      <c r="F333" s="174"/>
      <c r="G333" s="174"/>
      <c r="H333" s="122"/>
      <c r="I333" s="122"/>
      <c r="J333" s="170"/>
      <c r="K333" s="170"/>
    </row>
    <row r="334" spans="2:11" ht="14.5" customHeight="1" x14ac:dyDescent="0.2">
      <c r="B334" s="418"/>
      <c r="C334" s="119"/>
      <c r="D334" s="119" t="s">
        <v>892</v>
      </c>
      <c r="E334" s="123"/>
      <c r="F334" s="175"/>
      <c r="G334" s="175"/>
      <c r="H334" s="123"/>
      <c r="I334" s="123"/>
      <c r="J334" s="189"/>
      <c r="K334" s="189"/>
    </row>
    <row r="335" spans="2:11" ht="14.5" customHeight="1" x14ac:dyDescent="0.2">
      <c r="B335" s="418"/>
      <c r="C335" s="119"/>
      <c r="D335" s="119" t="s">
        <v>74</v>
      </c>
      <c r="E335" s="123"/>
      <c r="F335" s="175"/>
      <c r="G335" s="175"/>
      <c r="H335" s="123"/>
      <c r="I335" s="123"/>
      <c r="J335" s="189"/>
      <c r="K335" s="189"/>
    </row>
    <row r="336" spans="2:11" ht="14.5" customHeight="1" x14ac:dyDescent="0.2">
      <c r="B336" s="419"/>
      <c r="C336" s="127"/>
      <c r="D336" s="127" t="s">
        <v>866</v>
      </c>
      <c r="E336" s="124"/>
      <c r="F336" s="176"/>
      <c r="G336" s="176"/>
      <c r="H336" s="124"/>
      <c r="I336" s="124"/>
      <c r="J336" s="190"/>
      <c r="K336" s="190"/>
    </row>
    <row r="337" spans="2:11" ht="14.5" customHeight="1" x14ac:dyDescent="0.2">
      <c r="B337" s="127"/>
      <c r="C337" s="127"/>
      <c r="D337" s="127" t="s">
        <v>867</v>
      </c>
      <c r="E337" s="124"/>
      <c r="F337" s="176"/>
      <c r="G337" s="176"/>
      <c r="H337" s="124"/>
      <c r="I337" s="124"/>
      <c r="J337" s="190"/>
      <c r="K337" s="190"/>
    </row>
    <row r="338" spans="2:11" s="45" customFormat="1" ht="14.5" customHeight="1" x14ac:dyDescent="0.2">
      <c r="E338" s="102"/>
      <c r="F338" s="102"/>
      <c r="G338" s="240"/>
      <c r="H338" s="48"/>
      <c r="I338" s="128"/>
      <c r="J338" s="46"/>
      <c r="K338" s="46"/>
    </row>
    <row r="339" spans="2:11" s="45" customFormat="1" ht="14.5" customHeight="1" x14ac:dyDescent="0.2">
      <c r="E339" s="102"/>
      <c r="F339" s="102"/>
      <c r="G339" s="240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102"/>
      <c r="F340" s="102"/>
      <c r="G340" s="240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102"/>
      <c r="F341" s="102"/>
      <c r="G341" s="240" t="s">
        <v>138</v>
      </c>
      <c r="H341" s="48"/>
      <c r="I341" s="128">
        <f>'Pencapaian Effective Call'!I341</f>
        <v>4324500</v>
      </c>
      <c r="J341" s="46"/>
      <c r="K341" s="46"/>
    </row>
    <row r="342" spans="2:11" s="45" customFormat="1" ht="14.5" customHeight="1" x14ac:dyDescent="0.2">
      <c r="E342" s="102"/>
      <c r="F342" s="102"/>
      <c r="G342" s="240" t="s">
        <v>153</v>
      </c>
      <c r="H342" s="48"/>
      <c r="I342" s="128">
        <f>'Pencapaian New Open Outlet'!I342</f>
        <v>1949250</v>
      </c>
      <c r="J342" s="46"/>
      <c r="K342" s="46"/>
    </row>
    <row r="343" spans="2:11" s="45" customFormat="1" ht="14.5" customHeight="1" x14ac:dyDescent="0.2">
      <c r="E343" s="102"/>
      <c r="F343" s="102"/>
      <c r="G343" s="240" t="s">
        <v>79</v>
      </c>
      <c r="H343" s="48"/>
      <c r="I343" s="128">
        <f>'Pencapaian Active Outlet'!I343</f>
        <v>7007500</v>
      </c>
      <c r="J343" s="46"/>
      <c r="K343" s="46"/>
    </row>
    <row r="344" spans="2:11" s="45" customFormat="1" ht="14.5" customHeight="1" x14ac:dyDescent="0.2">
      <c r="E344" s="102"/>
      <c r="F344" s="102"/>
      <c r="G344" s="240" t="s">
        <v>136</v>
      </c>
      <c r="H344" s="48"/>
      <c r="I344" s="128">
        <f>SUM(I315,I147,I95,I77,I40,I337)</f>
        <v>1646000</v>
      </c>
      <c r="J344" s="46"/>
      <c r="K344" s="46"/>
    </row>
    <row r="345" spans="2:11" s="45" customFormat="1" ht="14.5" customHeight="1" x14ac:dyDescent="0.2">
      <c r="E345" s="102"/>
      <c r="F345" s="102"/>
      <c r="G345" s="240" t="s">
        <v>414</v>
      </c>
      <c r="I345" s="128">
        <f>'Pencapaian Product Display'!I345</f>
        <v>40000</v>
      </c>
      <c r="J345" s="46"/>
      <c r="K345" s="46"/>
    </row>
    <row r="346" spans="2:11" s="45" customFormat="1" ht="14.5" customHeight="1" x14ac:dyDescent="0.2">
      <c r="E346" s="102"/>
      <c r="F346" s="102"/>
      <c r="G346" s="240" t="s">
        <v>415</v>
      </c>
      <c r="I346" s="128">
        <f>'Pencapaian Sales Contract'!I346</f>
        <v>0</v>
      </c>
      <c r="J346" s="46"/>
      <c r="K346" s="46"/>
    </row>
    <row r="347" spans="2:11" ht="14.5" customHeight="1" x14ac:dyDescent="0.2">
      <c r="G347" s="240" t="s">
        <v>416</v>
      </c>
      <c r="H347" s="45"/>
      <c r="I347" s="128">
        <f>'Pencapaian Co-Branding'!I347</f>
        <v>0</v>
      </c>
      <c r="J347" s="46"/>
      <c r="K347" s="46"/>
    </row>
    <row r="348" spans="2:11" ht="14.5" customHeight="1" x14ac:dyDescent="0.2">
      <c r="G348" s="240" t="s">
        <v>417</v>
      </c>
      <c r="H348" s="45"/>
      <c r="I348" s="128">
        <f>'Pencapaian Join Event Activity'!I348</f>
        <v>50000</v>
      </c>
      <c r="J348" s="46"/>
      <c r="K348" s="46"/>
    </row>
    <row r="349" spans="2:11" ht="14.5" customHeight="1" x14ac:dyDescent="0.2">
      <c r="G349" s="240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241"/>
      <c r="I350" s="229"/>
      <c r="J350" s="46"/>
      <c r="K350" s="46"/>
    </row>
    <row r="351" spans="2:11" ht="14.5" customHeight="1" x14ac:dyDescent="0.2">
      <c r="G351" s="242" t="s">
        <v>62</v>
      </c>
      <c r="I351" s="235">
        <f>SUM(I339:I349)</f>
        <v>38916750</v>
      </c>
    </row>
  </sheetData>
  <mergeCells count="86">
    <mergeCell ref="H48:H49"/>
    <mergeCell ref="G48:G49"/>
    <mergeCell ref="H85:H86"/>
    <mergeCell ref="G85:G86"/>
    <mergeCell ref="D85:D86"/>
    <mergeCell ref="E85:F85"/>
    <mergeCell ref="K155:K156"/>
    <mergeCell ref="J155:J156"/>
    <mergeCell ref="H103:H104"/>
    <mergeCell ref="H155:H156"/>
    <mergeCell ref="K85:K86"/>
    <mergeCell ref="I85:I86"/>
    <mergeCell ref="I103:I104"/>
    <mergeCell ref="K103:K104"/>
    <mergeCell ref="J103:J104"/>
    <mergeCell ref="J85:J86"/>
    <mergeCell ref="I155:I156"/>
    <mergeCell ref="B243:B249"/>
    <mergeCell ref="B182:B189"/>
    <mergeCell ref="G103:G104"/>
    <mergeCell ref="G155:G156"/>
    <mergeCell ref="E155:F155"/>
    <mergeCell ref="D155:D156"/>
    <mergeCell ref="D103:D104"/>
    <mergeCell ref="E103:F103"/>
    <mergeCell ref="C103:C104"/>
    <mergeCell ref="B191:B199"/>
    <mergeCell ref="B200:B215"/>
    <mergeCell ref="B216:B220"/>
    <mergeCell ref="B221:B225"/>
    <mergeCell ref="B227:B242"/>
    <mergeCell ref="C155:C156"/>
    <mergeCell ref="B155:B156"/>
    <mergeCell ref="B166:B181"/>
    <mergeCell ref="B157:B165"/>
    <mergeCell ref="B91:B94"/>
    <mergeCell ref="B87:B90"/>
    <mergeCell ref="B121:B128"/>
    <mergeCell ref="B110:B115"/>
    <mergeCell ref="B129:B133"/>
    <mergeCell ref="B116:B120"/>
    <mergeCell ref="B105:B109"/>
    <mergeCell ref="B103:B104"/>
    <mergeCell ref="B134:B146"/>
    <mergeCell ref="B35:B39"/>
    <mergeCell ref="B50:B64"/>
    <mergeCell ref="B72:B76"/>
    <mergeCell ref="G3:G4"/>
    <mergeCell ref="B5:B28"/>
    <mergeCell ref="D3:D4"/>
    <mergeCell ref="E3:F3"/>
    <mergeCell ref="C3:C4"/>
    <mergeCell ref="E48:F48"/>
    <mergeCell ref="D48:D49"/>
    <mergeCell ref="B300:B307"/>
    <mergeCell ref="B308:B313"/>
    <mergeCell ref="K3:K4"/>
    <mergeCell ref="K48:K49"/>
    <mergeCell ref="H3:H4"/>
    <mergeCell ref="I3:I4"/>
    <mergeCell ref="I48:I49"/>
    <mergeCell ref="J48:J49"/>
    <mergeCell ref="J3:J4"/>
    <mergeCell ref="C48:C49"/>
    <mergeCell ref="C85:C86"/>
    <mergeCell ref="B29:B34"/>
    <mergeCell ref="B3:B4"/>
    <mergeCell ref="B65:B71"/>
    <mergeCell ref="B48:B49"/>
    <mergeCell ref="B85:B86"/>
    <mergeCell ref="B250:B258"/>
    <mergeCell ref="B260:B274"/>
    <mergeCell ref="B275:B280"/>
    <mergeCell ref="B282:B288"/>
    <mergeCell ref="B293:B299"/>
    <mergeCell ref="B289:B292"/>
    <mergeCell ref="H322:H323"/>
    <mergeCell ref="I322:I323"/>
    <mergeCell ref="J322:J323"/>
    <mergeCell ref="K322:K323"/>
    <mergeCell ref="B324:B336"/>
    <mergeCell ref="B322:B323"/>
    <mergeCell ref="C322:C323"/>
    <mergeCell ref="D322:D323"/>
    <mergeCell ref="E322:F322"/>
    <mergeCell ref="G322:G323"/>
  </mergeCells>
  <conditionalFormatting sqref="G5:G10 G14:G20 G51:G54 G56:G57 G59:G60">
    <cfRule type="cellIs" dxfId="23" priority="19" operator="greaterThan">
      <formula>1</formula>
    </cfRule>
    <cfRule type="cellIs" dxfId="22" priority="20" operator="greaterThan">
      <formula>0.7</formula>
    </cfRule>
    <cfRule type="cellIs" dxfId="21" priority="21" operator="lessThan">
      <formula>0.7</formula>
    </cfRule>
  </conditionalFormatting>
  <conditionalFormatting sqref="G25:G26">
    <cfRule type="cellIs" dxfId="20" priority="16" operator="greaterThan">
      <formula>1</formula>
    </cfRule>
    <cfRule type="cellIs" dxfId="19" priority="17" operator="greaterThan">
      <formula>0.7</formula>
    </cfRule>
    <cfRule type="cellIs" dxfId="18" priority="18" operator="lessThan">
      <formula>0.7</formula>
    </cfRule>
  </conditionalFormatting>
  <conditionalFormatting sqref="G63">
    <cfRule type="cellIs" dxfId="17" priority="4" operator="greaterThan">
      <formula>1</formula>
    </cfRule>
    <cfRule type="cellIs" dxfId="16" priority="5" operator="greaterThan">
      <formula>0.7</formula>
    </cfRule>
    <cfRule type="cellIs" dxfId="15" priority="6" operator="lessThan">
      <formula>0.7</formula>
    </cfRule>
  </conditionalFormatting>
  <conditionalFormatting sqref="G68">
    <cfRule type="cellIs" dxfId="14" priority="1" operator="greaterThan">
      <formula>1</formula>
    </cfRule>
    <cfRule type="cellIs" dxfId="13" priority="2" operator="greaterThan">
      <formula>0.7</formula>
    </cfRule>
    <cfRule type="cellIs" dxfId="12" priority="3" operator="lessThan">
      <formula>0.7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EE56-DECF-4078-BFC4-E975424C15C7}">
  <dimension ref="B1:L351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G123" sqref="G123"/>
    </sheetView>
  </sheetViews>
  <sheetFormatPr baseColWidth="10" defaultColWidth="8.83203125" defaultRowHeight="15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2" customWidth="1"/>
    <col min="7" max="7" width="13.1640625" style="1" customWidth="1"/>
    <col min="8" max="8" width="10.83203125" customWidth="1"/>
    <col min="9" max="11" width="12.33203125" style="2" customWidth="1"/>
    <col min="12" max="12" width="3.5" customWidth="1"/>
  </cols>
  <sheetData>
    <row r="1" spans="2:11" ht="14.5" customHeight="1" x14ac:dyDescent="0.2">
      <c r="B1" s="4" t="s">
        <v>423</v>
      </c>
      <c r="C1" s="5"/>
      <c r="D1" s="5"/>
      <c r="E1" s="33"/>
      <c r="F1" s="33"/>
      <c r="G1" s="34"/>
    </row>
    <row r="2" spans="2:11" ht="14.5" customHeight="1" x14ac:dyDescent="0.2">
      <c r="B2" s="8"/>
      <c r="C2" s="8"/>
      <c r="D2" s="8"/>
      <c r="E2" s="35"/>
      <c r="F2" s="35"/>
      <c r="G2" s="34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385" t="s">
        <v>424</v>
      </c>
      <c r="F3" s="385"/>
      <c r="G3" s="417" t="s">
        <v>56</v>
      </c>
      <c r="H3" s="394" t="s">
        <v>3</v>
      </c>
      <c r="I3" s="398" t="s">
        <v>425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36" t="s">
        <v>77</v>
      </c>
      <c r="F4" s="54" t="s">
        <v>58</v>
      </c>
      <c r="G4" s="417"/>
      <c r="H4" s="394"/>
      <c r="I4" s="398"/>
      <c r="J4" s="398"/>
      <c r="K4" s="398"/>
    </row>
    <row r="5" spans="2:11" ht="14.5" customHeight="1" x14ac:dyDescent="0.2">
      <c r="B5" s="422" t="s">
        <v>13</v>
      </c>
      <c r="C5" s="117" t="s">
        <v>342</v>
      </c>
      <c r="D5" s="117" t="s">
        <v>233</v>
      </c>
      <c r="E5" s="170"/>
      <c r="F5" s="170"/>
      <c r="G5" s="122"/>
      <c r="H5" s="122"/>
      <c r="I5" s="122"/>
      <c r="J5" s="122"/>
      <c r="K5" s="122"/>
    </row>
    <row r="6" spans="2:11" ht="14.5" customHeight="1" x14ac:dyDescent="0.2">
      <c r="B6" s="422"/>
      <c r="C6" s="117" t="s">
        <v>343</v>
      </c>
      <c r="D6" s="117" t="s">
        <v>234</v>
      </c>
      <c r="E6" s="170"/>
      <c r="F6" s="170"/>
      <c r="G6" s="122"/>
      <c r="H6" s="122"/>
      <c r="I6" s="122"/>
      <c r="J6" s="122"/>
      <c r="K6" s="122"/>
    </row>
    <row r="7" spans="2:11" ht="14.5" customHeight="1" x14ac:dyDescent="0.2">
      <c r="B7" s="422"/>
      <c r="C7" s="117" t="s">
        <v>344</v>
      </c>
      <c r="D7" s="117" t="s">
        <v>235</v>
      </c>
      <c r="E7" s="170"/>
      <c r="F7" s="170"/>
      <c r="G7" s="122"/>
      <c r="H7" s="122"/>
      <c r="I7" s="122"/>
      <c r="J7" s="122"/>
      <c r="K7" s="122"/>
    </row>
    <row r="8" spans="2:11" ht="14.5" customHeight="1" x14ac:dyDescent="0.2">
      <c r="B8" s="422"/>
      <c r="C8" s="117" t="s">
        <v>345</v>
      </c>
      <c r="D8" s="117" t="s">
        <v>236</v>
      </c>
      <c r="E8" s="170"/>
      <c r="F8" s="170"/>
      <c r="G8" s="122"/>
      <c r="H8" s="122"/>
      <c r="I8" s="122"/>
      <c r="J8" s="122"/>
      <c r="K8" s="122"/>
    </row>
    <row r="9" spans="2:11" ht="14.5" customHeight="1" x14ac:dyDescent="0.2">
      <c r="B9" s="422"/>
      <c r="C9" s="117" t="s">
        <v>346</v>
      </c>
      <c r="D9" s="117" t="s">
        <v>237</v>
      </c>
      <c r="E9" s="170"/>
      <c r="F9" s="170"/>
      <c r="G9" s="122"/>
      <c r="H9" s="122"/>
      <c r="I9" s="122"/>
      <c r="J9" s="122"/>
      <c r="K9" s="122"/>
    </row>
    <row r="10" spans="2:11" ht="14.5" customHeight="1" x14ac:dyDescent="0.2">
      <c r="B10" s="422"/>
      <c r="C10" s="117" t="s">
        <v>347</v>
      </c>
      <c r="D10" s="117" t="s">
        <v>101</v>
      </c>
      <c r="E10" s="170"/>
      <c r="F10" s="170"/>
      <c r="G10" s="122"/>
      <c r="H10" s="122"/>
      <c r="I10" s="122"/>
      <c r="J10" s="122"/>
      <c r="K10" s="122"/>
    </row>
    <row r="11" spans="2:11" ht="14.5" customHeight="1" x14ac:dyDescent="0.2">
      <c r="B11" s="422"/>
      <c r="C11" s="117" t="s">
        <v>348</v>
      </c>
      <c r="D11" s="117" t="s">
        <v>157</v>
      </c>
      <c r="E11" s="170"/>
      <c r="F11" s="170"/>
      <c r="G11" s="122"/>
      <c r="H11" s="122"/>
      <c r="I11" s="122"/>
      <c r="J11" s="122"/>
      <c r="K11" s="122"/>
    </row>
    <row r="12" spans="2:11" ht="14.5" customHeight="1" x14ac:dyDescent="0.2">
      <c r="B12" s="422"/>
      <c r="C12" s="117" t="s">
        <v>349</v>
      </c>
      <c r="D12" s="117" t="s">
        <v>158</v>
      </c>
      <c r="E12" s="170"/>
      <c r="F12" s="170"/>
      <c r="G12" s="122"/>
      <c r="H12" s="122"/>
      <c r="I12" s="122"/>
      <c r="J12" s="122"/>
      <c r="K12" s="122"/>
    </row>
    <row r="13" spans="2:11" s="37" customFormat="1" ht="14.5" customHeight="1" x14ac:dyDescent="0.2">
      <c r="B13" s="422"/>
      <c r="C13" s="120"/>
      <c r="D13" s="120" t="s">
        <v>289</v>
      </c>
      <c r="E13" s="149"/>
      <c r="F13" s="149"/>
      <c r="G13" s="150"/>
      <c r="H13" s="151"/>
      <c r="I13" s="152"/>
      <c r="J13" s="152"/>
      <c r="K13" s="152"/>
    </row>
    <row r="14" spans="2:11" s="21" customFormat="1" ht="14.5" customHeight="1" x14ac:dyDescent="0.2">
      <c r="B14" s="422"/>
      <c r="C14" s="117" t="s">
        <v>350</v>
      </c>
      <c r="D14" s="117" t="s">
        <v>99</v>
      </c>
      <c r="E14" s="170"/>
      <c r="F14" s="170"/>
      <c r="G14" s="122"/>
      <c r="H14" s="122"/>
      <c r="I14" s="122"/>
      <c r="J14" s="122"/>
      <c r="K14" s="122"/>
    </row>
    <row r="15" spans="2:11" ht="14.5" customHeight="1" x14ac:dyDescent="0.2">
      <c r="B15" s="422"/>
      <c r="C15" s="117" t="s">
        <v>351</v>
      </c>
      <c r="D15" s="117" t="s">
        <v>100</v>
      </c>
      <c r="E15" s="170"/>
      <c r="F15" s="170"/>
      <c r="G15" s="122"/>
      <c r="H15" s="122"/>
      <c r="I15" s="122"/>
      <c r="J15" s="122"/>
      <c r="K15" s="122"/>
    </row>
    <row r="16" spans="2:11" ht="14.5" customHeight="1" x14ac:dyDescent="0.2">
      <c r="B16" s="422"/>
      <c r="C16" s="117" t="s">
        <v>352</v>
      </c>
      <c r="D16" s="117" t="s">
        <v>238</v>
      </c>
      <c r="E16" s="170"/>
      <c r="F16" s="170"/>
      <c r="G16" s="122"/>
      <c r="H16" s="122"/>
      <c r="I16" s="122"/>
      <c r="J16" s="122"/>
      <c r="K16" s="122"/>
    </row>
    <row r="17" spans="2:11" ht="14.5" customHeight="1" x14ac:dyDescent="0.2">
      <c r="B17" s="422"/>
      <c r="C17" s="117" t="s">
        <v>353</v>
      </c>
      <c r="D17" s="117" t="s">
        <v>239</v>
      </c>
      <c r="E17" s="170"/>
      <c r="F17" s="170"/>
      <c r="G17" s="122"/>
      <c r="H17" s="122"/>
      <c r="I17" s="122"/>
      <c r="J17" s="122"/>
      <c r="K17" s="122"/>
    </row>
    <row r="18" spans="2:11" ht="14.5" customHeight="1" x14ac:dyDescent="0.2">
      <c r="B18" s="422"/>
      <c r="C18" s="117" t="s">
        <v>354</v>
      </c>
      <c r="D18" s="117" t="s">
        <v>294</v>
      </c>
      <c r="E18" s="170"/>
      <c r="F18" s="170"/>
      <c r="G18" s="122"/>
      <c r="H18" s="122"/>
      <c r="I18" s="122"/>
      <c r="J18" s="122"/>
      <c r="K18" s="122"/>
    </row>
    <row r="19" spans="2:11" ht="14.5" customHeight="1" x14ac:dyDescent="0.2">
      <c r="B19" s="422"/>
      <c r="C19" s="117" t="s">
        <v>355</v>
      </c>
      <c r="D19" s="117" t="s">
        <v>273</v>
      </c>
      <c r="E19" s="170"/>
      <c r="F19" s="170"/>
      <c r="G19" s="122"/>
      <c r="H19" s="122"/>
      <c r="I19" s="122"/>
      <c r="J19" s="122"/>
      <c r="K19" s="122"/>
    </row>
    <row r="20" spans="2:11" ht="14.5" customHeight="1" x14ac:dyDescent="0.2">
      <c r="B20" s="422"/>
      <c r="C20" s="117"/>
      <c r="D20" s="117" t="s">
        <v>243</v>
      </c>
      <c r="E20" s="170"/>
      <c r="F20" s="170"/>
      <c r="G20" s="122"/>
      <c r="H20" s="122"/>
      <c r="I20" s="122"/>
      <c r="J20" s="122"/>
      <c r="K20" s="122"/>
    </row>
    <row r="21" spans="2:11" s="37" customFormat="1" ht="14.5" customHeight="1" x14ac:dyDescent="0.2">
      <c r="B21" s="422"/>
      <c r="C21" s="120"/>
      <c r="D21" s="120" t="s">
        <v>293</v>
      </c>
      <c r="E21" s="149"/>
      <c r="F21" s="149"/>
      <c r="G21" s="150"/>
      <c r="H21" s="151"/>
      <c r="I21" s="152"/>
      <c r="J21" s="152"/>
      <c r="K21" s="152"/>
    </row>
    <row r="22" spans="2:11" s="37" customFormat="1" ht="14.5" customHeight="1" x14ac:dyDescent="0.2">
      <c r="B22" s="422"/>
      <c r="C22" s="117" t="s">
        <v>356</v>
      </c>
      <c r="D22" s="117" t="s">
        <v>147</v>
      </c>
      <c r="E22" s="170"/>
      <c r="F22" s="170"/>
      <c r="G22" s="122"/>
      <c r="H22" s="122"/>
      <c r="I22" s="122"/>
      <c r="J22" s="122"/>
      <c r="K22" s="122"/>
    </row>
    <row r="23" spans="2:11" s="37" customFormat="1" ht="14.5" customHeight="1" x14ac:dyDescent="0.2">
      <c r="B23" s="422"/>
      <c r="C23" s="117" t="s">
        <v>357</v>
      </c>
      <c r="D23" s="117" t="s">
        <v>813</v>
      </c>
      <c r="E23" s="170"/>
      <c r="F23" s="170"/>
      <c r="G23" s="122"/>
      <c r="H23" s="122"/>
      <c r="I23" s="122"/>
      <c r="J23" s="122"/>
      <c r="K23" s="122"/>
    </row>
    <row r="24" spans="2:11" s="37" customFormat="1" ht="14.5" customHeight="1" x14ac:dyDescent="0.2">
      <c r="B24" s="422"/>
      <c r="C24" s="120"/>
      <c r="D24" s="120" t="s">
        <v>146</v>
      </c>
      <c r="E24" s="149"/>
      <c r="F24" s="149"/>
      <c r="G24" s="150"/>
      <c r="H24" s="151"/>
      <c r="I24" s="152"/>
      <c r="J24" s="152"/>
      <c r="K24" s="152"/>
    </row>
    <row r="25" spans="2:11" s="37" customFormat="1" ht="14.5" customHeight="1" x14ac:dyDescent="0.2">
      <c r="B25" s="422"/>
      <c r="C25" s="117" t="s">
        <v>358</v>
      </c>
      <c r="D25" s="117" t="s">
        <v>258</v>
      </c>
      <c r="E25" s="170">
        <v>26</v>
      </c>
      <c r="F25" s="170">
        <v>30</v>
      </c>
      <c r="G25" s="163">
        <f>E25/F25*100%</f>
        <v>0.8666666666666667</v>
      </c>
      <c r="H25" s="122"/>
      <c r="I25" s="122"/>
      <c r="J25" s="122"/>
      <c r="K25" s="122"/>
    </row>
    <row r="26" spans="2:11" s="37" customFormat="1" ht="14.5" customHeight="1" x14ac:dyDescent="0.2">
      <c r="B26" s="422"/>
      <c r="C26" s="117" t="s">
        <v>525</v>
      </c>
      <c r="D26" s="117" t="s">
        <v>578</v>
      </c>
      <c r="E26" s="170">
        <v>23</v>
      </c>
      <c r="F26" s="170">
        <v>25</v>
      </c>
      <c r="G26" s="163">
        <f>E26/F26*100%</f>
        <v>0.92</v>
      </c>
      <c r="H26" s="122"/>
      <c r="I26" s="122"/>
      <c r="J26" s="122"/>
      <c r="K26" s="122"/>
    </row>
    <row r="27" spans="2:11" s="37" customFormat="1" ht="14.5" customHeight="1" x14ac:dyDescent="0.2">
      <c r="B27" s="422"/>
      <c r="C27" s="78"/>
      <c r="D27" s="78" t="s">
        <v>587</v>
      </c>
      <c r="E27" s="65">
        <f>SUM(E25:E26)</f>
        <v>49</v>
      </c>
      <c r="F27" s="65">
        <f>SUM(F25:F26)</f>
        <v>55</v>
      </c>
      <c r="G27" s="168">
        <f>E27/F27*100%</f>
        <v>0.89090909090909087</v>
      </c>
      <c r="H27" s="64" t="s">
        <v>20</v>
      </c>
      <c r="I27" s="63">
        <v>40000</v>
      </c>
      <c r="J27" s="63">
        <f t="shared" ref="J27" si="0">I27</f>
        <v>40000</v>
      </c>
      <c r="K27" s="63">
        <v>0</v>
      </c>
    </row>
    <row r="28" spans="2:11" s="21" customFormat="1" ht="14.5" customHeight="1" x14ac:dyDescent="0.2">
      <c r="B28" s="422"/>
      <c r="C28" s="126"/>
      <c r="D28" s="126" t="s">
        <v>24</v>
      </c>
      <c r="E28" s="153">
        <f>SUM(E27)</f>
        <v>49</v>
      </c>
      <c r="F28" s="153">
        <f>SUM(F27)</f>
        <v>55</v>
      </c>
      <c r="G28" s="147">
        <f>E28/F28*100%</f>
        <v>0.89090909090909087</v>
      </c>
      <c r="H28" s="154"/>
      <c r="I28" s="148">
        <f>SUM(I5:I27)</f>
        <v>40000</v>
      </c>
      <c r="J28" s="148">
        <f>SUM(J5:J27)</f>
        <v>40000</v>
      </c>
      <c r="K28" s="148">
        <f>SUM(K5:K27)</f>
        <v>0</v>
      </c>
    </row>
    <row r="29" spans="2:11" ht="14.5" customHeight="1" x14ac:dyDescent="0.2">
      <c r="B29" s="422" t="s">
        <v>32</v>
      </c>
      <c r="C29" s="117" t="s">
        <v>359</v>
      </c>
      <c r="D29" s="117" t="s">
        <v>103</v>
      </c>
      <c r="E29" s="170"/>
      <c r="F29" s="170"/>
      <c r="G29" s="122"/>
      <c r="H29" s="122"/>
      <c r="I29" s="122"/>
      <c r="J29" s="122"/>
      <c r="K29" s="122"/>
    </row>
    <row r="30" spans="2:11" ht="14.5" customHeight="1" x14ac:dyDescent="0.2">
      <c r="B30" s="422"/>
      <c r="C30" s="117" t="s">
        <v>360</v>
      </c>
      <c r="D30" s="117" t="s">
        <v>104</v>
      </c>
      <c r="E30" s="170"/>
      <c r="F30" s="170"/>
      <c r="G30" s="122"/>
      <c r="H30" s="122"/>
      <c r="I30" s="122"/>
      <c r="J30" s="122"/>
      <c r="K30" s="122"/>
    </row>
    <row r="31" spans="2:11" ht="14.5" customHeight="1" x14ac:dyDescent="0.2">
      <c r="B31" s="422"/>
      <c r="C31" s="117"/>
      <c r="D31" s="117" t="s">
        <v>148</v>
      </c>
      <c r="E31" s="170"/>
      <c r="F31" s="170"/>
      <c r="G31" s="122"/>
      <c r="H31" s="122"/>
      <c r="I31" s="122"/>
      <c r="J31" s="122"/>
      <c r="K31" s="122"/>
    </row>
    <row r="32" spans="2:11" ht="14.5" customHeight="1" x14ac:dyDescent="0.2">
      <c r="B32" s="422"/>
      <c r="C32" s="117" t="s">
        <v>361</v>
      </c>
      <c r="D32" s="117" t="s">
        <v>295</v>
      </c>
      <c r="E32" s="170"/>
      <c r="F32" s="170"/>
      <c r="G32" s="122"/>
      <c r="H32" s="122"/>
      <c r="I32" s="122"/>
      <c r="J32" s="122"/>
      <c r="K32" s="122"/>
    </row>
    <row r="33" spans="2:11" s="37" customFormat="1" ht="14.5" customHeight="1" x14ac:dyDescent="0.2">
      <c r="B33" s="422"/>
      <c r="C33" s="120"/>
      <c r="D33" s="120" t="s">
        <v>72</v>
      </c>
      <c r="E33" s="149"/>
      <c r="F33" s="149"/>
      <c r="G33" s="150"/>
      <c r="H33" s="151"/>
      <c r="I33" s="152"/>
      <c r="J33" s="152"/>
      <c r="K33" s="152"/>
    </row>
    <row r="34" spans="2:11" ht="14.5" customHeight="1" x14ac:dyDescent="0.2">
      <c r="B34" s="422"/>
      <c r="C34" s="121"/>
      <c r="D34" s="121" t="s">
        <v>34</v>
      </c>
      <c r="E34" s="155"/>
      <c r="F34" s="155"/>
      <c r="G34" s="147"/>
      <c r="H34" s="156"/>
      <c r="I34" s="157"/>
      <c r="J34" s="157"/>
      <c r="K34" s="157"/>
    </row>
    <row r="35" spans="2:11" ht="14.5" customHeight="1" x14ac:dyDescent="0.2">
      <c r="B35" s="422" t="s">
        <v>256</v>
      </c>
      <c r="C35" s="118" t="s">
        <v>362</v>
      </c>
      <c r="D35" s="118" t="s">
        <v>106</v>
      </c>
      <c r="E35" s="170"/>
      <c r="F35" s="170"/>
      <c r="G35" s="122"/>
      <c r="H35" s="122"/>
      <c r="I35" s="122"/>
      <c r="J35" s="122"/>
      <c r="K35" s="122"/>
    </row>
    <row r="36" spans="2:11" ht="14.5" customHeight="1" x14ac:dyDescent="0.2">
      <c r="B36" s="422"/>
      <c r="C36" s="117" t="s">
        <v>363</v>
      </c>
      <c r="D36" s="117" t="s">
        <v>298</v>
      </c>
      <c r="E36" s="170"/>
      <c r="F36" s="170"/>
      <c r="G36" s="122"/>
      <c r="H36" s="122"/>
      <c r="I36" s="122"/>
      <c r="J36" s="122"/>
      <c r="K36" s="122"/>
    </row>
    <row r="37" spans="2:11" ht="14.5" customHeight="1" x14ac:dyDescent="0.2">
      <c r="B37" s="422"/>
      <c r="C37" s="117" t="s">
        <v>364</v>
      </c>
      <c r="D37" s="117" t="s">
        <v>274</v>
      </c>
      <c r="E37" s="170"/>
      <c r="F37" s="170"/>
      <c r="G37" s="122"/>
      <c r="H37" s="122"/>
      <c r="I37" s="122"/>
      <c r="J37" s="122"/>
      <c r="K37" s="122"/>
    </row>
    <row r="38" spans="2:11" s="37" customFormat="1" ht="14.5" customHeight="1" x14ac:dyDescent="0.2">
      <c r="B38" s="422"/>
      <c r="C38" s="120"/>
      <c r="D38" s="120" t="s">
        <v>259</v>
      </c>
      <c r="E38" s="189"/>
      <c r="F38" s="189"/>
      <c r="G38" s="123"/>
      <c r="H38" s="123"/>
      <c r="I38" s="123"/>
      <c r="J38" s="123"/>
      <c r="K38" s="123"/>
    </row>
    <row r="39" spans="2:11" ht="14.5" customHeight="1" x14ac:dyDescent="0.2">
      <c r="B39" s="422"/>
      <c r="C39" s="121"/>
      <c r="D39" s="121" t="s">
        <v>257</v>
      </c>
      <c r="E39" s="190"/>
      <c r="F39" s="190"/>
      <c r="G39" s="124"/>
      <c r="H39" s="124"/>
      <c r="I39" s="124"/>
      <c r="J39" s="124"/>
      <c r="K39" s="124"/>
    </row>
    <row r="40" spans="2:11" s="21" customFormat="1" ht="14.5" customHeight="1" x14ac:dyDescent="0.2">
      <c r="B40" s="144"/>
      <c r="C40" s="126"/>
      <c r="D40" s="126" t="s">
        <v>110</v>
      </c>
      <c r="E40" s="148">
        <f>SUM(E39,E34,E28)</f>
        <v>49</v>
      </c>
      <c r="F40" s="148">
        <f>SUM(F39,F34,F28)</f>
        <v>55</v>
      </c>
      <c r="G40" s="147">
        <f t="shared" ref="G40" si="1">E40/F40*100%</f>
        <v>0.89090909090909087</v>
      </c>
      <c r="H40" s="154"/>
      <c r="I40" s="148">
        <f>SUM(I39,I34,I28)</f>
        <v>40000</v>
      </c>
      <c r="J40" s="148">
        <f t="shared" ref="J40:K40" si="2">SUM(J39,J34,J28)</f>
        <v>40000</v>
      </c>
      <c r="K40" s="148">
        <f t="shared" si="2"/>
        <v>0</v>
      </c>
    </row>
    <row r="46" spans="2:11" ht="14.5" customHeight="1" x14ac:dyDescent="0.2">
      <c r="B46" s="4" t="s">
        <v>426</v>
      </c>
      <c r="C46" s="5"/>
      <c r="D46" s="5"/>
      <c r="E46" s="33"/>
      <c r="F46" s="33"/>
      <c r="G46" s="34"/>
    </row>
    <row r="47" spans="2:11" ht="14.5" customHeight="1" x14ac:dyDescent="0.2">
      <c r="B47" s="8"/>
      <c r="C47" s="8"/>
      <c r="D47" s="8"/>
      <c r="E47" s="35"/>
      <c r="F47" s="35"/>
      <c r="G47" s="34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385" t="s">
        <v>424</v>
      </c>
      <c r="F48" s="385"/>
      <c r="G48" s="417" t="s">
        <v>56</v>
      </c>
      <c r="H48" s="394" t="s">
        <v>3</v>
      </c>
      <c r="I48" s="398" t="s">
        <v>425</v>
      </c>
      <c r="J48" s="398" t="s">
        <v>8</v>
      </c>
      <c r="K48" s="398" t="s">
        <v>75</v>
      </c>
    </row>
    <row r="49" spans="2:11" ht="14.5" customHeight="1" x14ac:dyDescent="0.2">
      <c r="B49" s="388"/>
      <c r="C49" s="388"/>
      <c r="D49" s="388"/>
      <c r="E49" s="36" t="s">
        <v>77</v>
      </c>
      <c r="F49" s="54" t="s">
        <v>58</v>
      </c>
      <c r="G49" s="417"/>
      <c r="H49" s="394"/>
      <c r="I49" s="398"/>
      <c r="J49" s="398"/>
      <c r="K49" s="398"/>
    </row>
    <row r="50" spans="2:11" ht="14.5" customHeight="1" x14ac:dyDescent="0.2">
      <c r="B50" s="422" t="s">
        <v>25</v>
      </c>
      <c r="C50" s="193"/>
      <c r="D50" s="193" t="s">
        <v>148</v>
      </c>
      <c r="E50" s="170"/>
      <c r="F50" s="170"/>
      <c r="G50" s="122"/>
      <c r="H50" s="122"/>
      <c r="I50" s="122"/>
      <c r="J50" s="122"/>
      <c r="K50" s="122"/>
    </row>
    <row r="51" spans="2:11" s="21" customFormat="1" ht="14.5" customHeight="1" x14ac:dyDescent="0.2">
      <c r="B51" s="422"/>
      <c r="C51" s="117" t="s">
        <v>365</v>
      </c>
      <c r="D51" s="117" t="s">
        <v>151</v>
      </c>
      <c r="E51" s="170"/>
      <c r="F51" s="170"/>
      <c r="G51" s="122"/>
      <c r="H51" s="122"/>
      <c r="I51" s="122"/>
      <c r="J51" s="122"/>
      <c r="K51" s="122"/>
    </row>
    <row r="52" spans="2:11" ht="14.5" customHeight="1" x14ac:dyDescent="0.2">
      <c r="B52" s="422"/>
      <c r="C52" s="117" t="s">
        <v>366</v>
      </c>
      <c r="D52" s="117" t="s">
        <v>241</v>
      </c>
      <c r="E52" s="170"/>
      <c r="F52" s="170"/>
      <c r="G52" s="122"/>
      <c r="H52" s="122"/>
      <c r="I52" s="122"/>
      <c r="J52" s="122"/>
      <c r="K52" s="122"/>
    </row>
    <row r="53" spans="2:11" ht="14.5" customHeight="1" x14ac:dyDescent="0.2">
      <c r="B53" s="422"/>
      <c r="C53" s="117" t="s">
        <v>368</v>
      </c>
      <c r="D53" s="117" t="s">
        <v>107</v>
      </c>
      <c r="E53" s="170"/>
      <c r="F53" s="170"/>
      <c r="G53" s="122"/>
      <c r="H53" s="122"/>
      <c r="I53" s="122"/>
      <c r="J53" s="122"/>
      <c r="K53" s="122"/>
    </row>
    <row r="54" spans="2:11" ht="14.5" customHeight="1" x14ac:dyDescent="0.2">
      <c r="B54" s="422"/>
      <c r="C54" s="117" t="s">
        <v>369</v>
      </c>
      <c r="D54" s="117" t="s">
        <v>262</v>
      </c>
      <c r="E54" s="170"/>
      <c r="F54" s="170"/>
      <c r="G54" s="122"/>
      <c r="H54" s="122"/>
      <c r="I54" s="122"/>
      <c r="J54" s="122"/>
      <c r="K54" s="122"/>
    </row>
    <row r="55" spans="2:11" s="37" customFormat="1" ht="14.5" customHeight="1" x14ac:dyDescent="0.2">
      <c r="B55" s="422"/>
      <c r="C55" s="120"/>
      <c r="D55" s="120" t="s">
        <v>177</v>
      </c>
      <c r="E55" s="149"/>
      <c r="F55" s="149"/>
      <c r="G55" s="150"/>
      <c r="H55" s="151"/>
      <c r="I55" s="152"/>
      <c r="J55" s="152"/>
      <c r="K55" s="152"/>
    </row>
    <row r="56" spans="2:11" ht="14.5" customHeight="1" x14ac:dyDescent="0.2">
      <c r="B56" s="422"/>
      <c r="C56" s="117" t="s">
        <v>370</v>
      </c>
      <c r="D56" s="117" t="s">
        <v>244</v>
      </c>
      <c r="E56" s="170"/>
      <c r="F56" s="170"/>
      <c r="G56" s="122"/>
      <c r="H56" s="122"/>
      <c r="I56" s="122"/>
      <c r="J56" s="122"/>
      <c r="K56" s="122"/>
    </row>
    <row r="57" spans="2:11" ht="14.5" customHeight="1" x14ac:dyDescent="0.2">
      <c r="B57" s="422"/>
      <c r="C57" s="117" t="s">
        <v>367</v>
      </c>
      <c r="D57" s="117" t="s">
        <v>242</v>
      </c>
      <c r="E57" s="170"/>
      <c r="F57" s="170"/>
      <c r="G57" s="122"/>
      <c r="H57" s="122"/>
      <c r="I57" s="122"/>
      <c r="J57" s="122"/>
      <c r="K57" s="122"/>
    </row>
    <row r="58" spans="2:11" ht="14.5" customHeight="1" x14ac:dyDescent="0.2">
      <c r="B58" s="422"/>
      <c r="C58" s="117"/>
      <c r="D58" s="117" t="s">
        <v>148</v>
      </c>
      <c r="E58" s="170"/>
      <c r="F58" s="170"/>
      <c r="G58" s="122"/>
      <c r="H58" s="122"/>
      <c r="I58" s="122"/>
      <c r="J58" s="122"/>
      <c r="K58" s="122"/>
    </row>
    <row r="59" spans="2:11" ht="14.5" customHeight="1" x14ac:dyDescent="0.2">
      <c r="B59" s="422"/>
      <c r="C59" s="117" t="s">
        <v>371</v>
      </c>
      <c r="D59" s="117" t="s">
        <v>303</v>
      </c>
      <c r="E59" s="170"/>
      <c r="F59" s="170"/>
      <c r="G59" s="122"/>
      <c r="H59" s="122"/>
      <c r="I59" s="122"/>
      <c r="J59" s="122"/>
      <c r="K59" s="122"/>
    </row>
    <row r="60" spans="2:11" ht="14.5" customHeight="1" x14ac:dyDescent="0.2">
      <c r="B60" s="422"/>
      <c r="C60" s="117" t="s">
        <v>372</v>
      </c>
      <c r="D60" s="117" t="s">
        <v>108</v>
      </c>
      <c r="E60" s="170"/>
      <c r="F60" s="170"/>
      <c r="G60" s="122"/>
      <c r="H60" s="122"/>
      <c r="I60" s="122"/>
      <c r="J60" s="122"/>
      <c r="K60" s="122"/>
    </row>
    <row r="61" spans="2:11" ht="14.5" customHeight="1" x14ac:dyDescent="0.2">
      <c r="B61" s="422"/>
      <c r="C61" s="117" t="s">
        <v>373</v>
      </c>
      <c r="D61" s="117" t="s">
        <v>268</v>
      </c>
      <c r="E61" s="170"/>
      <c r="F61" s="170"/>
      <c r="G61" s="122"/>
      <c r="H61" s="122"/>
      <c r="I61" s="122"/>
      <c r="J61" s="122"/>
      <c r="K61" s="122"/>
    </row>
    <row r="62" spans="2:11" s="37" customFormat="1" ht="14.5" customHeight="1" x14ac:dyDescent="0.2">
      <c r="B62" s="422"/>
      <c r="C62" s="120"/>
      <c r="D62" s="120" t="s">
        <v>177</v>
      </c>
      <c r="E62" s="149"/>
      <c r="F62" s="149"/>
      <c r="G62" s="150"/>
      <c r="H62" s="151"/>
      <c r="I62" s="152"/>
      <c r="J62" s="152"/>
      <c r="K62" s="152"/>
    </row>
    <row r="63" spans="2:11" ht="14.5" customHeight="1" x14ac:dyDescent="0.2">
      <c r="B63" s="422"/>
      <c r="C63" s="117" t="s">
        <v>374</v>
      </c>
      <c r="D63" s="117" t="s">
        <v>249</v>
      </c>
      <c r="E63" s="170"/>
      <c r="F63" s="170"/>
      <c r="G63" s="122"/>
      <c r="H63" s="122"/>
      <c r="I63" s="122"/>
      <c r="J63" s="122"/>
      <c r="K63" s="122"/>
    </row>
    <row r="64" spans="2:11" s="21" customFormat="1" ht="14.5" customHeight="1" x14ac:dyDescent="0.2">
      <c r="B64" s="422"/>
      <c r="C64" s="126"/>
      <c r="D64" s="126" t="s">
        <v>30</v>
      </c>
      <c r="E64" s="153"/>
      <c r="F64" s="153"/>
      <c r="G64" s="147"/>
      <c r="H64" s="154"/>
      <c r="I64" s="148"/>
      <c r="J64" s="148"/>
      <c r="K64" s="148"/>
    </row>
    <row r="65" spans="2:11" ht="14.5" customHeight="1" x14ac:dyDescent="0.2">
      <c r="B65" s="422" t="s">
        <v>59</v>
      </c>
      <c r="C65" s="117" t="s">
        <v>375</v>
      </c>
      <c r="D65" s="117" t="s">
        <v>211</v>
      </c>
      <c r="E65" s="170"/>
      <c r="F65" s="170"/>
      <c r="G65" s="122"/>
      <c r="H65" s="122"/>
      <c r="I65" s="122"/>
      <c r="J65" s="178"/>
      <c r="K65" s="178"/>
    </row>
    <row r="66" spans="2:11" ht="14.5" customHeight="1" x14ac:dyDescent="0.2">
      <c r="B66" s="422"/>
      <c r="C66" s="117" t="s">
        <v>376</v>
      </c>
      <c r="D66" s="117" t="s">
        <v>145</v>
      </c>
      <c r="E66" s="170"/>
      <c r="F66" s="170"/>
      <c r="G66" s="122"/>
      <c r="H66" s="122"/>
      <c r="I66" s="122"/>
      <c r="J66" s="178"/>
      <c r="K66" s="178"/>
    </row>
    <row r="67" spans="2:11" ht="14.5" customHeight="1" x14ac:dyDescent="0.2">
      <c r="B67" s="422"/>
      <c r="C67" s="117" t="s">
        <v>377</v>
      </c>
      <c r="D67" s="117" t="s">
        <v>287</v>
      </c>
      <c r="E67" s="170"/>
      <c r="F67" s="170"/>
      <c r="G67" s="122"/>
      <c r="H67" s="122"/>
      <c r="I67" s="122"/>
      <c r="J67" s="178"/>
      <c r="K67" s="178"/>
    </row>
    <row r="68" spans="2:11" ht="14.5" customHeight="1" x14ac:dyDescent="0.2">
      <c r="B68" s="422"/>
      <c r="C68" s="117" t="s">
        <v>379</v>
      </c>
      <c r="D68" s="117" t="s">
        <v>380</v>
      </c>
      <c r="E68" s="170"/>
      <c r="F68" s="170"/>
      <c r="G68" s="122"/>
      <c r="H68" s="122"/>
      <c r="I68" s="122"/>
      <c r="J68" s="178"/>
      <c r="K68" s="178"/>
    </row>
    <row r="69" spans="2:11" ht="14.5" customHeight="1" x14ac:dyDescent="0.2">
      <c r="B69" s="422"/>
      <c r="C69" s="117" t="s">
        <v>378</v>
      </c>
      <c r="D69" s="117" t="s">
        <v>210</v>
      </c>
      <c r="E69" s="170"/>
      <c r="F69" s="170"/>
      <c r="G69" s="163"/>
      <c r="H69" s="122"/>
      <c r="I69" s="122"/>
      <c r="J69" s="122"/>
      <c r="K69" s="122"/>
    </row>
    <row r="70" spans="2:11" s="37" customFormat="1" ht="14.5" customHeight="1" x14ac:dyDescent="0.2">
      <c r="B70" s="422"/>
      <c r="C70" s="120"/>
      <c r="D70" s="120" t="s">
        <v>74</v>
      </c>
      <c r="E70" s="149"/>
      <c r="F70" s="149"/>
      <c r="G70" s="150"/>
      <c r="H70" s="151"/>
      <c r="I70" s="152"/>
      <c r="J70" s="152"/>
      <c r="K70" s="152"/>
    </row>
    <row r="71" spans="2:11" ht="14.5" customHeight="1" x14ac:dyDescent="0.2">
      <c r="B71" s="422"/>
      <c r="C71" s="121"/>
      <c r="D71" s="121" t="s">
        <v>36</v>
      </c>
      <c r="E71" s="155"/>
      <c r="F71" s="155"/>
      <c r="G71" s="147"/>
      <c r="H71" s="156"/>
      <c r="I71" s="157"/>
      <c r="J71" s="157"/>
      <c r="K71" s="157"/>
    </row>
    <row r="72" spans="2:11" ht="14.5" customHeight="1" x14ac:dyDescent="0.2">
      <c r="B72" s="422" t="s">
        <v>131</v>
      </c>
      <c r="C72" s="118" t="s">
        <v>381</v>
      </c>
      <c r="D72" s="118" t="s">
        <v>132</v>
      </c>
      <c r="E72" s="170"/>
      <c r="F72" s="170"/>
      <c r="G72" s="122"/>
      <c r="H72" s="122"/>
      <c r="I72" s="122"/>
      <c r="J72" s="122"/>
      <c r="K72" s="122"/>
    </row>
    <row r="73" spans="2:11" ht="14.5" customHeight="1" x14ac:dyDescent="0.2">
      <c r="B73" s="422"/>
      <c r="C73" s="117" t="s">
        <v>382</v>
      </c>
      <c r="D73" s="117" t="s">
        <v>667</v>
      </c>
      <c r="E73" s="170"/>
      <c r="F73" s="170"/>
      <c r="G73" s="122"/>
      <c r="H73" s="122"/>
      <c r="I73" s="122"/>
      <c r="J73" s="122"/>
      <c r="K73" s="122"/>
    </row>
    <row r="74" spans="2:11" ht="14.5" customHeight="1" x14ac:dyDescent="0.2">
      <c r="B74" s="422"/>
      <c r="C74" s="117" t="s">
        <v>383</v>
      </c>
      <c r="D74" s="117" t="s">
        <v>613</v>
      </c>
      <c r="E74" s="170"/>
      <c r="F74" s="170"/>
      <c r="G74" s="122"/>
      <c r="H74" s="122"/>
      <c r="I74" s="122"/>
      <c r="J74" s="122"/>
      <c r="K74" s="122"/>
    </row>
    <row r="75" spans="2:11" s="37" customFormat="1" ht="14.5" customHeight="1" x14ac:dyDescent="0.2">
      <c r="B75" s="422"/>
      <c r="C75" s="120"/>
      <c r="D75" s="120" t="s">
        <v>483</v>
      </c>
      <c r="E75" s="189"/>
      <c r="F75" s="189"/>
      <c r="G75" s="123"/>
      <c r="H75" s="123"/>
      <c r="I75" s="123"/>
      <c r="J75" s="123"/>
      <c r="K75" s="123"/>
    </row>
    <row r="76" spans="2:11" ht="14.5" customHeight="1" x14ac:dyDescent="0.2">
      <c r="B76" s="422"/>
      <c r="C76" s="121"/>
      <c r="D76" s="121" t="s">
        <v>133</v>
      </c>
      <c r="E76" s="190"/>
      <c r="F76" s="190"/>
      <c r="G76" s="124"/>
      <c r="H76" s="124"/>
      <c r="I76" s="124"/>
      <c r="J76" s="124"/>
      <c r="K76" s="124"/>
    </row>
    <row r="77" spans="2:11" s="21" customFormat="1" ht="14.5" customHeight="1" x14ac:dyDescent="0.2">
      <c r="B77" s="144"/>
      <c r="C77" s="126"/>
      <c r="D77" s="126" t="s">
        <v>109</v>
      </c>
      <c r="E77" s="148"/>
      <c r="F77" s="148"/>
      <c r="G77" s="147"/>
      <c r="H77" s="154"/>
      <c r="I77" s="148"/>
      <c r="J77" s="148"/>
      <c r="K77" s="148"/>
    </row>
    <row r="83" spans="2:11" ht="14.5" customHeight="1" x14ac:dyDescent="0.2">
      <c r="B83" s="4" t="s">
        <v>427</v>
      </c>
      <c r="C83" s="5"/>
      <c r="D83" s="5"/>
      <c r="E83" s="33"/>
      <c r="F83" s="33"/>
      <c r="G83" s="34"/>
    </row>
    <row r="84" spans="2:11" ht="14.5" customHeight="1" x14ac:dyDescent="0.2">
      <c r="B84" s="8"/>
      <c r="C84" s="8"/>
      <c r="D84" s="8"/>
      <c r="E84" s="35"/>
      <c r="F84" s="35"/>
      <c r="G84" s="34"/>
    </row>
    <row r="85" spans="2:11" ht="14.5" customHeight="1" x14ac:dyDescent="0.2">
      <c r="B85" s="388" t="s">
        <v>0</v>
      </c>
      <c r="C85" s="388" t="s">
        <v>270</v>
      </c>
      <c r="D85" s="388" t="s">
        <v>2</v>
      </c>
      <c r="E85" s="385" t="s">
        <v>424</v>
      </c>
      <c r="F85" s="385"/>
      <c r="G85" s="417" t="s">
        <v>56</v>
      </c>
      <c r="H85" s="394" t="s">
        <v>3</v>
      </c>
      <c r="I85" s="398" t="s">
        <v>425</v>
      </c>
      <c r="J85" s="398" t="s">
        <v>8</v>
      </c>
      <c r="K85" s="398" t="s">
        <v>75</v>
      </c>
    </row>
    <row r="86" spans="2:11" ht="14.5" customHeight="1" x14ac:dyDescent="0.2">
      <c r="B86" s="388"/>
      <c r="C86" s="388"/>
      <c r="D86" s="388"/>
      <c r="E86" s="36" t="s">
        <v>77</v>
      </c>
      <c r="F86" s="54" t="s">
        <v>58</v>
      </c>
      <c r="G86" s="417"/>
      <c r="H86" s="394"/>
      <c r="I86" s="398"/>
      <c r="J86" s="398"/>
      <c r="K86" s="398"/>
    </row>
    <row r="87" spans="2:11" ht="14.5" customHeight="1" x14ac:dyDescent="0.2">
      <c r="B87" s="422" t="s">
        <v>37</v>
      </c>
      <c r="C87" s="118" t="s">
        <v>385</v>
      </c>
      <c r="D87" s="118" t="s">
        <v>98</v>
      </c>
      <c r="E87" s="170"/>
      <c r="F87" s="170"/>
      <c r="G87" s="122"/>
      <c r="H87" s="122"/>
      <c r="I87" s="122"/>
      <c r="J87" s="122"/>
      <c r="K87" s="122"/>
    </row>
    <row r="88" spans="2:11" ht="14.5" customHeight="1" x14ac:dyDescent="0.2">
      <c r="B88" s="422"/>
      <c r="C88" s="117" t="s">
        <v>384</v>
      </c>
      <c r="D88" s="117" t="s">
        <v>310</v>
      </c>
      <c r="E88" s="170"/>
      <c r="F88" s="170"/>
      <c r="G88" s="122"/>
      <c r="H88" s="122"/>
      <c r="I88" s="122"/>
      <c r="J88" s="122"/>
      <c r="K88" s="122"/>
    </row>
    <row r="89" spans="2:11" s="37" customFormat="1" ht="14.5" customHeight="1" x14ac:dyDescent="0.2">
      <c r="B89" s="422"/>
      <c r="C89" s="120"/>
      <c r="D89" s="120" t="s">
        <v>230</v>
      </c>
      <c r="E89" s="189"/>
      <c r="F89" s="189"/>
      <c r="G89" s="123"/>
      <c r="H89" s="123"/>
      <c r="I89" s="123"/>
      <c r="J89" s="123"/>
      <c r="K89" s="123"/>
    </row>
    <row r="90" spans="2:11" ht="14.5" customHeight="1" x14ac:dyDescent="0.2">
      <c r="B90" s="422"/>
      <c r="C90" s="121"/>
      <c r="D90" s="121" t="s">
        <v>38</v>
      </c>
      <c r="E90" s="190"/>
      <c r="F90" s="190"/>
      <c r="G90" s="124"/>
      <c r="H90" s="124"/>
      <c r="I90" s="124"/>
      <c r="J90" s="124"/>
      <c r="K90" s="124"/>
    </row>
    <row r="91" spans="2:11" s="21" customFormat="1" ht="14.5" customHeight="1" x14ac:dyDescent="0.2">
      <c r="B91" s="422" t="s">
        <v>614</v>
      </c>
      <c r="C91" s="116" t="s">
        <v>386</v>
      </c>
      <c r="D91" s="116" t="s">
        <v>265</v>
      </c>
      <c r="E91" s="170"/>
      <c r="F91" s="170"/>
      <c r="G91" s="122"/>
      <c r="H91" s="122"/>
      <c r="I91" s="122"/>
      <c r="J91" s="122"/>
      <c r="K91" s="122"/>
    </row>
    <row r="92" spans="2:11" ht="14.5" customHeight="1" x14ac:dyDescent="0.2">
      <c r="B92" s="422"/>
      <c r="C92" s="117" t="s">
        <v>387</v>
      </c>
      <c r="D92" s="117" t="s">
        <v>97</v>
      </c>
      <c r="E92" s="170"/>
      <c r="F92" s="170"/>
      <c r="G92" s="122"/>
      <c r="H92" s="122"/>
      <c r="I92" s="122"/>
      <c r="J92" s="122"/>
      <c r="K92" s="122"/>
    </row>
    <row r="93" spans="2:11" s="37" customFormat="1" ht="14.5" customHeight="1" x14ac:dyDescent="0.2">
      <c r="B93" s="422"/>
      <c r="C93" s="119"/>
      <c r="D93" s="119" t="s">
        <v>497</v>
      </c>
      <c r="E93" s="189"/>
      <c r="F93" s="189"/>
      <c r="G93" s="123"/>
      <c r="H93" s="123"/>
      <c r="I93" s="123"/>
      <c r="J93" s="123"/>
      <c r="K93" s="123"/>
    </row>
    <row r="94" spans="2:11" ht="14.5" customHeight="1" x14ac:dyDescent="0.2">
      <c r="B94" s="422"/>
      <c r="C94" s="121"/>
      <c r="D94" s="121" t="s">
        <v>615</v>
      </c>
      <c r="E94" s="190"/>
      <c r="F94" s="190"/>
      <c r="G94" s="124"/>
      <c r="H94" s="124"/>
      <c r="I94" s="124"/>
      <c r="J94" s="124"/>
      <c r="K94" s="124"/>
    </row>
    <row r="95" spans="2:11" s="21" customFormat="1" ht="14.5" customHeight="1" x14ac:dyDescent="0.2">
      <c r="B95" s="144"/>
      <c r="C95" s="126"/>
      <c r="D95" s="126" t="s">
        <v>219</v>
      </c>
      <c r="E95" s="148"/>
      <c r="F95" s="148"/>
      <c r="G95" s="147"/>
      <c r="H95" s="154"/>
      <c r="I95" s="146"/>
      <c r="J95" s="146"/>
      <c r="K95" s="146"/>
    </row>
    <row r="101" spans="2:12" ht="14.5" customHeight="1" x14ac:dyDescent="0.2">
      <c r="B101" s="4" t="s">
        <v>428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424</v>
      </c>
      <c r="F103" s="385"/>
      <c r="G103" s="417" t="s">
        <v>56</v>
      </c>
      <c r="H103" s="394" t="s">
        <v>3</v>
      </c>
      <c r="I103" s="398" t="s">
        <v>425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422" t="s">
        <v>39</v>
      </c>
      <c r="C105" s="117" t="s">
        <v>388</v>
      </c>
      <c r="D105" s="117" t="s">
        <v>389</v>
      </c>
      <c r="E105" s="170"/>
      <c r="F105" s="170"/>
      <c r="G105" s="122"/>
      <c r="H105" s="122"/>
      <c r="I105" s="122"/>
      <c r="J105" s="122"/>
      <c r="K105" s="122"/>
      <c r="L105" s="2"/>
    </row>
    <row r="106" spans="2:12" ht="14.5" customHeight="1" x14ac:dyDescent="0.2">
      <c r="B106" s="422"/>
      <c r="C106" s="117" t="s">
        <v>390</v>
      </c>
      <c r="D106" s="117" t="s">
        <v>111</v>
      </c>
      <c r="E106" s="170"/>
      <c r="F106" s="170"/>
      <c r="G106" s="122"/>
      <c r="H106" s="122"/>
      <c r="I106" s="122"/>
      <c r="J106" s="122"/>
      <c r="K106" s="122"/>
      <c r="L106" s="2"/>
    </row>
    <row r="107" spans="2:12" ht="14.5" customHeight="1" x14ac:dyDescent="0.2">
      <c r="B107" s="422"/>
      <c r="C107" s="117" t="s">
        <v>391</v>
      </c>
      <c r="D107" s="117" t="s">
        <v>271</v>
      </c>
      <c r="E107" s="170"/>
      <c r="F107" s="170"/>
      <c r="G107" s="122"/>
      <c r="H107" s="122"/>
      <c r="I107" s="122"/>
      <c r="J107" s="122"/>
      <c r="K107" s="122"/>
      <c r="L107" s="2"/>
    </row>
    <row r="108" spans="2:12" ht="14.5" customHeight="1" x14ac:dyDescent="0.2">
      <c r="B108" s="422"/>
      <c r="C108" s="120"/>
      <c r="D108" s="120" t="s">
        <v>891</v>
      </c>
      <c r="E108" s="149"/>
      <c r="F108" s="149"/>
      <c r="G108" s="150"/>
      <c r="H108" s="151"/>
      <c r="I108" s="152"/>
      <c r="J108" s="152"/>
      <c r="K108" s="152"/>
      <c r="L108" s="2"/>
    </row>
    <row r="109" spans="2:12" ht="14.5" customHeight="1" x14ac:dyDescent="0.2">
      <c r="B109" s="422"/>
      <c r="C109" s="127"/>
      <c r="D109" s="127" t="s">
        <v>40</v>
      </c>
      <c r="E109" s="155"/>
      <c r="F109" s="155"/>
      <c r="G109" s="158"/>
      <c r="H109" s="156"/>
      <c r="I109" s="157"/>
      <c r="J109" s="157"/>
      <c r="K109" s="157"/>
      <c r="L109" s="2"/>
    </row>
    <row r="110" spans="2:12" ht="14.5" customHeight="1" x14ac:dyDescent="0.2">
      <c r="B110" s="422" t="s">
        <v>41</v>
      </c>
      <c r="C110" s="117" t="s">
        <v>392</v>
      </c>
      <c r="D110" s="117" t="s">
        <v>112</v>
      </c>
      <c r="E110" s="170"/>
      <c r="F110" s="170"/>
      <c r="G110" s="122"/>
      <c r="H110" s="122"/>
      <c r="I110" s="122"/>
      <c r="J110" s="122"/>
      <c r="K110" s="122"/>
      <c r="L110" s="2"/>
    </row>
    <row r="111" spans="2:12" ht="14.5" customHeight="1" x14ac:dyDescent="0.2">
      <c r="B111" s="422"/>
      <c r="C111" s="117" t="s">
        <v>393</v>
      </c>
      <c r="D111" s="117" t="s">
        <v>394</v>
      </c>
      <c r="E111" s="170"/>
      <c r="F111" s="170"/>
      <c r="G111" s="122"/>
      <c r="H111" s="122"/>
      <c r="I111" s="122"/>
      <c r="J111" s="122"/>
      <c r="K111" s="122"/>
      <c r="L111" s="2"/>
    </row>
    <row r="112" spans="2:12" ht="14.5" customHeight="1" x14ac:dyDescent="0.2">
      <c r="B112" s="422"/>
      <c r="C112" s="117" t="s">
        <v>395</v>
      </c>
      <c r="D112" s="117" t="s">
        <v>113</v>
      </c>
      <c r="E112" s="170"/>
      <c r="F112" s="170"/>
      <c r="G112" s="122"/>
      <c r="H112" s="122"/>
      <c r="I112" s="122"/>
      <c r="J112" s="122"/>
      <c r="K112" s="122"/>
      <c r="L112" s="2"/>
    </row>
    <row r="113" spans="2:12" ht="14.5" customHeight="1" x14ac:dyDescent="0.2">
      <c r="B113" s="422"/>
      <c r="C113" s="117" t="s">
        <v>396</v>
      </c>
      <c r="D113" s="117" t="s">
        <v>253</v>
      </c>
      <c r="E113" s="170"/>
      <c r="F113" s="170"/>
      <c r="G113" s="122"/>
      <c r="H113" s="122"/>
      <c r="I113" s="122"/>
      <c r="J113" s="122"/>
      <c r="K113" s="122"/>
      <c r="L113" s="2"/>
    </row>
    <row r="114" spans="2:12" ht="14.5" customHeight="1" x14ac:dyDescent="0.2">
      <c r="B114" s="422"/>
      <c r="C114" s="120"/>
      <c r="D114" s="120" t="s">
        <v>316</v>
      </c>
      <c r="E114" s="149"/>
      <c r="F114" s="149"/>
      <c r="G114" s="150"/>
      <c r="H114" s="151"/>
      <c r="I114" s="152"/>
      <c r="J114" s="152"/>
      <c r="K114" s="152"/>
      <c r="L114" s="2"/>
    </row>
    <row r="115" spans="2:12" ht="14.5" customHeight="1" x14ac:dyDescent="0.2">
      <c r="B115" s="422"/>
      <c r="C115" s="127"/>
      <c r="D115" s="127" t="s">
        <v>42</v>
      </c>
      <c r="E115" s="155"/>
      <c r="F115" s="155"/>
      <c r="G115" s="158"/>
      <c r="H115" s="156"/>
      <c r="I115" s="157"/>
      <c r="J115" s="157"/>
      <c r="K115" s="157"/>
      <c r="L115" s="2"/>
    </row>
    <row r="116" spans="2:12" ht="14.5" customHeight="1" x14ac:dyDescent="0.2">
      <c r="B116" s="422" t="s">
        <v>43</v>
      </c>
      <c r="C116" s="117" t="s">
        <v>397</v>
      </c>
      <c r="D116" s="117" t="s">
        <v>114</v>
      </c>
      <c r="E116" s="170"/>
      <c r="F116" s="170"/>
      <c r="G116" s="122"/>
      <c r="H116" s="122"/>
      <c r="I116" s="122"/>
      <c r="J116" s="122"/>
      <c r="K116" s="122"/>
      <c r="L116" s="2"/>
    </row>
    <row r="117" spans="2:12" ht="14.5" customHeight="1" x14ac:dyDescent="0.2">
      <c r="B117" s="422"/>
      <c r="C117" s="117" t="s">
        <v>398</v>
      </c>
      <c r="D117" s="117" t="s">
        <v>341</v>
      </c>
      <c r="E117" s="170"/>
      <c r="F117" s="170"/>
      <c r="G117" s="122"/>
      <c r="H117" s="122"/>
      <c r="I117" s="122"/>
      <c r="J117" s="122"/>
      <c r="K117" s="122"/>
      <c r="L117" s="2"/>
    </row>
    <row r="118" spans="2:12" ht="14.5" customHeight="1" x14ac:dyDescent="0.2">
      <c r="B118" s="422"/>
      <c r="C118" s="117" t="s">
        <v>399</v>
      </c>
      <c r="D118" s="117" t="s">
        <v>321</v>
      </c>
      <c r="E118" s="170"/>
      <c r="F118" s="170"/>
      <c r="G118" s="122"/>
      <c r="H118" s="122"/>
      <c r="I118" s="122"/>
      <c r="J118" s="122"/>
      <c r="K118" s="122"/>
      <c r="L118" s="2"/>
    </row>
    <row r="119" spans="2:12" ht="14.5" customHeight="1" x14ac:dyDescent="0.2">
      <c r="B119" s="422"/>
      <c r="C119" s="117" t="s">
        <v>400</v>
      </c>
      <c r="D119" s="117" t="s">
        <v>322</v>
      </c>
      <c r="E119" s="170"/>
      <c r="F119" s="170"/>
      <c r="G119" s="122"/>
      <c r="H119" s="122"/>
      <c r="I119" s="122"/>
      <c r="J119" s="122"/>
      <c r="K119" s="122"/>
      <c r="L119" s="2"/>
    </row>
    <row r="120" spans="2:12" ht="14.5" customHeight="1" x14ac:dyDescent="0.2">
      <c r="B120" s="422"/>
      <c r="C120" s="117"/>
      <c r="D120" s="117" t="s">
        <v>474</v>
      </c>
      <c r="E120" s="174"/>
      <c r="F120" s="174"/>
      <c r="G120" s="163"/>
      <c r="H120" s="122"/>
      <c r="I120" s="122"/>
      <c r="J120" s="122"/>
      <c r="K120" s="122"/>
      <c r="L120" s="2"/>
    </row>
    <row r="121" spans="2:12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74"/>
      <c r="H121" s="122"/>
      <c r="I121" s="122"/>
      <c r="J121" s="170"/>
      <c r="K121" s="170"/>
      <c r="L121" s="19"/>
    </row>
    <row r="122" spans="2:12" s="21" customFormat="1" ht="14.5" customHeight="1" x14ac:dyDescent="0.2">
      <c r="B122" s="418"/>
      <c r="C122" s="117"/>
      <c r="D122" s="117" t="s">
        <v>838</v>
      </c>
      <c r="E122" s="122"/>
      <c r="F122" s="174"/>
      <c r="G122" s="174"/>
      <c r="H122" s="122"/>
      <c r="I122" s="122"/>
      <c r="J122" s="170"/>
      <c r="K122" s="170"/>
      <c r="L122" s="19"/>
    </row>
    <row r="123" spans="2:12" s="21" customFormat="1" ht="14.5" customHeight="1" x14ac:dyDescent="0.2">
      <c r="B123" s="418"/>
      <c r="C123" s="117"/>
      <c r="D123" s="117" t="s">
        <v>839</v>
      </c>
      <c r="E123" s="122"/>
      <c r="F123" s="174"/>
      <c r="G123" s="174"/>
      <c r="H123" s="122"/>
      <c r="I123" s="122"/>
      <c r="J123" s="170"/>
      <c r="K123" s="170"/>
      <c r="L123" s="19"/>
    </row>
    <row r="124" spans="2:12" s="21" customFormat="1" ht="14.5" customHeight="1" x14ac:dyDescent="0.2">
      <c r="B124" s="418"/>
      <c r="C124" s="117"/>
      <c r="D124" s="117" t="s">
        <v>893</v>
      </c>
      <c r="E124" s="122"/>
      <c r="F124" s="174"/>
      <c r="G124" s="174"/>
      <c r="H124" s="122"/>
      <c r="I124" s="122"/>
      <c r="J124" s="170"/>
      <c r="K124" s="170"/>
      <c r="L124" s="19"/>
    </row>
    <row r="125" spans="2:12" s="21" customFormat="1" ht="14.5" customHeight="1" x14ac:dyDescent="0.2">
      <c r="B125" s="418"/>
      <c r="C125" s="117"/>
      <c r="D125" s="117" t="s">
        <v>840</v>
      </c>
      <c r="E125" s="122"/>
      <c r="F125" s="174"/>
      <c r="G125" s="174"/>
      <c r="H125" s="122"/>
      <c r="I125" s="122"/>
      <c r="J125" s="170"/>
      <c r="K125" s="170"/>
      <c r="L125" s="19"/>
    </row>
    <row r="126" spans="2:12" s="21" customFormat="1" ht="14.5" customHeight="1" x14ac:dyDescent="0.2">
      <c r="B126" s="418"/>
      <c r="C126" s="117"/>
      <c r="D126" s="117" t="s">
        <v>841</v>
      </c>
      <c r="E126" s="122"/>
      <c r="F126" s="174"/>
      <c r="G126" s="174"/>
      <c r="H126" s="122"/>
      <c r="I126" s="122"/>
      <c r="J126" s="170"/>
      <c r="K126" s="170"/>
      <c r="L126" s="19"/>
    </row>
    <row r="127" spans="2:12" ht="14.5" customHeight="1" x14ac:dyDescent="0.2">
      <c r="B127" s="418"/>
      <c r="C127" s="120"/>
      <c r="D127" s="120" t="s">
        <v>275</v>
      </c>
      <c r="E127" s="149"/>
      <c r="F127" s="149"/>
      <c r="G127" s="150"/>
      <c r="H127" s="151"/>
      <c r="I127" s="152"/>
      <c r="J127" s="152"/>
      <c r="K127" s="152"/>
      <c r="L127" s="2"/>
    </row>
    <row r="128" spans="2:12" s="21" customFormat="1" ht="14.5" customHeight="1" x14ac:dyDescent="0.2">
      <c r="B128" s="419"/>
      <c r="C128" s="127"/>
      <c r="D128" s="127" t="s">
        <v>964</v>
      </c>
      <c r="E128" s="124"/>
      <c r="F128" s="176"/>
      <c r="G128" s="176"/>
      <c r="H128" s="124"/>
      <c r="I128" s="124"/>
      <c r="J128" s="190"/>
      <c r="K128" s="190"/>
      <c r="L128" s="19"/>
    </row>
    <row r="129" spans="2:12" ht="14.5" customHeight="1" x14ac:dyDescent="0.2">
      <c r="B129" s="422" t="s">
        <v>45</v>
      </c>
      <c r="C129" s="117"/>
      <c r="D129" s="117" t="s">
        <v>175</v>
      </c>
      <c r="E129" s="170"/>
      <c r="F129" s="170"/>
      <c r="G129" s="122"/>
      <c r="H129" s="122"/>
      <c r="I129" s="122"/>
      <c r="J129" s="122"/>
      <c r="K129" s="122"/>
      <c r="L129" s="2"/>
    </row>
    <row r="130" spans="2:12" ht="14.5" customHeight="1" x14ac:dyDescent="0.2">
      <c r="B130" s="422"/>
      <c r="C130" s="117" t="s">
        <v>401</v>
      </c>
      <c r="D130" s="117" t="s">
        <v>288</v>
      </c>
      <c r="E130" s="170"/>
      <c r="F130" s="170"/>
      <c r="G130" s="122"/>
      <c r="H130" s="122"/>
      <c r="I130" s="122"/>
      <c r="J130" s="122"/>
      <c r="K130" s="122"/>
      <c r="L130" s="2"/>
    </row>
    <row r="131" spans="2:12" ht="14.5" customHeight="1" x14ac:dyDescent="0.2">
      <c r="B131" s="422"/>
      <c r="C131" s="117" t="s">
        <v>402</v>
      </c>
      <c r="D131" s="117" t="s">
        <v>251</v>
      </c>
      <c r="E131" s="170"/>
      <c r="F131" s="170"/>
      <c r="G131" s="122"/>
      <c r="H131" s="122"/>
      <c r="I131" s="122"/>
      <c r="J131" s="122"/>
      <c r="K131" s="122"/>
      <c r="L131" s="2"/>
    </row>
    <row r="132" spans="2:12" ht="14.5" customHeight="1" x14ac:dyDescent="0.2">
      <c r="B132" s="422"/>
      <c r="C132" s="120"/>
      <c r="D132" s="120" t="s">
        <v>315</v>
      </c>
      <c r="E132" s="189"/>
      <c r="F132" s="189"/>
      <c r="G132" s="123"/>
      <c r="H132" s="123"/>
      <c r="I132" s="123"/>
      <c r="J132" s="123"/>
      <c r="K132" s="123"/>
      <c r="L132" s="2"/>
    </row>
    <row r="133" spans="2:12" ht="14.5" customHeight="1" x14ac:dyDescent="0.2">
      <c r="B133" s="422"/>
      <c r="C133" s="127"/>
      <c r="D133" s="127" t="s">
        <v>46</v>
      </c>
      <c r="E133" s="190"/>
      <c r="F133" s="190"/>
      <c r="G133" s="124"/>
      <c r="H133" s="124"/>
      <c r="I133" s="124"/>
      <c r="J133" s="124"/>
      <c r="K133" s="124"/>
      <c r="L133" s="2"/>
    </row>
    <row r="134" spans="2:12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74"/>
      <c r="H134" s="122"/>
      <c r="I134" s="122"/>
      <c r="J134" s="170"/>
      <c r="K134" s="170"/>
      <c r="L134" s="19"/>
    </row>
    <row r="135" spans="2:12" s="21" customFormat="1" ht="14.5" customHeight="1" x14ac:dyDescent="0.2">
      <c r="B135" s="418"/>
      <c r="C135" s="117"/>
      <c r="D135" s="117" t="s">
        <v>526</v>
      </c>
      <c r="E135" s="122"/>
      <c r="F135" s="174"/>
      <c r="G135" s="174"/>
      <c r="H135" s="122"/>
      <c r="I135" s="122"/>
      <c r="J135" s="170"/>
      <c r="K135" s="170"/>
      <c r="L135" s="19"/>
    </row>
    <row r="136" spans="2:12" s="21" customFormat="1" ht="14.5" customHeight="1" x14ac:dyDescent="0.2">
      <c r="B136" s="418"/>
      <c r="C136" s="117"/>
      <c r="D136" s="117" t="s">
        <v>616</v>
      </c>
      <c r="E136" s="122"/>
      <c r="F136" s="174"/>
      <c r="G136" s="174"/>
      <c r="H136" s="122"/>
      <c r="I136" s="122"/>
      <c r="J136" s="170"/>
      <c r="K136" s="170"/>
      <c r="L136" s="19"/>
    </row>
    <row r="137" spans="2:12" s="21" customFormat="1" ht="14.5" customHeight="1" x14ac:dyDescent="0.2">
      <c r="B137" s="418"/>
      <c r="C137" s="117"/>
      <c r="D137" s="117" t="s">
        <v>499</v>
      </c>
      <c r="E137" s="122"/>
      <c r="F137" s="174"/>
      <c r="G137" s="174"/>
      <c r="H137" s="122"/>
      <c r="I137" s="122"/>
      <c r="J137" s="170"/>
      <c r="K137" s="170"/>
      <c r="L137" s="19"/>
    </row>
    <row r="138" spans="2:12" s="21" customFormat="1" ht="14.5" customHeight="1" x14ac:dyDescent="0.2">
      <c r="B138" s="418"/>
      <c r="C138" s="117"/>
      <c r="D138" s="117" t="s">
        <v>527</v>
      </c>
      <c r="E138" s="122"/>
      <c r="F138" s="174"/>
      <c r="G138" s="174"/>
      <c r="H138" s="122"/>
      <c r="I138" s="122"/>
      <c r="J138" s="170"/>
      <c r="K138" s="170"/>
      <c r="L138" s="19"/>
    </row>
    <row r="139" spans="2:12" s="21" customFormat="1" ht="14.5" customHeight="1" x14ac:dyDescent="0.2">
      <c r="B139" s="418"/>
      <c r="C139" s="117"/>
      <c r="D139" s="117" t="s">
        <v>528</v>
      </c>
      <c r="E139" s="122"/>
      <c r="F139" s="174"/>
      <c r="G139" s="174"/>
      <c r="H139" s="122"/>
      <c r="I139" s="122"/>
      <c r="J139" s="170"/>
      <c r="K139" s="170"/>
      <c r="L139" s="19"/>
    </row>
    <row r="140" spans="2:12" s="21" customFormat="1" ht="14.5" customHeight="1" x14ac:dyDescent="0.2">
      <c r="B140" s="418"/>
      <c r="C140" s="117"/>
      <c r="D140" s="117" t="s">
        <v>789</v>
      </c>
      <c r="E140" s="122"/>
      <c r="F140" s="174"/>
      <c r="G140" s="174"/>
      <c r="H140" s="122"/>
      <c r="I140" s="122"/>
      <c r="J140" s="170"/>
      <c r="K140" s="170"/>
      <c r="L140" s="19"/>
    </row>
    <row r="141" spans="2:12" s="21" customFormat="1" ht="14.5" customHeight="1" x14ac:dyDescent="0.2">
      <c r="B141" s="418"/>
      <c r="C141" s="117"/>
      <c r="D141" s="117" t="s">
        <v>835</v>
      </c>
      <c r="E141" s="122"/>
      <c r="F141" s="174"/>
      <c r="G141" s="174"/>
      <c r="H141" s="122"/>
      <c r="I141" s="122"/>
      <c r="J141" s="170"/>
      <c r="K141" s="170"/>
      <c r="L141" s="19"/>
    </row>
    <row r="142" spans="2:12" s="21" customFormat="1" ht="14.5" customHeight="1" x14ac:dyDescent="0.2">
      <c r="B142" s="418"/>
      <c r="C142" s="117"/>
      <c r="D142" s="117" t="s">
        <v>529</v>
      </c>
      <c r="E142" s="122"/>
      <c r="F142" s="174"/>
      <c r="G142" s="174"/>
      <c r="H142" s="122"/>
      <c r="I142" s="122"/>
      <c r="J142" s="170"/>
      <c r="K142" s="170"/>
      <c r="L142" s="19"/>
    </row>
    <row r="143" spans="2:12" s="21" customFormat="1" ht="14.5" customHeight="1" x14ac:dyDescent="0.2">
      <c r="B143" s="418"/>
      <c r="C143" s="117"/>
      <c r="D143" s="117" t="s">
        <v>530</v>
      </c>
      <c r="E143" s="122"/>
      <c r="F143" s="174"/>
      <c r="G143" s="174"/>
      <c r="H143" s="122"/>
      <c r="I143" s="122"/>
      <c r="J143" s="170"/>
      <c r="K143" s="170"/>
      <c r="L143" s="19"/>
    </row>
    <row r="144" spans="2:12" s="21" customFormat="1" ht="14.5" customHeight="1" x14ac:dyDescent="0.2">
      <c r="B144" s="418"/>
      <c r="C144" s="117"/>
      <c r="D144" s="117" t="s">
        <v>531</v>
      </c>
      <c r="E144" s="122"/>
      <c r="F144" s="174"/>
      <c r="G144" s="174"/>
      <c r="H144" s="122"/>
      <c r="I144" s="122"/>
      <c r="J144" s="170"/>
      <c r="K144" s="170"/>
      <c r="L144" s="19"/>
    </row>
    <row r="145" spans="2:12" s="21" customFormat="1" ht="14.5" customHeight="1" x14ac:dyDescent="0.2">
      <c r="B145" s="418"/>
      <c r="C145" s="119"/>
      <c r="D145" s="119" t="s">
        <v>74</v>
      </c>
      <c r="E145" s="123"/>
      <c r="F145" s="175"/>
      <c r="G145" s="175"/>
      <c r="H145" s="123"/>
      <c r="I145" s="123"/>
      <c r="J145" s="189"/>
      <c r="K145" s="189"/>
      <c r="L145" s="19"/>
    </row>
    <row r="146" spans="2:12" s="21" customFormat="1" ht="14.5" customHeight="1" x14ac:dyDescent="0.2">
      <c r="B146" s="419"/>
      <c r="C146" s="127"/>
      <c r="D146" s="127" t="s">
        <v>48</v>
      </c>
      <c r="E146" s="124"/>
      <c r="F146" s="176"/>
      <c r="G146" s="176"/>
      <c r="H146" s="124"/>
      <c r="I146" s="124"/>
      <c r="J146" s="190"/>
      <c r="K146" s="190"/>
      <c r="L146" s="19"/>
    </row>
    <row r="147" spans="2:12" ht="14.5" customHeight="1" x14ac:dyDescent="0.2">
      <c r="B147" s="127"/>
      <c r="C147" s="121"/>
      <c r="D147" s="121" t="s">
        <v>49</v>
      </c>
      <c r="E147" s="213"/>
      <c r="F147" s="213"/>
      <c r="G147" s="177"/>
      <c r="H147" s="177"/>
      <c r="I147" s="157"/>
      <c r="J147" s="157"/>
      <c r="K147" s="157"/>
      <c r="L147" s="2"/>
    </row>
    <row r="153" spans="2:12" ht="14.5" customHeight="1" x14ac:dyDescent="0.2">
      <c r="B153" s="4" t="s">
        <v>429</v>
      </c>
      <c r="C153" s="5"/>
      <c r="D153" s="5"/>
      <c r="E153" s="33"/>
      <c r="F153" s="33"/>
    </row>
    <row r="154" spans="2:12" ht="14.5" customHeight="1" x14ac:dyDescent="0.2">
      <c r="B154" s="8"/>
      <c r="C154" s="8"/>
      <c r="D154" s="8"/>
      <c r="E154" s="35"/>
      <c r="F154" s="35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424</v>
      </c>
      <c r="F155" s="385"/>
      <c r="G155" s="417" t="s">
        <v>56</v>
      </c>
      <c r="H155" s="394" t="s">
        <v>3</v>
      </c>
      <c r="I155" s="398" t="s">
        <v>425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74"/>
      <c r="H157" s="122"/>
      <c r="I157" s="122"/>
      <c r="J157" s="170"/>
      <c r="K157" s="170"/>
    </row>
    <row r="158" spans="2:12" ht="14.5" customHeight="1" x14ac:dyDescent="0.2">
      <c r="B158" s="418"/>
      <c r="C158" s="117"/>
      <c r="D158" s="117" t="s">
        <v>800</v>
      </c>
      <c r="E158" s="122"/>
      <c r="F158" s="174"/>
      <c r="G158" s="174"/>
      <c r="H158" s="122"/>
      <c r="I158" s="122"/>
      <c r="J158" s="170"/>
      <c r="K158" s="170"/>
    </row>
    <row r="159" spans="2:12" ht="14.5" customHeight="1" x14ac:dyDescent="0.2">
      <c r="B159" s="418"/>
      <c r="C159" s="117"/>
      <c r="D159" s="117" t="s">
        <v>532</v>
      </c>
      <c r="E159" s="122"/>
      <c r="F159" s="174"/>
      <c r="G159" s="174"/>
      <c r="H159" s="122"/>
      <c r="I159" s="122"/>
      <c r="J159" s="170"/>
      <c r="K159" s="170"/>
    </row>
    <row r="160" spans="2:12" ht="14.5" customHeight="1" x14ac:dyDescent="0.2">
      <c r="B160" s="418"/>
      <c r="C160" s="117"/>
      <c r="D160" s="117" t="s">
        <v>535</v>
      </c>
      <c r="E160" s="122"/>
      <c r="F160" s="174"/>
      <c r="G160" s="174"/>
      <c r="H160" s="122"/>
      <c r="I160" s="122"/>
      <c r="J160" s="170"/>
      <c r="K160" s="170"/>
    </row>
    <row r="161" spans="2:11" ht="14.5" customHeight="1" x14ac:dyDescent="0.2">
      <c r="B161" s="418"/>
      <c r="C161" s="117"/>
      <c r="D161" s="117" t="s">
        <v>533</v>
      </c>
      <c r="E161" s="122"/>
      <c r="F161" s="174"/>
      <c r="G161" s="174"/>
      <c r="H161" s="122"/>
      <c r="I161" s="122"/>
      <c r="J161" s="170"/>
      <c r="K161" s="170"/>
    </row>
    <row r="162" spans="2:11" ht="14.5" customHeight="1" x14ac:dyDescent="0.2">
      <c r="B162" s="418"/>
      <c r="C162" s="117"/>
      <c r="D162" s="117" t="s">
        <v>534</v>
      </c>
      <c r="E162" s="122"/>
      <c r="F162" s="174"/>
      <c r="G162" s="174"/>
      <c r="H162" s="122"/>
      <c r="I162" s="122"/>
      <c r="J162" s="170"/>
      <c r="K162" s="170"/>
    </row>
    <row r="163" spans="2:11" ht="14.5" customHeight="1" x14ac:dyDescent="0.2">
      <c r="B163" s="418"/>
      <c r="C163" s="119"/>
      <c r="D163" s="119" t="s">
        <v>894</v>
      </c>
      <c r="E163" s="123"/>
      <c r="F163" s="175"/>
      <c r="G163" s="175"/>
      <c r="H163" s="123"/>
      <c r="I163" s="123"/>
      <c r="J163" s="189"/>
      <c r="K163" s="189"/>
    </row>
    <row r="164" spans="2:11" ht="14.5" customHeight="1" x14ac:dyDescent="0.2">
      <c r="B164" s="418"/>
      <c r="C164" s="119"/>
      <c r="D164" s="119" t="s">
        <v>154</v>
      </c>
      <c r="E164" s="123"/>
      <c r="F164" s="175"/>
      <c r="G164" s="175"/>
      <c r="H164" s="123"/>
      <c r="I164" s="123"/>
      <c r="J164" s="189"/>
      <c r="K164" s="189"/>
    </row>
    <row r="165" spans="2:11" ht="14.5" customHeight="1" x14ac:dyDescent="0.2">
      <c r="B165" s="419"/>
      <c r="C165" s="127"/>
      <c r="D165" s="127" t="s">
        <v>54</v>
      </c>
      <c r="E165" s="124"/>
      <c r="F165" s="176"/>
      <c r="G165" s="176"/>
      <c r="H165" s="124"/>
      <c r="I165" s="124"/>
      <c r="J165" s="190"/>
      <c r="K165" s="190"/>
    </row>
    <row r="166" spans="2:11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74"/>
      <c r="H166" s="122"/>
      <c r="I166" s="122"/>
      <c r="J166" s="170"/>
      <c r="K166" s="170"/>
    </row>
    <row r="167" spans="2:11" ht="14.5" customHeight="1" x14ac:dyDescent="0.2">
      <c r="B167" s="418"/>
      <c r="C167" s="117"/>
      <c r="D167" s="117" t="s">
        <v>801</v>
      </c>
      <c r="E167" s="122"/>
      <c r="F167" s="174"/>
      <c r="G167" s="174"/>
      <c r="H167" s="122"/>
      <c r="I167" s="122"/>
      <c r="J167" s="170"/>
      <c r="K167" s="170"/>
    </row>
    <row r="168" spans="2:11" ht="14.5" customHeight="1" x14ac:dyDescent="0.2">
      <c r="B168" s="418"/>
      <c r="C168" s="117"/>
      <c r="D168" s="117" t="s">
        <v>541</v>
      </c>
      <c r="E168" s="122"/>
      <c r="F168" s="174"/>
      <c r="G168" s="174"/>
      <c r="H168" s="122"/>
      <c r="I168" s="122"/>
      <c r="J168" s="170"/>
      <c r="K168" s="170"/>
    </row>
    <row r="169" spans="2:11" ht="14.5" customHeight="1" x14ac:dyDescent="0.2">
      <c r="B169" s="418"/>
      <c r="C169" s="117"/>
      <c r="D169" s="117" t="s">
        <v>538</v>
      </c>
      <c r="E169" s="122"/>
      <c r="F169" s="174"/>
      <c r="G169" s="174"/>
      <c r="H169" s="122"/>
      <c r="I169" s="122"/>
      <c r="J169" s="170"/>
      <c r="K169" s="170"/>
    </row>
    <row r="170" spans="2:11" ht="14.5" customHeight="1" x14ac:dyDescent="0.2">
      <c r="B170" s="418"/>
      <c r="C170" s="117"/>
      <c r="D170" s="117" t="s">
        <v>539</v>
      </c>
      <c r="E170" s="122"/>
      <c r="F170" s="174"/>
      <c r="G170" s="174"/>
      <c r="H170" s="122"/>
      <c r="I170" s="122"/>
      <c r="J170" s="170"/>
      <c r="K170" s="170"/>
    </row>
    <row r="171" spans="2:11" ht="14.5" customHeight="1" x14ac:dyDescent="0.2">
      <c r="B171" s="418"/>
      <c r="C171" s="117"/>
      <c r="D171" s="117" t="s">
        <v>537</v>
      </c>
      <c r="E171" s="122"/>
      <c r="F171" s="174"/>
      <c r="G171" s="174"/>
      <c r="H171" s="122"/>
      <c r="I171" s="122"/>
      <c r="J171" s="170"/>
      <c r="K171" s="170"/>
    </row>
    <row r="172" spans="2:11" ht="14.5" customHeight="1" x14ac:dyDescent="0.2">
      <c r="B172" s="418"/>
      <c r="C172" s="117"/>
      <c r="D172" s="117" t="s">
        <v>540</v>
      </c>
      <c r="E172" s="122"/>
      <c r="F172" s="174"/>
      <c r="G172" s="174"/>
      <c r="H172" s="122"/>
      <c r="I172" s="122"/>
      <c r="J172" s="170"/>
      <c r="K172" s="170"/>
    </row>
    <row r="173" spans="2:11" ht="14.5" customHeight="1" x14ac:dyDescent="0.2">
      <c r="B173" s="418"/>
      <c r="C173" s="119"/>
      <c r="D173" s="119" t="s">
        <v>680</v>
      </c>
      <c r="E173" s="123"/>
      <c r="F173" s="175"/>
      <c r="G173" s="175"/>
      <c r="H173" s="123"/>
      <c r="I173" s="123"/>
      <c r="J173" s="189"/>
      <c r="K173" s="189"/>
    </row>
    <row r="174" spans="2:11" ht="14.5" customHeight="1" x14ac:dyDescent="0.2">
      <c r="B174" s="418"/>
      <c r="C174" s="117"/>
      <c r="D174" s="117" t="s">
        <v>617</v>
      </c>
      <c r="E174" s="122"/>
      <c r="F174" s="174"/>
      <c r="G174" s="174"/>
      <c r="H174" s="122"/>
      <c r="I174" s="122"/>
      <c r="J174" s="170"/>
      <c r="K174" s="170"/>
    </row>
    <row r="175" spans="2:11" ht="14.5" customHeight="1" x14ac:dyDescent="0.2">
      <c r="B175" s="418"/>
      <c r="C175" s="117"/>
      <c r="D175" s="117" t="s">
        <v>802</v>
      </c>
      <c r="E175" s="122"/>
      <c r="F175" s="174"/>
      <c r="G175" s="174"/>
      <c r="H175" s="122"/>
      <c r="I175" s="122"/>
      <c r="J175" s="170"/>
      <c r="K175" s="170"/>
    </row>
    <row r="176" spans="2:11" ht="14.5" customHeight="1" x14ac:dyDescent="0.2">
      <c r="B176" s="418"/>
      <c r="C176" s="117"/>
      <c r="D176" s="117" t="s">
        <v>542</v>
      </c>
      <c r="E176" s="122"/>
      <c r="F176" s="174"/>
      <c r="G176" s="174"/>
      <c r="H176" s="122"/>
      <c r="I176" s="122"/>
      <c r="J176" s="170"/>
      <c r="K176" s="170"/>
    </row>
    <row r="177" spans="2:11" ht="14.5" customHeight="1" x14ac:dyDescent="0.2">
      <c r="B177" s="418"/>
      <c r="C177" s="117"/>
      <c r="D177" s="117" t="s">
        <v>543</v>
      </c>
      <c r="E177" s="122"/>
      <c r="F177" s="174"/>
      <c r="G177" s="174"/>
      <c r="H177" s="122"/>
      <c r="I177" s="122"/>
      <c r="J177" s="170"/>
      <c r="K177" s="170"/>
    </row>
    <row r="178" spans="2:11" ht="14.5" customHeight="1" x14ac:dyDescent="0.2">
      <c r="B178" s="418"/>
      <c r="C178" s="117"/>
      <c r="D178" s="117" t="s">
        <v>618</v>
      </c>
      <c r="E178" s="122"/>
      <c r="F178" s="174"/>
      <c r="G178" s="174"/>
      <c r="H178" s="122"/>
      <c r="I178" s="122"/>
      <c r="J178" s="170"/>
      <c r="K178" s="170"/>
    </row>
    <row r="179" spans="2:11" ht="14.5" customHeight="1" x14ac:dyDescent="0.2">
      <c r="B179" s="418"/>
      <c r="C179" s="119"/>
      <c r="D179" s="119" t="s">
        <v>687</v>
      </c>
      <c r="E179" s="123"/>
      <c r="F179" s="175"/>
      <c r="G179" s="175"/>
      <c r="H179" s="123"/>
      <c r="I179" s="123"/>
      <c r="J179" s="189"/>
      <c r="K179" s="189"/>
    </row>
    <row r="180" spans="2:11" ht="14.5" customHeight="1" x14ac:dyDescent="0.2">
      <c r="B180" s="418"/>
      <c r="C180" s="119"/>
      <c r="D180" s="119" t="s">
        <v>95</v>
      </c>
      <c r="E180" s="123"/>
      <c r="F180" s="175"/>
      <c r="G180" s="175"/>
      <c r="H180" s="123"/>
      <c r="I180" s="123"/>
      <c r="J180" s="189"/>
      <c r="K180" s="189"/>
    </row>
    <row r="181" spans="2:11" ht="14.5" customHeight="1" x14ac:dyDescent="0.2">
      <c r="B181" s="419"/>
      <c r="C181" s="127"/>
      <c r="D181" s="127" t="s">
        <v>556</v>
      </c>
      <c r="E181" s="124"/>
      <c r="F181" s="176"/>
      <c r="G181" s="176"/>
      <c r="H181" s="124"/>
      <c r="I181" s="124"/>
      <c r="J181" s="190"/>
      <c r="K181" s="190"/>
    </row>
    <row r="182" spans="2:11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74"/>
      <c r="H182" s="122"/>
      <c r="I182" s="122"/>
      <c r="J182" s="170"/>
      <c r="K182" s="170"/>
    </row>
    <row r="183" spans="2:11" ht="14.5" customHeight="1" x14ac:dyDescent="0.2">
      <c r="B183" s="418"/>
      <c r="C183" s="117"/>
      <c r="D183" s="117" t="s">
        <v>560</v>
      </c>
      <c r="E183" s="122"/>
      <c r="F183" s="174"/>
      <c r="G183" s="174"/>
      <c r="H183" s="122"/>
      <c r="I183" s="122"/>
      <c r="J183" s="170"/>
      <c r="K183" s="170"/>
    </row>
    <row r="184" spans="2:11" ht="14.5" customHeight="1" x14ac:dyDescent="0.2">
      <c r="B184" s="418"/>
      <c r="C184" s="117"/>
      <c r="D184" s="117" t="s">
        <v>562</v>
      </c>
      <c r="E184" s="122"/>
      <c r="F184" s="174"/>
      <c r="G184" s="174"/>
      <c r="H184" s="122"/>
      <c r="I184" s="122"/>
      <c r="J184" s="170"/>
      <c r="K184" s="170"/>
    </row>
    <row r="185" spans="2:11" ht="14.5" customHeight="1" x14ac:dyDescent="0.2">
      <c r="B185" s="418"/>
      <c r="C185" s="117"/>
      <c r="D185" s="117" t="s">
        <v>561</v>
      </c>
      <c r="E185" s="122"/>
      <c r="F185" s="174"/>
      <c r="G185" s="174"/>
      <c r="H185" s="122"/>
      <c r="I185" s="122"/>
      <c r="J185" s="170"/>
      <c r="K185" s="170"/>
    </row>
    <row r="186" spans="2:11" ht="14.5" customHeight="1" x14ac:dyDescent="0.2">
      <c r="B186" s="418"/>
      <c r="C186" s="117"/>
      <c r="D186" s="117" t="s">
        <v>803</v>
      </c>
      <c r="E186" s="122"/>
      <c r="F186" s="174"/>
      <c r="G186" s="174"/>
      <c r="H186" s="122"/>
      <c r="I186" s="122"/>
      <c r="J186" s="170"/>
      <c r="K186" s="170"/>
    </row>
    <row r="187" spans="2:11" ht="14.5" customHeight="1" x14ac:dyDescent="0.2">
      <c r="B187" s="418"/>
      <c r="C187" s="117"/>
      <c r="D187" s="117" t="s">
        <v>790</v>
      </c>
      <c r="E187" s="122"/>
      <c r="F187" s="174"/>
      <c r="G187" s="174"/>
      <c r="H187" s="122"/>
      <c r="I187" s="122"/>
      <c r="J187" s="170"/>
      <c r="K187" s="170"/>
    </row>
    <row r="188" spans="2:11" ht="14.5" customHeight="1" x14ac:dyDescent="0.2">
      <c r="B188" s="418"/>
      <c r="C188" s="117"/>
      <c r="D188" s="117" t="s">
        <v>559</v>
      </c>
      <c r="E188" s="122"/>
      <c r="F188" s="174"/>
      <c r="G188" s="174"/>
      <c r="H188" s="122"/>
      <c r="I188" s="122"/>
      <c r="J188" s="170"/>
      <c r="K188" s="170"/>
    </row>
    <row r="189" spans="2:11" ht="14.5" customHeight="1" x14ac:dyDescent="0.2">
      <c r="B189" s="419"/>
      <c r="C189" s="119"/>
      <c r="D189" s="119" t="s">
        <v>719</v>
      </c>
      <c r="E189" s="123"/>
      <c r="F189" s="175"/>
      <c r="G189" s="175"/>
      <c r="H189" s="123"/>
      <c r="I189" s="123"/>
      <c r="J189" s="189"/>
      <c r="K189" s="189"/>
    </row>
    <row r="190" spans="2:11" ht="14.5" customHeight="1" x14ac:dyDescent="0.2">
      <c r="B190" s="127"/>
      <c r="C190" s="127"/>
      <c r="D190" s="127" t="s">
        <v>619</v>
      </c>
      <c r="E190" s="124"/>
      <c r="F190" s="176"/>
      <c r="G190" s="176"/>
      <c r="H190" s="124"/>
      <c r="I190" s="124"/>
      <c r="J190" s="190"/>
      <c r="K190" s="190"/>
    </row>
    <row r="191" spans="2:11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74"/>
      <c r="H191" s="122"/>
      <c r="I191" s="122"/>
      <c r="J191" s="170"/>
      <c r="K191" s="170"/>
    </row>
    <row r="192" spans="2:11" ht="14.5" customHeight="1" x14ac:dyDescent="0.2">
      <c r="B192" s="418"/>
      <c r="C192" s="117"/>
      <c r="D192" s="117" t="s">
        <v>563</v>
      </c>
      <c r="E192" s="122"/>
      <c r="F192" s="174"/>
      <c r="G192" s="174"/>
      <c r="H192" s="122"/>
      <c r="I192" s="122"/>
      <c r="J192" s="170"/>
      <c r="K192" s="170"/>
    </row>
    <row r="193" spans="2:11" ht="14.5" customHeight="1" x14ac:dyDescent="0.2">
      <c r="B193" s="418"/>
      <c r="C193" s="117"/>
      <c r="D193" s="117" t="s">
        <v>804</v>
      </c>
      <c r="E193" s="122"/>
      <c r="F193" s="174"/>
      <c r="G193" s="174"/>
      <c r="H193" s="122"/>
      <c r="I193" s="122"/>
      <c r="J193" s="170"/>
      <c r="K193" s="170"/>
    </row>
    <row r="194" spans="2:11" ht="14.5" customHeight="1" x14ac:dyDescent="0.2">
      <c r="B194" s="418"/>
      <c r="C194" s="117"/>
      <c r="D194" s="117" t="s">
        <v>565</v>
      </c>
      <c r="E194" s="122"/>
      <c r="F194" s="174"/>
      <c r="G194" s="174"/>
      <c r="H194" s="122"/>
      <c r="I194" s="122"/>
      <c r="J194" s="170"/>
      <c r="K194" s="170"/>
    </row>
    <row r="195" spans="2:11" ht="14.5" customHeight="1" x14ac:dyDescent="0.2">
      <c r="B195" s="418"/>
      <c r="C195" s="117"/>
      <c r="D195" s="117" t="s">
        <v>843</v>
      </c>
      <c r="E195" s="122"/>
      <c r="F195" s="174"/>
      <c r="G195" s="174"/>
      <c r="H195" s="122"/>
      <c r="I195" s="122"/>
      <c r="J195" s="170"/>
      <c r="K195" s="170"/>
    </row>
    <row r="196" spans="2:11" ht="14.5" customHeight="1" x14ac:dyDescent="0.2">
      <c r="B196" s="418"/>
      <c r="C196" s="117"/>
      <c r="D196" s="117" t="s">
        <v>564</v>
      </c>
      <c r="E196" s="122"/>
      <c r="F196" s="174"/>
      <c r="G196" s="174"/>
      <c r="H196" s="122"/>
      <c r="I196" s="122"/>
      <c r="J196" s="170"/>
      <c r="K196" s="170"/>
    </row>
    <row r="197" spans="2:11" ht="14.5" customHeight="1" x14ac:dyDescent="0.2">
      <c r="B197" s="418"/>
      <c r="C197" s="119"/>
      <c r="D197" s="119" t="s">
        <v>726</v>
      </c>
      <c r="E197" s="123"/>
      <c r="F197" s="175"/>
      <c r="G197" s="175"/>
      <c r="H197" s="123"/>
      <c r="I197" s="123"/>
      <c r="J197" s="189"/>
      <c r="K197" s="189"/>
    </row>
    <row r="198" spans="2:11" ht="14.5" customHeight="1" x14ac:dyDescent="0.2">
      <c r="B198" s="418"/>
      <c r="C198" s="119"/>
      <c r="D198" s="119" t="s">
        <v>155</v>
      </c>
      <c r="E198" s="123"/>
      <c r="F198" s="175"/>
      <c r="G198" s="175"/>
      <c r="H198" s="123"/>
      <c r="I198" s="123"/>
      <c r="J198" s="189"/>
      <c r="K198" s="189"/>
    </row>
    <row r="199" spans="2:11" ht="14.5" customHeight="1" x14ac:dyDescent="0.2">
      <c r="B199" s="419"/>
      <c r="C199" s="127"/>
      <c r="D199" s="127" t="s">
        <v>558</v>
      </c>
      <c r="E199" s="124"/>
      <c r="F199" s="176"/>
      <c r="G199" s="176"/>
      <c r="H199" s="124"/>
      <c r="I199" s="124"/>
      <c r="J199" s="190"/>
      <c r="K199" s="190"/>
    </row>
    <row r="200" spans="2:11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74"/>
      <c r="H200" s="122"/>
      <c r="I200" s="122"/>
      <c r="J200" s="170"/>
      <c r="K200" s="170"/>
    </row>
    <row r="201" spans="2:11" ht="14.5" customHeight="1" x14ac:dyDescent="0.2">
      <c r="B201" s="418"/>
      <c r="C201" s="117"/>
      <c r="D201" s="117" t="s">
        <v>900</v>
      </c>
      <c r="E201" s="122"/>
      <c r="F201" s="174"/>
      <c r="G201" s="174"/>
      <c r="H201" s="122"/>
      <c r="I201" s="122"/>
      <c r="J201" s="170"/>
      <c r="K201" s="170"/>
    </row>
    <row r="202" spans="2:11" ht="14.5" customHeight="1" x14ac:dyDescent="0.2">
      <c r="B202" s="418"/>
      <c r="C202" s="117"/>
      <c r="D202" s="117" t="s">
        <v>551</v>
      </c>
      <c r="E202" s="122"/>
      <c r="F202" s="174"/>
      <c r="G202" s="174"/>
      <c r="H202" s="122"/>
      <c r="I202" s="122"/>
      <c r="J202" s="170"/>
      <c r="K202" s="170"/>
    </row>
    <row r="203" spans="2:11" ht="14.5" customHeight="1" x14ac:dyDescent="0.2">
      <c r="B203" s="418"/>
      <c r="C203" s="117"/>
      <c r="D203" s="117" t="s">
        <v>548</v>
      </c>
      <c r="E203" s="122"/>
      <c r="F203" s="174"/>
      <c r="G203" s="174"/>
      <c r="H203" s="122"/>
      <c r="I203" s="122"/>
      <c r="J203" s="170"/>
      <c r="K203" s="170"/>
    </row>
    <row r="204" spans="2:11" ht="14.5" customHeight="1" x14ac:dyDescent="0.2">
      <c r="B204" s="418"/>
      <c r="C204" s="117"/>
      <c r="D204" s="117" t="s">
        <v>549</v>
      </c>
      <c r="E204" s="122"/>
      <c r="F204" s="174"/>
      <c r="G204" s="174"/>
      <c r="H204" s="122"/>
      <c r="I204" s="122"/>
      <c r="J204" s="170"/>
      <c r="K204" s="170"/>
    </row>
    <row r="205" spans="2:11" ht="14.5" customHeight="1" x14ac:dyDescent="0.2">
      <c r="B205" s="418"/>
      <c r="C205" s="119"/>
      <c r="D205" s="119" t="s">
        <v>708</v>
      </c>
      <c r="E205" s="123"/>
      <c r="F205" s="175"/>
      <c r="G205" s="175"/>
      <c r="H205" s="123"/>
      <c r="I205" s="123"/>
      <c r="J205" s="189"/>
      <c r="K205" s="189"/>
    </row>
    <row r="206" spans="2:11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74"/>
      <c r="H206" s="122"/>
      <c r="I206" s="122"/>
      <c r="J206" s="170"/>
      <c r="K206" s="170"/>
    </row>
    <row r="207" spans="2:11" ht="14.5" customHeight="1" x14ac:dyDescent="0.2">
      <c r="B207" s="418"/>
      <c r="C207" s="117"/>
      <c r="D207" s="117" t="s">
        <v>553</v>
      </c>
      <c r="E207" s="122"/>
      <c r="F207" s="174"/>
      <c r="G207" s="174"/>
      <c r="H207" s="122"/>
      <c r="I207" s="122"/>
      <c r="J207" s="170"/>
      <c r="K207" s="170"/>
    </row>
    <row r="208" spans="2:11" ht="14.5" customHeight="1" x14ac:dyDescent="0.2">
      <c r="B208" s="418"/>
      <c r="C208" s="117"/>
      <c r="D208" s="117" t="s">
        <v>552</v>
      </c>
      <c r="E208" s="122"/>
      <c r="F208" s="174"/>
      <c r="G208" s="174"/>
      <c r="H208" s="122"/>
      <c r="I208" s="122"/>
      <c r="J208" s="170"/>
      <c r="K208" s="170"/>
    </row>
    <row r="209" spans="2:11" ht="14.5" customHeight="1" x14ac:dyDescent="0.2">
      <c r="B209" s="418"/>
      <c r="C209" s="117"/>
      <c r="D209" s="117" t="s">
        <v>620</v>
      </c>
      <c r="E209" s="122"/>
      <c r="F209" s="174"/>
      <c r="G209" s="174"/>
      <c r="H209" s="122"/>
      <c r="I209" s="122"/>
      <c r="J209" s="170"/>
      <c r="K209" s="170"/>
    </row>
    <row r="210" spans="2:11" ht="14.5" customHeight="1" x14ac:dyDescent="0.2">
      <c r="B210" s="418"/>
      <c r="C210" s="117"/>
      <c r="D210" s="117" t="s">
        <v>216</v>
      </c>
      <c r="E210" s="122"/>
      <c r="F210" s="174"/>
      <c r="G210" s="174"/>
      <c r="H210" s="122"/>
      <c r="I210" s="122"/>
      <c r="J210" s="170"/>
      <c r="K210" s="170"/>
    </row>
    <row r="211" spans="2:11" ht="14.5" customHeight="1" x14ac:dyDescent="0.2">
      <c r="B211" s="418"/>
      <c r="C211" s="117"/>
      <c r="D211" s="117" t="s">
        <v>805</v>
      </c>
      <c r="E211" s="122"/>
      <c r="F211" s="174"/>
      <c r="G211" s="174"/>
      <c r="H211" s="122"/>
      <c r="I211" s="122"/>
      <c r="J211" s="170"/>
      <c r="K211" s="170"/>
    </row>
    <row r="212" spans="2:11" ht="14.5" customHeight="1" x14ac:dyDescent="0.2">
      <c r="B212" s="418"/>
      <c r="C212" s="117"/>
      <c r="D212" s="117" t="s">
        <v>844</v>
      </c>
      <c r="E212" s="122"/>
      <c r="F212" s="174"/>
      <c r="G212" s="174"/>
      <c r="H212" s="122"/>
      <c r="I212" s="122"/>
      <c r="J212" s="170"/>
      <c r="K212" s="170"/>
    </row>
    <row r="213" spans="2:11" ht="14.5" customHeight="1" x14ac:dyDescent="0.2">
      <c r="B213" s="418"/>
      <c r="C213" s="119"/>
      <c r="D213" s="119" t="s">
        <v>715</v>
      </c>
      <c r="E213" s="123"/>
      <c r="F213" s="175"/>
      <c r="G213" s="175"/>
      <c r="H213" s="123"/>
      <c r="I213" s="123"/>
      <c r="J213" s="189"/>
      <c r="K213" s="189"/>
    </row>
    <row r="214" spans="2:11" ht="14.5" customHeight="1" x14ac:dyDescent="0.2">
      <c r="B214" s="418"/>
      <c r="C214" s="119"/>
      <c r="D214" s="119" t="s">
        <v>74</v>
      </c>
      <c r="E214" s="123"/>
      <c r="F214" s="175"/>
      <c r="G214" s="175"/>
      <c r="H214" s="123"/>
      <c r="I214" s="123"/>
      <c r="J214" s="189"/>
      <c r="K214" s="189"/>
    </row>
    <row r="215" spans="2:11" ht="14.5" customHeight="1" x14ac:dyDescent="0.2">
      <c r="B215" s="419"/>
      <c r="C215" s="127"/>
      <c r="D215" s="127" t="s">
        <v>557</v>
      </c>
      <c r="E215" s="124"/>
      <c r="F215" s="176"/>
      <c r="G215" s="176"/>
      <c r="H215" s="124"/>
      <c r="I215" s="124"/>
      <c r="J215" s="190"/>
      <c r="K215" s="190"/>
    </row>
    <row r="216" spans="2:11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74"/>
      <c r="H216" s="122"/>
      <c r="I216" s="122"/>
      <c r="J216" s="170"/>
      <c r="K216" s="170"/>
    </row>
    <row r="217" spans="2:11" ht="14.5" customHeight="1" x14ac:dyDescent="0.2">
      <c r="B217" s="418"/>
      <c r="C217" s="117"/>
      <c r="D217" s="117" t="s">
        <v>624</v>
      </c>
      <c r="E217" s="122"/>
      <c r="F217" s="174"/>
      <c r="G217" s="174"/>
      <c r="H217" s="122"/>
      <c r="I217" s="122"/>
      <c r="J217" s="170"/>
      <c r="K217" s="170"/>
    </row>
    <row r="218" spans="2:11" ht="14.5" customHeight="1" x14ac:dyDescent="0.2">
      <c r="B218" s="418"/>
      <c r="C218" s="117"/>
      <c r="D218" s="117" t="s">
        <v>845</v>
      </c>
      <c r="E218" s="122"/>
      <c r="F218" s="174"/>
      <c r="G218" s="174"/>
      <c r="H218" s="122"/>
      <c r="I218" s="122"/>
      <c r="J218" s="170"/>
      <c r="K218" s="170"/>
    </row>
    <row r="219" spans="2:11" ht="14.5" customHeight="1" x14ac:dyDescent="0.2">
      <c r="B219" s="418"/>
      <c r="C219" s="119"/>
      <c r="D219" s="119" t="s">
        <v>730</v>
      </c>
      <c r="E219" s="123"/>
      <c r="F219" s="175"/>
      <c r="G219" s="175"/>
      <c r="H219" s="123"/>
      <c r="I219" s="123"/>
      <c r="J219" s="189"/>
      <c r="K219" s="189"/>
    </row>
    <row r="220" spans="2:11" ht="14.5" customHeight="1" x14ac:dyDescent="0.2">
      <c r="B220" s="419"/>
      <c r="C220" s="127"/>
      <c r="D220" s="127" t="s">
        <v>622</v>
      </c>
      <c r="E220" s="124"/>
      <c r="F220" s="176"/>
      <c r="G220" s="176"/>
      <c r="H220" s="124"/>
      <c r="I220" s="124"/>
      <c r="J220" s="190"/>
      <c r="K220" s="190"/>
    </row>
    <row r="221" spans="2:11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74"/>
      <c r="H221" s="122"/>
      <c r="I221" s="122"/>
      <c r="J221" s="170"/>
      <c r="K221" s="170"/>
    </row>
    <row r="222" spans="2:11" ht="14.5" customHeight="1" x14ac:dyDescent="0.2">
      <c r="B222" s="418"/>
      <c r="C222" s="117"/>
      <c r="D222" s="117" t="s">
        <v>627</v>
      </c>
      <c r="E222" s="122"/>
      <c r="F222" s="174"/>
      <c r="G222" s="174"/>
      <c r="H222" s="122"/>
      <c r="I222" s="122"/>
      <c r="J222" s="170"/>
      <c r="K222" s="170"/>
    </row>
    <row r="223" spans="2:11" ht="14.5" customHeight="1" x14ac:dyDescent="0.2">
      <c r="B223" s="418"/>
      <c r="C223" s="117"/>
      <c r="D223" s="117" t="s">
        <v>846</v>
      </c>
      <c r="E223" s="122"/>
      <c r="F223" s="174"/>
      <c r="G223" s="174"/>
      <c r="H223" s="122"/>
      <c r="I223" s="122"/>
      <c r="J223" s="170"/>
      <c r="K223" s="170"/>
    </row>
    <row r="224" spans="2:11" ht="14.5" customHeight="1" x14ac:dyDescent="0.2">
      <c r="B224" s="418"/>
      <c r="C224" s="119"/>
      <c r="D224" s="119" t="s">
        <v>732</v>
      </c>
      <c r="E224" s="123"/>
      <c r="F224" s="175"/>
      <c r="G224" s="175"/>
      <c r="H224" s="123"/>
      <c r="I224" s="123"/>
      <c r="J224" s="189"/>
      <c r="K224" s="189"/>
    </row>
    <row r="225" spans="2:11" ht="14.5" customHeight="1" x14ac:dyDescent="0.2">
      <c r="B225" s="419"/>
      <c r="C225" s="127"/>
      <c r="D225" s="127" t="s">
        <v>628</v>
      </c>
      <c r="E225" s="124"/>
      <c r="F225" s="176"/>
      <c r="G225" s="176"/>
      <c r="H225" s="124"/>
      <c r="I225" s="124"/>
      <c r="J225" s="190"/>
      <c r="K225" s="190"/>
    </row>
    <row r="226" spans="2:11" ht="14.5" customHeight="1" x14ac:dyDescent="0.2">
      <c r="B226" s="127"/>
      <c r="C226" s="127"/>
      <c r="D226" s="127" t="s">
        <v>629</v>
      </c>
      <c r="E226" s="124"/>
      <c r="F226" s="176"/>
      <c r="G226" s="176"/>
      <c r="H226" s="124"/>
      <c r="I226" s="124"/>
      <c r="J226" s="190"/>
      <c r="K226" s="190"/>
    </row>
    <row r="227" spans="2:11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74"/>
      <c r="H227" s="122"/>
      <c r="I227" s="122"/>
      <c r="J227" s="170"/>
      <c r="K227" s="170"/>
    </row>
    <row r="228" spans="2:11" ht="14.5" customHeight="1" x14ac:dyDescent="0.2">
      <c r="B228" s="418"/>
      <c r="C228" s="117"/>
      <c r="D228" s="117" t="s">
        <v>544</v>
      </c>
      <c r="E228" s="122"/>
      <c r="F228" s="174"/>
      <c r="G228" s="174"/>
      <c r="H228" s="122"/>
      <c r="I228" s="122"/>
      <c r="J228" s="170"/>
      <c r="K228" s="170"/>
    </row>
    <row r="229" spans="2:11" ht="14.5" customHeight="1" x14ac:dyDescent="0.2">
      <c r="B229" s="418"/>
      <c r="C229" s="117"/>
      <c r="D229" s="117" t="s">
        <v>545</v>
      </c>
      <c r="E229" s="122"/>
      <c r="F229" s="174"/>
      <c r="G229" s="174"/>
      <c r="H229" s="122"/>
      <c r="I229" s="122"/>
      <c r="J229" s="170"/>
      <c r="K229" s="170"/>
    </row>
    <row r="230" spans="2:11" ht="14.5" customHeight="1" x14ac:dyDescent="0.2">
      <c r="B230" s="418"/>
      <c r="C230" s="117"/>
      <c r="D230" s="117" t="s">
        <v>806</v>
      </c>
      <c r="E230" s="122"/>
      <c r="F230" s="174"/>
      <c r="G230" s="174"/>
      <c r="H230" s="122"/>
      <c r="I230" s="122"/>
      <c r="J230" s="170"/>
      <c r="K230" s="170"/>
    </row>
    <row r="231" spans="2:11" ht="14.5" customHeight="1" x14ac:dyDescent="0.2">
      <c r="B231" s="418"/>
      <c r="C231" s="117"/>
      <c r="D231" s="117" t="s">
        <v>630</v>
      </c>
      <c r="E231" s="122"/>
      <c r="F231" s="174"/>
      <c r="G231" s="174"/>
      <c r="H231" s="122"/>
      <c r="I231" s="122"/>
      <c r="J231" s="170"/>
      <c r="K231" s="170"/>
    </row>
    <row r="232" spans="2:11" ht="14.5" customHeight="1" x14ac:dyDescent="0.2">
      <c r="B232" s="418"/>
      <c r="C232" s="117"/>
      <c r="D232" s="117" t="s">
        <v>546</v>
      </c>
      <c r="E232" s="122"/>
      <c r="F232" s="174"/>
      <c r="G232" s="174"/>
      <c r="H232" s="122"/>
      <c r="I232" s="122"/>
      <c r="J232" s="170"/>
      <c r="K232" s="170"/>
    </row>
    <row r="233" spans="2:11" ht="14.5" customHeight="1" x14ac:dyDescent="0.2">
      <c r="B233" s="418"/>
      <c r="C233" s="117"/>
      <c r="D233" s="117" t="s">
        <v>547</v>
      </c>
      <c r="E233" s="122"/>
      <c r="F233" s="174"/>
      <c r="G233" s="174"/>
      <c r="H233" s="122"/>
      <c r="I233" s="122"/>
      <c r="J233" s="170"/>
      <c r="K233" s="170"/>
    </row>
    <row r="234" spans="2:11" ht="14.5" customHeight="1" x14ac:dyDescent="0.2">
      <c r="B234" s="418"/>
      <c r="C234" s="119"/>
      <c r="D234" s="119" t="s">
        <v>694</v>
      </c>
      <c r="E234" s="123"/>
      <c r="F234" s="175"/>
      <c r="G234" s="175"/>
      <c r="H234" s="123"/>
      <c r="I234" s="123"/>
      <c r="J234" s="189"/>
      <c r="K234" s="189"/>
    </row>
    <row r="235" spans="2:11" ht="14.5" customHeight="1" x14ac:dyDescent="0.2">
      <c r="B235" s="418"/>
      <c r="C235" s="117"/>
      <c r="D235" s="117" t="s">
        <v>631</v>
      </c>
      <c r="E235" s="122"/>
      <c r="F235" s="174"/>
      <c r="G235" s="174"/>
      <c r="H235" s="122"/>
      <c r="I235" s="122"/>
      <c r="J235" s="170"/>
      <c r="K235" s="170"/>
    </row>
    <row r="236" spans="2:11" ht="14.5" customHeight="1" x14ac:dyDescent="0.2">
      <c r="B236" s="418"/>
      <c r="C236" s="117"/>
      <c r="D236" s="117" t="s">
        <v>847</v>
      </c>
      <c r="E236" s="122"/>
      <c r="F236" s="174"/>
      <c r="G236" s="174"/>
      <c r="H236" s="122"/>
      <c r="I236" s="122"/>
      <c r="J236" s="170"/>
      <c r="K236" s="170"/>
    </row>
    <row r="237" spans="2:11" ht="14.5" customHeight="1" x14ac:dyDescent="0.2">
      <c r="B237" s="418"/>
      <c r="C237" s="117"/>
      <c r="D237" s="117" t="s">
        <v>848</v>
      </c>
      <c r="E237" s="122"/>
      <c r="F237" s="174"/>
      <c r="G237" s="174"/>
      <c r="H237" s="122"/>
      <c r="I237" s="122"/>
      <c r="J237" s="170"/>
      <c r="K237" s="170"/>
    </row>
    <row r="238" spans="2:11" ht="14.5" customHeight="1" x14ac:dyDescent="0.2">
      <c r="B238" s="418"/>
      <c r="C238" s="117"/>
      <c r="D238" s="117" t="s">
        <v>849</v>
      </c>
      <c r="E238" s="122"/>
      <c r="F238" s="174"/>
      <c r="G238" s="174"/>
      <c r="H238" s="122"/>
      <c r="I238" s="122"/>
      <c r="J238" s="170"/>
      <c r="K238" s="170"/>
    </row>
    <row r="239" spans="2:11" ht="14.5" customHeight="1" x14ac:dyDescent="0.2">
      <c r="B239" s="418"/>
      <c r="C239" s="117"/>
      <c r="D239" s="117" t="s">
        <v>605</v>
      </c>
      <c r="E239" s="122"/>
      <c r="F239" s="174"/>
      <c r="G239" s="174"/>
      <c r="H239" s="122"/>
      <c r="I239" s="122"/>
      <c r="J239" s="170"/>
      <c r="K239" s="170"/>
    </row>
    <row r="240" spans="2:11" ht="14.5" customHeight="1" x14ac:dyDescent="0.2">
      <c r="B240" s="418"/>
      <c r="C240" s="119"/>
      <c r="D240" s="119" t="s">
        <v>896</v>
      </c>
      <c r="E240" s="123"/>
      <c r="F240" s="175"/>
      <c r="G240" s="175"/>
      <c r="H240" s="123"/>
      <c r="I240" s="123"/>
      <c r="J240" s="189"/>
      <c r="K240" s="189"/>
    </row>
    <row r="241" spans="2:11" ht="14.5" customHeight="1" x14ac:dyDescent="0.2">
      <c r="B241" s="418"/>
      <c r="C241" s="119"/>
      <c r="D241" s="119" t="s">
        <v>73</v>
      </c>
      <c r="E241" s="123"/>
      <c r="F241" s="175"/>
      <c r="G241" s="175"/>
      <c r="H241" s="123"/>
      <c r="I241" s="123"/>
      <c r="J241" s="189"/>
      <c r="K241" s="189"/>
    </row>
    <row r="242" spans="2:11" ht="14.5" customHeight="1" x14ac:dyDescent="0.2">
      <c r="B242" s="419"/>
      <c r="C242" s="127"/>
      <c r="D242" s="127" t="s">
        <v>604</v>
      </c>
      <c r="E242" s="124"/>
      <c r="F242" s="176"/>
      <c r="G242" s="176"/>
      <c r="H242" s="124"/>
      <c r="I242" s="124"/>
      <c r="J242" s="190"/>
      <c r="K242" s="190"/>
    </row>
    <row r="243" spans="2:11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74"/>
      <c r="H243" s="122"/>
      <c r="I243" s="122"/>
      <c r="J243" s="170"/>
      <c r="K243" s="170"/>
    </row>
    <row r="244" spans="2:11" ht="14.5" customHeight="1" x14ac:dyDescent="0.2">
      <c r="B244" s="418"/>
      <c r="C244" s="117"/>
      <c r="D244" s="117" t="s">
        <v>635</v>
      </c>
      <c r="E244" s="122"/>
      <c r="F244" s="174"/>
      <c r="G244" s="174"/>
      <c r="H244" s="122"/>
      <c r="I244" s="122"/>
      <c r="J244" s="170"/>
      <c r="K244" s="170"/>
    </row>
    <row r="245" spans="2:11" ht="14.5" customHeight="1" x14ac:dyDescent="0.2">
      <c r="B245" s="418"/>
      <c r="C245" s="117"/>
      <c r="D245" s="117" t="s">
        <v>636</v>
      </c>
      <c r="E245" s="122"/>
      <c r="F245" s="174"/>
      <c r="G245" s="174"/>
      <c r="H245" s="122"/>
      <c r="I245" s="122"/>
      <c r="J245" s="170"/>
      <c r="K245" s="170"/>
    </row>
    <row r="246" spans="2:11" ht="14.5" customHeight="1" x14ac:dyDescent="0.2">
      <c r="B246" s="418"/>
      <c r="C246" s="117"/>
      <c r="D246" s="117" t="s">
        <v>807</v>
      </c>
      <c r="E246" s="122"/>
      <c r="F246" s="174"/>
      <c r="G246" s="174"/>
      <c r="H246" s="122"/>
      <c r="I246" s="122"/>
      <c r="J246" s="170"/>
      <c r="K246" s="170"/>
    </row>
    <row r="247" spans="2:11" ht="14.5" customHeight="1" x14ac:dyDescent="0.2">
      <c r="B247" s="418"/>
      <c r="C247" s="117"/>
      <c r="D247" s="117" t="s">
        <v>637</v>
      </c>
      <c r="E247" s="122"/>
      <c r="F247" s="174"/>
      <c r="G247" s="174"/>
      <c r="H247" s="122"/>
      <c r="I247" s="122"/>
      <c r="J247" s="170"/>
      <c r="K247" s="170"/>
    </row>
    <row r="248" spans="2:11" ht="14.5" customHeight="1" x14ac:dyDescent="0.2">
      <c r="B248" s="418"/>
      <c r="C248" s="119"/>
      <c r="D248" s="119" t="s">
        <v>702</v>
      </c>
      <c r="E248" s="123"/>
      <c r="F248" s="175"/>
      <c r="G248" s="175"/>
      <c r="H248" s="123"/>
      <c r="I248" s="123"/>
      <c r="J248" s="189"/>
      <c r="K248" s="189"/>
    </row>
    <row r="249" spans="2:11" ht="14.5" customHeight="1" x14ac:dyDescent="0.2">
      <c r="B249" s="419"/>
      <c r="C249" s="127"/>
      <c r="D249" s="127" t="s">
        <v>633</v>
      </c>
      <c r="E249" s="124"/>
      <c r="F249" s="176"/>
      <c r="G249" s="176"/>
      <c r="H249" s="124"/>
      <c r="I249" s="124"/>
      <c r="J249" s="190"/>
      <c r="K249" s="190"/>
    </row>
    <row r="250" spans="2:11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74"/>
      <c r="H250" s="122"/>
      <c r="I250" s="122"/>
      <c r="J250" s="170"/>
      <c r="K250" s="170"/>
    </row>
    <row r="251" spans="2:11" ht="14.5" customHeight="1" x14ac:dyDescent="0.2">
      <c r="B251" s="418"/>
      <c r="C251" s="117"/>
      <c r="D251" s="117" t="s">
        <v>567</v>
      </c>
      <c r="E251" s="122"/>
      <c r="F251" s="174"/>
      <c r="G251" s="174"/>
      <c r="H251" s="122"/>
      <c r="I251" s="122"/>
      <c r="J251" s="170"/>
      <c r="K251" s="170"/>
    </row>
    <row r="252" spans="2:11" ht="14.5" customHeight="1" x14ac:dyDescent="0.2">
      <c r="B252" s="418"/>
      <c r="C252" s="117"/>
      <c r="D252" s="117" t="s">
        <v>569</v>
      </c>
      <c r="E252" s="122"/>
      <c r="F252" s="174"/>
      <c r="G252" s="174"/>
      <c r="H252" s="122"/>
      <c r="I252" s="122"/>
      <c r="J252" s="170"/>
      <c r="K252" s="170"/>
    </row>
    <row r="253" spans="2:11" ht="14.5" customHeight="1" x14ac:dyDescent="0.2">
      <c r="B253" s="418"/>
      <c r="C253" s="117"/>
      <c r="D253" s="117" t="s">
        <v>808</v>
      </c>
      <c r="E253" s="122"/>
      <c r="F253" s="174"/>
      <c r="G253" s="174"/>
      <c r="H253" s="122"/>
      <c r="I253" s="122"/>
      <c r="J253" s="170"/>
      <c r="K253" s="170"/>
    </row>
    <row r="254" spans="2:11" ht="14.5" customHeight="1" x14ac:dyDescent="0.2">
      <c r="B254" s="418"/>
      <c r="C254" s="117"/>
      <c r="D254" s="117" t="s">
        <v>568</v>
      </c>
      <c r="E254" s="122"/>
      <c r="F254" s="174"/>
      <c r="G254" s="174"/>
      <c r="H254" s="122"/>
      <c r="I254" s="122"/>
      <c r="J254" s="170"/>
      <c r="K254" s="170"/>
    </row>
    <row r="255" spans="2:11" ht="14.5" customHeight="1" x14ac:dyDescent="0.2">
      <c r="B255" s="418"/>
      <c r="C255" s="117"/>
      <c r="D255" s="117" t="s">
        <v>566</v>
      </c>
      <c r="E255" s="122"/>
      <c r="F255" s="174"/>
      <c r="G255" s="174"/>
      <c r="H255" s="122"/>
      <c r="I255" s="122"/>
      <c r="J255" s="170"/>
      <c r="K255" s="170"/>
    </row>
    <row r="256" spans="2:11" ht="14.5" customHeight="1" x14ac:dyDescent="0.2">
      <c r="B256" s="418"/>
      <c r="C256" s="117"/>
      <c r="D256" s="117" t="s">
        <v>570</v>
      </c>
      <c r="E256" s="122"/>
      <c r="F256" s="174"/>
      <c r="G256" s="174"/>
      <c r="H256" s="122"/>
      <c r="I256" s="122"/>
      <c r="J256" s="170"/>
      <c r="K256" s="170"/>
    </row>
    <row r="257" spans="2:11" ht="14.5" customHeight="1" x14ac:dyDescent="0.2">
      <c r="B257" s="418"/>
      <c r="C257" s="119"/>
      <c r="D257" s="119" t="s">
        <v>734</v>
      </c>
      <c r="E257" s="123"/>
      <c r="F257" s="175"/>
      <c r="G257" s="175"/>
      <c r="H257" s="123"/>
      <c r="I257" s="123"/>
      <c r="J257" s="189"/>
      <c r="K257" s="189"/>
    </row>
    <row r="258" spans="2:11" ht="14.5" customHeight="1" x14ac:dyDescent="0.2">
      <c r="B258" s="419"/>
      <c r="C258" s="127"/>
      <c r="D258" s="127" t="s">
        <v>51</v>
      </c>
      <c r="E258" s="124"/>
      <c r="F258" s="176"/>
      <c r="G258" s="176"/>
      <c r="H258" s="124"/>
      <c r="I258" s="124"/>
      <c r="J258" s="190"/>
      <c r="K258" s="190"/>
    </row>
    <row r="259" spans="2:11" ht="14.5" customHeight="1" x14ac:dyDescent="0.2">
      <c r="B259" s="127"/>
      <c r="C259" s="127"/>
      <c r="D259" s="127" t="s">
        <v>638</v>
      </c>
      <c r="E259" s="124"/>
      <c r="F259" s="176"/>
      <c r="G259" s="176"/>
      <c r="H259" s="124"/>
      <c r="I259" s="124"/>
      <c r="J259" s="190"/>
      <c r="K259" s="190"/>
    </row>
    <row r="260" spans="2:11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74"/>
      <c r="H260" s="122"/>
      <c r="I260" s="122"/>
      <c r="J260" s="170"/>
      <c r="K260" s="170"/>
    </row>
    <row r="261" spans="2:11" ht="14.5" customHeight="1" x14ac:dyDescent="0.2">
      <c r="B261" s="418"/>
      <c r="C261" s="117"/>
      <c r="D261" s="117" t="s">
        <v>609</v>
      </c>
      <c r="E261" s="122"/>
      <c r="F261" s="174"/>
      <c r="G261" s="174"/>
      <c r="H261" s="122"/>
      <c r="I261" s="122"/>
      <c r="J261" s="170"/>
      <c r="K261" s="170"/>
    </row>
    <row r="262" spans="2:11" ht="14.5" customHeight="1" x14ac:dyDescent="0.2">
      <c r="B262" s="418"/>
      <c r="C262" s="117"/>
      <c r="D262" s="117" t="s">
        <v>610</v>
      </c>
      <c r="E262" s="122"/>
      <c r="F262" s="174"/>
      <c r="G262" s="174"/>
      <c r="H262" s="122"/>
      <c r="I262" s="122"/>
      <c r="J262" s="170"/>
      <c r="K262" s="170"/>
    </row>
    <row r="263" spans="2:11" ht="14.5" customHeight="1" x14ac:dyDescent="0.2">
      <c r="B263" s="418"/>
      <c r="C263" s="117"/>
      <c r="D263" s="117" t="s">
        <v>611</v>
      </c>
      <c r="E263" s="122"/>
      <c r="F263" s="174"/>
      <c r="G263" s="174"/>
      <c r="H263" s="122"/>
      <c r="I263" s="122"/>
      <c r="J263" s="170"/>
      <c r="K263" s="170"/>
    </row>
    <row r="264" spans="2:11" ht="14.5" customHeight="1" x14ac:dyDescent="0.2">
      <c r="B264" s="418"/>
      <c r="C264" s="117"/>
      <c r="D264" s="117" t="s">
        <v>850</v>
      </c>
      <c r="E264" s="122"/>
      <c r="F264" s="174"/>
      <c r="G264" s="174"/>
      <c r="H264" s="122"/>
      <c r="I264" s="122"/>
      <c r="J264" s="170"/>
      <c r="K264" s="170"/>
    </row>
    <row r="265" spans="2:11" ht="14.5" customHeight="1" x14ac:dyDescent="0.2">
      <c r="B265" s="418"/>
      <c r="C265" s="119"/>
      <c r="D265" s="119" t="s">
        <v>743</v>
      </c>
      <c r="E265" s="123"/>
      <c r="F265" s="175"/>
      <c r="G265" s="175"/>
      <c r="H265" s="123"/>
      <c r="I265" s="123"/>
      <c r="J265" s="189"/>
      <c r="K265" s="189"/>
    </row>
    <row r="266" spans="2:11" ht="14.5" customHeight="1" x14ac:dyDescent="0.2">
      <c r="B266" s="418"/>
      <c r="C266" s="117"/>
      <c r="D266" s="117" t="s">
        <v>606</v>
      </c>
      <c r="E266" s="122"/>
      <c r="F266" s="174"/>
      <c r="G266" s="174"/>
      <c r="H266" s="122"/>
      <c r="I266" s="122"/>
      <c r="J266" s="170"/>
      <c r="K266" s="170"/>
    </row>
    <row r="267" spans="2:11" ht="14.5" customHeight="1" x14ac:dyDescent="0.2">
      <c r="B267" s="418"/>
      <c r="C267" s="117"/>
      <c r="D267" s="117" t="s">
        <v>901</v>
      </c>
      <c r="E267" s="122"/>
      <c r="F267" s="174"/>
      <c r="G267" s="174"/>
      <c r="H267" s="122"/>
      <c r="I267" s="122"/>
      <c r="J267" s="170"/>
      <c r="K267" s="170"/>
    </row>
    <row r="268" spans="2:11" ht="14.5" customHeight="1" x14ac:dyDescent="0.2">
      <c r="B268" s="418"/>
      <c r="C268" s="117"/>
      <c r="D268" s="117" t="s">
        <v>607</v>
      </c>
      <c r="E268" s="122"/>
      <c r="F268" s="174"/>
      <c r="G268" s="174"/>
      <c r="H268" s="122"/>
      <c r="I268" s="122"/>
      <c r="J268" s="170"/>
      <c r="K268" s="170"/>
    </row>
    <row r="269" spans="2:11" ht="14.5" customHeight="1" x14ac:dyDescent="0.2">
      <c r="B269" s="418"/>
      <c r="C269" s="117"/>
      <c r="D269" s="117" t="s">
        <v>608</v>
      </c>
      <c r="E269" s="122"/>
      <c r="F269" s="174"/>
      <c r="G269" s="174"/>
      <c r="H269" s="122"/>
      <c r="I269" s="122"/>
      <c r="J269" s="170"/>
      <c r="K269" s="170"/>
    </row>
    <row r="270" spans="2:11" ht="14.5" customHeight="1" x14ac:dyDescent="0.2">
      <c r="B270" s="418"/>
      <c r="C270" s="117"/>
      <c r="D270" s="117" t="s">
        <v>640</v>
      </c>
      <c r="E270" s="122"/>
      <c r="F270" s="174"/>
      <c r="G270" s="174"/>
      <c r="H270" s="122"/>
      <c r="I270" s="122"/>
      <c r="J270" s="170"/>
      <c r="K270" s="170"/>
    </row>
    <row r="271" spans="2:11" ht="14.5" customHeight="1" x14ac:dyDescent="0.2">
      <c r="B271" s="418"/>
      <c r="C271" s="117"/>
      <c r="D271" s="117" t="s">
        <v>851</v>
      </c>
      <c r="E271" s="122"/>
      <c r="F271" s="174"/>
      <c r="G271" s="174"/>
      <c r="H271" s="122"/>
      <c r="I271" s="122"/>
      <c r="J271" s="170"/>
      <c r="K271" s="170"/>
    </row>
    <row r="272" spans="2:11" ht="14.5" customHeight="1" x14ac:dyDescent="0.2">
      <c r="B272" s="418"/>
      <c r="C272" s="119"/>
      <c r="D272" s="119" t="s">
        <v>898</v>
      </c>
      <c r="E272" s="123"/>
      <c r="F272" s="175"/>
      <c r="G272" s="175"/>
      <c r="H272" s="123"/>
      <c r="I272" s="123"/>
      <c r="J272" s="189"/>
      <c r="K272" s="189"/>
    </row>
    <row r="273" spans="2:11" ht="14.5" customHeight="1" x14ac:dyDescent="0.2">
      <c r="B273" s="418"/>
      <c r="C273" s="119"/>
      <c r="D273" s="119" t="s">
        <v>897</v>
      </c>
      <c r="E273" s="123"/>
      <c r="F273" s="175"/>
      <c r="G273" s="175"/>
      <c r="H273" s="123"/>
      <c r="I273" s="123"/>
      <c r="J273" s="189"/>
      <c r="K273" s="189"/>
    </row>
    <row r="274" spans="2:11" ht="14.5" customHeight="1" x14ac:dyDescent="0.2">
      <c r="B274" s="419"/>
      <c r="C274" s="127"/>
      <c r="D274" s="127" t="s">
        <v>639</v>
      </c>
      <c r="E274" s="124"/>
      <c r="F274" s="176"/>
      <c r="G274" s="176"/>
      <c r="H274" s="124"/>
      <c r="I274" s="124"/>
      <c r="J274" s="190"/>
      <c r="K274" s="190"/>
    </row>
    <row r="275" spans="2:11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74"/>
      <c r="H275" s="122"/>
      <c r="I275" s="122"/>
      <c r="J275" s="170"/>
      <c r="K275" s="170"/>
    </row>
    <row r="276" spans="2:11" ht="14.5" customHeight="1" x14ac:dyDescent="0.2">
      <c r="B276" s="418"/>
      <c r="C276" s="117"/>
      <c r="D276" s="117" t="s">
        <v>852</v>
      </c>
      <c r="E276" s="122"/>
      <c r="F276" s="174"/>
      <c r="G276" s="174"/>
      <c r="H276" s="122"/>
      <c r="I276" s="122"/>
      <c r="J276" s="170"/>
      <c r="K276" s="170"/>
    </row>
    <row r="277" spans="2:11" ht="14.5" customHeight="1" x14ac:dyDescent="0.2">
      <c r="B277" s="418"/>
      <c r="C277" s="117"/>
      <c r="D277" s="117" t="s">
        <v>853</v>
      </c>
      <c r="E277" s="122"/>
      <c r="F277" s="174"/>
      <c r="G277" s="174"/>
      <c r="H277" s="122"/>
      <c r="I277" s="122"/>
      <c r="J277" s="170"/>
      <c r="K277" s="170"/>
    </row>
    <row r="278" spans="2:11" ht="14.5" customHeight="1" x14ac:dyDescent="0.2">
      <c r="B278" s="418"/>
      <c r="C278" s="117"/>
      <c r="D278" s="117" t="s">
        <v>854</v>
      </c>
      <c r="E278" s="122"/>
      <c r="F278" s="174"/>
      <c r="G278" s="174"/>
      <c r="H278" s="122"/>
      <c r="I278" s="122"/>
      <c r="J278" s="170"/>
      <c r="K278" s="170"/>
    </row>
    <row r="279" spans="2:11" ht="14.5" customHeight="1" x14ac:dyDescent="0.2">
      <c r="B279" s="418"/>
      <c r="C279" s="119"/>
      <c r="D279" s="119" t="s">
        <v>746</v>
      </c>
      <c r="E279" s="123"/>
      <c r="F279" s="175"/>
      <c r="G279" s="175"/>
      <c r="H279" s="123"/>
      <c r="I279" s="123"/>
      <c r="J279" s="189"/>
      <c r="K279" s="189"/>
    </row>
    <row r="280" spans="2:11" ht="14.5" customHeight="1" x14ac:dyDescent="0.2">
      <c r="B280" s="419"/>
      <c r="C280" s="127"/>
      <c r="D280" s="127" t="s">
        <v>642</v>
      </c>
      <c r="E280" s="124"/>
      <c r="F280" s="176"/>
      <c r="G280" s="176"/>
      <c r="H280" s="124"/>
      <c r="I280" s="124"/>
      <c r="J280" s="190"/>
      <c r="K280" s="190"/>
    </row>
    <row r="281" spans="2:11" ht="14.5" customHeight="1" x14ac:dyDescent="0.2">
      <c r="B281" s="127"/>
      <c r="C281" s="127"/>
      <c r="D281" s="127" t="s">
        <v>643</v>
      </c>
      <c r="E281" s="124"/>
      <c r="F281" s="176"/>
      <c r="G281" s="176"/>
      <c r="H281" s="124"/>
      <c r="I281" s="124"/>
      <c r="J281" s="190"/>
      <c r="K281" s="190"/>
    </row>
    <row r="282" spans="2:11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74"/>
      <c r="H282" s="122"/>
      <c r="I282" s="122"/>
      <c r="J282" s="170"/>
      <c r="K282" s="170"/>
    </row>
    <row r="283" spans="2:11" ht="14.5" customHeight="1" x14ac:dyDescent="0.2">
      <c r="B283" s="418"/>
      <c r="C283" s="117"/>
      <c r="D283" s="117" t="s">
        <v>791</v>
      </c>
      <c r="E283" s="122"/>
      <c r="F283" s="174"/>
      <c r="G283" s="174"/>
      <c r="H283" s="122"/>
      <c r="I283" s="122"/>
      <c r="J283" s="170"/>
      <c r="K283" s="170"/>
    </row>
    <row r="284" spans="2:11" ht="14.5" customHeight="1" x14ac:dyDescent="0.2">
      <c r="B284" s="418"/>
      <c r="C284" s="117"/>
      <c r="D284" s="117" t="s">
        <v>647</v>
      </c>
      <c r="E284" s="122"/>
      <c r="F284" s="174"/>
      <c r="G284" s="174"/>
      <c r="H284" s="122"/>
      <c r="I284" s="122"/>
      <c r="J284" s="170"/>
      <c r="K284" s="170"/>
    </row>
    <row r="285" spans="2:11" ht="14.5" customHeight="1" x14ac:dyDescent="0.2">
      <c r="B285" s="418"/>
      <c r="C285" s="117"/>
      <c r="D285" s="117" t="s">
        <v>857</v>
      </c>
      <c r="E285" s="122"/>
      <c r="F285" s="174"/>
      <c r="G285" s="174"/>
      <c r="H285" s="122"/>
      <c r="I285" s="122"/>
      <c r="J285" s="170"/>
      <c r="K285" s="170"/>
    </row>
    <row r="286" spans="2:11" ht="14.5" customHeight="1" x14ac:dyDescent="0.2">
      <c r="B286" s="418"/>
      <c r="C286" s="117"/>
      <c r="D286" s="117" t="s">
        <v>648</v>
      </c>
      <c r="E286" s="122"/>
      <c r="F286" s="174"/>
      <c r="G286" s="174"/>
      <c r="H286" s="122"/>
      <c r="I286" s="122"/>
      <c r="J286" s="170"/>
      <c r="K286" s="170"/>
    </row>
    <row r="287" spans="2:11" ht="14.5" customHeight="1" x14ac:dyDescent="0.2">
      <c r="B287" s="418"/>
      <c r="C287" s="119"/>
      <c r="D287" s="119" t="s">
        <v>747</v>
      </c>
      <c r="E287" s="123"/>
      <c r="F287" s="175"/>
      <c r="G287" s="175"/>
      <c r="H287" s="123"/>
      <c r="I287" s="123"/>
      <c r="J287" s="189"/>
      <c r="K287" s="189"/>
    </row>
    <row r="288" spans="2:11" ht="14.5" customHeight="1" x14ac:dyDescent="0.2">
      <c r="B288" s="419"/>
      <c r="C288" s="127"/>
      <c r="D288" s="127" t="s">
        <v>645</v>
      </c>
      <c r="E288" s="124"/>
      <c r="F288" s="176"/>
      <c r="G288" s="176"/>
      <c r="H288" s="124"/>
      <c r="I288" s="124"/>
      <c r="J288" s="190"/>
      <c r="K288" s="190"/>
    </row>
    <row r="289" spans="2:11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74"/>
      <c r="H289" s="122"/>
      <c r="I289" s="122"/>
      <c r="J289" s="170"/>
      <c r="K289" s="170"/>
    </row>
    <row r="290" spans="2:11" ht="14.5" customHeight="1" x14ac:dyDescent="0.2">
      <c r="B290" s="418"/>
      <c r="C290" s="117"/>
      <c r="D290" s="117" t="s">
        <v>856</v>
      </c>
      <c r="E290" s="122"/>
      <c r="F290" s="174"/>
      <c r="G290" s="174"/>
      <c r="H290" s="122"/>
      <c r="I290" s="122"/>
      <c r="J290" s="170"/>
      <c r="K290" s="170"/>
    </row>
    <row r="291" spans="2:11" ht="14.5" customHeight="1" x14ac:dyDescent="0.2">
      <c r="B291" s="418"/>
      <c r="C291" s="119"/>
      <c r="D291" s="119" t="s">
        <v>899</v>
      </c>
      <c r="E291" s="123"/>
      <c r="F291" s="175"/>
      <c r="G291" s="175"/>
      <c r="H291" s="123"/>
      <c r="I291" s="123"/>
      <c r="J291" s="189"/>
      <c r="K291" s="189"/>
    </row>
    <row r="292" spans="2:11" ht="14.5" customHeight="1" x14ac:dyDescent="0.2">
      <c r="B292" s="419"/>
      <c r="C292" s="127"/>
      <c r="D292" s="127" t="s">
        <v>860</v>
      </c>
      <c r="E292" s="124"/>
      <c r="F292" s="176"/>
      <c r="G292" s="176"/>
      <c r="H292" s="124"/>
      <c r="I292" s="124"/>
      <c r="J292" s="190"/>
      <c r="K292" s="190"/>
    </row>
    <row r="293" spans="2:11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74"/>
      <c r="H293" s="122"/>
      <c r="I293" s="122"/>
      <c r="J293" s="170"/>
      <c r="K293" s="170"/>
    </row>
    <row r="294" spans="2:11" ht="14.5" customHeight="1" x14ac:dyDescent="0.2">
      <c r="B294" s="418"/>
      <c r="C294" s="117"/>
      <c r="D294" s="117" t="s">
        <v>861</v>
      </c>
      <c r="E294" s="122"/>
      <c r="F294" s="174"/>
      <c r="G294" s="174"/>
      <c r="H294" s="122"/>
      <c r="I294" s="122"/>
      <c r="J294" s="170"/>
      <c r="K294" s="170"/>
    </row>
    <row r="295" spans="2:11" ht="14.5" customHeight="1" x14ac:dyDescent="0.2">
      <c r="B295" s="418"/>
      <c r="C295" s="117"/>
      <c r="D295" s="117" t="s">
        <v>651</v>
      </c>
      <c r="E295" s="122"/>
      <c r="F295" s="174"/>
      <c r="G295" s="174"/>
      <c r="H295" s="122"/>
      <c r="I295" s="122"/>
      <c r="J295" s="170"/>
      <c r="K295" s="170"/>
    </row>
    <row r="296" spans="2:11" ht="14.5" customHeight="1" x14ac:dyDescent="0.2">
      <c r="B296" s="418"/>
      <c r="C296" s="117"/>
      <c r="D296" s="117" t="s">
        <v>652</v>
      </c>
      <c r="E296" s="122"/>
      <c r="F296" s="174"/>
      <c r="G296" s="174"/>
      <c r="H296" s="122"/>
      <c r="I296" s="122"/>
      <c r="J296" s="170"/>
      <c r="K296" s="170"/>
    </row>
    <row r="297" spans="2:11" ht="14.5" customHeight="1" x14ac:dyDescent="0.2">
      <c r="B297" s="418"/>
      <c r="C297" s="117"/>
      <c r="D297" s="117" t="s">
        <v>653</v>
      </c>
      <c r="E297" s="122"/>
      <c r="F297" s="174"/>
      <c r="G297" s="174"/>
      <c r="H297" s="122"/>
      <c r="I297" s="122"/>
      <c r="J297" s="170"/>
      <c r="K297" s="170"/>
    </row>
    <row r="298" spans="2:11" ht="14.5" customHeight="1" x14ac:dyDescent="0.2">
      <c r="B298" s="418"/>
      <c r="C298" s="119"/>
      <c r="D298" s="119" t="s">
        <v>754</v>
      </c>
      <c r="E298" s="123"/>
      <c r="F298" s="175"/>
      <c r="G298" s="175"/>
      <c r="H298" s="123"/>
      <c r="I298" s="123"/>
      <c r="J298" s="189"/>
      <c r="K298" s="189"/>
    </row>
    <row r="299" spans="2:11" ht="14.5" customHeight="1" x14ac:dyDescent="0.2">
      <c r="B299" s="419"/>
      <c r="C299" s="127"/>
      <c r="D299" s="127" t="s">
        <v>654</v>
      </c>
      <c r="E299" s="124"/>
      <c r="F299" s="176"/>
      <c r="G299" s="176"/>
      <c r="H299" s="124"/>
      <c r="I299" s="124"/>
      <c r="J299" s="190"/>
      <c r="K299" s="190"/>
    </row>
    <row r="300" spans="2:11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74"/>
      <c r="H300" s="122"/>
      <c r="I300" s="122"/>
      <c r="J300" s="170"/>
      <c r="K300" s="170"/>
    </row>
    <row r="301" spans="2:11" ht="14.5" customHeight="1" x14ac:dyDescent="0.2">
      <c r="B301" s="418"/>
      <c r="C301" s="117"/>
      <c r="D301" s="117" t="s">
        <v>657</v>
      </c>
      <c r="E301" s="122"/>
      <c r="F301" s="174"/>
      <c r="G301" s="174"/>
      <c r="H301" s="122"/>
      <c r="I301" s="122"/>
      <c r="J301" s="170"/>
      <c r="K301" s="170"/>
    </row>
    <row r="302" spans="2:11" ht="14.5" customHeight="1" x14ac:dyDescent="0.2">
      <c r="B302" s="418"/>
      <c r="C302" s="117"/>
      <c r="D302" s="117" t="s">
        <v>793</v>
      </c>
      <c r="E302" s="122"/>
      <c r="F302" s="174"/>
      <c r="G302" s="174"/>
      <c r="H302" s="122"/>
      <c r="I302" s="122"/>
      <c r="J302" s="170"/>
      <c r="K302" s="170"/>
    </row>
    <row r="303" spans="2:11" ht="14.5" customHeight="1" x14ac:dyDescent="0.2">
      <c r="B303" s="418"/>
      <c r="C303" s="117"/>
      <c r="D303" s="117" t="s">
        <v>862</v>
      </c>
      <c r="E303" s="122"/>
      <c r="F303" s="174"/>
      <c r="G303" s="174"/>
      <c r="H303" s="122"/>
      <c r="I303" s="122"/>
      <c r="J303" s="170"/>
      <c r="K303" s="170"/>
    </row>
    <row r="304" spans="2:11" ht="14.5" customHeight="1" x14ac:dyDescent="0.2">
      <c r="B304" s="418"/>
      <c r="C304" s="117"/>
      <c r="D304" s="117" t="s">
        <v>809</v>
      </c>
      <c r="E304" s="122"/>
      <c r="F304" s="174"/>
      <c r="G304" s="174"/>
      <c r="H304" s="122"/>
      <c r="I304" s="122"/>
      <c r="J304" s="170"/>
      <c r="K304" s="170"/>
    </row>
    <row r="305" spans="2:11" ht="14.5" customHeight="1" x14ac:dyDescent="0.2">
      <c r="B305" s="418"/>
      <c r="C305" s="117"/>
      <c r="D305" s="117" t="s">
        <v>794</v>
      </c>
      <c r="E305" s="122"/>
      <c r="F305" s="174"/>
      <c r="G305" s="174"/>
      <c r="H305" s="122"/>
      <c r="I305" s="122"/>
      <c r="J305" s="170"/>
      <c r="K305" s="170"/>
    </row>
    <row r="306" spans="2:11" ht="14.5" customHeight="1" x14ac:dyDescent="0.2">
      <c r="B306" s="418"/>
      <c r="C306" s="119"/>
      <c r="D306" s="119" t="s">
        <v>752</v>
      </c>
      <c r="E306" s="123"/>
      <c r="F306" s="175"/>
      <c r="G306" s="175"/>
      <c r="H306" s="123"/>
      <c r="I306" s="123"/>
      <c r="J306" s="189"/>
      <c r="K306" s="189"/>
    </row>
    <row r="307" spans="2:11" ht="14.5" customHeight="1" x14ac:dyDescent="0.2">
      <c r="B307" s="419"/>
      <c r="C307" s="127"/>
      <c r="D307" s="127" t="s">
        <v>656</v>
      </c>
      <c r="E307" s="124"/>
      <c r="F307" s="176"/>
      <c r="G307" s="176"/>
      <c r="H307" s="124"/>
      <c r="I307" s="124"/>
      <c r="J307" s="190"/>
      <c r="K307" s="190"/>
    </row>
    <row r="308" spans="2:11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74"/>
      <c r="H308" s="122"/>
      <c r="I308" s="122"/>
      <c r="J308" s="170"/>
      <c r="K308" s="170"/>
    </row>
    <row r="309" spans="2:11" ht="14.5" customHeight="1" x14ac:dyDescent="0.2">
      <c r="B309" s="418"/>
      <c r="C309" s="117"/>
      <c r="D309" s="117" t="s">
        <v>795</v>
      </c>
      <c r="E309" s="122"/>
      <c r="F309" s="174"/>
      <c r="G309" s="174"/>
      <c r="H309" s="122"/>
      <c r="I309" s="122"/>
      <c r="J309" s="170"/>
      <c r="K309" s="170"/>
    </row>
    <row r="310" spans="2:11" ht="14.5" customHeight="1" x14ac:dyDescent="0.2">
      <c r="B310" s="418"/>
      <c r="C310" s="117"/>
      <c r="D310" s="117" t="s">
        <v>661</v>
      </c>
      <c r="E310" s="122"/>
      <c r="F310" s="174"/>
      <c r="G310" s="174"/>
      <c r="H310" s="122"/>
      <c r="I310" s="122"/>
      <c r="J310" s="170"/>
      <c r="K310" s="170"/>
    </row>
    <row r="311" spans="2:11" ht="14.5" customHeight="1" x14ac:dyDescent="0.2">
      <c r="B311" s="418"/>
      <c r="C311" s="117"/>
      <c r="D311" s="117" t="s">
        <v>662</v>
      </c>
      <c r="E311" s="122"/>
      <c r="F311" s="174"/>
      <c r="G311" s="174"/>
      <c r="H311" s="122"/>
      <c r="I311" s="122"/>
      <c r="J311" s="170"/>
      <c r="K311" s="170"/>
    </row>
    <row r="312" spans="2:11" ht="14.5" customHeight="1" x14ac:dyDescent="0.2">
      <c r="B312" s="418"/>
      <c r="C312" s="119"/>
      <c r="D312" s="119" t="s">
        <v>759</v>
      </c>
      <c r="E312" s="123"/>
      <c r="F312" s="175"/>
      <c r="G312" s="175"/>
      <c r="H312" s="123"/>
      <c r="I312" s="123"/>
      <c r="J312" s="189"/>
      <c r="K312" s="189"/>
    </row>
    <row r="313" spans="2:11" ht="14.5" customHeight="1" x14ac:dyDescent="0.2">
      <c r="B313" s="419"/>
      <c r="C313" s="127"/>
      <c r="D313" s="127" t="s">
        <v>659</v>
      </c>
      <c r="E313" s="124"/>
      <c r="F313" s="176"/>
      <c r="G313" s="176"/>
      <c r="H313" s="124"/>
      <c r="I313" s="124"/>
      <c r="J313" s="190"/>
      <c r="K313" s="190"/>
    </row>
    <row r="314" spans="2:11" ht="14.5" customHeight="1" x14ac:dyDescent="0.2">
      <c r="B314" s="127"/>
      <c r="C314" s="127"/>
      <c r="D314" s="127" t="s">
        <v>863</v>
      </c>
      <c r="E314" s="124"/>
      <c r="F314" s="176"/>
      <c r="G314" s="176"/>
      <c r="H314" s="124"/>
      <c r="I314" s="124"/>
      <c r="J314" s="190"/>
      <c r="K314" s="190"/>
    </row>
    <row r="315" spans="2:11" ht="14.5" customHeight="1" x14ac:dyDescent="0.2">
      <c r="B315" s="127"/>
      <c r="C315" s="127"/>
      <c r="D315" s="127" t="s">
        <v>55</v>
      </c>
      <c r="E315" s="124"/>
      <c r="F315" s="176"/>
      <c r="G315" s="176"/>
      <c r="H315" s="124"/>
      <c r="I315" s="124"/>
      <c r="J315" s="190"/>
      <c r="K315" s="190"/>
    </row>
    <row r="320" spans="2:11" ht="14.5" customHeight="1" x14ac:dyDescent="0.2">
      <c r="B320" s="4" t="s">
        <v>883</v>
      </c>
      <c r="C320" s="5"/>
      <c r="D320" s="5"/>
      <c r="E320" s="33"/>
      <c r="F320" s="33"/>
      <c r="G320" s="34"/>
    </row>
    <row r="321" spans="2:11" ht="14.5" customHeight="1" x14ac:dyDescent="0.2">
      <c r="B321" s="8"/>
      <c r="C321" s="8"/>
      <c r="D321" s="8"/>
      <c r="E321" s="35"/>
      <c r="F321" s="35"/>
      <c r="G321" s="34"/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385" t="s">
        <v>424</v>
      </c>
      <c r="F322" s="385"/>
      <c r="G322" s="417" t="s">
        <v>56</v>
      </c>
      <c r="H322" s="394" t="s">
        <v>3</v>
      </c>
      <c r="I322" s="398" t="s">
        <v>425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36" t="s">
        <v>77</v>
      </c>
      <c r="F323" s="54" t="s">
        <v>58</v>
      </c>
      <c r="G323" s="417"/>
      <c r="H323" s="394"/>
      <c r="I323" s="398"/>
      <c r="J323" s="398"/>
      <c r="K323" s="398"/>
    </row>
    <row r="324" spans="2:11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74"/>
      <c r="H324" s="122"/>
      <c r="I324" s="122"/>
      <c r="J324" s="170"/>
      <c r="K324" s="170"/>
    </row>
    <row r="325" spans="2:11" ht="14.5" customHeight="1" x14ac:dyDescent="0.2">
      <c r="B325" s="418"/>
      <c r="C325" s="117"/>
      <c r="D325" s="117" t="s">
        <v>869</v>
      </c>
      <c r="E325" s="122"/>
      <c r="F325" s="174"/>
      <c r="G325" s="174"/>
      <c r="H325" s="122"/>
      <c r="I325" s="122"/>
      <c r="J325" s="170"/>
      <c r="K325" s="170"/>
    </row>
    <row r="326" spans="2:11" ht="14.5" customHeight="1" x14ac:dyDescent="0.2">
      <c r="B326" s="418"/>
      <c r="C326" s="117"/>
      <c r="D326" s="117" t="s">
        <v>870</v>
      </c>
      <c r="E326" s="122"/>
      <c r="F326" s="174"/>
      <c r="G326" s="174"/>
      <c r="H326" s="122"/>
      <c r="I326" s="122"/>
      <c r="J326" s="170"/>
      <c r="K326" s="170"/>
    </row>
    <row r="327" spans="2:11" ht="14.5" customHeight="1" x14ac:dyDescent="0.2">
      <c r="B327" s="418"/>
      <c r="C327" s="117"/>
      <c r="D327" s="117" t="s">
        <v>871</v>
      </c>
      <c r="E327" s="122"/>
      <c r="F327" s="174"/>
      <c r="G327" s="174"/>
      <c r="H327" s="122"/>
      <c r="I327" s="122"/>
      <c r="J327" s="170"/>
      <c r="K327" s="170"/>
    </row>
    <row r="328" spans="2:11" ht="14.5" customHeight="1" x14ac:dyDescent="0.2">
      <c r="B328" s="418"/>
      <c r="C328" s="117"/>
      <c r="D328" s="117" t="s">
        <v>872</v>
      </c>
      <c r="E328" s="122"/>
      <c r="F328" s="174"/>
      <c r="G328" s="174"/>
      <c r="H328" s="122"/>
      <c r="I328" s="122"/>
      <c r="J328" s="170"/>
      <c r="K328" s="170"/>
    </row>
    <row r="329" spans="2:11" ht="14.5" customHeight="1" x14ac:dyDescent="0.2">
      <c r="B329" s="418"/>
      <c r="C329" s="117"/>
      <c r="D329" s="117" t="s">
        <v>873</v>
      </c>
      <c r="E329" s="122"/>
      <c r="F329" s="174"/>
      <c r="G329" s="174"/>
      <c r="H329" s="122"/>
      <c r="I329" s="122"/>
      <c r="J329" s="170"/>
      <c r="K329" s="170"/>
    </row>
    <row r="330" spans="2:11" ht="14.5" customHeight="1" x14ac:dyDescent="0.2">
      <c r="B330" s="418"/>
      <c r="C330" s="117"/>
      <c r="D330" s="117" t="s">
        <v>874</v>
      </c>
      <c r="E330" s="122"/>
      <c r="F330" s="174"/>
      <c r="G330" s="174"/>
      <c r="H330" s="122"/>
      <c r="I330" s="122"/>
      <c r="J330" s="170"/>
      <c r="K330" s="170"/>
    </row>
    <row r="331" spans="2:11" ht="14.5" customHeight="1" x14ac:dyDescent="0.2">
      <c r="B331" s="418"/>
      <c r="C331" s="117"/>
      <c r="D331" s="117" t="s">
        <v>875</v>
      </c>
      <c r="E331" s="122"/>
      <c r="F331" s="174"/>
      <c r="G331" s="174"/>
      <c r="H331" s="122"/>
      <c r="I331" s="122"/>
      <c r="J331" s="170"/>
      <c r="K331" s="170"/>
    </row>
    <row r="332" spans="2:11" ht="14.5" customHeight="1" x14ac:dyDescent="0.2">
      <c r="B332" s="418"/>
      <c r="C332" s="117"/>
      <c r="D332" s="117" t="s">
        <v>876</v>
      </c>
      <c r="E332" s="122"/>
      <c r="F332" s="174"/>
      <c r="G332" s="174"/>
      <c r="H332" s="122"/>
      <c r="I332" s="122"/>
      <c r="J332" s="170"/>
      <c r="K332" s="170"/>
    </row>
    <row r="333" spans="2:11" ht="14.5" customHeight="1" x14ac:dyDescent="0.2">
      <c r="B333" s="418"/>
      <c r="C333" s="117"/>
      <c r="D333" s="117" t="s">
        <v>877</v>
      </c>
      <c r="E333" s="122"/>
      <c r="F333" s="174"/>
      <c r="G333" s="174"/>
      <c r="H333" s="122"/>
      <c r="I333" s="122"/>
      <c r="J333" s="170"/>
      <c r="K333" s="170"/>
    </row>
    <row r="334" spans="2:11" ht="14.5" customHeight="1" x14ac:dyDescent="0.2">
      <c r="B334" s="418"/>
      <c r="C334" s="119"/>
      <c r="D334" s="119" t="s">
        <v>892</v>
      </c>
      <c r="E334" s="123"/>
      <c r="F334" s="175"/>
      <c r="G334" s="175"/>
      <c r="H334" s="123"/>
      <c r="I334" s="123"/>
      <c r="J334" s="189"/>
      <c r="K334" s="189"/>
    </row>
    <row r="335" spans="2:11" ht="14.5" customHeight="1" x14ac:dyDescent="0.2">
      <c r="B335" s="418"/>
      <c r="C335" s="119"/>
      <c r="D335" s="119" t="s">
        <v>74</v>
      </c>
      <c r="E335" s="123"/>
      <c r="F335" s="175"/>
      <c r="G335" s="175"/>
      <c r="H335" s="123"/>
      <c r="I335" s="123"/>
      <c r="J335" s="189"/>
      <c r="K335" s="189"/>
    </row>
    <row r="336" spans="2:11" ht="14.5" customHeight="1" x14ac:dyDescent="0.2">
      <c r="B336" s="419"/>
      <c r="C336" s="127"/>
      <c r="D336" s="127" t="s">
        <v>866</v>
      </c>
      <c r="E336" s="124"/>
      <c r="F336" s="176"/>
      <c r="G336" s="176"/>
      <c r="H336" s="124"/>
      <c r="I336" s="124"/>
      <c r="J336" s="190"/>
      <c r="K336" s="190"/>
    </row>
    <row r="337" spans="2:11" ht="14.5" customHeight="1" x14ac:dyDescent="0.2">
      <c r="B337" s="127"/>
      <c r="C337" s="127"/>
      <c r="D337" s="127" t="s">
        <v>867</v>
      </c>
      <c r="E337" s="124"/>
      <c r="F337" s="176"/>
      <c r="G337" s="176"/>
      <c r="H337" s="124"/>
      <c r="I337" s="124"/>
      <c r="J337" s="190"/>
      <c r="K337" s="190"/>
    </row>
    <row r="339" spans="2:11" s="45" customFormat="1" ht="14.5" customHeight="1" x14ac:dyDescent="0.2">
      <c r="E339" s="46"/>
      <c r="F339" s="46"/>
      <c r="G339" s="228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46"/>
      <c r="F340" s="46"/>
      <c r="G340" s="228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46"/>
      <c r="F341" s="46"/>
      <c r="G341" s="228" t="s">
        <v>138</v>
      </c>
      <c r="H341" s="48"/>
      <c r="I341" s="128">
        <f>'Pencapaian Effective Call'!I341</f>
        <v>4324500</v>
      </c>
      <c r="J341" s="46"/>
      <c r="K341" s="46"/>
    </row>
    <row r="342" spans="2:11" s="45" customFormat="1" ht="14.5" customHeight="1" x14ac:dyDescent="0.2">
      <c r="E342" s="46"/>
      <c r="F342" s="46"/>
      <c r="G342" s="228" t="s">
        <v>153</v>
      </c>
      <c r="H342" s="48"/>
      <c r="I342" s="128">
        <f>'Pencapaian New Open Outlet'!I342</f>
        <v>1949250</v>
      </c>
      <c r="J342" s="46"/>
      <c r="K342" s="46"/>
    </row>
    <row r="343" spans="2:11" s="45" customFormat="1" ht="14.5" customHeight="1" x14ac:dyDescent="0.2">
      <c r="E343" s="46"/>
      <c r="F343" s="46"/>
      <c r="G343" s="228" t="s">
        <v>79</v>
      </c>
      <c r="H343" s="48"/>
      <c r="I343" s="128">
        <f>'Pencapaian Active Outlet'!I343</f>
        <v>7007500</v>
      </c>
      <c r="J343" s="46"/>
      <c r="K343" s="46"/>
    </row>
    <row r="344" spans="2:11" s="45" customFormat="1" ht="14.5" customHeight="1" x14ac:dyDescent="0.2">
      <c r="E344" s="46"/>
      <c r="F344" s="46"/>
      <c r="G344" s="228" t="s">
        <v>136</v>
      </c>
      <c r="H344" s="48"/>
      <c r="I344" s="128">
        <f>'Pencapaian Item per Outlet'!I344</f>
        <v>1646000</v>
      </c>
      <c r="J344" s="46"/>
      <c r="K344" s="46"/>
    </row>
    <row r="345" spans="2:11" s="45" customFormat="1" ht="14.5" customHeight="1" x14ac:dyDescent="0.2">
      <c r="E345" s="46"/>
      <c r="F345" s="46"/>
      <c r="G345" s="228" t="s">
        <v>414</v>
      </c>
      <c r="I345" s="128">
        <f>SUM(I315,I147,I95,I77,I40,I337)</f>
        <v>40000</v>
      </c>
      <c r="J345" s="46"/>
      <c r="K345" s="46"/>
    </row>
    <row r="346" spans="2:11" s="45" customFormat="1" ht="14.5" customHeight="1" x14ac:dyDescent="0.2">
      <c r="E346" s="46"/>
      <c r="F346" s="46"/>
      <c r="G346" s="228" t="s">
        <v>415</v>
      </c>
      <c r="I346" s="128">
        <f>'Pencapaian Sales Contract'!I346</f>
        <v>0</v>
      </c>
      <c r="J346" s="46"/>
      <c r="K346" s="46"/>
    </row>
    <row r="347" spans="2:11" ht="14.5" customHeight="1" x14ac:dyDescent="0.2">
      <c r="G347" s="228" t="s">
        <v>416</v>
      </c>
      <c r="H347" s="45"/>
      <c r="I347" s="128">
        <f>'Pencapaian Co-Branding'!I347</f>
        <v>0</v>
      </c>
      <c r="J347" s="46"/>
      <c r="K347" s="46"/>
    </row>
    <row r="348" spans="2:11" ht="14.5" customHeight="1" x14ac:dyDescent="0.2">
      <c r="G348" s="228" t="s">
        <v>417</v>
      </c>
      <c r="H348" s="45"/>
      <c r="I348" s="128">
        <f>'Pencapaian Join Event Activity'!I348</f>
        <v>50000</v>
      </c>
      <c r="J348" s="46"/>
      <c r="K348" s="46"/>
    </row>
    <row r="349" spans="2:11" ht="14.5" customHeight="1" x14ac:dyDescent="0.2">
      <c r="G349" s="228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47"/>
      <c r="I350" s="229"/>
      <c r="J350" s="46"/>
      <c r="K350" s="46"/>
    </row>
    <row r="351" spans="2:11" ht="14.5" customHeight="1" x14ac:dyDescent="0.2">
      <c r="G351" s="50" t="s">
        <v>62</v>
      </c>
      <c r="I351" s="235">
        <f>SUM(I339:I349)</f>
        <v>38916750</v>
      </c>
    </row>
  </sheetData>
  <mergeCells count="86">
    <mergeCell ref="C155:C156"/>
    <mergeCell ref="J155:J156"/>
    <mergeCell ref="K155:K156"/>
    <mergeCell ref="D155:D156"/>
    <mergeCell ref="E155:F155"/>
    <mergeCell ref="G155:G156"/>
    <mergeCell ref="H155:H156"/>
    <mergeCell ref="I155:I156"/>
    <mergeCell ref="I103:I104"/>
    <mergeCell ref="J103:J104"/>
    <mergeCell ref="K103:K104"/>
    <mergeCell ref="B105:B109"/>
    <mergeCell ref="C103:C104"/>
    <mergeCell ref="D103:D104"/>
    <mergeCell ref="E103:F103"/>
    <mergeCell ref="G103:G104"/>
    <mergeCell ref="C85:C86"/>
    <mergeCell ref="D85:D86"/>
    <mergeCell ref="E85:F85"/>
    <mergeCell ref="G85:G86"/>
    <mergeCell ref="H103:H104"/>
    <mergeCell ref="H85:H86"/>
    <mergeCell ref="C48:C49"/>
    <mergeCell ref="D48:D49"/>
    <mergeCell ref="E48:F48"/>
    <mergeCell ref="I48:I49"/>
    <mergeCell ref="J48:J49"/>
    <mergeCell ref="G48:G49"/>
    <mergeCell ref="H48:H49"/>
    <mergeCell ref="I85:I86"/>
    <mergeCell ref="J85:J86"/>
    <mergeCell ref="K85:K86"/>
    <mergeCell ref="J3:J4"/>
    <mergeCell ref="K3:K4"/>
    <mergeCell ref="I3:I4"/>
    <mergeCell ref="K48:K49"/>
    <mergeCell ref="B5:B28"/>
    <mergeCell ref="B29:B34"/>
    <mergeCell ref="G3:G4"/>
    <mergeCell ref="H3:H4"/>
    <mergeCell ref="B3:B4"/>
    <mergeCell ref="C3:C4"/>
    <mergeCell ref="D3:D4"/>
    <mergeCell ref="E3:F3"/>
    <mergeCell ref="B221:B225"/>
    <mergeCell ref="B35:B39"/>
    <mergeCell ref="B110:B115"/>
    <mergeCell ref="B87:B90"/>
    <mergeCell ref="B91:B94"/>
    <mergeCell ref="B103:B104"/>
    <mergeCell ref="B85:B86"/>
    <mergeCell ref="B72:B76"/>
    <mergeCell ref="B48:B49"/>
    <mergeCell ref="B50:B64"/>
    <mergeCell ref="B65:B71"/>
    <mergeCell ref="B166:B181"/>
    <mergeCell ref="B182:B189"/>
    <mergeCell ref="B191:B199"/>
    <mergeCell ref="B200:B215"/>
    <mergeCell ref="B216:B220"/>
    <mergeCell ref="B116:B120"/>
    <mergeCell ref="B129:B133"/>
    <mergeCell ref="B155:B156"/>
    <mergeCell ref="B121:B128"/>
    <mergeCell ref="B157:B165"/>
    <mergeCell ref="B134:B146"/>
    <mergeCell ref="B282:B288"/>
    <mergeCell ref="B293:B299"/>
    <mergeCell ref="B300:B307"/>
    <mergeCell ref="B308:B313"/>
    <mergeCell ref="B227:B242"/>
    <mergeCell ref="B243:B249"/>
    <mergeCell ref="B250:B258"/>
    <mergeCell ref="B260:B274"/>
    <mergeCell ref="B275:B280"/>
    <mergeCell ref="B289:B292"/>
    <mergeCell ref="H322:H323"/>
    <mergeCell ref="I322:I323"/>
    <mergeCell ref="J322:J323"/>
    <mergeCell ref="K322:K323"/>
    <mergeCell ref="B324:B336"/>
    <mergeCell ref="B322:B323"/>
    <mergeCell ref="C322:C323"/>
    <mergeCell ref="D322:D323"/>
    <mergeCell ref="E322:F322"/>
    <mergeCell ref="G322:G3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049E-43EE-4C25-9AA5-B1CF724A09F2}">
  <dimension ref="B1:L354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F124" sqref="F124"/>
    </sheetView>
  </sheetViews>
  <sheetFormatPr baseColWidth="10" defaultColWidth="8.83203125" defaultRowHeight="15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2" customWidth="1"/>
    <col min="7" max="7" width="13.1640625" style="1" customWidth="1"/>
    <col min="8" max="8" width="10.83203125" customWidth="1"/>
    <col min="9" max="11" width="12.33203125" style="2" customWidth="1"/>
    <col min="12" max="12" width="3.5" customWidth="1"/>
  </cols>
  <sheetData>
    <row r="1" spans="2:11" ht="14.5" customHeight="1" x14ac:dyDescent="0.2">
      <c r="B1" s="4" t="s">
        <v>430</v>
      </c>
      <c r="C1" s="5"/>
      <c r="D1" s="5"/>
      <c r="E1" s="33"/>
      <c r="F1" s="33"/>
      <c r="G1" s="34"/>
    </row>
    <row r="2" spans="2:11" ht="14.5" customHeight="1" x14ac:dyDescent="0.2">
      <c r="B2" s="8"/>
      <c r="C2" s="8"/>
      <c r="D2" s="8"/>
      <c r="E2" s="35"/>
      <c r="F2" s="35"/>
      <c r="G2" s="34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385" t="s">
        <v>431</v>
      </c>
      <c r="F3" s="385"/>
      <c r="G3" s="417" t="s">
        <v>56</v>
      </c>
      <c r="H3" s="394" t="s">
        <v>3</v>
      </c>
      <c r="I3" s="398" t="s">
        <v>432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36" t="s">
        <v>77</v>
      </c>
      <c r="F4" s="54" t="s">
        <v>58</v>
      </c>
      <c r="G4" s="417"/>
      <c r="H4" s="394"/>
      <c r="I4" s="398"/>
      <c r="J4" s="398"/>
      <c r="K4" s="398"/>
    </row>
    <row r="5" spans="2:11" ht="14.5" customHeight="1" x14ac:dyDescent="0.2">
      <c r="B5" s="422" t="s">
        <v>13</v>
      </c>
      <c r="C5" s="117" t="s">
        <v>342</v>
      </c>
      <c r="D5" s="117" t="s">
        <v>233</v>
      </c>
      <c r="E5" s="170"/>
      <c r="F5" s="170"/>
      <c r="G5" s="122"/>
      <c r="H5" s="122"/>
      <c r="I5" s="122"/>
      <c r="J5" s="122"/>
      <c r="K5" s="122"/>
    </row>
    <row r="6" spans="2:11" ht="14.5" customHeight="1" x14ac:dyDescent="0.2">
      <c r="B6" s="422"/>
      <c r="C6" s="117" t="s">
        <v>343</v>
      </c>
      <c r="D6" s="117" t="s">
        <v>234</v>
      </c>
      <c r="E6" s="170"/>
      <c r="F6" s="170"/>
      <c r="G6" s="122"/>
      <c r="H6" s="122"/>
      <c r="I6" s="122"/>
      <c r="J6" s="122"/>
      <c r="K6" s="122"/>
    </row>
    <row r="7" spans="2:11" ht="14.5" customHeight="1" x14ac:dyDescent="0.2">
      <c r="B7" s="422"/>
      <c r="C7" s="117" t="s">
        <v>344</v>
      </c>
      <c r="D7" s="117" t="s">
        <v>235</v>
      </c>
      <c r="E7" s="170"/>
      <c r="F7" s="170"/>
      <c r="G7" s="122"/>
      <c r="H7" s="122"/>
      <c r="I7" s="122"/>
      <c r="J7" s="122"/>
      <c r="K7" s="122"/>
    </row>
    <row r="8" spans="2:11" ht="14.5" customHeight="1" x14ac:dyDescent="0.2">
      <c r="B8" s="422"/>
      <c r="C8" s="117" t="s">
        <v>345</v>
      </c>
      <c r="D8" s="117" t="s">
        <v>236</v>
      </c>
      <c r="E8" s="170"/>
      <c r="F8" s="170"/>
      <c r="G8" s="122"/>
      <c r="H8" s="122"/>
      <c r="I8" s="122"/>
      <c r="J8" s="122"/>
      <c r="K8" s="122"/>
    </row>
    <row r="9" spans="2:11" ht="14.5" customHeight="1" x14ac:dyDescent="0.2">
      <c r="B9" s="422"/>
      <c r="C9" s="117" t="s">
        <v>346</v>
      </c>
      <c r="D9" s="117" t="s">
        <v>237</v>
      </c>
      <c r="E9" s="170"/>
      <c r="F9" s="170"/>
      <c r="G9" s="122"/>
      <c r="H9" s="122"/>
      <c r="I9" s="122"/>
      <c r="J9" s="122"/>
      <c r="K9" s="122"/>
    </row>
    <row r="10" spans="2:11" ht="14.5" customHeight="1" x14ac:dyDescent="0.2">
      <c r="B10" s="422"/>
      <c r="C10" s="117" t="s">
        <v>347</v>
      </c>
      <c r="D10" s="117" t="s">
        <v>101</v>
      </c>
      <c r="E10" s="170"/>
      <c r="F10" s="170"/>
      <c r="G10" s="122"/>
      <c r="H10" s="122"/>
      <c r="I10" s="122"/>
      <c r="J10" s="122"/>
      <c r="K10" s="122"/>
    </row>
    <row r="11" spans="2:11" ht="14.5" customHeight="1" x14ac:dyDescent="0.2">
      <c r="B11" s="422"/>
      <c r="C11" s="117" t="s">
        <v>348</v>
      </c>
      <c r="D11" s="117" t="s">
        <v>157</v>
      </c>
      <c r="E11" s="170"/>
      <c r="F11" s="170"/>
      <c r="G11" s="122"/>
      <c r="H11" s="122"/>
      <c r="I11" s="122"/>
      <c r="J11" s="122"/>
      <c r="K11" s="122"/>
    </row>
    <row r="12" spans="2:11" ht="14.5" customHeight="1" x14ac:dyDescent="0.2">
      <c r="B12" s="422"/>
      <c r="C12" s="117" t="s">
        <v>349</v>
      </c>
      <c r="D12" s="117" t="s">
        <v>158</v>
      </c>
      <c r="E12" s="170"/>
      <c r="F12" s="170"/>
      <c r="G12" s="122"/>
      <c r="H12" s="122"/>
      <c r="I12" s="122"/>
      <c r="J12" s="122"/>
      <c r="K12" s="122"/>
    </row>
    <row r="13" spans="2:11" s="37" customFormat="1" ht="14.5" customHeight="1" x14ac:dyDescent="0.2">
      <c r="B13" s="422"/>
      <c r="C13" s="120"/>
      <c r="D13" s="120" t="s">
        <v>289</v>
      </c>
      <c r="E13" s="149"/>
      <c r="F13" s="149"/>
      <c r="G13" s="150"/>
      <c r="H13" s="151"/>
      <c r="I13" s="152"/>
      <c r="J13" s="152"/>
      <c r="K13" s="152"/>
    </row>
    <row r="14" spans="2:11" s="21" customFormat="1" ht="14.5" customHeight="1" x14ac:dyDescent="0.2">
      <c r="B14" s="422"/>
      <c r="C14" s="117" t="s">
        <v>350</v>
      </c>
      <c r="D14" s="117" t="s">
        <v>99</v>
      </c>
      <c r="E14" s="170"/>
      <c r="F14" s="170"/>
      <c r="G14" s="122"/>
      <c r="H14" s="122"/>
      <c r="I14" s="122"/>
      <c r="J14" s="122"/>
      <c r="K14" s="122"/>
    </row>
    <row r="15" spans="2:11" ht="14.5" customHeight="1" x14ac:dyDescent="0.2">
      <c r="B15" s="422"/>
      <c r="C15" s="117" t="s">
        <v>351</v>
      </c>
      <c r="D15" s="117" t="s">
        <v>100</v>
      </c>
      <c r="E15" s="170"/>
      <c r="F15" s="170"/>
      <c r="G15" s="122"/>
      <c r="H15" s="122"/>
      <c r="I15" s="122"/>
      <c r="J15" s="122"/>
      <c r="K15" s="122"/>
    </row>
    <row r="16" spans="2:11" ht="14.5" customHeight="1" x14ac:dyDescent="0.2">
      <c r="B16" s="422"/>
      <c r="C16" s="117" t="s">
        <v>352</v>
      </c>
      <c r="D16" s="117" t="s">
        <v>238</v>
      </c>
      <c r="E16" s="170"/>
      <c r="F16" s="170"/>
      <c r="G16" s="122"/>
      <c r="H16" s="122"/>
      <c r="I16" s="122"/>
      <c r="J16" s="122"/>
      <c r="K16" s="122"/>
    </row>
    <row r="17" spans="2:11" ht="14.5" customHeight="1" x14ac:dyDescent="0.2">
      <c r="B17" s="422"/>
      <c r="C17" s="117" t="s">
        <v>353</v>
      </c>
      <c r="D17" s="117" t="s">
        <v>239</v>
      </c>
      <c r="E17" s="170"/>
      <c r="F17" s="170"/>
      <c r="G17" s="122"/>
      <c r="H17" s="122"/>
      <c r="I17" s="122"/>
      <c r="J17" s="122"/>
      <c r="K17" s="122"/>
    </row>
    <row r="18" spans="2:11" ht="14.5" customHeight="1" x14ac:dyDescent="0.2">
      <c r="B18" s="422"/>
      <c r="C18" s="117" t="s">
        <v>354</v>
      </c>
      <c r="D18" s="117" t="s">
        <v>294</v>
      </c>
      <c r="E18" s="170"/>
      <c r="F18" s="170"/>
      <c r="G18" s="122"/>
      <c r="H18" s="122"/>
      <c r="I18" s="122"/>
      <c r="J18" s="122"/>
      <c r="K18" s="122"/>
    </row>
    <row r="19" spans="2:11" ht="14.5" customHeight="1" x14ac:dyDescent="0.2">
      <c r="B19" s="422"/>
      <c r="C19" s="117" t="s">
        <v>355</v>
      </c>
      <c r="D19" s="117" t="s">
        <v>273</v>
      </c>
      <c r="E19" s="170"/>
      <c r="F19" s="170"/>
      <c r="G19" s="122"/>
      <c r="H19" s="122"/>
      <c r="I19" s="122"/>
      <c r="J19" s="122"/>
      <c r="K19" s="122"/>
    </row>
    <row r="20" spans="2:11" ht="14.5" customHeight="1" x14ac:dyDescent="0.2">
      <c r="B20" s="422"/>
      <c r="C20" s="117"/>
      <c r="D20" s="117" t="s">
        <v>243</v>
      </c>
      <c r="E20" s="170"/>
      <c r="F20" s="170"/>
      <c r="G20" s="122"/>
      <c r="H20" s="122"/>
      <c r="I20" s="122"/>
      <c r="J20" s="122"/>
      <c r="K20" s="122"/>
    </row>
    <row r="21" spans="2:11" s="37" customFormat="1" ht="14.5" customHeight="1" x14ac:dyDescent="0.2">
      <c r="B21" s="422"/>
      <c r="C21" s="120"/>
      <c r="D21" s="120" t="s">
        <v>293</v>
      </c>
      <c r="E21" s="149"/>
      <c r="F21" s="149"/>
      <c r="G21" s="150"/>
      <c r="H21" s="151"/>
      <c r="I21" s="152"/>
      <c r="J21" s="152"/>
      <c r="K21" s="152"/>
    </row>
    <row r="22" spans="2:11" s="37" customFormat="1" ht="14.5" customHeight="1" x14ac:dyDescent="0.2">
      <c r="B22" s="422"/>
      <c r="C22" s="52" t="s">
        <v>356</v>
      </c>
      <c r="D22" s="52" t="s">
        <v>147</v>
      </c>
      <c r="E22" s="15">
        <v>0</v>
      </c>
      <c r="F22" s="15">
        <v>3</v>
      </c>
      <c r="G22" s="20">
        <f t="shared" ref="G22:G40" si="0">E22/F22*100%</f>
        <v>0</v>
      </c>
      <c r="H22" s="83" t="s">
        <v>468</v>
      </c>
      <c r="I22" s="15">
        <v>0</v>
      </c>
      <c r="J22" s="15">
        <f t="shared" ref="J22:J24" si="1">I22</f>
        <v>0</v>
      </c>
      <c r="K22" s="15">
        <v>0</v>
      </c>
    </row>
    <row r="23" spans="2:11" s="37" customFormat="1" ht="14.5" customHeight="1" x14ac:dyDescent="0.2">
      <c r="B23" s="422"/>
      <c r="C23" s="52" t="s">
        <v>357</v>
      </c>
      <c r="D23" s="52" t="s">
        <v>813</v>
      </c>
      <c r="E23" s="15">
        <v>0</v>
      </c>
      <c r="F23" s="15">
        <v>3</v>
      </c>
      <c r="G23" s="20">
        <f t="shared" si="0"/>
        <v>0</v>
      </c>
      <c r="H23" s="83" t="s">
        <v>468</v>
      </c>
      <c r="I23" s="15">
        <v>0</v>
      </c>
      <c r="J23" s="15">
        <f t="shared" si="1"/>
        <v>0</v>
      </c>
      <c r="K23" s="15">
        <v>0</v>
      </c>
    </row>
    <row r="24" spans="2:11" s="37" customFormat="1" ht="14.5" customHeight="1" x14ac:dyDescent="0.2">
      <c r="B24" s="422"/>
      <c r="C24" s="78"/>
      <c r="D24" s="78" t="s">
        <v>146</v>
      </c>
      <c r="E24" s="65">
        <f>SUM(E22:E23)</f>
        <v>0</v>
      </c>
      <c r="F24" s="65">
        <f>SUM(F22:F23)</f>
        <v>6</v>
      </c>
      <c r="G24" s="168">
        <f t="shared" si="0"/>
        <v>0</v>
      </c>
      <c r="H24" s="64" t="s">
        <v>20</v>
      </c>
      <c r="I24" s="63">
        <v>0</v>
      </c>
      <c r="J24" s="63">
        <f t="shared" si="1"/>
        <v>0</v>
      </c>
      <c r="K24" s="63">
        <v>0</v>
      </c>
    </row>
    <row r="25" spans="2:11" s="37" customFormat="1" ht="14.5" customHeight="1" x14ac:dyDescent="0.2">
      <c r="B25" s="422"/>
      <c r="C25" s="117" t="s">
        <v>358</v>
      </c>
      <c r="D25" s="117" t="s">
        <v>258</v>
      </c>
      <c r="E25" s="170"/>
      <c r="F25" s="170"/>
      <c r="G25" s="122"/>
      <c r="H25" s="122"/>
      <c r="I25" s="122"/>
      <c r="J25" s="122"/>
      <c r="K25" s="122"/>
    </row>
    <row r="26" spans="2:11" s="37" customFormat="1" ht="14.5" customHeight="1" x14ac:dyDescent="0.2">
      <c r="B26" s="422"/>
      <c r="C26" s="117" t="s">
        <v>525</v>
      </c>
      <c r="D26" s="117" t="s">
        <v>578</v>
      </c>
      <c r="E26" s="170"/>
      <c r="F26" s="170"/>
      <c r="G26" s="122"/>
      <c r="H26" s="122"/>
      <c r="I26" s="122"/>
      <c r="J26" s="122"/>
      <c r="K26" s="122"/>
    </row>
    <row r="27" spans="2:11" s="37" customFormat="1" ht="14.5" customHeight="1" x14ac:dyDescent="0.2">
      <c r="B27" s="422"/>
      <c r="C27" s="119"/>
      <c r="D27" s="119" t="s">
        <v>587</v>
      </c>
      <c r="E27" s="189"/>
      <c r="F27" s="189"/>
      <c r="G27" s="123"/>
      <c r="H27" s="123"/>
      <c r="I27" s="123"/>
      <c r="J27" s="123"/>
      <c r="K27" s="123"/>
    </row>
    <row r="28" spans="2:11" s="21" customFormat="1" ht="14.5" customHeight="1" x14ac:dyDescent="0.2">
      <c r="B28" s="422"/>
      <c r="C28" s="126"/>
      <c r="D28" s="126" t="s">
        <v>24</v>
      </c>
      <c r="E28" s="153">
        <f>SUM(E27,E24,E21,E13)</f>
        <v>0</v>
      </c>
      <c r="F28" s="153">
        <f>SUM(F27,F24,F21,F13)</f>
        <v>6</v>
      </c>
      <c r="G28" s="147">
        <f t="shared" si="0"/>
        <v>0</v>
      </c>
      <c r="H28" s="154"/>
      <c r="I28" s="148">
        <f>SUM(I5:I27)</f>
        <v>0</v>
      </c>
      <c r="J28" s="148">
        <f>SUM(J5:J27)</f>
        <v>0</v>
      </c>
      <c r="K28" s="148">
        <f>SUM(K5:K27)</f>
        <v>0</v>
      </c>
    </row>
    <row r="29" spans="2:11" ht="14.5" customHeight="1" x14ac:dyDescent="0.2">
      <c r="B29" s="422" t="s">
        <v>32</v>
      </c>
      <c r="C29" s="117" t="s">
        <v>359</v>
      </c>
      <c r="D29" s="117" t="s">
        <v>103</v>
      </c>
      <c r="E29" s="170"/>
      <c r="F29" s="170"/>
      <c r="G29" s="122"/>
      <c r="H29" s="122"/>
      <c r="I29" s="122"/>
      <c r="J29" s="122"/>
      <c r="K29" s="122"/>
    </row>
    <row r="30" spans="2:11" ht="14.5" customHeight="1" x14ac:dyDescent="0.2">
      <c r="B30" s="422"/>
      <c r="C30" s="117" t="s">
        <v>360</v>
      </c>
      <c r="D30" s="117" t="s">
        <v>104</v>
      </c>
      <c r="E30" s="170"/>
      <c r="F30" s="170"/>
      <c r="G30" s="122"/>
      <c r="H30" s="122"/>
      <c r="I30" s="122"/>
      <c r="J30" s="122"/>
      <c r="K30" s="122"/>
    </row>
    <row r="31" spans="2:11" ht="14.5" customHeight="1" x14ac:dyDescent="0.2">
      <c r="B31" s="422"/>
      <c r="C31" s="117"/>
      <c r="D31" s="117" t="s">
        <v>148</v>
      </c>
      <c r="E31" s="170"/>
      <c r="F31" s="170"/>
      <c r="G31" s="122"/>
      <c r="H31" s="122"/>
      <c r="I31" s="122"/>
      <c r="J31" s="122"/>
      <c r="K31" s="122"/>
    </row>
    <row r="32" spans="2:11" ht="14.5" customHeight="1" x14ac:dyDescent="0.2">
      <c r="B32" s="422"/>
      <c r="C32" s="117" t="s">
        <v>361</v>
      </c>
      <c r="D32" s="117" t="s">
        <v>295</v>
      </c>
      <c r="E32" s="170"/>
      <c r="F32" s="170"/>
      <c r="G32" s="122"/>
      <c r="H32" s="122"/>
      <c r="I32" s="122"/>
      <c r="J32" s="122"/>
      <c r="K32" s="122"/>
    </row>
    <row r="33" spans="2:11" s="37" customFormat="1" ht="14.5" customHeight="1" x14ac:dyDescent="0.2">
      <c r="B33" s="422"/>
      <c r="C33" s="120"/>
      <c r="D33" s="120" t="s">
        <v>72</v>
      </c>
      <c r="E33" s="149"/>
      <c r="F33" s="149"/>
      <c r="G33" s="150"/>
      <c r="H33" s="151"/>
      <c r="I33" s="152"/>
      <c r="J33" s="152"/>
      <c r="K33" s="152"/>
    </row>
    <row r="34" spans="2:11" ht="14.5" customHeight="1" x14ac:dyDescent="0.2">
      <c r="B34" s="422"/>
      <c r="C34" s="121"/>
      <c r="D34" s="121" t="s">
        <v>34</v>
      </c>
      <c r="E34" s="155"/>
      <c r="F34" s="155"/>
      <c r="G34" s="147"/>
      <c r="H34" s="156"/>
      <c r="I34" s="157"/>
      <c r="J34" s="157"/>
      <c r="K34" s="157"/>
    </row>
    <row r="35" spans="2:11" ht="14.5" customHeight="1" x14ac:dyDescent="0.2">
      <c r="B35" s="422" t="s">
        <v>256</v>
      </c>
      <c r="C35" s="118" t="s">
        <v>362</v>
      </c>
      <c r="D35" s="118" t="s">
        <v>106</v>
      </c>
      <c r="E35" s="170"/>
      <c r="F35" s="170"/>
      <c r="G35" s="122"/>
      <c r="H35" s="122"/>
      <c r="I35" s="122"/>
      <c r="J35" s="122"/>
      <c r="K35" s="122"/>
    </row>
    <row r="36" spans="2:11" ht="14.5" customHeight="1" x14ac:dyDescent="0.2">
      <c r="B36" s="422"/>
      <c r="C36" s="117" t="s">
        <v>363</v>
      </c>
      <c r="D36" s="117" t="s">
        <v>298</v>
      </c>
      <c r="E36" s="170"/>
      <c r="F36" s="170"/>
      <c r="G36" s="122"/>
      <c r="H36" s="122"/>
      <c r="I36" s="122"/>
      <c r="J36" s="122"/>
      <c r="K36" s="122"/>
    </row>
    <row r="37" spans="2:11" ht="14.5" customHeight="1" x14ac:dyDescent="0.2">
      <c r="B37" s="422"/>
      <c r="C37" s="117" t="s">
        <v>364</v>
      </c>
      <c r="D37" s="117" t="s">
        <v>274</v>
      </c>
      <c r="E37" s="170"/>
      <c r="F37" s="170"/>
      <c r="G37" s="122"/>
      <c r="H37" s="122"/>
      <c r="I37" s="122"/>
      <c r="J37" s="122"/>
      <c r="K37" s="122"/>
    </row>
    <row r="38" spans="2:11" s="37" customFormat="1" ht="14.5" customHeight="1" x14ac:dyDescent="0.2">
      <c r="B38" s="422"/>
      <c r="C38" s="120"/>
      <c r="D38" s="120" t="s">
        <v>259</v>
      </c>
      <c r="E38" s="189"/>
      <c r="F38" s="189"/>
      <c r="G38" s="123"/>
      <c r="H38" s="123"/>
      <c r="I38" s="123"/>
      <c r="J38" s="123"/>
      <c r="K38" s="123"/>
    </row>
    <row r="39" spans="2:11" ht="14.5" customHeight="1" x14ac:dyDescent="0.2">
      <c r="B39" s="422"/>
      <c r="C39" s="121"/>
      <c r="D39" s="121" t="s">
        <v>257</v>
      </c>
      <c r="E39" s="190"/>
      <c r="F39" s="190"/>
      <c r="G39" s="124"/>
      <c r="H39" s="124"/>
      <c r="I39" s="124"/>
      <c r="J39" s="124"/>
      <c r="K39" s="124"/>
    </row>
    <row r="40" spans="2:11" s="21" customFormat="1" ht="14.5" customHeight="1" x14ac:dyDescent="0.2">
      <c r="B40" s="144"/>
      <c r="C40" s="126"/>
      <c r="D40" s="126" t="s">
        <v>110</v>
      </c>
      <c r="E40" s="148">
        <f>SUM(E39,E34,E28)</f>
        <v>0</v>
      </c>
      <c r="F40" s="148">
        <f>SUM(F39,F34,F28)</f>
        <v>6</v>
      </c>
      <c r="G40" s="147">
        <f t="shared" si="0"/>
        <v>0</v>
      </c>
      <c r="H40" s="154"/>
      <c r="I40" s="148">
        <f t="shared" ref="I40:K40" si="2">SUM(I39,I34,I28)</f>
        <v>0</v>
      </c>
      <c r="J40" s="148">
        <f t="shared" si="2"/>
        <v>0</v>
      </c>
      <c r="K40" s="148">
        <f t="shared" si="2"/>
        <v>0</v>
      </c>
    </row>
    <row r="41" spans="2:11" ht="14.5" customHeight="1" x14ac:dyDescent="0.2"/>
    <row r="42" spans="2:11" ht="14.5" customHeight="1" x14ac:dyDescent="0.2"/>
    <row r="46" spans="2:11" ht="14.5" customHeight="1" x14ac:dyDescent="0.2">
      <c r="B46" s="4" t="s">
        <v>433</v>
      </c>
      <c r="C46" s="5"/>
      <c r="D46" s="5"/>
      <c r="E46" s="33"/>
      <c r="F46" s="33"/>
      <c r="G46" s="34"/>
    </row>
    <row r="47" spans="2:11" ht="14.5" customHeight="1" x14ac:dyDescent="0.2">
      <c r="B47" s="8"/>
      <c r="C47" s="8"/>
      <c r="D47" s="8"/>
      <c r="E47" s="35"/>
      <c r="F47" s="35"/>
      <c r="G47" s="34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385" t="s">
        <v>431</v>
      </c>
      <c r="F48" s="385"/>
      <c r="G48" s="417" t="s">
        <v>56</v>
      </c>
      <c r="H48" s="394" t="s">
        <v>3</v>
      </c>
      <c r="I48" s="398" t="s">
        <v>432</v>
      </c>
      <c r="J48" s="398" t="s">
        <v>8</v>
      </c>
      <c r="K48" s="398" t="s">
        <v>75</v>
      </c>
    </row>
    <row r="49" spans="2:11" ht="14.5" customHeight="1" x14ac:dyDescent="0.2">
      <c r="B49" s="388"/>
      <c r="C49" s="388"/>
      <c r="D49" s="388"/>
      <c r="E49" s="36" t="s">
        <v>77</v>
      </c>
      <c r="F49" s="54" t="s">
        <v>58</v>
      </c>
      <c r="G49" s="417"/>
      <c r="H49" s="394"/>
      <c r="I49" s="398"/>
      <c r="J49" s="398"/>
      <c r="K49" s="398"/>
    </row>
    <row r="50" spans="2:11" ht="14.5" customHeight="1" x14ac:dyDescent="0.2">
      <c r="B50" s="422" t="s">
        <v>25</v>
      </c>
      <c r="C50" s="193"/>
      <c r="D50" s="193" t="s">
        <v>148</v>
      </c>
      <c r="E50" s="170"/>
      <c r="F50" s="170"/>
      <c r="G50" s="122"/>
      <c r="H50" s="122"/>
      <c r="I50" s="122"/>
      <c r="J50" s="122"/>
      <c r="K50" s="122"/>
    </row>
    <row r="51" spans="2:11" s="21" customFormat="1" ht="14.5" customHeight="1" x14ac:dyDescent="0.2">
      <c r="B51" s="422"/>
      <c r="C51" s="117" t="s">
        <v>365</v>
      </c>
      <c r="D51" s="117" t="s">
        <v>151</v>
      </c>
      <c r="E51" s="170"/>
      <c r="F51" s="170"/>
      <c r="G51" s="122"/>
      <c r="H51" s="122"/>
      <c r="I51" s="122"/>
      <c r="J51" s="122"/>
      <c r="K51" s="122"/>
    </row>
    <row r="52" spans="2:11" ht="14.5" customHeight="1" x14ac:dyDescent="0.2">
      <c r="B52" s="422"/>
      <c r="C52" s="117" t="s">
        <v>366</v>
      </c>
      <c r="D52" s="117" t="s">
        <v>241</v>
      </c>
      <c r="E52" s="170"/>
      <c r="F52" s="170"/>
      <c r="G52" s="122"/>
      <c r="H52" s="122"/>
      <c r="I52" s="122"/>
      <c r="J52" s="122"/>
      <c r="K52" s="122"/>
    </row>
    <row r="53" spans="2:11" ht="14.5" customHeight="1" x14ac:dyDescent="0.2">
      <c r="B53" s="422"/>
      <c r="C53" s="117" t="s">
        <v>368</v>
      </c>
      <c r="D53" s="117" t="s">
        <v>107</v>
      </c>
      <c r="E53" s="170"/>
      <c r="F53" s="170"/>
      <c r="G53" s="122"/>
      <c r="H53" s="122"/>
      <c r="I53" s="122"/>
      <c r="J53" s="122"/>
      <c r="K53" s="122"/>
    </row>
    <row r="54" spans="2:11" ht="14.5" customHeight="1" x14ac:dyDescent="0.2">
      <c r="B54" s="422"/>
      <c r="C54" s="117" t="s">
        <v>369</v>
      </c>
      <c r="D54" s="117" t="s">
        <v>262</v>
      </c>
      <c r="E54" s="170"/>
      <c r="F54" s="170"/>
      <c r="G54" s="122"/>
      <c r="H54" s="122"/>
      <c r="I54" s="122"/>
      <c r="J54" s="122"/>
      <c r="K54" s="122"/>
    </row>
    <row r="55" spans="2:11" s="37" customFormat="1" ht="14.5" customHeight="1" x14ac:dyDescent="0.2">
      <c r="B55" s="422"/>
      <c r="C55" s="120"/>
      <c r="D55" s="120" t="s">
        <v>177</v>
      </c>
      <c r="E55" s="149"/>
      <c r="F55" s="149"/>
      <c r="G55" s="150"/>
      <c r="H55" s="151"/>
      <c r="I55" s="152"/>
      <c r="J55" s="152"/>
      <c r="K55" s="152"/>
    </row>
    <row r="56" spans="2:11" ht="14.5" customHeight="1" x14ac:dyDescent="0.2">
      <c r="B56" s="422"/>
      <c r="C56" s="117" t="s">
        <v>370</v>
      </c>
      <c r="D56" s="117" t="s">
        <v>244</v>
      </c>
      <c r="E56" s="170"/>
      <c r="F56" s="170"/>
      <c r="G56" s="122"/>
      <c r="H56" s="122"/>
      <c r="I56" s="122"/>
      <c r="J56" s="122"/>
      <c r="K56" s="122"/>
    </row>
    <row r="57" spans="2:11" ht="14.5" customHeight="1" x14ac:dyDescent="0.2">
      <c r="B57" s="422"/>
      <c r="C57" s="117" t="s">
        <v>367</v>
      </c>
      <c r="D57" s="117" t="s">
        <v>242</v>
      </c>
      <c r="E57" s="170"/>
      <c r="F57" s="170"/>
      <c r="G57" s="122"/>
      <c r="H57" s="122"/>
      <c r="I57" s="122"/>
      <c r="J57" s="122"/>
      <c r="K57" s="122"/>
    </row>
    <row r="58" spans="2:11" ht="14.5" customHeight="1" x14ac:dyDescent="0.2">
      <c r="B58" s="422"/>
      <c r="C58" s="117"/>
      <c r="D58" s="117" t="s">
        <v>148</v>
      </c>
      <c r="E58" s="170"/>
      <c r="F58" s="170"/>
      <c r="G58" s="122"/>
      <c r="H58" s="122"/>
      <c r="I58" s="122"/>
      <c r="J58" s="122"/>
      <c r="K58" s="122"/>
    </row>
    <row r="59" spans="2:11" ht="14.5" customHeight="1" x14ac:dyDescent="0.2">
      <c r="B59" s="422"/>
      <c r="C59" s="117" t="s">
        <v>371</v>
      </c>
      <c r="D59" s="117" t="s">
        <v>303</v>
      </c>
      <c r="E59" s="170"/>
      <c r="F59" s="170"/>
      <c r="G59" s="122"/>
      <c r="H59" s="122"/>
      <c r="I59" s="122"/>
      <c r="J59" s="122"/>
      <c r="K59" s="122"/>
    </row>
    <row r="60" spans="2:11" ht="14.5" customHeight="1" x14ac:dyDescent="0.2">
      <c r="B60" s="422"/>
      <c r="C60" s="117" t="s">
        <v>372</v>
      </c>
      <c r="D60" s="117" t="s">
        <v>108</v>
      </c>
      <c r="E60" s="170"/>
      <c r="F60" s="170"/>
      <c r="G60" s="122"/>
      <c r="H60" s="122"/>
      <c r="I60" s="122"/>
      <c r="J60" s="122"/>
      <c r="K60" s="122"/>
    </row>
    <row r="61" spans="2:11" ht="14.5" customHeight="1" x14ac:dyDescent="0.2">
      <c r="B61" s="422"/>
      <c r="C61" s="52" t="s">
        <v>373</v>
      </c>
      <c r="D61" s="52" t="s">
        <v>268</v>
      </c>
      <c r="E61" s="15">
        <v>0</v>
      </c>
      <c r="F61" s="15">
        <v>3</v>
      </c>
      <c r="G61" s="20">
        <f t="shared" ref="G61:G64" si="3">E61/F61*100%</f>
        <v>0</v>
      </c>
      <c r="H61" s="83" t="s">
        <v>468</v>
      </c>
      <c r="I61" s="15">
        <v>0</v>
      </c>
      <c r="J61" s="15">
        <f>I61</f>
        <v>0</v>
      </c>
      <c r="K61" s="15">
        <v>0</v>
      </c>
    </row>
    <row r="62" spans="2:11" s="37" customFormat="1" ht="14.5" customHeight="1" x14ac:dyDescent="0.2">
      <c r="B62" s="422"/>
      <c r="C62" s="120"/>
      <c r="D62" s="120" t="s">
        <v>177</v>
      </c>
      <c r="E62" s="149">
        <f>SUM(E56:E61)</f>
        <v>0</v>
      </c>
      <c r="F62" s="149">
        <f>SUM(F56:F61)</f>
        <v>3</v>
      </c>
      <c r="G62" s="150">
        <f t="shared" si="3"/>
        <v>0</v>
      </c>
      <c r="H62" s="151"/>
      <c r="I62" s="152"/>
      <c r="J62" s="152"/>
      <c r="K62" s="152"/>
    </row>
    <row r="63" spans="2:11" ht="14.5" customHeight="1" x14ac:dyDescent="0.2">
      <c r="B63" s="422"/>
      <c r="C63" s="117" t="s">
        <v>374</v>
      </c>
      <c r="D63" s="117" t="s">
        <v>249</v>
      </c>
      <c r="E63" s="170"/>
      <c r="F63" s="170"/>
      <c r="G63" s="122"/>
      <c r="H63" s="122"/>
      <c r="I63" s="122"/>
      <c r="J63" s="122"/>
      <c r="K63" s="122"/>
    </row>
    <row r="64" spans="2:11" s="21" customFormat="1" ht="14.5" customHeight="1" x14ac:dyDescent="0.2">
      <c r="B64" s="422"/>
      <c r="C64" s="126"/>
      <c r="D64" s="126" t="s">
        <v>30</v>
      </c>
      <c r="E64" s="153">
        <f>SUM(E63,E62,E55)</f>
        <v>0</v>
      </c>
      <c r="F64" s="153">
        <f>SUM(F63,F62,F55)</f>
        <v>3</v>
      </c>
      <c r="G64" s="147">
        <f t="shared" si="3"/>
        <v>0</v>
      </c>
      <c r="H64" s="154"/>
      <c r="I64" s="153">
        <f>SUM(I50:I63)</f>
        <v>0</v>
      </c>
      <c r="J64" s="153">
        <f t="shared" ref="J64:K64" si="4">SUM(J50:J63)</f>
        <v>0</v>
      </c>
      <c r="K64" s="153">
        <f t="shared" si="4"/>
        <v>0</v>
      </c>
    </row>
    <row r="65" spans="2:11" ht="14.5" customHeight="1" x14ac:dyDescent="0.2">
      <c r="B65" s="422" t="s">
        <v>59</v>
      </c>
      <c r="C65" s="117" t="s">
        <v>375</v>
      </c>
      <c r="D65" s="117" t="s">
        <v>211</v>
      </c>
      <c r="E65" s="170"/>
      <c r="F65" s="170"/>
      <c r="G65" s="122"/>
      <c r="H65" s="122"/>
      <c r="I65" s="122"/>
      <c r="J65" s="178"/>
      <c r="K65" s="178"/>
    </row>
    <row r="66" spans="2:11" ht="14.5" customHeight="1" x14ac:dyDescent="0.2">
      <c r="B66" s="422"/>
      <c r="C66" s="117" t="s">
        <v>376</v>
      </c>
      <c r="D66" s="117" t="s">
        <v>145</v>
      </c>
      <c r="E66" s="170"/>
      <c r="F66" s="170"/>
      <c r="G66" s="122"/>
      <c r="H66" s="122"/>
      <c r="I66" s="122"/>
      <c r="J66" s="178"/>
      <c r="K66" s="178"/>
    </row>
    <row r="67" spans="2:11" ht="14.5" customHeight="1" x14ac:dyDescent="0.2">
      <c r="B67" s="422"/>
      <c r="C67" s="117" t="s">
        <v>377</v>
      </c>
      <c r="D67" s="117" t="s">
        <v>287</v>
      </c>
      <c r="E67" s="170"/>
      <c r="F67" s="170"/>
      <c r="G67" s="122"/>
      <c r="H67" s="122"/>
      <c r="I67" s="122"/>
      <c r="J67" s="178"/>
      <c r="K67" s="178"/>
    </row>
    <row r="68" spans="2:11" ht="14.5" customHeight="1" x14ac:dyDescent="0.2">
      <c r="B68" s="422"/>
      <c r="C68" s="117" t="s">
        <v>379</v>
      </c>
      <c r="D68" s="117" t="s">
        <v>380</v>
      </c>
      <c r="E68" s="170"/>
      <c r="F68" s="170"/>
      <c r="G68" s="122"/>
      <c r="H68" s="122"/>
      <c r="I68" s="122"/>
      <c r="J68" s="178"/>
      <c r="K68" s="178"/>
    </row>
    <row r="69" spans="2:11" ht="14.5" customHeight="1" x14ac:dyDescent="0.2">
      <c r="B69" s="422"/>
      <c r="C69" s="117" t="s">
        <v>378</v>
      </c>
      <c r="D69" s="117" t="s">
        <v>210</v>
      </c>
      <c r="E69" s="170"/>
      <c r="F69" s="170"/>
      <c r="G69" s="122"/>
      <c r="H69" s="122"/>
      <c r="I69" s="122"/>
      <c r="J69" s="178"/>
      <c r="K69" s="178"/>
    </row>
    <row r="70" spans="2:11" s="37" customFormat="1" ht="14.5" customHeight="1" x14ac:dyDescent="0.2">
      <c r="B70" s="422"/>
      <c r="C70" s="120"/>
      <c r="D70" s="120" t="s">
        <v>74</v>
      </c>
      <c r="E70" s="149"/>
      <c r="F70" s="149"/>
      <c r="G70" s="150"/>
      <c r="H70" s="151"/>
      <c r="I70" s="152"/>
      <c r="J70" s="152"/>
      <c r="K70" s="152"/>
    </row>
    <row r="71" spans="2:11" ht="14.5" customHeight="1" x14ac:dyDescent="0.2">
      <c r="B71" s="422"/>
      <c r="C71" s="121"/>
      <c r="D71" s="121" t="s">
        <v>36</v>
      </c>
      <c r="E71" s="155"/>
      <c r="F71" s="155"/>
      <c r="G71" s="147"/>
      <c r="H71" s="156"/>
      <c r="I71" s="157"/>
      <c r="J71" s="157"/>
      <c r="K71" s="157"/>
    </row>
    <row r="72" spans="2:11" ht="14.5" customHeight="1" x14ac:dyDescent="0.2">
      <c r="B72" s="422" t="s">
        <v>131</v>
      </c>
      <c r="C72" s="118" t="s">
        <v>381</v>
      </c>
      <c r="D72" s="118" t="s">
        <v>132</v>
      </c>
      <c r="E72" s="170"/>
      <c r="F72" s="170"/>
      <c r="G72" s="122"/>
      <c r="H72" s="122"/>
      <c r="I72" s="122"/>
      <c r="J72" s="122"/>
      <c r="K72" s="122"/>
    </row>
    <row r="73" spans="2:11" ht="14.5" customHeight="1" x14ac:dyDescent="0.2">
      <c r="B73" s="422"/>
      <c r="C73" s="117" t="s">
        <v>382</v>
      </c>
      <c r="D73" s="117" t="s">
        <v>667</v>
      </c>
      <c r="E73" s="170"/>
      <c r="F73" s="170"/>
      <c r="G73" s="122"/>
      <c r="H73" s="122"/>
      <c r="I73" s="122"/>
      <c r="J73" s="122"/>
      <c r="K73" s="122"/>
    </row>
    <row r="74" spans="2:11" ht="14.5" customHeight="1" x14ac:dyDescent="0.2">
      <c r="B74" s="422"/>
      <c r="C74" s="117" t="s">
        <v>383</v>
      </c>
      <c r="D74" s="117" t="s">
        <v>613</v>
      </c>
      <c r="E74" s="170"/>
      <c r="F74" s="170"/>
      <c r="G74" s="122"/>
      <c r="H74" s="122"/>
      <c r="I74" s="122"/>
      <c r="J74" s="122"/>
      <c r="K74" s="122"/>
    </row>
    <row r="75" spans="2:11" s="37" customFormat="1" ht="14.5" customHeight="1" x14ac:dyDescent="0.2">
      <c r="B75" s="422"/>
      <c r="C75" s="120"/>
      <c r="D75" s="120" t="s">
        <v>483</v>
      </c>
      <c r="E75" s="189"/>
      <c r="F75" s="189"/>
      <c r="G75" s="123"/>
      <c r="H75" s="123"/>
      <c r="I75" s="123"/>
      <c r="J75" s="123"/>
      <c r="K75" s="123"/>
    </row>
    <row r="76" spans="2:11" ht="14.5" customHeight="1" x14ac:dyDescent="0.2">
      <c r="B76" s="422"/>
      <c r="C76" s="121"/>
      <c r="D76" s="121" t="s">
        <v>133</v>
      </c>
      <c r="E76" s="190"/>
      <c r="F76" s="190"/>
      <c r="G76" s="124"/>
      <c r="H76" s="124"/>
      <c r="I76" s="124"/>
      <c r="J76" s="124"/>
      <c r="K76" s="124"/>
    </row>
    <row r="77" spans="2:11" s="21" customFormat="1" ht="14.5" customHeight="1" x14ac:dyDescent="0.2">
      <c r="B77" s="144"/>
      <c r="C77" s="126"/>
      <c r="D77" s="126" t="s">
        <v>109</v>
      </c>
      <c r="E77" s="148">
        <f>SUM(E76,E71,E64)</f>
        <v>0</v>
      </c>
      <c r="F77" s="148">
        <f>SUM(F76,F71,F64)</f>
        <v>3</v>
      </c>
      <c r="G77" s="147">
        <f t="shared" ref="G77" si="5">E77/F77*100%</f>
        <v>0</v>
      </c>
      <c r="H77" s="154"/>
      <c r="I77" s="148">
        <f t="shared" ref="I77:K77" si="6">SUM(I76,I71,I64)</f>
        <v>0</v>
      </c>
      <c r="J77" s="148">
        <f t="shared" si="6"/>
        <v>0</v>
      </c>
      <c r="K77" s="148">
        <f t="shared" si="6"/>
        <v>0</v>
      </c>
    </row>
    <row r="78" spans="2:11" ht="14.5" customHeight="1" x14ac:dyDescent="0.2"/>
    <row r="79" spans="2:11" ht="14.5" customHeight="1" x14ac:dyDescent="0.2"/>
    <row r="83" spans="2:11" ht="14.5" customHeight="1" x14ac:dyDescent="0.2">
      <c r="B83" s="4" t="s">
        <v>434</v>
      </c>
      <c r="C83" s="5"/>
      <c r="D83" s="5"/>
      <c r="E83" s="33"/>
      <c r="F83" s="33"/>
      <c r="G83" s="34"/>
    </row>
    <row r="84" spans="2:11" ht="14.5" customHeight="1" x14ac:dyDescent="0.2">
      <c r="B84" s="8"/>
      <c r="C84" s="8"/>
      <c r="D84" s="8"/>
      <c r="E84" s="35"/>
      <c r="F84" s="35"/>
      <c r="G84" s="34"/>
    </row>
    <row r="85" spans="2:11" ht="14.5" customHeight="1" x14ac:dyDescent="0.2">
      <c r="B85" s="388" t="s">
        <v>0</v>
      </c>
      <c r="C85" s="388" t="s">
        <v>270</v>
      </c>
      <c r="D85" s="388" t="s">
        <v>2</v>
      </c>
      <c r="E85" s="385" t="s">
        <v>431</v>
      </c>
      <c r="F85" s="385"/>
      <c r="G85" s="417" t="s">
        <v>56</v>
      </c>
      <c r="H85" s="394" t="s">
        <v>3</v>
      </c>
      <c r="I85" s="398" t="s">
        <v>432</v>
      </c>
      <c r="J85" s="398" t="s">
        <v>8</v>
      </c>
      <c r="K85" s="398" t="s">
        <v>75</v>
      </c>
    </row>
    <row r="86" spans="2:11" ht="14.5" customHeight="1" x14ac:dyDescent="0.2">
      <c r="B86" s="388"/>
      <c r="C86" s="388"/>
      <c r="D86" s="388"/>
      <c r="E86" s="36" t="s">
        <v>77</v>
      </c>
      <c r="F86" s="54" t="s">
        <v>58</v>
      </c>
      <c r="G86" s="417"/>
      <c r="H86" s="394"/>
      <c r="I86" s="398"/>
      <c r="J86" s="398"/>
      <c r="K86" s="398"/>
    </row>
    <row r="87" spans="2:11" ht="14.5" customHeight="1" x14ac:dyDescent="0.2">
      <c r="B87" s="422" t="s">
        <v>37</v>
      </c>
      <c r="C87" s="118" t="s">
        <v>385</v>
      </c>
      <c r="D87" s="118" t="s">
        <v>98</v>
      </c>
      <c r="E87" s="170"/>
      <c r="F87" s="170"/>
      <c r="G87" s="122"/>
      <c r="H87" s="122"/>
      <c r="I87" s="122"/>
      <c r="J87" s="122"/>
      <c r="K87" s="122"/>
    </row>
    <row r="88" spans="2:11" ht="14.5" customHeight="1" x14ac:dyDescent="0.2">
      <c r="B88" s="422"/>
      <c r="C88" s="117" t="s">
        <v>384</v>
      </c>
      <c r="D88" s="117" t="s">
        <v>310</v>
      </c>
      <c r="E88" s="170"/>
      <c r="F88" s="170"/>
      <c r="G88" s="122"/>
      <c r="H88" s="122"/>
      <c r="I88" s="122"/>
      <c r="J88" s="122"/>
      <c r="K88" s="122"/>
    </row>
    <row r="89" spans="2:11" s="37" customFormat="1" ht="14.5" customHeight="1" x14ac:dyDescent="0.2">
      <c r="B89" s="422"/>
      <c r="C89" s="120"/>
      <c r="D89" s="120" t="s">
        <v>230</v>
      </c>
      <c r="E89" s="189"/>
      <c r="F89" s="189"/>
      <c r="G89" s="123"/>
      <c r="H89" s="123"/>
      <c r="I89" s="123"/>
      <c r="J89" s="123"/>
      <c r="K89" s="123"/>
    </row>
    <row r="90" spans="2:11" ht="14.5" customHeight="1" x14ac:dyDescent="0.2">
      <c r="B90" s="422"/>
      <c r="C90" s="121"/>
      <c r="D90" s="121" t="s">
        <v>38</v>
      </c>
      <c r="E90" s="190"/>
      <c r="F90" s="190"/>
      <c r="G90" s="124"/>
      <c r="H90" s="124"/>
      <c r="I90" s="124"/>
      <c r="J90" s="124"/>
      <c r="K90" s="124"/>
    </row>
    <row r="91" spans="2:11" s="21" customFormat="1" ht="14.5" customHeight="1" x14ac:dyDescent="0.2">
      <c r="B91" s="422" t="s">
        <v>614</v>
      </c>
      <c r="C91" s="116" t="s">
        <v>386</v>
      </c>
      <c r="D91" s="116" t="s">
        <v>265</v>
      </c>
      <c r="E91" s="170"/>
      <c r="F91" s="170"/>
      <c r="G91" s="122"/>
      <c r="H91" s="122"/>
      <c r="I91" s="122"/>
      <c r="J91" s="122"/>
      <c r="K91" s="122"/>
    </row>
    <row r="92" spans="2:11" ht="14.5" customHeight="1" x14ac:dyDescent="0.2">
      <c r="B92" s="422"/>
      <c r="C92" s="117" t="s">
        <v>387</v>
      </c>
      <c r="D92" s="117" t="s">
        <v>97</v>
      </c>
      <c r="E92" s="170"/>
      <c r="F92" s="170"/>
      <c r="G92" s="122"/>
      <c r="H92" s="122"/>
      <c r="I92" s="122"/>
      <c r="J92" s="122"/>
      <c r="K92" s="122"/>
    </row>
    <row r="93" spans="2:11" s="37" customFormat="1" ht="14.5" customHeight="1" x14ac:dyDescent="0.2">
      <c r="B93" s="422"/>
      <c r="C93" s="119"/>
      <c r="D93" s="119" t="s">
        <v>497</v>
      </c>
      <c r="E93" s="189"/>
      <c r="F93" s="189"/>
      <c r="G93" s="123"/>
      <c r="H93" s="123"/>
      <c r="I93" s="123"/>
      <c r="J93" s="123"/>
      <c r="K93" s="123"/>
    </row>
    <row r="94" spans="2:11" ht="14.5" customHeight="1" x14ac:dyDescent="0.2">
      <c r="B94" s="422"/>
      <c r="C94" s="121"/>
      <c r="D94" s="121" t="s">
        <v>615</v>
      </c>
      <c r="E94" s="190"/>
      <c r="F94" s="190"/>
      <c r="G94" s="124"/>
      <c r="H94" s="124"/>
      <c r="I94" s="124"/>
      <c r="J94" s="124"/>
      <c r="K94" s="124"/>
    </row>
    <row r="95" spans="2:11" s="21" customFormat="1" ht="14.5" customHeight="1" x14ac:dyDescent="0.2">
      <c r="B95" s="144"/>
      <c r="C95" s="126"/>
      <c r="D95" s="126" t="s">
        <v>219</v>
      </c>
      <c r="E95" s="148"/>
      <c r="F95" s="148"/>
      <c r="G95" s="147"/>
      <c r="H95" s="154"/>
      <c r="I95" s="146"/>
      <c r="J95" s="146"/>
      <c r="K95" s="146"/>
    </row>
    <row r="96" spans="2:11" ht="14.5" customHeight="1" x14ac:dyDescent="0.2"/>
    <row r="97" spans="2:12" ht="14.5" customHeight="1" x14ac:dyDescent="0.2"/>
    <row r="101" spans="2:12" ht="14.5" customHeight="1" x14ac:dyDescent="0.2">
      <c r="B101" s="4" t="s">
        <v>435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431</v>
      </c>
      <c r="F103" s="385"/>
      <c r="G103" s="417" t="s">
        <v>56</v>
      </c>
      <c r="H103" s="394" t="s">
        <v>3</v>
      </c>
      <c r="I103" s="398" t="s">
        <v>432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422" t="s">
        <v>39</v>
      </c>
      <c r="C105" s="117" t="s">
        <v>388</v>
      </c>
      <c r="D105" s="117" t="s">
        <v>389</v>
      </c>
      <c r="E105" s="170"/>
      <c r="F105" s="170"/>
      <c r="G105" s="122"/>
      <c r="H105" s="122"/>
      <c r="I105" s="122"/>
      <c r="J105" s="122"/>
      <c r="K105" s="122"/>
      <c r="L105" s="2"/>
    </row>
    <row r="106" spans="2:12" ht="14.5" customHeight="1" x14ac:dyDescent="0.2">
      <c r="B106" s="422"/>
      <c r="C106" s="117" t="s">
        <v>390</v>
      </c>
      <c r="D106" s="117" t="s">
        <v>111</v>
      </c>
      <c r="E106" s="170"/>
      <c r="F106" s="170"/>
      <c r="G106" s="122"/>
      <c r="H106" s="122"/>
      <c r="I106" s="122"/>
      <c r="J106" s="122"/>
      <c r="K106" s="122"/>
      <c r="L106" s="2"/>
    </row>
    <row r="107" spans="2:12" ht="14.5" customHeight="1" x14ac:dyDescent="0.2">
      <c r="B107" s="422"/>
      <c r="C107" s="117" t="s">
        <v>391</v>
      </c>
      <c r="D107" s="117" t="s">
        <v>271</v>
      </c>
      <c r="E107" s="170"/>
      <c r="F107" s="170"/>
      <c r="G107" s="122"/>
      <c r="H107" s="122"/>
      <c r="I107" s="122"/>
      <c r="J107" s="122"/>
      <c r="K107" s="122"/>
      <c r="L107" s="2"/>
    </row>
    <row r="108" spans="2:12" ht="14.5" customHeight="1" x14ac:dyDescent="0.2">
      <c r="B108" s="422"/>
      <c r="C108" s="120"/>
      <c r="D108" s="120" t="s">
        <v>891</v>
      </c>
      <c r="E108" s="149"/>
      <c r="F108" s="149"/>
      <c r="G108" s="150"/>
      <c r="H108" s="151"/>
      <c r="I108" s="152"/>
      <c r="J108" s="152"/>
      <c r="K108" s="152"/>
      <c r="L108" s="2"/>
    </row>
    <row r="109" spans="2:12" ht="14.5" customHeight="1" x14ac:dyDescent="0.2">
      <c r="B109" s="422"/>
      <c r="C109" s="127"/>
      <c r="D109" s="127" t="s">
        <v>40</v>
      </c>
      <c r="E109" s="155"/>
      <c r="F109" s="155"/>
      <c r="G109" s="158"/>
      <c r="H109" s="156"/>
      <c r="I109" s="157"/>
      <c r="J109" s="157"/>
      <c r="K109" s="157"/>
      <c r="L109" s="2"/>
    </row>
    <row r="110" spans="2:12" ht="14.5" customHeight="1" x14ac:dyDescent="0.2">
      <c r="B110" s="422" t="s">
        <v>41</v>
      </c>
      <c r="C110" s="117" t="s">
        <v>392</v>
      </c>
      <c r="D110" s="117" t="s">
        <v>112</v>
      </c>
      <c r="E110" s="170"/>
      <c r="F110" s="170"/>
      <c r="G110" s="122"/>
      <c r="H110" s="122"/>
      <c r="I110" s="122"/>
      <c r="J110" s="122"/>
      <c r="K110" s="122"/>
      <c r="L110" s="2"/>
    </row>
    <row r="111" spans="2:12" ht="14.5" customHeight="1" x14ac:dyDescent="0.2">
      <c r="B111" s="422"/>
      <c r="C111" s="117" t="s">
        <v>393</v>
      </c>
      <c r="D111" s="117" t="s">
        <v>394</v>
      </c>
      <c r="E111" s="170"/>
      <c r="F111" s="170"/>
      <c r="G111" s="122"/>
      <c r="H111" s="122"/>
      <c r="I111" s="122"/>
      <c r="J111" s="122"/>
      <c r="K111" s="122"/>
      <c r="L111" s="2"/>
    </row>
    <row r="112" spans="2:12" ht="14.5" customHeight="1" x14ac:dyDescent="0.2">
      <c r="B112" s="422"/>
      <c r="C112" s="117" t="s">
        <v>395</v>
      </c>
      <c r="D112" s="117" t="s">
        <v>113</v>
      </c>
      <c r="E112" s="170"/>
      <c r="F112" s="170"/>
      <c r="G112" s="122"/>
      <c r="H112" s="122"/>
      <c r="I112" s="122"/>
      <c r="J112" s="122"/>
      <c r="K112" s="122"/>
      <c r="L112" s="2"/>
    </row>
    <row r="113" spans="2:12" ht="14.5" customHeight="1" x14ac:dyDescent="0.2">
      <c r="B113" s="422"/>
      <c r="C113" s="117" t="s">
        <v>396</v>
      </c>
      <c r="D113" s="117" t="s">
        <v>253</v>
      </c>
      <c r="E113" s="170"/>
      <c r="F113" s="170"/>
      <c r="G113" s="122"/>
      <c r="H113" s="122"/>
      <c r="I113" s="122"/>
      <c r="J113" s="122"/>
      <c r="K113" s="122"/>
      <c r="L113" s="2"/>
    </row>
    <row r="114" spans="2:12" ht="14.5" customHeight="1" x14ac:dyDescent="0.2">
      <c r="B114" s="422"/>
      <c r="C114" s="120"/>
      <c r="D114" s="120" t="s">
        <v>316</v>
      </c>
      <c r="E114" s="149"/>
      <c r="F114" s="149"/>
      <c r="G114" s="150"/>
      <c r="H114" s="151"/>
      <c r="I114" s="152"/>
      <c r="J114" s="152"/>
      <c r="K114" s="152"/>
      <c r="L114" s="2"/>
    </row>
    <row r="115" spans="2:12" ht="14.5" customHeight="1" x14ac:dyDescent="0.2">
      <c r="B115" s="422"/>
      <c r="C115" s="127"/>
      <c r="D115" s="127" t="s">
        <v>42</v>
      </c>
      <c r="E115" s="155"/>
      <c r="F115" s="155"/>
      <c r="G115" s="158"/>
      <c r="H115" s="156"/>
      <c r="I115" s="157"/>
      <c r="J115" s="157"/>
      <c r="K115" s="157"/>
      <c r="L115" s="2"/>
    </row>
    <row r="116" spans="2:12" ht="14.5" customHeight="1" x14ac:dyDescent="0.2">
      <c r="B116" s="422" t="s">
        <v>43</v>
      </c>
      <c r="C116" s="117" t="s">
        <v>397</v>
      </c>
      <c r="D116" s="117" t="s">
        <v>114</v>
      </c>
      <c r="E116" s="170"/>
      <c r="F116" s="170"/>
      <c r="G116" s="122"/>
      <c r="H116" s="122"/>
      <c r="I116" s="122"/>
      <c r="J116" s="122"/>
      <c r="K116" s="122"/>
      <c r="L116" s="2"/>
    </row>
    <row r="117" spans="2:12" ht="14.5" customHeight="1" x14ac:dyDescent="0.2">
      <c r="B117" s="422"/>
      <c r="C117" s="117" t="s">
        <v>398</v>
      </c>
      <c r="D117" s="117" t="s">
        <v>341</v>
      </c>
      <c r="E117" s="170"/>
      <c r="F117" s="170"/>
      <c r="G117" s="122"/>
      <c r="H117" s="122"/>
      <c r="I117" s="122"/>
      <c r="J117" s="122"/>
      <c r="K117" s="122"/>
      <c r="L117" s="2"/>
    </row>
    <row r="118" spans="2:12" ht="14.5" customHeight="1" x14ac:dyDescent="0.2">
      <c r="B118" s="422"/>
      <c r="C118" s="117" t="s">
        <v>399</v>
      </c>
      <c r="D118" s="117" t="s">
        <v>321</v>
      </c>
      <c r="E118" s="170"/>
      <c r="F118" s="170"/>
      <c r="G118" s="122"/>
      <c r="H118" s="122"/>
      <c r="I118" s="122"/>
      <c r="J118" s="122"/>
      <c r="K118" s="122"/>
      <c r="L118" s="2"/>
    </row>
    <row r="119" spans="2:12" ht="14.5" customHeight="1" x14ac:dyDescent="0.2">
      <c r="B119" s="422"/>
      <c r="C119" s="117" t="s">
        <v>400</v>
      </c>
      <c r="D119" s="117" t="s">
        <v>322</v>
      </c>
      <c r="E119" s="170"/>
      <c r="F119" s="170"/>
      <c r="G119" s="122"/>
      <c r="H119" s="122"/>
      <c r="I119" s="122"/>
      <c r="J119" s="122"/>
      <c r="K119" s="122"/>
      <c r="L119" s="2"/>
    </row>
    <row r="120" spans="2:12" ht="14.5" customHeight="1" x14ac:dyDescent="0.2">
      <c r="B120" s="422"/>
      <c r="C120" s="117"/>
      <c r="D120" s="117" t="s">
        <v>474</v>
      </c>
      <c r="E120" s="174"/>
      <c r="F120" s="174"/>
      <c r="G120" s="163"/>
      <c r="H120" s="122"/>
      <c r="I120" s="122"/>
      <c r="J120" s="122"/>
      <c r="K120" s="122"/>
      <c r="L120" s="2"/>
    </row>
    <row r="121" spans="2:12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74"/>
      <c r="H121" s="122"/>
      <c r="I121" s="122"/>
      <c r="J121" s="170"/>
      <c r="K121" s="170"/>
      <c r="L121" s="19"/>
    </row>
    <row r="122" spans="2:12" s="21" customFormat="1" ht="14.5" customHeight="1" x14ac:dyDescent="0.2">
      <c r="B122" s="418"/>
      <c r="C122" s="117"/>
      <c r="D122" s="117" t="s">
        <v>838</v>
      </c>
      <c r="E122" s="122"/>
      <c r="F122" s="174"/>
      <c r="G122" s="174"/>
      <c r="H122" s="122"/>
      <c r="I122" s="122"/>
      <c r="J122" s="170"/>
      <c r="K122" s="170"/>
      <c r="L122" s="19"/>
    </row>
    <row r="123" spans="2:12" s="21" customFormat="1" ht="14.5" customHeight="1" x14ac:dyDescent="0.2">
      <c r="B123" s="418"/>
      <c r="C123" s="117"/>
      <c r="D123" s="117" t="s">
        <v>839</v>
      </c>
      <c r="E123" s="122"/>
      <c r="F123" s="174"/>
      <c r="G123" s="174"/>
      <c r="H123" s="122"/>
      <c r="I123" s="122"/>
      <c r="J123" s="170"/>
      <c r="K123" s="170"/>
      <c r="L123" s="19"/>
    </row>
    <row r="124" spans="2:12" s="21" customFormat="1" ht="14.5" customHeight="1" x14ac:dyDescent="0.2">
      <c r="B124" s="418"/>
      <c r="C124" s="117"/>
      <c r="D124" s="117" t="s">
        <v>893</v>
      </c>
      <c r="E124" s="122"/>
      <c r="F124" s="174"/>
      <c r="G124" s="174"/>
      <c r="H124" s="122"/>
      <c r="I124" s="122"/>
      <c r="J124" s="170"/>
      <c r="K124" s="170"/>
      <c r="L124" s="19"/>
    </row>
    <row r="125" spans="2:12" s="21" customFormat="1" ht="14.5" customHeight="1" x14ac:dyDescent="0.2">
      <c r="B125" s="418"/>
      <c r="C125" s="117"/>
      <c r="D125" s="117" t="s">
        <v>840</v>
      </c>
      <c r="E125" s="122"/>
      <c r="F125" s="174"/>
      <c r="G125" s="174"/>
      <c r="H125" s="122"/>
      <c r="I125" s="122"/>
      <c r="J125" s="170"/>
      <c r="K125" s="170"/>
      <c r="L125" s="19"/>
    </row>
    <row r="126" spans="2:12" s="21" customFormat="1" ht="14.5" customHeight="1" x14ac:dyDescent="0.2">
      <c r="B126" s="418"/>
      <c r="C126" s="117"/>
      <c r="D126" s="117" t="s">
        <v>841</v>
      </c>
      <c r="E126" s="122"/>
      <c r="F126" s="174"/>
      <c r="G126" s="174"/>
      <c r="H126" s="122"/>
      <c r="I126" s="122"/>
      <c r="J126" s="170"/>
      <c r="K126" s="170"/>
      <c r="L126" s="19"/>
    </row>
    <row r="127" spans="2:12" ht="14.5" customHeight="1" x14ac:dyDescent="0.2">
      <c r="B127" s="418"/>
      <c r="C127" s="120"/>
      <c r="D127" s="120" t="s">
        <v>275</v>
      </c>
      <c r="E127" s="149"/>
      <c r="F127" s="149"/>
      <c r="G127" s="150"/>
      <c r="H127" s="151"/>
      <c r="I127" s="152"/>
      <c r="J127" s="152"/>
      <c r="K127" s="152"/>
      <c r="L127" s="2"/>
    </row>
    <row r="128" spans="2:12" s="21" customFormat="1" ht="14.5" customHeight="1" x14ac:dyDescent="0.2">
      <c r="B128" s="419"/>
      <c r="C128" s="127"/>
      <c r="D128" s="127" t="s">
        <v>964</v>
      </c>
      <c r="E128" s="124"/>
      <c r="F128" s="176"/>
      <c r="G128" s="176"/>
      <c r="H128" s="124"/>
      <c r="I128" s="124"/>
      <c r="J128" s="190"/>
      <c r="K128" s="190"/>
      <c r="L128" s="19"/>
    </row>
    <row r="129" spans="2:12" ht="14.5" customHeight="1" x14ac:dyDescent="0.2">
      <c r="B129" s="422" t="s">
        <v>45</v>
      </c>
      <c r="C129" s="117"/>
      <c r="D129" s="117" t="s">
        <v>175</v>
      </c>
      <c r="E129" s="170"/>
      <c r="F129" s="170"/>
      <c r="G129" s="122"/>
      <c r="H129" s="122"/>
      <c r="I129" s="122"/>
      <c r="J129" s="122"/>
      <c r="K129" s="122"/>
      <c r="L129" s="2"/>
    </row>
    <row r="130" spans="2:12" ht="14.5" customHeight="1" x14ac:dyDescent="0.2">
      <c r="B130" s="422"/>
      <c r="C130" s="117" t="s">
        <v>401</v>
      </c>
      <c r="D130" s="117" t="s">
        <v>288</v>
      </c>
      <c r="E130" s="170"/>
      <c r="F130" s="170"/>
      <c r="G130" s="122"/>
      <c r="H130" s="122"/>
      <c r="I130" s="122"/>
      <c r="J130" s="122"/>
      <c r="K130" s="122"/>
      <c r="L130" s="2"/>
    </row>
    <row r="131" spans="2:12" ht="14.5" customHeight="1" x14ac:dyDescent="0.2">
      <c r="B131" s="422"/>
      <c r="C131" s="117" t="s">
        <v>402</v>
      </c>
      <c r="D131" s="117" t="s">
        <v>251</v>
      </c>
      <c r="E131" s="170"/>
      <c r="F131" s="170"/>
      <c r="G131" s="122"/>
      <c r="H131" s="122"/>
      <c r="I131" s="122"/>
      <c r="J131" s="122"/>
      <c r="K131" s="122"/>
      <c r="L131" s="2"/>
    </row>
    <row r="132" spans="2:12" ht="14.5" customHeight="1" x14ac:dyDescent="0.2">
      <c r="B132" s="422"/>
      <c r="C132" s="120"/>
      <c r="D132" s="120" t="s">
        <v>315</v>
      </c>
      <c r="E132" s="189"/>
      <c r="F132" s="189"/>
      <c r="G132" s="123"/>
      <c r="H132" s="123"/>
      <c r="I132" s="123"/>
      <c r="J132" s="123"/>
      <c r="K132" s="123"/>
      <c r="L132" s="2"/>
    </row>
    <row r="133" spans="2:12" ht="14.5" customHeight="1" x14ac:dyDescent="0.2">
      <c r="B133" s="422"/>
      <c r="C133" s="127"/>
      <c r="D133" s="127" t="s">
        <v>46</v>
      </c>
      <c r="E133" s="190"/>
      <c r="F133" s="190"/>
      <c r="G133" s="124"/>
      <c r="H133" s="124"/>
      <c r="I133" s="124"/>
      <c r="J133" s="124"/>
      <c r="K133" s="124"/>
      <c r="L133" s="2"/>
    </row>
    <row r="134" spans="2:12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74"/>
      <c r="H134" s="122"/>
      <c r="I134" s="122"/>
      <c r="J134" s="170"/>
      <c r="K134" s="170"/>
      <c r="L134" s="19"/>
    </row>
    <row r="135" spans="2:12" s="21" customFormat="1" ht="14.5" customHeight="1" x14ac:dyDescent="0.2">
      <c r="B135" s="418"/>
      <c r="C135" s="117"/>
      <c r="D135" s="117" t="s">
        <v>526</v>
      </c>
      <c r="E135" s="122"/>
      <c r="F135" s="174"/>
      <c r="G135" s="174"/>
      <c r="H135" s="122"/>
      <c r="I135" s="122"/>
      <c r="J135" s="170"/>
      <c r="K135" s="170"/>
      <c r="L135" s="19"/>
    </row>
    <row r="136" spans="2:12" s="21" customFormat="1" ht="14.5" customHeight="1" x14ac:dyDescent="0.2">
      <c r="B136" s="418"/>
      <c r="C136" s="117"/>
      <c r="D136" s="117" t="s">
        <v>616</v>
      </c>
      <c r="E136" s="122"/>
      <c r="F136" s="174"/>
      <c r="G136" s="174"/>
      <c r="H136" s="122"/>
      <c r="I136" s="122"/>
      <c r="J136" s="170"/>
      <c r="K136" s="170"/>
      <c r="L136" s="19"/>
    </row>
    <row r="137" spans="2:12" s="21" customFormat="1" ht="14.5" customHeight="1" x14ac:dyDescent="0.2">
      <c r="B137" s="418"/>
      <c r="C137" s="117"/>
      <c r="D137" s="117" t="s">
        <v>499</v>
      </c>
      <c r="E137" s="122"/>
      <c r="F137" s="174"/>
      <c r="G137" s="174"/>
      <c r="H137" s="122"/>
      <c r="I137" s="122"/>
      <c r="J137" s="170"/>
      <c r="K137" s="170"/>
      <c r="L137" s="19"/>
    </row>
    <row r="138" spans="2:12" s="21" customFormat="1" ht="14.5" customHeight="1" x14ac:dyDescent="0.2">
      <c r="B138" s="418"/>
      <c r="C138" s="117"/>
      <c r="D138" s="117" t="s">
        <v>527</v>
      </c>
      <c r="E138" s="122"/>
      <c r="F138" s="174"/>
      <c r="G138" s="174"/>
      <c r="H138" s="122"/>
      <c r="I138" s="122"/>
      <c r="J138" s="170"/>
      <c r="K138" s="170"/>
      <c r="L138" s="19"/>
    </row>
    <row r="139" spans="2:12" s="21" customFormat="1" ht="14.5" customHeight="1" x14ac:dyDescent="0.2">
      <c r="B139" s="418"/>
      <c r="C139" s="117"/>
      <c r="D139" s="117" t="s">
        <v>528</v>
      </c>
      <c r="E139" s="122"/>
      <c r="F139" s="174"/>
      <c r="G139" s="174"/>
      <c r="H139" s="122"/>
      <c r="I139" s="122"/>
      <c r="J139" s="170"/>
      <c r="K139" s="170"/>
      <c r="L139" s="19"/>
    </row>
    <row r="140" spans="2:12" s="21" customFormat="1" ht="14.5" customHeight="1" x14ac:dyDescent="0.2">
      <c r="B140" s="418"/>
      <c r="C140" s="117"/>
      <c r="D140" s="117" t="s">
        <v>789</v>
      </c>
      <c r="E140" s="122"/>
      <c r="F140" s="174"/>
      <c r="G140" s="174"/>
      <c r="H140" s="122"/>
      <c r="I140" s="122"/>
      <c r="J140" s="170"/>
      <c r="K140" s="170"/>
      <c r="L140" s="19"/>
    </row>
    <row r="141" spans="2:12" s="21" customFormat="1" ht="14.5" customHeight="1" x14ac:dyDescent="0.2">
      <c r="B141" s="418"/>
      <c r="C141" s="117"/>
      <c r="D141" s="117" t="s">
        <v>835</v>
      </c>
      <c r="E141" s="122"/>
      <c r="F141" s="174"/>
      <c r="G141" s="174"/>
      <c r="H141" s="122"/>
      <c r="I141" s="122"/>
      <c r="J141" s="170"/>
      <c r="K141" s="170"/>
      <c r="L141" s="19"/>
    </row>
    <row r="142" spans="2:12" s="21" customFormat="1" ht="14.5" customHeight="1" x14ac:dyDescent="0.2">
      <c r="B142" s="418"/>
      <c r="C142" s="117"/>
      <c r="D142" s="117" t="s">
        <v>529</v>
      </c>
      <c r="E142" s="122"/>
      <c r="F142" s="174"/>
      <c r="G142" s="174"/>
      <c r="H142" s="122"/>
      <c r="I142" s="122"/>
      <c r="J142" s="170"/>
      <c r="K142" s="170"/>
      <c r="L142" s="19"/>
    </row>
    <row r="143" spans="2:12" s="21" customFormat="1" ht="14.5" customHeight="1" x14ac:dyDescent="0.2">
      <c r="B143" s="418"/>
      <c r="C143" s="117"/>
      <c r="D143" s="117" t="s">
        <v>530</v>
      </c>
      <c r="E143" s="122"/>
      <c r="F143" s="174"/>
      <c r="G143" s="174"/>
      <c r="H143" s="122"/>
      <c r="I143" s="122"/>
      <c r="J143" s="170"/>
      <c r="K143" s="170"/>
      <c r="L143" s="19"/>
    </row>
    <row r="144" spans="2:12" s="21" customFormat="1" ht="14.5" customHeight="1" x14ac:dyDescent="0.2">
      <c r="B144" s="418"/>
      <c r="C144" s="117"/>
      <c r="D144" s="117" t="s">
        <v>531</v>
      </c>
      <c r="E144" s="122"/>
      <c r="F144" s="174"/>
      <c r="G144" s="174"/>
      <c r="H144" s="122"/>
      <c r="I144" s="122"/>
      <c r="J144" s="170"/>
      <c r="K144" s="170"/>
      <c r="L144" s="19"/>
    </row>
    <row r="145" spans="2:12" s="21" customFormat="1" ht="14.5" customHeight="1" x14ac:dyDescent="0.2">
      <c r="B145" s="418"/>
      <c r="C145" s="119"/>
      <c r="D145" s="119" t="s">
        <v>74</v>
      </c>
      <c r="E145" s="123"/>
      <c r="F145" s="175"/>
      <c r="G145" s="175"/>
      <c r="H145" s="123"/>
      <c r="I145" s="123"/>
      <c r="J145" s="189"/>
      <c r="K145" s="189"/>
      <c r="L145" s="19"/>
    </row>
    <row r="146" spans="2:12" s="21" customFormat="1" ht="14.5" customHeight="1" x14ac:dyDescent="0.2">
      <c r="B146" s="419"/>
      <c r="C146" s="127"/>
      <c r="D146" s="127" t="s">
        <v>48</v>
      </c>
      <c r="E146" s="124"/>
      <c r="F146" s="176"/>
      <c r="G146" s="176"/>
      <c r="H146" s="124"/>
      <c r="I146" s="124"/>
      <c r="J146" s="190"/>
      <c r="K146" s="190"/>
      <c r="L146" s="19"/>
    </row>
    <row r="147" spans="2:12" ht="14.5" customHeight="1" x14ac:dyDescent="0.2">
      <c r="B147" s="127"/>
      <c r="C147" s="121"/>
      <c r="D147" s="121" t="s">
        <v>49</v>
      </c>
      <c r="E147" s="213"/>
      <c r="F147" s="213"/>
      <c r="G147" s="177"/>
      <c r="H147" s="177"/>
      <c r="I147" s="157"/>
      <c r="J147" s="157"/>
      <c r="K147" s="157"/>
      <c r="L147" s="2"/>
    </row>
    <row r="148" spans="2:12" ht="14.5" customHeight="1" x14ac:dyDescent="0.2"/>
    <row r="149" spans="2:12" ht="14.5" customHeight="1" x14ac:dyDescent="0.2"/>
    <row r="150" spans="2:12" ht="14.5" customHeight="1" x14ac:dyDescent="0.2"/>
    <row r="153" spans="2:12" ht="14.5" customHeight="1" x14ac:dyDescent="0.2">
      <c r="B153" s="4" t="s">
        <v>436</v>
      </c>
      <c r="C153" s="5"/>
      <c r="D153" s="5"/>
      <c r="E153" s="33"/>
      <c r="F153" s="33"/>
    </row>
    <row r="154" spans="2:12" ht="14.5" customHeight="1" x14ac:dyDescent="0.2">
      <c r="B154" s="8"/>
      <c r="C154" s="8"/>
      <c r="D154" s="8"/>
      <c r="E154" s="35"/>
      <c r="F154" s="35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431</v>
      </c>
      <c r="F155" s="385"/>
      <c r="G155" s="417" t="s">
        <v>56</v>
      </c>
      <c r="H155" s="394" t="s">
        <v>3</v>
      </c>
      <c r="I155" s="398" t="s">
        <v>432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74"/>
      <c r="H157" s="122"/>
      <c r="I157" s="122"/>
      <c r="J157" s="170"/>
      <c r="K157" s="170"/>
    </row>
    <row r="158" spans="2:12" ht="14.5" customHeight="1" x14ac:dyDescent="0.2">
      <c r="B158" s="418"/>
      <c r="C158" s="117"/>
      <c r="D158" s="117" t="s">
        <v>800</v>
      </c>
      <c r="E158" s="122"/>
      <c r="F158" s="174"/>
      <c r="G158" s="174"/>
      <c r="H158" s="122"/>
      <c r="I158" s="122"/>
      <c r="J158" s="170"/>
      <c r="K158" s="170"/>
    </row>
    <row r="159" spans="2:12" ht="14.5" customHeight="1" x14ac:dyDescent="0.2">
      <c r="B159" s="418"/>
      <c r="C159" s="117"/>
      <c r="D159" s="117" t="s">
        <v>532</v>
      </c>
      <c r="E159" s="122"/>
      <c r="F159" s="174"/>
      <c r="G159" s="174"/>
      <c r="H159" s="122"/>
      <c r="I159" s="122"/>
      <c r="J159" s="170"/>
      <c r="K159" s="170"/>
    </row>
    <row r="160" spans="2:12" ht="14.5" customHeight="1" x14ac:dyDescent="0.2">
      <c r="B160" s="418"/>
      <c r="C160" s="117"/>
      <c r="D160" s="117" t="s">
        <v>535</v>
      </c>
      <c r="E160" s="122"/>
      <c r="F160" s="174"/>
      <c r="G160" s="174"/>
      <c r="H160" s="122"/>
      <c r="I160" s="122"/>
      <c r="J160" s="170"/>
      <c r="K160" s="170"/>
    </row>
    <row r="161" spans="2:11" ht="14.5" customHeight="1" x14ac:dyDescent="0.2">
      <c r="B161" s="418"/>
      <c r="C161" s="117"/>
      <c r="D161" s="117" t="s">
        <v>533</v>
      </c>
      <c r="E161" s="122"/>
      <c r="F161" s="174"/>
      <c r="G161" s="174"/>
      <c r="H161" s="122"/>
      <c r="I161" s="122"/>
      <c r="J161" s="170"/>
      <c r="K161" s="170"/>
    </row>
    <row r="162" spans="2:11" ht="14.5" customHeight="1" x14ac:dyDescent="0.2">
      <c r="B162" s="418"/>
      <c r="C162" s="117"/>
      <c r="D162" s="117" t="s">
        <v>534</v>
      </c>
      <c r="E162" s="122"/>
      <c r="F162" s="174"/>
      <c r="G162" s="174"/>
      <c r="H162" s="122"/>
      <c r="I162" s="122"/>
      <c r="J162" s="170"/>
      <c r="K162" s="170"/>
    </row>
    <row r="163" spans="2:11" ht="14.5" customHeight="1" x14ac:dyDescent="0.2">
      <c r="B163" s="418"/>
      <c r="C163" s="119"/>
      <c r="D163" s="119" t="s">
        <v>894</v>
      </c>
      <c r="E163" s="123"/>
      <c r="F163" s="175"/>
      <c r="G163" s="175"/>
      <c r="H163" s="123"/>
      <c r="I163" s="123"/>
      <c r="J163" s="189"/>
      <c r="K163" s="189"/>
    </row>
    <row r="164" spans="2:11" ht="14.5" customHeight="1" x14ac:dyDescent="0.2">
      <c r="B164" s="418"/>
      <c r="C164" s="119"/>
      <c r="D164" s="119" t="s">
        <v>154</v>
      </c>
      <c r="E164" s="123"/>
      <c r="F164" s="175"/>
      <c r="G164" s="175"/>
      <c r="H164" s="123"/>
      <c r="I164" s="123"/>
      <c r="J164" s="189"/>
      <c r="K164" s="189"/>
    </row>
    <row r="165" spans="2:11" ht="14.5" customHeight="1" x14ac:dyDescent="0.2">
      <c r="B165" s="419"/>
      <c r="C165" s="127"/>
      <c r="D165" s="127" t="s">
        <v>54</v>
      </c>
      <c r="E165" s="124"/>
      <c r="F165" s="176"/>
      <c r="G165" s="176"/>
      <c r="H165" s="124"/>
      <c r="I165" s="124"/>
      <c r="J165" s="190"/>
      <c r="K165" s="190"/>
    </row>
    <row r="166" spans="2:11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74"/>
      <c r="H166" s="122"/>
      <c r="I166" s="122"/>
      <c r="J166" s="170"/>
      <c r="K166" s="170"/>
    </row>
    <row r="167" spans="2:11" ht="14.5" customHeight="1" x14ac:dyDescent="0.2">
      <c r="B167" s="418"/>
      <c r="C167" s="117"/>
      <c r="D167" s="117" t="s">
        <v>801</v>
      </c>
      <c r="E167" s="122"/>
      <c r="F167" s="174"/>
      <c r="G167" s="174"/>
      <c r="H167" s="122"/>
      <c r="I167" s="122"/>
      <c r="J167" s="170"/>
      <c r="K167" s="170"/>
    </row>
    <row r="168" spans="2:11" ht="14.5" customHeight="1" x14ac:dyDescent="0.2">
      <c r="B168" s="418"/>
      <c r="C168" s="117"/>
      <c r="D168" s="117" t="s">
        <v>541</v>
      </c>
      <c r="E168" s="122"/>
      <c r="F168" s="174"/>
      <c r="G168" s="174"/>
      <c r="H168" s="122"/>
      <c r="I168" s="122"/>
      <c r="J168" s="170"/>
      <c r="K168" s="170"/>
    </row>
    <row r="169" spans="2:11" ht="14.5" customHeight="1" x14ac:dyDescent="0.2">
      <c r="B169" s="418"/>
      <c r="C169" s="117"/>
      <c r="D169" s="117" t="s">
        <v>538</v>
      </c>
      <c r="E169" s="122"/>
      <c r="F169" s="174"/>
      <c r="G169" s="174"/>
      <c r="H169" s="122"/>
      <c r="I169" s="122"/>
      <c r="J169" s="170"/>
      <c r="K169" s="170"/>
    </row>
    <row r="170" spans="2:11" ht="14.5" customHeight="1" x14ac:dyDescent="0.2">
      <c r="B170" s="418"/>
      <c r="C170" s="117"/>
      <c r="D170" s="117" t="s">
        <v>539</v>
      </c>
      <c r="E170" s="122"/>
      <c r="F170" s="174"/>
      <c r="G170" s="174"/>
      <c r="H170" s="122"/>
      <c r="I170" s="122"/>
      <c r="J170" s="170"/>
      <c r="K170" s="170"/>
    </row>
    <row r="171" spans="2:11" ht="14.5" customHeight="1" x14ac:dyDescent="0.2">
      <c r="B171" s="418"/>
      <c r="C171" s="117"/>
      <c r="D171" s="117" t="s">
        <v>537</v>
      </c>
      <c r="E171" s="122"/>
      <c r="F171" s="174"/>
      <c r="G171" s="174"/>
      <c r="H171" s="122"/>
      <c r="I171" s="122"/>
      <c r="J171" s="170"/>
      <c r="K171" s="170"/>
    </row>
    <row r="172" spans="2:11" ht="14.5" customHeight="1" x14ac:dyDescent="0.2">
      <c r="B172" s="418"/>
      <c r="C172" s="117"/>
      <c r="D172" s="117" t="s">
        <v>540</v>
      </c>
      <c r="E172" s="122"/>
      <c r="F172" s="174"/>
      <c r="G172" s="174"/>
      <c r="H172" s="122"/>
      <c r="I172" s="122"/>
      <c r="J172" s="170"/>
      <c r="K172" s="170"/>
    </row>
    <row r="173" spans="2:11" ht="14.5" customHeight="1" x14ac:dyDescent="0.2">
      <c r="B173" s="418"/>
      <c r="C173" s="119"/>
      <c r="D173" s="119" t="s">
        <v>680</v>
      </c>
      <c r="E173" s="123"/>
      <c r="F173" s="175"/>
      <c r="G173" s="175"/>
      <c r="H173" s="123"/>
      <c r="I173" s="123"/>
      <c r="J173" s="189"/>
      <c r="K173" s="189"/>
    </row>
    <row r="174" spans="2:11" ht="14.5" customHeight="1" x14ac:dyDescent="0.2">
      <c r="B174" s="418"/>
      <c r="C174" s="117"/>
      <c r="D174" s="117" t="s">
        <v>617</v>
      </c>
      <c r="E174" s="122"/>
      <c r="F174" s="174"/>
      <c r="G174" s="174"/>
      <c r="H174" s="122"/>
      <c r="I174" s="122"/>
      <c r="J174" s="170"/>
      <c r="K174" s="170"/>
    </row>
    <row r="175" spans="2:11" ht="14.5" customHeight="1" x14ac:dyDescent="0.2">
      <c r="B175" s="418"/>
      <c r="C175" s="117"/>
      <c r="D175" s="117" t="s">
        <v>802</v>
      </c>
      <c r="E175" s="122"/>
      <c r="F175" s="174"/>
      <c r="G175" s="174"/>
      <c r="H175" s="122"/>
      <c r="I175" s="122"/>
      <c r="J175" s="170"/>
      <c r="K175" s="170"/>
    </row>
    <row r="176" spans="2:11" ht="14.5" customHeight="1" x14ac:dyDescent="0.2">
      <c r="B176" s="418"/>
      <c r="C176" s="117"/>
      <c r="D176" s="117" t="s">
        <v>542</v>
      </c>
      <c r="E176" s="122"/>
      <c r="F176" s="174"/>
      <c r="G176" s="174"/>
      <c r="H176" s="122"/>
      <c r="I176" s="122"/>
      <c r="J176" s="170"/>
      <c r="K176" s="170"/>
    </row>
    <row r="177" spans="2:11" ht="14.5" customHeight="1" x14ac:dyDescent="0.2">
      <c r="B177" s="418"/>
      <c r="C177" s="117"/>
      <c r="D177" s="117" t="s">
        <v>543</v>
      </c>
      <c r="E177" s="122"/>
      <c r="F177" s="174"/>
      <c r="G177" s="174"/>
      <c r="H177" s="122"/>
      <c r="I177" s="122"/>
      <c r="J177" s="170"/>
      <c r="K177" s="170"/>
    </row>
    <row r="178" spans="2:11" ht="14.5" customHeight="1" x14ac:dyDescent="0.2">
      <c r="B178" s="418"/>
      <c r="C178" s="117"/>
      <c r="D178" s="117" t="s">
        <v>618</v>
      </c>
      <c r="E178" s="122"/>
      <c r="F178" s="174"/>
      <c r="G178" s="174"/>
      <c r="H178" s="122"/>
      <c r="I178" s="122"/>
      <c r="J178" s="170"/>
      <c r="K178" s="170"/>
    </row>
    <row r="179" spans="2:11" ht="14.5" customHeight="1" x14ac:dyDescent="0.2">
      <c r="B179" s="418"/>
      <c r="C179" s="119"/>
      <c r="D179" s="119" t="s">
        <v>687</v>
      </c>
      <c r="E179" s="123"/>
      <c r="F179" s="175"/>
      <c r="G179" s="175"/>
      <c r="H179" s="123"/>
      <c r="I179" s="123"/>
      <c r="J179" s="189"/>
      <c r="K179" s="189"/>
    </row>
    <row r="180" spans="2:11" ht="14.5" customHeight="1" x14ac:dyDescent="0.2">
      <c r="B180" s="418"/>
      <c r="C180" s="119"/>
      <c r="D180" s="119" t="s">
        <v>95</v>
      </c>
      <c r="E180" s="123"/>
      <c r="F180" s="175"/>
      <c r="G180" s="175"/>
      <c r="H180" s="123"/>
      <c r="I180" s="123"/>
      <c r="J180" s="189"/>
      <c r="K180" s="189"/>
    </row>
    <row r="181" spans="2:11" ht="14.5" customHeight="1" x14ac:dyDescent="0.2">
      <c r="B181" s="419"/>
      <c r="C181" s="127"/>
      <c r="D181" s="127" t="s">
        <v>556</v>
      </c>
      <c r="E181" s="124"/>
      <c r="F181" s="176"/>
      <c r="G181" s="176"/>
      <c r="H181" s="124"/>
      <c r="I181" s="124"/>
      <c r="J181" s="190"/>
      <c r="K181" s="190"/>
    </row>
    <row r="182" spans="2:11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74"/>
      <c r="H182" s="122"/>
      <c r="I182" s="122"/>
      <c r="J182" s="170"/>
      <c r="K182" s="170"/>
    </row>
    <row r="183" spans="2:11" ht="14.5" customHeight="1" x14ac:dyDescent="0.2">
      <c r="B183" s="418"/>
      <c r="C183" s="117"/>
      <c r="D183" s="117" t="s">
        <v>560</v>
      </c>
      <c r="E183" s="122"/>
      <c r="F183" s="174"/>
      <c r="G183" s="174"/>
      <c r="H183" s="122"/>
      <c r="I183" s="122"/>
      <c r="J183" s="170"/>
      <c r="K183" s="170"/>
    </row>
    <row r="184" spans="2:11" ht="14.5" customHeight="1" x14ac:dyDescent="0.2">
      <c r="B184" s="418"/>
      <c r="C184" s="117"/>
      <c r="D184" s="117" t="s">
        <v>562</v>
      </c>
      <c r="E184" s="122"/>
      <c r="F184" s="174"/>
      <c r="G184" s="174"/>
      <c r="H184" s="122"/>
      <c r="I184" s="122"/>
      <c r="J184" s="170"/>
      <c r="K184" s="170"/>
    </row>
    <row r="185" spans="2:11" ht="14.5" customHeight="1" x14ac:dyDescent="0.2">
      <c r="B185" s="418"/>
      <c r="C185" s="117"/>
      <c r="D185" s="117" t="s">
        <v>561</v>
      </c>
      <c r="E185" s="122"/>
      <c r="F185" s="174"/>
      <c r="G185" s="174"/>
      <c r="H185" s="122"/>
      <c r="I185" s="122"/>
      <c r="J185" s="170"/>
      <c r="K185" s="170"/>
    </row>
    <row r="186" spans="2:11" ht="14.5" customHeight="1" x14ac:dyDescent="0.2">
      <c r="B186" s="418"/>
      <c r="C186" s="117"/>
      <c r="D186" s="117" t="s">
        <v>803</v>
      </c>
      <c r="E186" s="122"/>
      <c r="F186" s="174"/>
      <c r="G186" s="174"/>
      <c r="H186" s="122"/>
      <c r="I186" s="122"/>
      <c r="J186" s="170"/>
      <c r="K186" s="170"/>
    </row>
    <row r="187" spans="2:11" ht="14.5" customHeight="1" x14ac:dyDescent="0.2">
      <c r="B187" s="418"/>
      <c r="C187" s="117"/>
      <c r="D187" s="117" t="s">
        <v>790</v>
      </c>
      <c r="E187" s="122"/>
      <c r="F187" s="174"/>
      <c r="G187" s="174"/>
      <c r="H187" s="122"/>
      <c r="I187" s="122"/>
      <c r="J187" s="170"/>
      <c r="K187" s="170"/>
    </row>
    <row r="188" spans="2:11" ht="14.5" customHeight="1" x14ac:dyDescent="0.2">
      <c r="B188" s="418"/>
      <c r="C188" s="117"/>
      <c r="D188" s="117" t="s">
        <v>559</v>
      </c>
      <c r="E188" s="122"/>
      <c r="F188" s="174"/>
      <c r="G188" s="174"/>
      <c r="H188" s="122"/>
      <c r="I188" s="122"/>
      <c r="J188" s="170"/>
      <c r="K188" s="170"/>
    </row>
    <row r="189" spans="2:11" ht="14.5" customHeight="1" x14ac:dyDescent="0.2">
      <c r="B189" s="419"/>
      <c r="C189" s="119"/>
      <c r="D189" s="119" t="s">
        <v>719</v>
      </c>
      <c r="E189" s="123"/>
      <c r="F189" s="175"/>
      <c r="G189" s="175"/>
      <c r="H189" s="123"/>
      <c r="I189" s="123"/>
      <c r="J189" s="189"/>
      <c r="K189" s="189"/>
    </row>
    <row r="190" spans="2:11" ht="14.5" customHeight="1" x14ac:dyDescent="0.2">
      <c r="B190" s="127"/>
      <c r="C190" s="127"/>
      <c r="D190" s="127" t="s">
        <v>619</v>
      </c>
      <c r="E190" s="124"/>
      <c r="F190" s="176"/>
      <c r="G190" s="176"/>
      <c r="H190" s="124"/>
      <c r="I190" s="124"/>
      <c r="J190" s="190"/>
      <c r="K190" s="190"/>
    </row>
    <row r="191" spans="2:11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74"/>
      <c r="H191" s="122"/>
      <c r="I191" s="122"/>
      <c r="J191" s="170"/>
      <c r="K191" s="170"/>
    </row>
    <row r="192" spans="2:11" ht="14.5" customHeight="1" x14ac:dyDescent="0.2">
      <c r="B192" s="418"/>
      <c r="C192" s="117"/>
      <c r="D192" s="117" t="s">
        <v>563</v>
      </c>
      <c r="E192" s="122"/>
      <c r="F192" s="174"/>
      <c r="G192" s="174"/>
      <c r="H192" s="122"/>
      <c r="I192" s="122"/>
      <c r="J192" s="170"/>
      <c r="K192" s="170"/>
    </row>
    <row r="193" spans="2:11" ht="14.5" customHeight="1" x14ac:dyDescent="0.2">
      <c r="B193" s="418"/>
      <c r="C193" s="117"/>
      <c r="D193" s="117" t="s">
        <v>804</v>
      </c>
      <c r="E193" s="122"/>
      <c r="F193" s="174"/>
      <c r="G193" s="174"/>
      <c r="H193" s="122"/>
      <c r="I193" s="122"/>
      <c r="J193" s="170"/>
      <c r="K193" s="170"/>
    </row>
    <row r="194" spans="2:11" ht="14.5" customHeight="1" x14ac:dyDescent="0.2">
      <c r="B194" s="418"/>
      <c r="C194" s="117"/>
      <c r="D194" s="117" t="s">
        <v>565</v>
      </c>
      <c r="E194" s="122"/>
      <c r="F194" s="174"/>
      <c r="G194" s="174"/>
      <c r="H194" s="122"/>
      <c r="I194" s="122"/>
      <c r="J194" s="170"/>
      <c r="K194" s="170"/>
    </row>
    <row r="195" spans="2:11" ht="14.5" customHeight="1" x14ac:dyDescent="0.2">
      <c r="B195" s="418"/>
      <c r="C195" s="117"/>
      <c r="D195" s="117" t="s">
        <v>843</v>
      </c>
      <c r="E195" s="122"/>
      <c r="F195" s="174"/>
      <c r="G195" s="174"/>
      <c r="H195" s="122"/>
      <c r="I195" s="122"/>
      <c r="J195" s="170"/>
      <c r="K195" s="170"/>
    </row>
    <row r="196" spans="2:11" ht="14.5" customHeight="1" x14ac:dyDescent="0.2">
      <c r="B196" s="418"/>
      <c r="C196" s="117"/>
      <c r="D196" s="117" t="s">
        <v>564</v>
      </c>
      <c r="E196" s="122"/>
      <c r="F196" s="174"/>
      <c r="G196" s="174"/>
      <c r="H196" s="122"/>
      <c r="I196" s="122"/>
      <c r="J196" s="170"/>
      <c r="K196" s="170"/>
    </row>
    <row r="197" spans="2:11" ht="14.5" customHeight="1" x14ac:dyDescent="0.2">
      <c r="B197" s="418"/>
      <c r="C197" s="119"/>
      <c r="D197" s="119" t="s">
        <v>726</v>
      </c>
      <c r="E197" s="123"/>
      <c r="F197" s="175"/>
      <c r="G197" s="175"/>
      <c r="H197" s="123"/>
      <c r="I197" s="123"/>
      <c r="J197" s="189"/>
      <c r="K197" s="189"/>
    </row>
    <row r="198" spans="2:11" ht="14.5" customHeight="1" x14ac:dyDescent="0.2">
      <c r="B198" s="418"/>
      <c r="C198" s="119"/>
      <c r="D198" s="119" t="s">
        <v>155</v>
      </c>
      <c r="E198" s="123"/>
      <c r="F198" s="175"/>
      <c r="G198" s="175"/>
      <c r="H198" s="123"/>
      <c r="I198" s="123"/>
      <c r="J198" s="189"/>
      <c r="K198" s="189"/>
    </row>
    <row r="199" spans="2:11" ht="14.5" customHeight="1" x14ac:dyDescent="0.2">
      <c r="B199" s="419"/>
      <c r="C199" s="127"/>
      <c r="D199" s="127" t="s">
        <v>558</v>
      </c>
      <c r="E199" s="124"/>
      <c r="F199" s="176"/>
      <c r="G199" s="176"/>
      <c r="H199" s="124"/>
      <c r="I199" s="124"/>
      <c r="J199" s="190"/>
      <c r="K199" s="190"/>
    </row>
    <row r="200" spans="2:11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74"/>
      <c r="H200" s="122"/>
      <c r="I200" s="122"/>
      <c r="J200" s="170"/>
      <c r="K200" s="170"/>
    </row>
    <row r="201" spans="2:11" ht="14.5" customHeight="1" x14ac:dyDescent="0.2">
      <c r="B201" s="418"/>
      <c r="C201" s="117"/>
      <c r="D201" s="117" t="s">
        <v>900</v>
      </c>
      <c r="E201" s="122"/>
      <c r="F201" s="174"/>
      <c r="G201" s="174"/>
      <c r="H201" s="122"/>
      <c r="I201" s="122"/>
      <c r="J201" s="170"/>
      <c r="K201" s="170"/>
    </row>
    <row r="202" spans="2:11" ht="14.5" customHeight="1" x14ac:dyDescent="0.2">
      <c r="B202" s="418"/>
      <c r="C202" s="117"/>
      <c r="D202" s="117" t="s">
        <v>551</v>
      </c>
      <c r="E202" s="122"/>
      <c r="F202" s="174"/>
      <c r="G202" s="174"/>
      <c r="H202" s="122"/>
      <c r="I202" s="122"/>
      <c r="J202" s="170"/>
      <c r="K202" s="170"/>
    </row>
    <row r="203" spans="2:11" ht="14.5" customHeight="1" x14ac:dyDescent="0.2">
      <c r="B203" s="418"/>
      <c r="C203" s="117"/>
      <c r="D203" s="117" t="s">
        <v>548</v>
      </c>
      <c r="E203" s="122"/>
      <c r="F203" s="174"/>
      <c r="G203" s="174"/>
      <c r="H203" s="122"/>
      <c r="I203" s="122"/>
      <c r="J203" s="170"/>
      <c r="K203" s="170"/>
    </row>
    <row r="204" spans="2:11" ht="14.5" customHeight="1" x14ac:dyDescent="0.2">
      <c r="B204" s="418"/>
      <c r="C204" s="117"/>
      <c r="D204" s="117" t="s">
        <v>549</v>
      </c>
      <c r="E204" s="122"/>
      <c r="F204" s="174"/>
      <c r="G204" s="174"/>
      <c r="H204" s="122"/>
      <c r="I204" s="122"/>
      <c r="J204" s="170"/>
      <c r="K204" s="170"/>
    </row>
    <row r="205" spans="2:11" ht="14.5" customHeight="1" x14ac:dyDescent="0.2">
      <c r="B205" s="418"/>
      <c r="C205" s="119"/>
      <c r="D205" s="119" t="s">
        <v>708</v>
      </c>
      <c r="E205" s="123"/>
      <c r="F205" s="175"/>
      <c r="G205" s="175"/>
      <c r="H205" s="123"/>
      <c r="I205" s="123"/>
      <c r="J205" s="189"/>
      <c r="K205" s="189"/>
    </row>
    <row r="206" spans="2:11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74"/>
      <c r="H206" s="122"/>
      <c r="I206" s="122"/>
      <c r="J206" s="170"/>
      <c r="K206" s="170"/>
    </row>
    <row r="207" spans="2:11" ht="14.5" customHeight="1" x14ac:dyDescent="0.2">
      <c r="B207" s="418"/>
      <c r="C207" s="117"/>
      <c r="D207" s="117" t="s">
        <v>553</v>
      </c>
      <c r="E207" s="122"/>
      <c r="F207" s="174"/>
      <c r="G207" s="174"/>
      <c r="H207" s="122"/>
      <c r="I207" s="122"/>
      <c r="J207" s="170"/>
      <c r="K207" s="170"/>
    </row>
    <row r="208" spans="2:11" ht="14.5" customHeight="1" x14ac:dyDescent="0.2">
      <c r="B208" s="418"/>
      <c r="C208" s="117"/>
      <c r="D208" s="117" t="s">
        <v>552</v>
      </c>
      <c r="E208" s="122"/>
      <c r="F208" s="174"/>
      <c r="G208" s="174"/>
      <c r="H208" s="122"/>
      <c r="I208" s="122"/>
      <c r="J208" s="170"/>
      <c r="K208" s="170"/>
    </row>
    <row r="209" spans="2:11" ht="14.5" customHeight="1" x14ac:dyDescent="0.2">
      <c r="B209" s="418"/>
      <c r="C209" s="117"/>
      <c r="D209" s="117" t="s">
        <v>620</v>
      </c>
      <c r="E209" s="122"/>
      <c r="F209" s="174"/>
      <c r="G209" s="174"/>
      <c r="H209" s="122"/>
      <c r="I209" s="122"/>
      <c r="J209" s="170"/>
      <c r="K209" s="170"/>
    </row>
    <row r="210" spans="2:11" ht="14.5" customHeight="1" x14ac:dyDescent="0.2">
      <c r="B210" s="418"/>
      <c r="C210" s="117"/>
      <c r="D210" s="117" t="s">
        <v>216</v>
      </c>
      <c r="E210" s="122"/>
      <c r="F210" s="174"/>
      <c r="G210" s="174"/>
      <c r="H210" s="122"/>
      <c r="I210" s="122"/>
      <c r="J210" s="170"/>
      <c r="K210" s="170"/>
    </row>
    <row r="211" spans="2:11" ht="14.5" customHeight="1" x14ac:dyDescent="0.2">
      <c r="B211" s="418"/>
      <c r="C211" s="117"/>
      <c r="D211" s="117" t="s">
        <v>805</v>
      </c>
      <c r="E211" s="122"/>
      <c r="F211" s="174"/>
      <c r="G211" s="174"/>
      <c r="H211" s="122"/>
      <c r="I211" s="122"/>
      <c r="J211" s="170"/>
      <c r="K211" s="170"/>
    </row>
    <row r="212" spans="2:11" ht="14.5" customHeight="1" x14ac:dyDescent="0.2">
      <c r="B212" s="418"/>
      <c r="C212" s="117"/>
      <c r="D212" s="117" t="s">
        <v>844</v>
      </c>
      <c r="E212" s="122"/>
      <c r="F212" s="174"/>
      <c r="G212" s="174"/>
      <c r="H212" s="122"/>
      <c r="I212" s="122"/>
      <c r="J212" s="170"/>
      <c r="K212" s="170"/>
    </row>
    <row r="213" spans="2:11" ht="14.5" customHeight="1" x14ac:dyDescent="0.2">
      <c r="B213" s="418"/>
      <c r="C213" s="119"/>
      <c r="D213" s="119" t="s">
        <v>715</v>
      </c>
      <c r="E213" s="123"/>
      <c r="F213" s="175"/>
      <c r="G213" s="175"/>
      <c r="H213" s="123"/>
      <c r="I213" s="123"/>
      <c r="J213" s="189"/>
      <c r="K213" s="189"/>
    </row>
    <row r="214" spans="2:11" ht="14.5" customHeight="1" x14ac:dyDescent="0.2">
      <c r="B214" s="418"/>
      <c r="C214" s="119"/>
      <c r="D214" s="119" t="s">
        <v>74</v>
      </c>
      <c r="E214" s="123"/>
      <c r="F214" s="175"/>
      <c r="G214" s="175"/>
      <c r="H214" s="123"/>
      <c r="I214" s="123"/>
      <c r="J214" s="189"/>
      <c r="K214" s="189"/>
    </row>
    <row r="215" spans="2:11" ht="14.5" customHeight="1" x14ac:dyDescent="0.2">
      <c r="B215" s="419"/>
      <c r="C215" s="127"/>
      <c r="D215" s="127" t="s">
        <v>557</v>
      </c>
      <c r="E215" s="124"/>
      <c r="F215" s="176"/>
      <c r="G215" s="176"/>
      <c r="H215" s="124"/>
      <c r="I215" s="124"/>
      <c r="J215" s="190"/>
      <c r="K215" s="190"/>
    </row>
    <row r="216" spans="2:11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74"/>
      <c r="H216" s="122"/>
      <c r="I216" s="122"/>
      <c r="J216" s="170"/>
      <c r="K216" s="170"/>
    </row>
    <row r="217" spans="2:11" ht="14.5" customHeight="1" x14ac:dyDescent="0.2">
      <c r="B217" s="418"/>
      <c r="C217" s="117"/>
      <c r="D217" s="117" t="s">
        <v>624</v>
      </c>
      <c r="E217" s="122"/>
      <c r="F217" s="174"/>
      <c r="G217" s="174"/>
      <c r="H217" s="122"/>
      <c r="I217" s="122"/>
      <c r="J217" s="170"/>
      <c r="K217" s="170"/>
    </row>
    <row r="218" spans="2:11" ht="14.5" customHeight="1" x14ac:dyDescent="0.2">
      <c r="B218" s="418"/>
      <c r="C218" s="117"/>
      <c r="D218" s="117" t="s">
        <v>845</v>
      </c>
      <c r="E218" s="122"/>
      <c r="F218" s="174"/>
      <c r="G218" s="174"/>
      <c r="H218" s="122"/>
      <c r="I218" s="122"/>
      <c r="J218" s="170"/>
      <c r="K218" s="170"/>
    </row>
    <row r="219" spans="2:11" ht="14.5" customHeight="1" x14ac:dyDescent="0.2">
      <c r="B219" s="418"/>
      <c r="C219" s="119"/>
      <c r="D219" s="119" t="s">
        <v>730</v>
      </c>
      <c r="E219" s="123"/>
      <c r="F219" s="175"/>
      <c r="G219" s="175"/>
      <c r="H219" s="123"/>
      <c r="I219" s="123"/>
      <c r="J219" s="189"/>
      <c r="K219" s="189"/>
    </row>
    <row r="220" spans="2:11" ht="14.5" customHeight="1" x14ac:dyDescent="0.2">
      <c r="B220" s="419"/>
      <c r="C220" s="127"/>
      <c r="D220" s="127" t="s">
        <v>622</v>
      </c>
      <c r="E220" s="124"/>
      <c r="F220" s="176"/>
      <c r="G220" s="176"/>
      <c r="H220" s="124"/>
      <c r="I220" s="124"/>
      <c r="J220" s="190"/>
      <c r="K220" s="190"/>
    </row>
    <row r="221" spans="2:11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74"/>
      <c r="H221" s="122"/>
      <c r="I221" s="122"/>
      <c r="J221" s="170"/>
      <c r="K221" s="170"/>
    </row>
    <row r="222" spans="2:11" ht="14.5" customHeight="1" x14ac:dyDescent="0.2">
      <c r="B222" s="418"/>
      <c r="C222" s="117"/>
      <c r="D222" s="117" t="s">
        <v>627</v>
      </c>
      <c r="E222" s="122"/>
      <c r="F222" s="174"/>
      <c r="G222" s="174"/>
      <c r="H222" s="122"/>
      <c r="I222" s="122"/>
      <c r="J222" s="170"/>
      <c r="K222" s="170"/>
    </row>
    <row r="223" spans="2:11" ht="14.5" customHeight="1" x14ac:dyDescent="0.2">
      <c r="B223" s="418"/>
      <c r="C223" s="117"/>
      <c r="D223" s="117" t="s">
        <v>846</v>
      </c>
      <c r="E223" s="122"/>
      <c r="F223" s="174"/>
      <c r="G223" s="174"/>
      <c r="H223" s="122"/>
      <c r="I223" s="122"/>
      <c r="J223" s="170"/>
      <c r="K223" s="170"/>
    </row>
    <row r="224" spans="2:11" ht="14.5" customHeight="1" x14ac:dyDescent="0.2">
      <c r="B224" s="418"/>
      <c r="C224" s="119"/>
      <c r="D224" s="119" t="s">
        <v>732</v>
      </c>
      <c r="E224" s="123"/>
      <c r="F224" s="175"/>
      <c r="G224" s="175"/>
      <c r="H224" s="123"/>
      <c r="I224" s="123"/>
      <c r="J224" s="189"/>
      <c r="K224" s="189"/>
    </row>
    <row r="225" spans="2:11" ht="14.5" customHeight="1" x14ac:dyDescent="0.2">
      <c r="B225" s="419"/>
      <c r="C225" s="127"/>
      <c r="D225" s="127" t="s">
        <v>628</v>
      </c>
      <c r="E225" s="124"/>
      <c r="F225" s="176"/>
      <c r="G225" s="176"/>
      <c r="H225" s="124"/>
      <c r="I225" s="124"/>
      <c r="J225" s="190"/>
      <c r="K225" s="190"/>
    </row>
    <row r="226" spans="2:11" ht="14.5" customHeight="1" x14ac:dyDescent="0.2">
      <c r="B226" s="127"/>
      <c r="C226" s="127"/>
      <c r="D226" s="127" t="s">
        <v>629</v>
      </c>
      <c r="E226" s="124"/>
      <c r="F226" s="176"/>
      <c r="G226" s="176"/>
      <c r="H226" s="124"/>
      <c r="I226" s="124"/>
      <c r="J226" s="190"/>
      <c r="K226" s="190"/>
    </row>
    <row r="227" spans="2:11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74"/>
      <c r="H227" s="122"/>
      <c r="I227" s="122"/>
      <c r="J227" s="170"/>
      <c r="K227" s="170"/>
    </row>
    <row r="228" spans="2:11" ht="14.5" customHeight="1" x14ac:dyDescent="0.2">
      <c r="B228" s="418"/>
      <c r="C228" s="117"/>
      <c r="D228" s="117" t="s">
        <v>544</v>
      </c>
      <c r="E228" s="122"/>
      <c r="F228" s="174"/>
      <c r="G228" s="174"/>
      <c r="H228" s="122"/>
      <c r="I228" s="122"/>
      <c r="J228" s="170"/>
      <c r="K228" s="170"/>
    </row>
    <row r="229" spans="2:11" ht="14.5" customHeight="1" x14ac:dyDescent="0.2">
      <c r="B229" s="418"/>
      <c r="C229" s="117"/>
      <c r="D229" s="117" t="s">
        <v>545</v>
      </c>
      <c r="E229" s="122"/>
      <c r="F229" s="174"/>
      <c r="G229" s="174"/>
      <c r="H229" s="122"/>
      <c r="I229" s="122"/>
      <c r="J229" s="170"/>
      <c r="K229" s="170"/>
    </row>
    <row r="230" spans="2:11" ht="14.5" customHeight="1" x14ac:dyDescent="0.2">
      <c r="B230" s="418"/>
      <c r="C230" s="117"/>
      <c r="D230" s="117" t="s">
        <v>806</v>
      </c>
      <c r="E230" s="122"/>
      <c r="F230" s="174"/>
      <c r="G230" s="174"/>
      <c r="H230" s="122"/>
      <c r="I230" s="122"/>
      <c r="J230" s="170"/>
      <c r="K230" s="170"/>
    </row>
    <row r="231" spans="2:11" ht="14.5" customHeight="1" x14ac:dyDescent="0.2">
      <c r="B231" s="418"/>
      <c r="C231" s="117"/>
      <c r="D231" s="117" t="s">
        <v>630</v>
      </c>
      <c r="E231" s="122"/>
      <c r="F231" s="174"/>
      <c r="G231" s="174"/>
      <c r="H231" s="122"/>
      <c r="I231" s="122"/>
      <c r="J231" s="170"/>
      <c r="K231" s="170"/>
    </row>
    <row r="232" spans="2:11" ht="14.5" customHeight="1" x14ac:dyDescent="0.2">
      <c r="B232" s="418"/>
      <c r="C232" s="117"/>
      <c r="D232" s="117" t="s">
        <v>546</v>
      </c>
      <c r="E232" s="122"/>
      <c r="F232" s="174"/>
      <c r="G232" s="174"/>
      <c r="H232" s="122"/>
      <c r="I232" s="122"/>
      <c r="J232" s="170"/>
      <c r="K232" s="170"/>
    </row>
    <row r="233" spans="2:11" ht="14.5" customHeight="1" x14ac:dyDescent="0.2">
      <c r="B233" s="418"/>
      <c r="C233" s="117"/>
      <c r="D233" s="117" t="s">
        <v>547</v>
      </c>
      <c r="E233" s="122"/>
      <c r="F233" s="174"/>
      <c r="G233" s="174"/>
      <c r="H233" s="122"/>
      <c r="I233" s="122"/>
      <c r="J233" s="170"/>
      <c r="K233" s="170"/>
    </row>
    <row r="234" spans="2:11" ht="14.5" customHeight="1" x14ac:dyDescent="0.2">
      <c r="B234" s="418"/>
      <c r="C234" s="119"/>
      <c r="D234" s="119" t="s">
        <v>694</v>
      </c>
      <c r="E234" s="123"/>
      <c r="F234" s="175"/>
      <c r="G234" s="175"/>
      <c r="H234" s="123"/>
      <c r="I234" s="123"/>
      <c r="J234" s="189"/>
      <c r="K234" s="189"/>
    </row>
    <row r="235" spans="2:11" ht="14.5" customHeight="1" x14ac:dyDescent="0.2">
      <c r="B235" s="418"/>
      <c r="C235" s="117"/>
      <c r="D235" s="117" t="s">
        <v>631</v>
      </c>
      <c r="E235" s="122"/>
      <c r="F235" s="174"/>
      <c r="G235" s="174"/>
      <c r="H235" s="122"/>
      <c r="I235" s="122"/>
      <c r="J235" s="170"/>
      <c r="K235" s="170"/>
    </row>
    <row r="236" spans="2:11" ht="14.5" customHeight="1" x14ac:dyDescent="0.2">
      <c r="B236" s="418"/>
      <c r="C236" s="117"/>
      <c r="D236" s="117" t="s">
        <v>847</v>
      </c>
      <c r="E236" s="122"/>
      <c r="F236" s="174"/>
      <c r="G236" s="174"/>
      <c r="H236" s="122"/>
      <c r="I236" s="122"/>
      <c r="J236" s="170"/>
      <c r="K236" s="170"/>
    </row>
    <row r="237" spans="2:11" ht="14.5" customHeight="1" x14ac:dyDescent="0.2">
      <c r="B237" s="418"/>
      <c r="C237" s="117"/>
      <c r="D237" s="117" t="s">
        <v>848</v>
      </c>
      <c r="E237" s="122"/>
      <c r="F237" s="174"/>
      <c r="G237" s="174"/>
      <c r="H237" s="122"/>
      <c r="I237" s="122"/>
      <c r="J237" s="170"/>
      <c r="K237" s="170"/>
    </row>
    <row r="238" spans="2:11" ht="14.5" customHeight="1" x14ac:dyDescent="0.2">
      <c r="B238" s="418"/>
      <c r="C238" s="117"/>
      <c r="D238" s="117" t="s">
        <v>849</v>
      </c>
      <c r="E238" s="122"/>
      <c r="F238" s="174"/>
      <c r="G238" s="174"/>
      <c r="H238" s="122"/>
      <c r="I238" s="122"/>
      <c r="J238" s="170"/>
      <c r="K238" s="170"/>
    </row>
    <row r="239" spans="2:11" ht="14.5" customHeight="1" x14ac:dyDescent="0.2">
      <c r="B239" s="418"/>
      <c r="C239" s="117"/>
      <c r="D239" s="117" t="s">
        <v>605</v>
      </c>
      <c r="E239" s="122"/>
      <c r="F239" s="174"/>
      <c r="G239" s="174"/>
      <c r="H239" s="122"/>
      <c r="I239" s="122"/>
      <c r="J239" s="170"/>
      <c r="K239" s="170"/>
    </row>
    <row r="240" spans="2:11" ht="14.5" customHeight="1" x14ac:dyDescent="0.2">
      <c r="B240" s="418"/>
      <c r="C240" s="119"/>
      <c r="D240" s="119" t="s">
        <v>896</v>
      </c>
      <c r="E240" s="123"/>
      <c r="F240" s="175"/>
      <c r="G240" s="175"/>
      <c r="H240" s="123"/>
      <c r="I240" s="123"/>
      <c r="J240" s="189"/>
      <c r="K240" s="189"/>
    </row>
    <row r="241" spans="2:11" ht="14.5" customHeight="1" x14ac:dyDescent="0.2">
      <c r="B241" s="418"/>
      <c r="C241" s="119"/>
      <c r="D241" s="119" t="s">
        <v>73</v>
      </c>
      <c r="E241" s="123"/>
      <c r="F241" s="175"/>
      <c r="G241" s="175"/>
      <c r="H241" s="123"/>
      <c r="I241" s="123"/>
      <c r="J241" s="189"/>
      <c r="K241" s="189"/>
    </row>
    <row r="242" spans="2:11" ht="14.5" customHeight="1" x14ac:dyDescent="0.2">
      <c r="B242" s="419"/>
      <c r="C242" s="127"/>
      <c r="D242" s="127" t="s">
        <v>604</v>
      </c>
      <c r="E242" s="124"/>
      <c r="F242" s="176"/>
      <c r="G242" s="176"/>
      <c r="H242" s="124"/>
      <c r="I242" s="124"/>
      <c r="J242" s="190"/>
      <c r="K242" s="190"/>
    </row>
    <row r="243" spans="2:11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74"/>
      <c r="H243" s="122"/>
      <c r="I243" s="122"/>
      <c r="J243" s="170"/>
      <c r="K243" s="170"/>
    </row>
    <row r="244" spans="2:11" ht="14.5" customHeight="1" x14ac:dyDescent="0.2">
      <c r="B244" s="418"/>
      <c r="C244" s="117"/>
      <c r="D244" s="117" t="s">
        <v>635</v>
      </c>
      <c r="E244" s="122"/>
      <c r="F244" s="174"/>
      <c r="G244" s="174"/>
      <c r="H244" s="122"/>
      <c r="I244" s="122"/>
      <c r="J244" s="170"/>
      <c r="K244" s="170"/>
    </row>
    <row r="245" spans="2:11" ht="14.5" customHeight="1" x14ac:dyDescent="0.2">
      <c r="B245" s="418"/>
      <c r="C245" s="117"/>
      <c r="D245" s="117" t="s">
        <v>636</v>
      </c>
      <c r="E245" s="122"/>
      <c r="F245" s="174"/>
      <c r="G245" s="174"/>
      <c r="H245" s="122"/>
      <c r="I245" s="122"/>
      <c r="J245" s="170"/>
      <c r="K245" s="170"/>
    </row>
    <row r="246" spans="2:11" ht="14.5" customHeight="1" x14ac:dyDescent="0.2">
      <c r="B246" s="418"/>
      <c r="C246" s="117"/>
      <c r="D246" s="117" t="s">
        <v>807</v>
      </c>
      <c r="E246" s="122"/>
      <c r="F246" s="174"/>
      <c r="G246" s="174"/>
      <c r="H246" s="122"/>
      <c r="I246" s="122"/>
      <c r="J246" s="170"/>
      <c r="K246" s="170"/>
    </row>
    <row r="247" spans="2:11" ht="14.5" customHeight="1" x14ac:dyDescent="0.2">
      <c r="B247" s="418"/>
      <c r="C247" s="117"/>
      <c r="D247" s="117" t="s">
        <v>637</v>
      </c>
      <c r="E247" s="122"/>
      <c r="F247" s="174"/>
      <c r="G247" s="174"/>
      <c r="H247" s="122"/>
      <c r="I247" s="122"/>
      <c r="J247" s="170"/>
      <c r="K247" s="170"/>
    </row>
    <row r="248" spans="2:11" ht="14.5" customHeight="1" x14ac:dyDescent="0.2">
      <c r="B248" s="418"/>
      <c r="C248" s="119"/>
      <c r="D248" s="119" t="s">
        <v>702</v>
      </c>
      <c r="E248" s="123"/>
      <c r="F248" s="175"/>
      <c r="G248" s="175"/>
      <c r="H248" s="123"/>
      <c r="I248" s="123"/>
      <c r="J248" s="189"/>
      <c r="K248" s="189"/>
    </row>
    <row r="249" spans="2:11" ht="14.5" customHeight="1" x14ac:dyDescent="0.2">
      <c r="B249" s="419"/>
      <c r="C249" s="127"/>
      <c r="D249" s="127" t="s">
        <v>633</v>
      </c>
      <c r="E249" s="124"/>
      <c r="F249" s="176"/>
      <c r="G249" s="176"/>
      <c r="H249" s="124"/>
      <c r="I249" s="124"/>
      <c r="J249" s="190"/>
      <c r="K249" s="190"/>
    </row>
    <row r="250" spans="2:11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74"/>
      <c r="H250" s="122"/>
      <c r="I250" s="122"/>
      <c r="J250" s="170"/>
      <c r="K250" s="170"/>
    </row>
    <row r="251" spans="2:11" ht="14.5" customHeight="1" x14ac:dyDescent="0.2">
      <c r="B251" s="418"/>
      <c r="C251" s="117"/>
      <c r="D251" s="117" t="s">
        <v>567</v>
      </c>
      <c r="E251" s="122"/>
      <c r="F251" s="174"/>
      <c r="G251" s="174"/>
      <c r="H251" s="122"/>
      <c r="I251" s="122"/>
      <c r="J251" s="170"/>
      <c r="K251" s="170"/>
    </row>
    <row r="252" spans="2:11" ht="14.5" customHeight="1" x14ac:dyDescent="0.2">
      <c r="B252" s="418"/>
      <c r="C252" s="117"/>
      <c r="D252" s="117" t="s">
        <v>569</v>
      </c>
      <c r="E252" s="122"/>
      <c r="F252" s="174"/>
      <c r="G252" s="174"/>
      <c r="H252" s="122"/>
      <c r="I252" s="122"/>
      <c r="J252" s="170"/>
      <c r="K252" s="170"/>
    </row>
    <row r="253" spans="2:11" ht="14.5" customHeight="1" x14ac:dyDescent="0.2">
      <c r="B253" s="418"/>
      <c r="C253" s="117"/>
      <c r="D253" s="117" t="s">
        <v>808</v>
      </c>
      <c r="E253" s="122"/>
      <c r="F253" s="174"/>
      <c r="G253" s="174"/>
      <c r="H253" s="122"/>
      <c r="I253" s="122"/>
      <c r="J253" s="170"/>
      <c r="K253" s="170"/>
    </row>
    <row r="254" spans="2:11" ht="14.5" customHeight="1" x14ac:dyDescent="0.2">
      <c r="B254" s="418"/>
      <c r="C254" s="117"/>
      <c r="D254" s="117" t="s">
        <v>568</v>
      </c>
      <c r="E254" s="122"/>
      <c r="F254" s="174"/>
      <c r="G254" s="174"/>
      <c r="H254" s="122"/>
      <c r="I254" s="122"/>
      <c r="J254" s="170"/>
      <c r="K254" s="170"/>
    </row>
    <row r="255" spans="2:11" ht="14.5" customHeight="1" x14ac:dyDescent="0.2">
      <c r="B255" s="418"/>
      <c r="C255" s="117"/>
      <c r="D255" s="117" t="s">
        <v>566</v>
      </c>
      <c r="E255" s="122"/>
      <c r="F255" s="174"/>
      <c r="G255" s="174"/>
      <c r="H255" s="122"/>
      <c r="I255" s="122"/>
      <c r="J255" s="170"/>
      <c r="K255" s="170"/>
    </row>
    <row r="256" spans="2:11" ht="14.5" customHeight="1" x14ac:dyDescent="0.2">
      <c r="B256" s="418"/>
      <c r="C256" s="117"/>
      <c r="D256" s="117" t="s">
        <v>570</v>
      </c>
      <c r="E256" s="122"/>
      <c r="F256" s="174"/>
      <c r="G256" s="174"/>
      <c r="H256" s="122"/>
      <c r="I256" s="122"/>
      <c r="J256" s="170"/>
      <c r="K256" s="170"/>
    </row>
    <row r="257" spans="2:11" ht="14.5" customHeight="1" x14ac:dyDescent="0.2">
      <c r="B257" s="418"/>
      <c r="C257" s="119"/>
      <c r="D257" s="119" t="s">
        <v>734</v>
      </c>
      <c r="E257" s="123"/>
      <c r="F257" s="175"/>
      <c r="G257" s="175"/>
      <c r="H257" s="123"/>
      <c r="I257" s="123"/>
      <c r="J257" s="189"/>
      <c r="K257" s="189"/>
    </row>
    <row r="258" spans="2:11" ht="14.5" customHeight="1" x14ac:dyDescent="0.2">
      <c r="B258" s="419"/>
      <c r="C258" s="127"/>
      <c r="D258" s="127" t="s">
        <v>51</v>
      </c>
      <c r="E258" s="124"/>
      <c r="F258" s="176"/>
      <c r="G258" s="176"/>
      <c r="H258" s="124"/>
      <c r="I258" s="124"/>
      <c r="J258" s="190"/>
      <c r="K258" s="190"/>
    </row>
    <row r="259" spans="2:11" ht="14.5" customHeight="1" x14ac:dyDescent="0.2">
      <c r="B259" s="127"/>
      <c r="C259" s="127"/>
      <c r="D259" s="127" t="s">
        <v>638</v>
      </c>
      <c r="E259" s="124"/>
      <c r="F259" s="176"/>
      <c r="G259" s="176"/>
      <c r="H259" s="124"/>
      <c r="I259" s="124"/>
      <c r="J259" s="190"/>
      <c r="K259" s="190"/>
    </row>
    <row r="260" spans="2:11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74"/>
      <c r="H260" s="122"/>
      <c r="I260" s="122"/>
      <c r="J260" s="170"/>
      <c r="K260" s="170"/>
    </row>
    <row r="261" spans="2:11" ht="14.5" customHeight="1" x14ac:dyDescent="0.2">
      <c r="B261" s="418"/>
      <c r="C261" s="117"/>
      <c r="D261" s="117" t="s">
        <v>609</v>
      </c>
      <c r="E261" s="122"/>
      <c r="F261" s="174"/>
      <c r="G261" s="174"/>
      <c r="H261" s="122"/>
      <c r="I261" s="122"/>
      <c r="J261" s="170"/>
      <c r="K261" s="170"/>
    </row>
    <row r="262" spans="2:11" ht="14.5" customHeight="1" x14ac:dyDescent="0.2">
      <c r="B262" s="418"/>
      <c r="C262" s="117"/>
      <c r="D262" s="117" t="s">
        <v>610</v>
      </c>
      <c r="E262" s="122"/>
      <c r="F262" s="174"/>
      <c r="G262" s="174"/>
      <c r="H262" s="122"/>
      <c r="I262" s="122"/>
      <c r="J262" s="170"/>
      <c r="K262" s="170"/>
    </row>
    <row r="263" spans="2:11" ht="14.5" customHeight="1" x14ac:dyDescent="0.2">
      <c r="B263" s="418"/>
      <c r="C263" s="117"/>
      <c r="D263" s="117" t="s">
        <v>611</v>
      </c>
      <c r="E263" s="122"/>
      <c r="F263" s="174"/>
      <c r="G263" s="174"/>
      <c r="H263" s="122"/>
      <c r="I263" s="122"/>
      <c r="J263" s="170"/>
      <c r="K263" s="170"/>
    </row>
    <row r="264" spans="2:11" ht="14.5" customHeight="1" x14ac:dyDescent="0.2">
      <c r="B264" s="418"/>
      <c r="C264" s="117"/>
      <c r="D264" s="117" t="s">
        <v>850</v>
      </c>
      <c r="E264" s="122"/>
      <c r="F264" s="174"/>
      <c r="G264" s="174"/>
      <c r="H264" s="122"/>
      <c r="I264" s="122"/>
      <c r="J264" s="170"/>
      <c r="K264" s="170"/>
    </row>
    <row r="265" spans="2:11" ht="14.5" customHeight="1" x14ac:dyDescent="0.2">
      <c r="B265" s="418"/>
      <c r="C265" s="119"/>
      <c r="D265" s="119" t="s">
        <v>743</v>
      </c>
      <c r="E265" s="123"/>
      <c r="F265" s="175"/>
      <c r="G265" s="175"/>
      <c r="H265" s="123"/>
      <c r="I265" s="123"/>
      <c r="J265" s="189"/>
      <c r="K265" s="189"/>
    </row>
    <row r="266" spans="2:11" ht="14.5" customHeight="1" x14ac:dyDescent="0.2">
      <c r="B266" s="418"/>
      <c r="C266" s="117"/>
      <c r="D266" s="117" t="s">
        <v>606</v>
      </c>
      <c r="E266" s="122"/>
      <c r="F266" s="174"/>
      <c r="G266" s="174"/>
      <c r="H266" s="122"/>
      <c r="I266" s="122"/>
      <c r="J266" s="170"/>
      <c r="K266" s="170"/>
    </row>
    <row r="267" spans="2:11" ht="14.5" customHeight="1" x14ac:dyDescent="0.2">
      <c r="B267" s="418"/>
      <c r="C267" s="117"/>
      <c r="D267" s="117" t="s">
        <v>901</v>
      </c>
      <c r="E267" s="122"/>
      <c r="F267" s="174"/>
      <c r="G267" s="174"/>
      <c r="H267" s="122"/>
      <c r="I267" s="122"/>
      <c r="J267" s="170"/>
      <c r="K267" s="170"/>
    </row>
    <row r="268" spans="2:11" ht="14.5" customHeight="1" x14ac:dyDescent="0.2">
      <c r="B268" s="418"/>
      <c r="C268" s="117"/>
      <c r="D268" s="117" t="s">
        <v>607</v>
      </c>
      <c r="E268" s="122"/>
      <c r="F268" s="174"/>
      <c r="G268" s="174"/>
      <c r="H268" s="122"/>
      <c r="I268" s="122"/>
      <c r="J268" s="170"/>
      <c r="K268" s="170"/>
    </row>
    <row r="269" spans="2:11" ht="14.5" customHeight="1" x14ac:dyDescent="0.2">
      <c r="B269" s="418"/>
      <c r="C269" s="117"/>
      <c r="D269" s="117" t="s">
        <v>608</v>
      </c>
      <c r="E269" s="122"/>
      <c r="F269" s="174"/>
      <c r="G269" s="174"/>
      <c r="H269" s="122"/>
      <c r="I269" s="122"/>
      <c r="J269" s="170"/>
      <c r="K269" s="170"/>
    </row>
    <row r="270" spans="2:11" ht="14.5" customHeight="1" x14ac:dyDescent="0.2">
      <c r="B270" s="418"/>
      <c r="C270" s="117"/>
      <c r="D270" s="117" t="s">
        <v>640</v>
      </c>
      <c r="E270" s="122"/>
      <c r="F270" s="174"/>
      <c r="G270" s="174"/>
      <c r="H270" s="122"/>
      <c r="I270" s="122"/>
      <c r="J270" s="170"/>
      <c r="K270" s="170"/>
    </row>
    <row r="271" spans="2:11" ht="14.5" customHeight="1" x14ac:dyDescent="0.2">
      <c r="B271" s="418"/>
      <c r="C271" s="117"/>
      <c r="D271" s="117" t="s">
        <v>851</v>
      </c>
      <c r="E271" s="122"/>
      <c r="F271" s="174"/>
      <c r="G271" s="174"/>
      <c r="H271" s="122"/>
      <c r="I271" s="122"/>
      <c r="J271" s="170"/>
      <c r="K271" s="170"/>
    </row>
    <row r="272" spans="2:11" ht="14.5" customHeight="1" x14ac:dyDescent="0.2">
      <c r="B272" s="418"/>
      <c r="C272" s="119"/>
      <c r="D272" s="119" t="s">
        <v>898</v>
      </c>
      <c r="E272" s="123"/>
      <c r="F272" s="175"/>
      <c r="G272" s="175"/>
      <c r="H272" s="123"/>
      <c r="I272" s="123"/>
      <c r="J272" s="189"/>
      <c r="K272" s="189"/>
    </row>
    <row r="273" spans="2:11" ht="14.5" customHeight="1" x14ac:dyDescent="0.2">
      <c r="B273" s="418"/>
      <c r="C273" s="119"/>
      <c r="D273" s="119" t="s">
        <v>897</v>
      </c>
      <c r="E273" s="123"/>
      <c r="F273" s="175"/>
      <c r="G273" s="175"/>
      <c r="H273" s="123"/>
      <c r="I273" s="123"/>
      <c r="J273" s="189"/>
      <c r="K273" s="189"/>
    </row>
    <row r="274" spans="2:11" ht="14.5" customHeight="1" x14ac:dyDescent="0.2">
      <c r="B274" s="419"/>
      <c r="C274" s="127"/>
      <c r="D274" s="127" t="s">
        <v>639</v>
      </c>
      <c r="E274" s="124"/>
      <c r="F274" s="176"/>
      <c r="G274" s="176"/>
      <c r="H274" s="124"/>
      <c r="I274" s="124"/>
      <c r="J274" s="190"/>
      <c r="K274" s="190"/>
    </row>
    <row r="275" spans="2:11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74"/>
      <c r="H275" s="122"/>
      <c r="I275" s="122"/>
      <c r="J275" s="170"/>
      <c r="K275" s="170"/>
    </row>
    <row r="276" spans="2:11" ht="14.5" customHeight="1" x14ac:dyDescent="0.2">
      <c r="B276" s="418"/>
      <c r="C276" s="117"/>
      <c r="D276" s="117" t="s">
        <v>852</v>
      </c>
      <c r="E276" s="122"/>
      <c r="F276" s="174"/>
      <c r="G276" s="174"/>
      <c r="H276" s="122"/>
      <c r="I276" s="122"/>
      <c r="J276" s="170"/>
      <c r="K276" s="170"/>
    </row>
    <row r="277" spans="2:11" ht="14.5" customHeight="1" x14ac:dyDescent="0.2">
      <c r="B277" s="418"/>
      <c r="C277" s="117"/>
      <c r="D277" s="117" t="s">
        <v>853</v>
      </c>
      <c r="E277" s="122"/>
      <c r="F277" s="174"/>
      <c r="G277" s="174"/>
      <c r="H277" s="122"/>
      <c r="I277" s="122"/>
      <c r="J277" s="170"/>
      <c r="K277" s="170"/>
    </row>
    <row r="278" spans="2:11" ht="14.5" customHeight="1" x14ac:dyDescent="0.2">
      <c r="B278" s="418"/>
      <c r="C278" s="117"/>
      <c r="D278" s="117" t="s">
        <v>854</v>
      </c>
      <c r="E278" s="122"/>
      <c r="F278" s="174"/>
      <c r="G278" s="174"/>
      <c r="H278" s="122"/>
      <c r="I278" s="122"/>
      <c r="J278" s="170"/>
      <c r="K278" s="170"/>
    </row>
    <row r="279" spans="2:11" ht="14.5" customHeight="1" x14ac:dyDescent="0.2">
      <c r="B279" s="418"/>
      <c r="C279" s="119"/>
      <c r="D279" s="119" t="s">
        <v>746</v>
      </c>
      <c r="E279" s="123"/>
      <c r="F279" s="175"/>
      <c r="G279" s="175"/>
      <c r="H279" s="123"/>
      <c r="I279" s="123"/>
      <c r="J279" s="189"/>
      <c r="K279" s="189"/>
    </row>
    <row r="280" spans="2:11" ht="14.5" customHeight="1" x14ac:dyDescent="0.2">
      <c r="B280" s="419"/>
      <c r="C280" s="127"/>
      <c r="D280" s="127" t="s">
        <v>642</v>
      </c>
      <c r="E280" s="124"/>
      <c r="F280" s="176"/>
      <c r="G280" s="176"/>
      <c r="H280" s="124"/>
      <c r="I280" s="124"/>
      <c r="J280" s="190"/>
      <c r="K280" s="190"/>
    </row>
    <row r="281" spans="2:11" ht="14.5" customHeight="1" x14ac:dyDescent="0.2">
      <c r="B281" s="127"/>
      <c r="C281" s="127"/>
      <c r="D281" s="127" t="s">
        <v>643</v>
      </c>
      <c r="E281" s="124"/>
      <c r="F281" s="176"/>
      <c r="G281" s="176"/>
      <c r="H281" s="124"/>
      <c r="I281" s="124"/>
      <c r="J281" s="190"/>
      <c r="K281" s="190"/>
    </row>
    <row r="282" spans="2:11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74"/>
      <c r="H282" s="122"/>
      <c r="I282" s="122"/>
      <c r="J282" s="170"/>
      <c r="K282" s="170"/>
    </row>
    <row r="283" spans="2:11" ht="14.5" customHeight="1" x14ac:dyDescent="0.2">
      <c r="B283" s="418"/>
      <c r="C283" s="117"/>
      <c r="D283" s="117" t="s">
        <v>791</v>
      </c>
      <c r="E283" s="122"/>
      <c r="F283" s="174"/>
      <c r="G283" s="174"/>
      <c r="H283" s="122"/>
      <c r="I283" s="122"/>
      <c r="J283" s="170"/>
      <c r="K283" s="170"/>
    </row>
    <row r="284" spans="2:11" ht="14.5" customHeight="1" x14ac:dyDescent="0.2">
      <c r="B284" s="418"/>
      <c r="C284" s="117"/>
      <c r="D284" s="117" t="s">
        <v>647</v>
      </c>
      <c r="E284" s="122"/>
      <c r="F284" s="174"/>
      <c r="G284" s="174"/>
      <c r="H284" s="122"/>
      <c r="I284" s="122"/>
      <c r="J284" s="170"/>
      <c r="K284" s="170"/>
    </row>
    <row r="285" spans="2:11" ht="14.5" customHeight="1" x14ac:dyDescent="0.2">
      <c r="B285" s="418"/>
      <c r="C285" s="117"/>
      <c r="D285" s="117" t="s">
        <v>857</v>
      </c>
      <c r="E285" s="122"/>
      <c r="F285" s="174"/>
      <c r="G285" s="174"/>
      <c r="H285" s="122"/>
      <c r="I285" s="122"/>
      <c r="J285" s="170"/>
      <c r="K285" s="170"/>
    </row>
    <row r="286" spans="2:11" ht="14.5" customHeight="1" x14ac:dyDescent="0.2">
      <c r="B286" s="418"/>
      <c r="C286" s="117"/>
      <c r="D286" s="117" t="s">
        <v>648</v>
      </c>
      <c r="E286" s="122"/>
      <c r="F286" s="174"/>
      <c r="G286" s="174"/>
      <c r="H286" s="122"/>
      <c r="I286" s="122"/>
      <c r="J286" s="170"/>
      <c r="K286" s="170"/>
    </row>
    <row r="287" spans="2:11" ht="14.5" customHeight="1" x14ac:dyDescent="0.2">
      <c r="B287" s="418"/>
      <c r="C287" s="119"/>
      <c r="D287" s="119" t="s">
        <v>747</v>
      </c>
      <c r="E287" s="123"/>
      <c r="F287" s="175"/>
      <c r="G287" s="175"/>
      <c r="H287" s="123"/>
      <c r="I287" s="123"/>
      <c r="J287" s="189"/>
      <c r="K287" s="189"/>
    </row>
    <row r="288" spans="2:11" ht="14.5" customHeight="1" x14ac:dyDescent="0.2">
      <c r="B288" s="419"/>
      <c r="C288" s="127"/>
      <c r="D288" s="127" t="s">
        <v>645</v>
      </c>
      <c r="E288" s="124"/>
      <c r="F288" s="176"/>
      <c r="G288" s="176"/>
      <c r="H288" s="124"/>
      <c r="I288" s="124"/>
      <c r="J288" s="190"/>
      <c r="K288" s="190"/>
    </row>
    <row r="289" spans="2:11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74"/>
      <c r="H289" s="122"/>
      <c r="I289" s="122"/>
      <c r="J289" s="170"/>
      <c r="K289" s="170"/>
    </row>
    <row r="290" spans="2:11" ht="14.5" customHeight="1" x14ac:dyDescent="0.2">
      <c r="B290" s="418"/>
      <c r="C290" s="117"/>
      <c r="D290" s="117" t="s">
        <v>856</v>
      </c>
      <c r="E290" s="122"/>
      <c r="F290" s="174"/>
      <c r="G290" s="174"/>
      <c r="H290" s="122"/>
      <c r="I290" s="122"/>
      <c r="J290" s="170"/>
      <c r="K290" s="170"/>
    </row>
    <row r="291" spans="2:11" ht="14.5" customHeight="1" x14ac:dyDescent="0.2">
      <c r="B291" s="418"/>
      <c r="C291" s="119"/>
      <c r="D291" s="119" t="s">
        <v>899</v>
      </c>
      <c r="E291" s="123"/>
      <c r="F291" s="175"/>
      <c r="G291" s="175"/>
      <c r="H291" s="123"/>
      <c r="I291" s="123"/>
      <c r="J291" s="189"/>
      <c r="K291" s="189"/>
    </row>
    <row r="292" spans="2:11" ht="14.5" customHeight="1" x14ac:dyDescent="0.2">
      <c r="B292" s="419"/>
      <c r="C292" s="127"/>
      <c r="D292" s="127" t="s">
        <v>860</v>
      </c>
      <c r="E292" s="124"/>
      <c r="F292" s="176"/>
      <c r="G292" s="176"/>
      <c r="H292" s="124"/>
      <c r="I292" s="124"/>
      <c r="J292" s="190"/>
      <c r="K292" s="190"/>
    </row>
    <row r="293" spans="2:11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74"/>
      <c r="H293" s="122"/>
      <c r="I293" s="122"/>
      <c r="J293" s="170"/>
      <c r="K293" s="170"/>
    </row>
    <row r="294" spans="2:11" ht="14.5" customHeight="1" x14ac:dyDescent="0.2">
      <c r="B294" s="418"/>
      <c r="C294" s="117"/>
      <c r="D294" s="117" t="s">
        <v>861</v>
      </c>
      <c r="E294" s="122"/>
      <c r="F294" s="174"/>
      <c r="G294" s="174"/>
      <c r="H294" s="122"/>
      <c r="I294" s="122"/>
      <c r="J294" s="170"/>
      <c r="K294" s="170"/>
    </row>
    <row r="295" spans="2:11" ht="14.5" customHeight="1" x14ac:dyDescent="0.2">
      <c r="B295" s="418"/>
      <c r="C295" s="117"/>
      <c r="D295" s="117" t="s">
        <v>651</v>
      </c>
      <c r="E295" s="122"/>
      <c r="F295" s="174"/>
      <c r="G295" s="174"/>
      <c r="H295" s="122"/>
      <c r="I295" s="122"/>
      <c r="J295" s="170"/>
      <c r="K295" s="170"/>
    </row>
    <row r="296" spans="2:11" ht="14.5" customHeight="1" x14ac:dyDescent="0.2">
      <c r="B296" s="418"/>
      <c r="C296" s="117"/>
      <c r="D296" s="117" t="s">
        <v>652</v>
      </c>
      <c r="E296" s="122"/>
      <c r="F296" s="174"/>
      <c r="G296" s="174"/>
      <c r="H296" s="122"/>
      <c r="I296" s="122"/>
      <c r="J296" s="170"/>
      <c r="K296" s="170"/>
    </row>
    <row r="297" spans="2:11" ht="14.5" customHeight="1" x14ac:dyDescent="0.2">
      <c r="B297" s="418"/>
      <c r="C297" s="117"/>
      <c r="D297" s="117" t="s">
        <v>653</v>
      </c>
      <c r="E297" s="122"/>
      <c r="F297" s="174"/>
      <c r="G297" s="174"/>
      <c r="H297" s="122"/>
      <c r="I297" s="122"/>
      <c r="J297" s="170"/>
      <c r="K297" s="170"/>
    </row>
    <row r="298" spans="2:11" ht="14.5" customHeight="1" x14ac:dyDescent="0.2">
      <c r="B298" s="418"/>
      <c r="C298" s="119"/>
      <c r="D298" s="119" t="s">
        <v>754</v>
      </c>
      <c r="E298" s="123"/>
      <c r="F298" s="175"/>
      <c r="G298" s="175"/>
      <c r="H298" s="123"/>
      <c r="I298" s="123"/>
      <c r="J298" s="189"/>
      <c r="K298" s="189"/>
    </row>
    <row r="299" spans="2:11" ht="14.5" customHeight="1" x14ac:dyDescent="0.2">
      <c r="B299" s="419"/>
      <c r="C299" s="127"/>
      <c r="D299" s="127" t="s">
        <v>654</v>
      </c>
      <c r="E299" s="124"/>
      <c r="F299" s="176"/>
      <c r="G299" s="176"/>
      <c r="H299" s="124"/>
      <c r="I299" s="124"/>
      <c r="J299" s="190"/>
      <c r="K299" s="190"/>
    </row>
    <row r="300" spans="2:11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74"/>
      <c r="H300" s="122"/>
      <c r="I300" s="122"/>
      <c r="J300" s="170"/>
      <c r="K300" s="170"/>
    </row>
    <row r="301" spans="2:11" ht="14.5" customHeight="1" x14ac:dyDescent="0.2">
      <c r="B301" s="418"/>
      <c r="C301" s="117"/>
      <c r="D301" s="117" t="s">
        <v>657</v>
      </c>
      <c r="E301" s="122"/>
      <c r="F301" s="174"/>
      <c r="G301" s="174"/>
      <c r="H301" s="122"/>
      <c r="I301" s="122"/>
      <c r="J301" s="170"/>
      <c r="K301" s="170"/>
    </row>
    <row r="302" spans="2:11" ht="14.5" customHeight="1" x14ac:dyDescent="0.2">
      <c r="B302" s="418"/>
      <c r="C302" s="117"/>
      <c r="D302" s="117" t="s">
        <v>793</v>
      </c>
      <c r="E302" s="122"/>
      <c r="F302" s="174"/>
      <c r="G302" s="174"/>
      <c r="H302" s="122"/>
      <c r="I302" s="122"/>
      <c r="J302" s="170"/>
      <c r="K302" s="170"/>
    </row>
    <row r="303" spans="2:11" ht="14.5" customHeight="1" x14ac:dyDescent="0.2">
      <c r="B303" s="418"/>
      <c r="C303" s="117"/>
      <c r="D303" s="117" t="s">
        <v>862</v>
      </c>
      <c r="E303" s="122"/>
      <c r="F303" s="174"/>
      <c r="G303" s="174"/>
      <c r="H303" s="122"/>
      <c r="I303" s="122"/>
      <c r="J303" s="170"/>
      <c r="K303" s="170"/>
    </row>
    <row r="304" spans="2:11" ht="14.5" customHeight="1" x14ac:dyDescent="0.2">
      <c r="B304" s="418"/>
      <c r="C304" s="117"/>
      <c r="D304" s="117" t="s">
        <v>809</v>
      </c>
      <c r="E304" s="122"/>
      <c r="F304" s="174"/>
      <c r="G304" s="174"/>
      <c r="H304" s="122"/>
      <c r="I304" s="122"/>
      <c r="J304" s="170"/>
      <c r="K304" s="170"/>
    </row>
    <row r="305" spans="2:11" ht="14.5" customHeight="1" x14ac:dyDescent="0.2">
      <c r="B305" s="418"/>
      <c r="C305" s="117"/>
      <c r="D305" s="117" t="s">
        <v>794</v>
      </c>
      <c r="E305" s="122"/>
      <c r="F305" s="174"/>
      <c r="G305" s="174"/>
      <c r="H305" s="122"/>
      <c r="I305" s="122"/>
      <c r="J305" s="170"/>
      <c r="K305" s="170"/>
    </row>
    <row r="306" spans="2:11" ht="14.5" customHeight="1" x14ac:dyDescent="0.2">
      <c r="B306" s="418"/>
      <c r="C306" s="119"/>
      <c r="D306" s="119" t="s">
        <v>752</v>
      </c>
      <c r="E306" s="123"/>
      <c r="F306" s="175"/>
      <c r="G306" s="175"/>
      <c r="H306" s="123"/>
      <c r="I306" s="123"/>
      <c r="J306" s="189"/>
      <c r="K306" s="189"/>
    </row>
    <row r="307" spans="2:11" ht="14.5" customHeight="1" x14ac:dyDescent="0.2">
      <c r="B307" s="419"/>
      <c r="C307" s="127"/>
      <c r="D307" s="127" t="s">
        <v>656</v>
      </c>
      <c r="E307" s="124"/>
      <c r="F307" s="176"/>
      <c r="G307" s="176"/>
      <c r="H307" s="124"/>
      <c r="I307" s="124"/>
      <c r="J307" s="190"/>
      <c r="K307" s="190"/>
    </row>
    <row r="308" spans="2:11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74"/>
      <c r="H308" s="122"/>
      <c r="I308" s="122"/>
      <c r="J308" s="170"/>
      <c r="K308" s="170"/>
    </row>
    <row r="309" spans="2:11" ht="14.5" customHeight="1" x14ac:dyDescent="0.2">
      <c r="B309" s="418"/>
      <c r="C309" s="117"/>
      <c r="D309" s="117" t="s">
        <v>795</v>
      </c>
      <c r="E309" s="122"/>
      <c r="F309" s="174"/>
      <c r="G309" s="174"/>
      <c r="H309" s="122"/>
      <c r="I309" s="122"/>
      <c r="J309" s="170"/>
      <c r="K309" s="170"/>
    </row>
    <row r="310" spans="2:11" ht="14.5" customHeight="1" x14ac:dyDescent="0.2">
      <c r="B310" s="418"/>
      <c r="C310" s="117"/>
      <c r="D310" s="117" t="s">
        <v>661</v>
      </c>
      <c r="E310" s="122"/>
      <c r="F310" s="174"/>
      <c r="G310" s="174"/>
      <c r="H310" s="122"/>
      <c r="I310" s="122"/>
      <c r="J310" s="170"/>
      <c r="K310" s="170"/>
    </row>
    <row r="311" spans="2:11" ht="14.5" customHeight="1" x14ac:dyDescent="0.2">
      <c r="B311" s="418"/>
      <c r="C311" s="117"/>
      <c r="D311" s="117" t="s">
        <v>662</v>
      </c>
      <c r="E311" s="122"/>
      <c r="F311" s="174"/>
      <c r="G311" s="174"/>
      <c r="H311" s="122"/>
      <c r="I311" s="122"/>
      <c r="J311" s="170"/>
      <c r="K311" s="170"/>
    </row>
    <row r="312" spans="2:11" ht="14.5" customHeight="1" x14ac:dyDescent="0.2">
      <c r="B312" s="418"/>
      <c r="C312" s="119"/>
      <c r="D312" s="119" t="s">
        <v>759</v>
      </c>
      <c r="E312" s="123"/>
      <c r="F312" s="175"/>
      <c r="G312" s="175"/>
      <c r="H312" s="123"/>
      <c r="I312" s="123"/>
      <c r="J312" s="189"/>
      <c r="K312" s="189"/>
    </row>
    <row r="313" spans="2:11" ht="14.5" customHeight="1" x14ac:dyDescent="0.2">
      <c r="B313" s="419"/>
      <c r="C313" s="127"/>
      <c r="D313" s="127" t="s">
        <v>659</v>
      </c>
      <c r="E313" s="124"/>
      <c r="F313" s="176"/>
      <c r="G313" s="176"/>
      <c r="H313" s="124"/>
      <c r="I313" s="124"/>
      <c r="J313" s="190"/>
      <c r="K313" s="190"/>
    </row>
    <row r="314" spans="2:11" ht="14.5" customHeight="1" x14ac:dyDescent="0.2">
      <c r="B314" s="127"/>
      <c r="C314" s="127"/>
      <c r="D314" s="127" t="s">
        <v>863</v>
      </c>
      <c r="E314" s="124"/>
      <c r="F314" s="176"/>
      <c r="G314" s="176"/>
      <c r="H314" s="124"/>
      <c r="I314" s="124"/>
      <c r="J314" s="190"/>
      <c r="K314" s="190"/>
    </row>
    <row r="315" spans="2:11" ht="14.5" customHeight="1" x14ac:dyDescent="0.2">
      <c r="B315" s="127"/>
      <c r="C315" s="127"/>
      <c r="D315" s="127" t="s">
        <v>55</v>
      </c>
      <c r="E315" s="124"/>
      <c r="F315" s="176"/>
      <c r="G315" s="176"/>
      <c r="H315" s="124"/>
      <c r="I315" s="124"/>
      <c r="J315" s="190"/>
      <c r="K315" s="190"/>
    </row>
    <row r="316" spans="2:11" ht="14.5" customHeight="1" x14ac:dyDescent="0.2"/>
    <row r="317" spans="2:11" ht="14.5" customHeight="1" x14ac:dyDescent="0.2"/>
    <row r="318" spans="2:11" ht="14.5" customHeight="1" x14ac:dyDescent="0.2"/>
    <row r="319" spans="2:11" ht="14.5" customHeight="1" x14ac:dyDescent="0.2"/>
    <row r="320" spans="2:11" ht="14.5" customHeight="1" x14ac:dyDescent="0.2">
      <c r="B320" s="4" t="s">
        <v>884</v>
      </c>
      <c r="C320" s="5"/>
      <c r="D320" s="5"/>
      <c r="E320" s="33"/>
      <c r="F320" s="33"/>
      <c r="G320" s="34"/>
    </row>
    <row r="321" spans="2:11" ht="14.5" customHeight="1" x14ac:dyDescent="0.2">
      <c r="B321" s="8"/>
      <c r="C321" s="8"/>
      <c r="D321" s="8"/>
      <c r="E321" s="35"/>
      <c r="F321" s="35"/>
      <c r="G321" s="34"/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385" t="s">
        <v>431</v>
      </c>
      <c r="F322" s="385"/>
      <c r="G322" s="417" t="s">
        <v>56</v>
      </c>
      <c r="H322" s="394" t="s">
        <v>3</v>
      </c>
      <c r="I322" s="398" t="s">
        <v>432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36" t="s">
        <v>77</v>
      </c>
      <c r="F323" s="54" t="s">
        <v>58</v>
      </c>
      <c r="G323" s="417"/>
      <c r="H323" s="394"/>
      <c r="I323" s="398"/>
      <c r="J323" s="398"/>
      <c r="K323" s="398"/>
    </row>
    <row r="324" spans="2:11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74"/>
      <c r="H324" s="122"/>
      <c r="I324" s="122"/>
      <c r="J324" s="170"/>
      <c r="K324" s="170"/>
    </row>
    <row r="325" spans="2:11" ht="14.5" customHeight="1" x14ac:dyDescent="0.2">
      <c r="B325" s="418"/>
      <c r="C325" s="117"/>
      <c r="D325" s="117" t="s">
        <v>869</v>
      </c>
      <c r="E325" s="122"/>
      <c r="F325" s="174"/>
      <c r="G325" s="174"/>
      <c r="H325" s="122"/>
      <c r="I325" s="122"/>
      <c r="J325" s="170"/>
      <c r="K325" s="170"/>
    </row>
    <row r="326" spans="2:11" ht="14.5" customHeight="1" x14ac:dyDescent="0.2">
      <c r="B326" s="418"/>
      <c r="C326" s="117"/>
      <c r="D326" s="117" t="s">
        <v>870</v>
      </c>
      <c r="E326" s="122"/>
      <c r="F326" s="174"/>
      <c r="G326" s="174"/>
      <c r="H326" s="122"/>
      <c r="I326" s="122"/>
      <c r="J326" s="170"/>
      <c r="K326" s="170"/>
    </row>
    <row r="327" spans="2:11" ht="14.5" customHeight="1" x14ac:dyDescent="0.2">
      <c r="B327" s="418"/>
      <c r="C327" s="117"/>
      <c r="D327" s="117" t="s">
        <v>871</v>
      </c>
      <c r="E327" s="122"/>
      <c r="F327" s="174"/>
      <c r="G327" s="174"/>
      <c r="H327" s="122"/>
      <c r="I327" s="122"/>
      <c r="J327" s="170"/>
      <c r="K327" s="170"/>
    </row>
    <row r="328" spans="2:11" ht="14.5" customHeight="1" x14ac:dyDescent="0.2">
      <c r="B328" s="418"/>
      <c r="C328" s="117"/>
      <c r="D328" s="117" t="s">
        <v>872</v>
      </c>
      <c r="E328" s="122"/>
      <c r="F328" s="174"/>
      <c r="G328" s="174"/>
      <c r="H328" s="122"/>
      <c r="I328" s="122"/>
      <c r="J328" s="170"/>
      <c r="K328" s="170"/>
    </row>
    <row r="329" spans="2:11" ht="14.5" customHeight="1" x14ac:dyDescent="0.2">
      <c r="B329" s="418"/>
      <c r="C329" s="117"/>
      <c r="D329" s="117" t="s">
        <v>873</v>
      </c>
      <c r="E329" s="122"/>
      <c r="F329" s="174"/>
      <c r="G329" s="174"/>
      <c r="H329" s="122"/>
      <c r="I329" s="122"/>
      <c r="J329" s="170"/>
      <c r="K329" s="170"/>
    </row>
    <row r="330" spans="2:11" ht="14.5" customHeight="1" x14ac:dyDescent="0.2">
      <c r="B330" s="418"/>
      <c r="C330" s="117"/>
      <c r="D330" s="117" t="s">
        <v>874</v>
      </c>
      <c r="E330" s="122"/>
      <c r="F330" s="174"/>
      <c r="G330" s="174"/>
      <c r="H330" s="122"/>
      <c r="I330" s="122"/>
      <c r="J330" s="170"/>
      <c r="K330" s="170"/>
    </row>
    <row r="331" spans="2:11" ht="14.5" customHeight="1" x14ac:dyDescent="0.2">
      <c r="B331" s="418"/>
      <c r="C331" s="117"/>
      <c r="D331" s="117" t="s">
        <v>875</v>
      </c>
      <c r="E331" s="122"/>
      <c r="F331" s="174"/>
      <c r="G331" s="174"/>
      <c r="H331" s="122"/>
      <c r="I331" s="122"/>
      <c r="J331" s="170"/>
      <c r="K331" s="170"/>
    </row>
    <row r="332" spans="2:11" ht="14.5" customHeight="1" x14ac:dyDescent="0.2">
      <c r="B332" s="418"/>
      <c r="C332" s="117"/>
      <c r="D332" s="117" t="s">
        <v>876</v>
      </c>
      <c r="E332" s="122"/>
      <c r="F332" s="174"/>
      <c r="G332" s="174"/>
      <c r="H332" s="122"/>
      <c r="I332" s="122"/>
      <c r="J332" s="170"/>
      <c r="K332" s="170"/>
    </row>
    <row r="333" spans="2:11" ht="14.5" customHeight="1" x14ac:dyDescent="0.2">
      <c r="B333" s="418"/>
      <c r="C333" s="117"/>
      <c r="D333" s="117" t="s">
        <v>877</v>
      </c>
      <c r="E333" s="122"/>
      <c r="F333" s="174"/>
      <c r="G333" s="174"/>
      <c r="H333" s="122"/>
      <c r="I333" s="122"/>
      <c r="J333" s="170"/>
      <c r="K333" s="170"/>
    </row>
    <row r="334" spans="2:11" ht="14.5" customHeight="1" x14ac:dyDescent="0.2">
      <c r="B334" s="418"/>
      <c r="C334" s="119"/>
      <c r="D334" s="119" t="s">
        <v>892</v>
      </c>
      <c r="E334" s="123"/>
      <c r="F334" s="175"/>
      <c r="G334" s="175"/>
      <c r="H334" s="123"/>
      <c r="I334" s="123"/>
      <c r="J334" s="189"/>
      <c r="K334" s="189"/>
    </row>
    <row r="335" spans="2:11" ht="14.5" customHeight="1" x14ac:dyDescent="0.2">
      <c r="B335" s="418"/>
      <c r="C335" s="119"/>
      <c r="D335" s="119" t="s">
        <v>74</v>
      </c>
      <c r="E335" s="123"/>
      <c r="F335" s="175"/>
      <c r="G335" s="175"/>
      <c r="H335" s="123"/>
      <c r="I335" s="123"/>
      <c r="J335" s="189"/>
      <c r="K335" s="189"/>
    </row>
    <row r="336" spans="2:11" ht="14.5" customHeight="1" x14ac:dyDescent="0.2">
      <c r="B336" s="419"/>
      <c r="C336" s="127"/>
      <c r="D336" s="127" t="s">
        <v>866</v>
      </c>
      <c r="E336" s="124"/>
      <c r="F336" s="176"/>
      <c r="G336" s="176"/>
      <c r="H336" s="124"/>
      <c r="I336" s="124"/>
      <c r="J336" s="190"/>
      <c r="K336" s="190"/>
    </row>
    <row r="337" spans="2:11" ht="14.5" customHeight="1" x14ac:dyDescent="0.2">
      <c r="B337" s="127"/>
      <c r="C337" s="127"/>
      <c r="D337" s="127" t="s">
        <v>867</v>
      </c>
      <c r="E337" s="124"/>
      <c r="F337" s="176"/>
      <c r="G337" s="176"/>
      <c r="H337" s="124"/>
      <c r="I337" s="124"/>
      <c r="J337" s="190"/>
      <c r="K337" s="190"/>
    </row>
    <row r="338" spans="2:11" ht="14.5" customHeight="1" x14ac:dyDescent="0.2"/>
    <row r="339" spans="2:11" s="45" customFormat="1" ht="14.5" customHeight="1" x14ac:dyDescent="0.2">
      <c r="E339" s="46"/>
      <c r="F339" s="46"/>
      <c r="G339" s="228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46"/>
      <c r="F340" s="46"/>
      <c r="G340" s="228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46"/>
      <c r="F341" s="46"/>
      <c r="G341" s="228" t="s">
        <v>138</v>
      </c>
      <c r="H341" s="48"/>
      <c r="I341" s="128">
        <f>'Pencapaian Effective Call'!I341</f>
        <v>4324500</v>
      </c>
      <c r="J341" s="46"/>
      <c r="K341" s="46"/>
    </row>
    <row r="342" spans="2:11" s="45" customFormat="1" ht="14.5" customHeight="1" x14ac:dyDescent="0.2">
      <c r="E342" s="46"/>
      <c r="F342" s="46"/>
      <c r="G342" s="228" t="s">
        <v>153</v>
      </c>
      <c r="H342" s="48"/>
      <c r="I342" s="128">
        <f>'Pencapaian New Open Outlet'!I342</f>
        <v>1949250</v>
      </c>
      <c r="J342" s="46"/>
      <c r="K342" s="46"/>
    </row>
    <row r="343" spans="2:11" s="45" customFormat="1" ht="14.5" customHeight="1" x14ac:dyDescent="0.2">
      <c r="E343" s="46"/>
      <c r="F343" s="46"/>
      <c r="G343" s="228" t="s">
        <v>79</v>
      </c>
      <c r="H343" s="48"/>
      <c r="I343" s="128">
        <f>'Pencapaian Active Outlet'!I343</f>
        <v>7007500</v>
      </c>
      <c r="J343" s="46"/>
      <c r="K343" s="46"/>
    </row>
    <row r="344" spans="2:11" s="45" customFormat="1" ht="14.5" customHeight="1" x14ac:dyDescent="0.2">
      <c r="E344" s="46"/>
      <c r="F344" s="46"/>
      <c r="G344" s="228" t="s">
        <v>136</v>
      </c>
      <c r="H344" s="48"/>
      <c r="I344" s="128">
        <f>'Pencapaian Item per Outlet'!I344</f>
        <v>1646000</v>
      </c>
      <c r="J344" s="46"/>
      <c r="K344" s="46"/>
    </row>
    <row r="345" spans="2:11" s="45" customFormat="1" ht="14.5" customHeight="1" x14ac:dyDescent="0.2">
      <c r="E345" s="46"/>
      <c r="F345" s="46"/>
      <c r="G345" s="228" t="s">
        <v>414</v>
      </c>
      <c r="I345" s="128">
        <f>'Pencapaian Product Display'!I345</f>
        <v>40000</v>
      </c>
      <c r="J345" s="46"/>
      <c r="K345" s="46"/>
    </row>
    <row r="346" spans="2:11" s="45" customFormat="1" ht="14.5" customHeight="1" x14ac:dyDescent="0.2">
      <c r="E346" s="46"/>
      <c r="F346" s="46"/>
      <c r="G346" s="228" t="s">
        <v>415</v>
      </c>
      <c r="I346" s="128">
        <f>SUM(I315,I147,I95,I77,I40,I337)</f>
        <v>0</v>
      </c>
      <c r="J346" s="46"/>
      <c r="K346" s="46"/>
    </row>
    <row r="347" spans="2:11" ht="14.5" customHeight="1" x14ac:dyDescent="0.2">
      <c r="G347" s="228" t="s">
        <v>416</v>
      </c>
      <c r="H347" s="45"/>
      <c r="I347" s="128">
        <f>'Pencapaian Co-Branding'!I347</f>
        <v>0</v>
      </c>
      <c r="J347" s="46"/>
      <c r="K347" s="46"/>
    </row>
    <row r="348" spans="2:11" ht="14.5" customHeight="1" x14ac:dyDescent="0.2">
      <c r="G348" s="228" t="s">
        <v>417</v>
      </c>
      <c r="H348" s="45"/>
      <c r="I348" s="128">
        <f>'Pencapaian Join Event Activity'!I348</f>
        <v>50000</v>
      </c>
      <c r="J348" s="46"/>
      <c r="K348" s="46"/>
    </row>
    <row r="349" spans="2:11" ht="14.5" customHeight="1" x14ac:dyDescent="0.2">
      <c r="G349" s="228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47"/>
      <c r="I350" s="229"/>
      <c r="J350" s="46"/>
      <c r="K350" s="46"/>
    </row>
    <row r="351" spans="2:11" ht="14.5" customHeight="1" x14ac:dyDescent="0.2">
      <c r="G351" s="50" t="s">
        <v>62</v>
      </c>
      <c r="I351" s="235">
        <f>SUM(I339:I349)</f>
        <v>38916750</v>
      </c>
    </row>
    <row r="352" spans="2:11" ht="14.5" customHeight="1" x14ac:dyDescent="0.2"/>
    <row r="353" ht="14.5" customHeight="1" x14ac:dyDescent="0.2"/>
    <row r="354" ht="14.5" customHeight="1" x14ac:dyDescent="0.2"/>
  </sheetData>
  <mergeCells count="86">
    <mergeCell ref="B275:B280"/>
    <mergeCell ref="B282:B288"/>
    <mergeCell ref="B293:B299"/>
    <mergeCell ref="B300:B307"/>
    <mergeCell ref="B308:B313"/>
    <mergeCell ref="B289:B292"/>
    <mergeCell ref="K155:K156"/>
    <mergeCell ref="H155:H156"/>
    <mergeCell ref="I155:I156"/>
    <mergeCell ref="C155:C156"/>
    <mergeCell ref="D155:D156"/>
    <mergeCell ref="E155:F155"/>
    <mergeCell ref="G155:G156"/>
    <mergeCell ref="J155:J156"/>
    <mergeCell ref="I103:I104"/>
    <mergeCell ref="J103:J104"/>
    <mergeCell ref="K103:K104"/>
    <mergeCell ref="B105:B109"/>
    <mergeCell ref="C103:C104"/>
    <mergeCell ref="D103:D104"/>
    <mergeCell ref="E103:F103"/>
    <mergeCell ref="G103:G104"/>
    <mergeCell ref="C85:C86"/>
    <mergeCell ref="D85:D86"/>
    <mergeCell ref="E85:F85"/>
    <mergeCell ref="G85:G86"/>
    <mergeCell ref="H103:H104"/>
    <mergeCell ref="I85:I86"/>
    <mergeCell ref="B157:B165"/>
    <mergeCell ref="J48:J49"/>
    <mergeCell ref="K48:K49"/>
    <mergeCell ref="B50:B64"/>
    <mergeCell ref="B65:B71"/>
    <mergeCell ref="B72:B76"/>
    <mergeCell ref="B48:B49"/>
    <mergeCell ref="C48:C49"/>
    <mergeCell ref="D48:D49"/>
    <mergeCell ref="E48:F48"/>
    <mergeCell ref="G48:G49"/>
    <mergeCell ref="H48:H49"/>
    <mergeCell ref="J85:J86"/>
    <mergeCell ref="K85:K86"/>
    <mergeCell ref="B87:B90"/>
    <mergeCell ref="B191:B199"/>
    <mergeCell ref="B200:B215"/>
    <mergeCell ref="B216:B220"/>
    <mergeCell ref="K3:K4"/>
    <mergeCell ref="B5:B28"/>
    <mergeCell ref="B29:B34"/>
    <mergeCell ref="G3:G4"/>
    <mergeCell ref="H3:H4"/>
    <mergeCell ref="C3:C4"/>
    <mergeCell ref="D3:D4"/>
    <mergeCell ref="E3:F3"/>
    <mergeCell ref="I3:I4"/>
    <mergeCell ref="J3:J4"/>
    <mergeCell ref="H85:H86"/>
    <mergeCell ref="I48:I49"/>
    <mergeCell ref="B110:B115"/>
    <mergeCell ref="B35:B39"/>
    <mergeCell ref="B3:B4"/>
    <mergeCell ref="B166:B181"/>
    <mergeCell ref="B182:B189"/>
    <mergeCell ref="B116:B120"/>
    <mergeCell ref="B129:B133"/>
    <mergeCell ref="B155:B156"/>
    <mergeCell ref="B121:B128"/>
    <mergeCell ref="B91:B94"/>
    <mergeCell ref="B103:B104"/>
    <mergeCell ref="B134:B146"/>
    <mergeCell ref="B85:B86"/>
    <mergeCell ref="B221:B225"/>
    <mergeCell ref="B227:B242"/>
    <mergeCell ref="B243:B249"/>
    <mergeCell ref="B250:B258"/>
    <mergeCell ref="B260:B274"/>
    <mergeCell ref="H322:H323"/>
    <mergeCell ref="I322:I323"/>
    <mergeCell ref="J322:J323"/>
    <mergeCell ref="K322:K323"/>
    <mergeCell ref="B324:B336"/>
    <mergeCell ref="B322:B323"/>
    <mergeCell ref="C322:C323"/>
    <mergeCell ref="D322:D323"/>
    <mergeCell ref="E322:F322"/>
    <mergeCell ref="G322:G323"/>
  </mergeCells>
  <conditionalFormatting sqref="G22:G23">
    <cfRule type="cellIs" dxfId="11" priority="10" operator="greaterThan">
      <formula>1</formula>
    </cfRule>
    <cfRule type="cellIs" dxfId="10" priority="11" operator="greaterThan">
      <formula>0.7</formula>
    </cfRule>
    <cfRule type="cellIs" dxfId="9" priority="12" operator="lessThan">
      <formula>0.7</formula>
    </cfRule>
  </conditionalFormatting>
  <conditionalFormatting sqref="G61">
    <cfRule type="cellIs" dxfId="8" priority="4" operator="greaterThan">
      <formula>1</formula>
    </cfRule>
    <cfRule type="cellIs" dxfId="7" priority="5" operator="greaterThan">
      <formula>0.7</formula>
    </cfRule>
    <cfRule type="cellIs" dxfId="6" priority="6" operator="lessThan">
      <formula>0.7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4A7F-DEAC-46DF-B537-2E3945287576}">
  <dimension ref="B1:L357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G122" sqref="G122"/>
    </sheetView>
  </sheetViews>
  <sheetFormatPr baseColWidth="10" defaultColWidth="8.83203125" defaultRowHeight="15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2" customWidth="1"/>
    <col min="7" max="7" width="13.1640625" style="1" customWidth="1"/>
    <col min="8" max="8" width="10.83203125" customWidth="1"/>
    <col min="9" max="11" width="12.83203125" style="2" customWidth="1"/>
    <col min="12" max="12" width="3.5" customWidth="1"/>
  </cols>
  <sheetData>
    <row r="1" spans="2:11" ht="14.5" customHeight="1" x14ac:dyDescent="0.2">
      <c r="B1" s="4" t="s">
        <v>437</v>
      </c>
      <c r="C1" s="5"/>
      <c r="D1" s="5"/>
      <c r="E1" s="33"/>
      <c r="F1" s="33"/>
      <c r="G1" s="34"/>
    </row>
    <row r="2" spans="2:11" ht="14.5" customHeight="1" x14ac:dyDescent="0.2">
      <c r="B2" s="8"/>
      <c r="C2" s="8"/>
      <c r="D2" s="8"/>
      <c r="E2" s="35"/>
      <c r="F2" s="35"/>
      <c r="G2" s="34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385" t="s">
        <v>438</v>
      </c>
      <c r="F3" s="385"/>
      <c r="G3" s="417" t="s">
        <v>56</v>
      </c>
      <c r="H3" s="394" t="s">
        <v>3</v>
      </c>
      <c r="I3" s="398" t="s">
        <v>439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36" t="s">
        <v>77</v>
      </c>
      <c r="F4" s="54" t="s">
        <v>58</v>
      </c>
      <c r="G4" s="417"/>
      <c r="H4" s="394"/>
      <c r="I4" s="398"/>
      <c r="J4" s="398"/>
      <c r="K4" s="398"/>
    </row>
    <row r="5" spans="2:11" ht="14.5" customHeight="1" x14ac:dyDescent="0.2">
      <c r="B5" s="422" t="s">
        <v>13</v>
      </c>
      <c r="C5" s="117" t="s">
        <v>342</v>
      </c>
      <c r="D5" s="117" t="s">
        <v>233</v>
      </c>
      <c r="E5" s="170"/>
      <c r="F5" s="170"/>
      <c r="G5" s="122"/>
      <c r="H5" s="122"/>
      <c r="I5" s="122"/>
      <c r="J5" s="122"/>
      <c r="K5" s="122"/>
    </row>
    <row r="6" spans="2:11" ht="14.5" customHeight="1" x14ac:dyDescent="0.2">
      <c r="B6" s="422"/>
      <c r="C6" s="117" t="s">
        <v>343</v>
      </c>
      <c r="D6" s="117" t="s">
        <v>234</v>
      </c>
      <c r="E6" s="170"/>
      <c r="F6" s="170"/>
      <c r="G6" s="122"/>
      <c r="H6" s="122"/>
      <c r="I6" s="122"/>
      <c r="J6" s="122"/>
      <c r="K6" s="122"/>
    </row>
    <row r="7" spans="2:11" ht="14.5" customHeight="1" x14ac:dyDescent="0.2">
      <c r="B7" s="422"/>
      <c r="C7" s="117" t="s">
        <v>344</v>
      </c>
      <c r="D7" s="117" t="s">
        <v>235</v>
      </c>
      <c r="E7" s="170"/>
      <c r="F7" s="170"/>
      <c r="G7" s="122"/>
      <c r="H7" s="122"/>
      <c r="I7" s="122"/>
      <c r="J7" s="122"/>
      <c r="K7" s="122"/>
    </row>
    <row r="8" spans="2:11" ht="14.5" customHeight="1" x14ac:dyDescent="0.2">
      <c r="B8" s="422"/>
      <c r="C8" s="117" t="s">
        <v>345</v>
      </c>
      <c r="D8" s="117" t="s">
        <v>236</v>
      </c>
      <c r="E8" s="170"/>
      <c r="F8" s="170"/>
      <c r="G8" s="122"/>
      <c r="H8" s="122"/>
      <c r="I8" s="122"/>
      <c r="J8" s="122"/>
      <c r="K8" s="122"/>
    </row>
    <row r="9" spans="2:11" ht="14.5" customHeight="1" x14ac:dyDescent="0.2">
      <c r="B9" s="422"/>
      <c r="C9" s="117" t="s">
        <v>346</v>
      </c>
      <c r="D9" s="117" t="s">
        <v>237</v>
      </c>
      <c r="E9" s="170"/>
      <c r="F9" s="170"/>
      <c r="G9" s="122"/>
      <c r="H9" s="122"/>
      <c r="I9" s="122"/>
      <c r="J9" s="122"/>
      <c r="K9" s="122"/>
    </row>
    <row r="10" spans="2:11" ht="14.5" customHeight="1" x14ac:dyDescent="0.2">
      <c r="B10" s="422"/>
      <c r="C10" s="117" t="s">
        <v>347</v>
      </c>
      <c r="D10" s="117" t="s">
        <v>101</v>
      </c>
      <c r="E10" s="170"/>
      <c r="F10" s="170"/>
      <c r="G10" s="122"/>
      <c r="H10" s="122"/>
      <c r="I10" s="122"/>
      <c r="J10" s="122"/>
      <c r="K10" s="122"/>
    </row>
    <row r="11" spans="2:11" ht="14.5" customHeight="1" x14ac:dyDescent="0.2">
      <c r="B11" s="422"/>
      <c r="C11" s="117" t="s">
        <v>348</v>
      </c>
      <c r="D11" s="117" t="s">
        <v>157</v>
      </c>
      <c r="E11" s="170"/>
      <c r="F11" s="170"/>
      <c r="G11" s="122"/>
      <c r="H11" s="122"/>
      <c r="I11" s="122"/>
      <c r="J11" s="122"/>
      <c r="K11" s="122"/>
    </row>
    <row r="12" spans="2:11" ht="14.5" customHeight="1" x14ac:dyDescent="0.2">
      <c r="B12" s="422"/>
      <c r="C12" s="117" t="s">
        <v>349</v>
      </c>
      <c r="D12" s="117" t="s">
        <v>158</v>
      </c>
      <c r="E12" s="170"/>
      <c r="F12" s="170"/>
      <c r="G12" s="122"/>
      <c r="H12" s="122"/>
      <c r="I12" s="122"/>
      <c r="J12" s="122"/>
      <c r="K12" s="122"/>
    </row>
    <row r="13" spans="2:11" s="37" customFormat="1" ht="14.5" customHeight="1" x14ac:dyDescent="0.2">
      <c r="B13" s="422"/>
      <c r="C13" s="120"/>
      <c r="D13" s="120" t="s">
        <v>289</v>
      </c>
      <c r="E13" s="149"/>
      <c r="F13" s="149"/>
      <c r="G13" s="150"/>
      <c r="H13" s="151"/>
      <c r="I13" s="152"/>
      <c r="J13" s="152"/>
      <c r="K13" s="152"/>
    </row>
    <row r="14" spans="2:11" s="21" customFormat="1" ht="14.5" customHeight="1" x14ac:dyDescent="0.2">
      <c r="B14" s="422"/>
      <c r="C14" s="117" t="s">
        <v>350</v>
      </c>
      <c r="D14" s="117" t="s">
        <v>99</v>
      </c>
      <c r="E14" s="170"/>
      <c r="F14" s="170"/>
      <c r="G14" s="122"/>
      <c r="H14" s="122"/>
      <c r="I14" s="122"/>
      <c r="J14" s="122"/>
      <c r="K14" s="122"/>
    </row>
    <row r="15" spans="2:11" ht="14.5" customHeight="1" x14ac:dyDescent="0.2">
      <c r="B15" s="422"/>
      <c r="C15" s="117" t="s">
        <v>351</v>
      </c>
      <c r="D15" s="117" t="s">
        <v>100</v>
      </c>
      <c r="E15" s="170"/>
      <c r="F15" s="170"/>
      <c r="G15" s="122"/>
      <c r="H15" s="122"/>
      <c r="I15" s="122"/>
      <c r="J15" s="122"/>
      <c r="K15" s="122"/>
    </row>
    <row r="16" spans="2:11" ht="14.5" customHeight="1" x14ac:dyDescent="0.2">
      <c r="B16" s="422"/>
      <c r="C16" s="117" t="s">
        <v>352</v>
      </c>
      <c r="D16" s="117" t="s">
        <v>238</v>
      </c>
      <c r="E16" s="170"/>
      <c r="F16" s="170"/>
      <c r="G16" s="122"/>
      <c r="H16" s="122"/>
      <c r="I16" s="122"/>
      <c r="J16" s="122"/>
      <c r="K16" s="122"/>
    </row>
    <row r="17" spans="2:11" ht="14.5" customHeight="1" x14ac:dyDescent="0.2">
      <c r="B17" s="422"/>
      <c r="C17" s="117" t="s">
        <v>353</v>
      </c>
      <c r="D17" s="117" t="s">
        <v>239</v>
      </c>
      <c r="E17" s="170"/>
      <c r="F17" s="170"/>
      <c r="G17" s="122"/>
      <c r="H17" s="122"/>
      <c r="I17" s="122"/>
      <c r="J17" s="122"/>
      <c r="K17" s="122"/>
    </row>
    <row r="18" spans="2:11" ht="14.5" customHeight="1" x14ac:dyDescent="0.2">
      <c r="B18" s="422"/>
      <c r="C18" s="117" t="s">
        <v>354</v>
      </c>
      <c r="D18" s="117" t="s">
        <v>294</v>
      </c>
      <c r="E18" s="170"/>
      <c r="F18" s="170"/>
      <c r="G18" s="122"/>
      <c r="H18" s="122"/>
      <c r="I18" s="122"/>
      <c r="J18" s="122"/>
      <c r="K18" s="122"/>
    </row>
    <row r="19" spans="2:11" ht="14.5" customHeight="1" x14ac:dyDescent="0.2">
      <c r="B19" s="422"/>
      <c r="C19" s="117" t="s">
        <v>355</v>
      </c>
      <c r="D19" s="117" t="s">
        <v>273</v>
      </c>
      <c r="E19" s="170"/>
      <c r="F19" s="170"/>
      <c r="G19" s="122"/>
      <c r="H19" s="122"/>
      <c r="I19" s="122"/>
      <c r="J19" s="122"/>
      <c r="K19" s="122"/>
    </row>
    <row r="20" spans="2:11" ht="14.5" customHeight="1" x14ac:dyDescent="0.2">
      <c r="B20" s="422"/>
      <c r="C20" s="117"/>
      <c r="D20" s="117" t="s">
        <v>243</v>
      </c>
      <c r="E20" s="170"/>
      <c r="F20" s="170"/>
      <c r="G20" s="122"/>
      <c r="H20" s="122"/>
      <c r="I20" s="122"/>
      <c r="J20" s="122"/>
      <c r="K20" s="122"/>
    </row>
    <row r="21" spans="2:11" s="37" customFormat="1" ht="14.5" customHeight="1" x14ac:dyDescent="0.2">
      <c r="B21" s="422"/>
      <c r="C21" s="120"/>
      <c r="D21" s="120" t="s">
        <v>293</v>
      </c>
      <c r="E21" s="149"/>
      <c r="F21" s="149"/>
      <c r="G21" s="150"/>
      <c r="H21" s="151"/>
      <c r="I21" s="152"/>
      <c r="J21" s="152"/>
      <c r="K21" s="152"/>
    </row>
    <row r="22" spans="2:11" s="37" customFormat="1" ht="14.5" customHeight="1" x14ac:dyDescent="0.2">
      <c r="B22" s="422"/>
      <c r="C22" s="52" t="s">
        <v>356</v>
      </c>
      <c r="D22" s="52" t="s">
        <v>147</v>
      </c>
      <c r="E22" s="15">
        <v>0</v>
      </c>
      <c r="F22" s="15">
        <v>2</v>
      </c>
      <c r="G22" s="20">
        <f t="shared" ref="G22:G40" si="0">E22/F22*100%</f>
        <v>0</v>
      </c>
      <c r="H22" s="83" t="s">
        <v>468</v>
      </c>
      <c r="I22" s="15">
        <v>0</v>
      </c>
      <c r="J22" s="15">
        <f t="shared" ref="J22:J24" si="1">I22</f>
        <v>0</v>
      </c>
      <c r="K22" s="15">
        <v>0</v>
      </c>
    </row>
    <row r="23" spans="2:11" s="37" customFormat="1" ht="14.5" customHeight="1" x14ac:dyDescent="0.2">
      <c r="B23" s="422"/>
      <c r="C23" s="52" t="s">
        <v>357</v>
      </c>
      <c r="D23" s="52" t="s">
        <v>813</v>
      </c>
      <c r="E23" s="15">
        <v>0</v>
      </c>
      <c r="F23" s="15">
        <v>2</v>
      </c>
      <c r="G23" s="20">
        <f t="shared" si="0"/>
        <v>0</v>
      </c>
      <c r="H23" s="83" t="s">
        <v>468</v>
      </c>
      <c r="I23" s="15">
        <v>0</v>
      </c>
      <c r="J23" s="15">
        <f t="shared" si="1"/>
        <v>0</v>
      </c>
      <c r="K23" s="15">
        <v>0</v>
      </c>
    </row>
    <row r="24" spans="2:11" s="37" customFormat="1" ht="14.5" customHeight="1" x14ac:dyDescent="0.2">
      <c r="B24" s="422"/>
      <c r="C24" s="78"/>
      <c r="D24" s="78" t="s">
        <v>146</v>
      </c>
      <c r="E24" s="65">
        <f>SUM(E22:E23)</f>
        <v>0</v>
      </c>
      <c r="F24" s="65">
        <f>SUM(F22:F23)</f>
        <v>4</v>
      </c>
      <c r="G24" s="168">
        <f t="shared" si="0"/>
        <v>0</v>
      </c>
      <c r="H24" s="64" t="s">
        <v>20</v>
      </c>
      <c r="I24" s="63">
        <v>0</v>
      </c>
      <c r="J24" s="63">
        <f t="shared" si="1"/>
        <v>0</v>
      </c>
      <c r="K24" s="63">
        <v>0</v>
      </c>
    </row>
    <row r="25" spans="2:11" s="37" customFormat="1" ht="14.5" customHeight="1" x14ac:dyDescent="0.2">
      <c r="B25" s="422"/>
      <c r="C25" s="117" t="s">
        <v>358</v>
      </c>
      <c r="D25" s="117" t="s">
        <v>258</v>
      </c>
      <c r="E25" s="170"/>
      <c r="F25" s="170"/>
      <c r="G25" s="122"/>
      <c r="H25" s="122"/>
      <c r="I25" s="122"/>
      <c r="J25" s="122"/>
      <c r="K25" s="122"/>
    </row>
    <row r="26" spans="2:11" s="37" customFormat="1" ht="14.5" customHeight="1" x14ac:dyDescent="0.2">
      <c r="B26" s="422"/>
      <c r="C26" s="117" t="s">
        <v>525</v>
      </c>
      <c r="D26" s="117" t="s">
        <v>578</v>
      </c>
      <c r="E26" s="170"/>
      <c r="F26" s="170"/>
      <c r="G26" s="122"/>
      <c r="H26" s="122"/>
      <c r="I26" s="122"/>
      <c r="J26" s="122"/>
      <c r="K26" s="122"/>
    </row>
    <row r="27" spans="2:11" s="37" customFormat="1" ht="14.5" customHeight="1" x14ac:dyDescent="0.2">
      <c r="B27" s="422"/>
      <c r="C27" s="119"/>
      <c r="D27" s="119" t="s">
        <v>587</v>
      </c>
      <c r="E27" s="189"/>
      <c r="F27" s="189"/>
      <c r="G27" s="123"/>
      <c r="H27" s="123"/>
      <c r="I27" s="123"/>
      <c r="J27" s="123"/>
      <c r="K27" s="123"/>
    </row>
    <row r="28" spans="2:11" s="21" customFormat="1" ht="14.5" customHeight="1" x14ac:dyDescent="0.2">
      <c r="B28" s="422"/>
      <c r="C28" s="126"/>
      <c r="D28" s="126" t="s">
        <v>24</v>
      </c>
      <c r="E28" s="153">
        <f>SUM(E27,E24,E21,E13)</f>
        <v>0</v>
      </c>
      <c r="F28" s="153">
        <f>SUM(F27,F24,F21,F13)</f>
        <v>4</v>
      </c>
      <c r="G28" s="147">
        <f t="shared" si="0"/>
        <v>0</v>
      </c>
      <c r="H28" s="154"/>
      <c r="I28" s="148">
        <f>SUM(I5:I27)</f>
        <v>0</v>
      </c>
      <c r="J28" s="148">
        <f>SUM(J5:J27)</f>
        <v>0</v>
      </c>
      <c r="K28" s="148">
        <f>SUM(K5:K27)</f>
        <v>0</v>
      </c>
    </row>
    <row r="29" spans="2:11" ht="14.5" customHeight="1" x14ac:dyDescent="0.2">
      <c r="B29" s="422" t="s">
        <v>32</v>
      </c>
      <c r="C29" s="117" t="s">
        <v>359</v>
      </c>
      <c r="D29" s="117" t="s">
        <v>103</v>
      </c>
      <c r="E29" s="170"/>
      <c r="F29" s="170"/>
      <c r="G29" s="122"/>
      <c r="H29" s="122"/>
      <c r="I29" s="122"/>
      <c r="J29" s="122"/>
      <c r="K29" s="122"/>
    </row>
    <row r="30" spans="2:11" ht="14.5" customHeight="1" x14ac:dyDescent="0.2">
      <c r="B30" s="422"/>
      <c r="C30" s="117" t="s">
        <v>360</v>
      </c>
      <c r="D30" s="117" t="s">
        <v>104</v>
      </c>
      <c r="E30" s="170"/>
      <c r="F30" s="170"/>
      <c r="G30" s="122"/>
      <c r="H30" s="122"/>
      <c r="I30" s="122"/>
      <c r="J30" s="122"/>
      <c r="K30" s="122"/>
    </row>
    <row r="31" spans="2:11" ht="14.5" customHeight="1" x14ac:dyDescent="0.2">
      <c r="B31" s="422"/>
      <c r="C31" s="117"/>
      <c r="D31" s="117" t="s">
        <v>148</v>
      </c>
      <c r="E31" s="170"/>
      <c r="F31" s="170"/>
      <c r="G31" s="122"/>
      <c r="H31" s="122"/>
      <c r="I31" s="122"/>
      <c r="J31" s="122"/>
      <c r="K31" s="122"/>
    </row>
    <row r="32" spans="2:11" ht="14.5" customHeight="1" x14ac:dyDescent="0.2">
      <c r="B32" s="422"/>
      <c r="C32" s="117" t="s">
        <v>361</v>
      </c>
      <c r="D32" s="117" t="s">
        <v>295</v>
      </c>
      <c r="E32" s="170"/>
      <c r="F32" s="170"/>
      <c r="G32" s="122"/>
      <c r="H32" s="122"/>
      <c r="I32" s="122"/>
      <c r="J32" s="122"/>
      <c r="K32" s="122"/>
    </row>
    <row r="33" spans="2:11" s="37" customFormat="1" ht="14.5" customHeight="1" x14ac:dyDescent="0.2">
      <c r="B33" s="422"/>
      <c r="C33" s="120"/>
      <c r="D33" s="120" t="s">
        <v>72</v>
      </c>
      <c r="E33" s="149"/>
      <c r="F33" s="149"/>
      <c r="G33" s="150"/>
      <c r="H33" s="151"/>
      <c r="I33" s="152"/>
      <c r="J33" s="152"/>
      <c r="K33" s="152"/>
    </row>
    <row r="34" spans="2:11" ht="14.5" customHeight="1" x14ac:dyDescent="0.2">
      <c r="B34" s="422"/>
      <c r="C34" s="121"/>
      <c r="D34" s="121" t="s">
        <v>34</v>
      </c>
      <c r="E34" s="155"/>
      <c r="F34" s="155"/>
      <c r="G34" s="147"/>
      <c r="H34" s="156"/>
      <c r="I34" s="157"/>
      <c r="J34" s="157"/>
      <c r="K34" s="157"/>
    </row>
    <row r="35" spans="2:11" ht="14.5" customHeight="1" x14ac:dyDescent="0.2">
      <c r="B35" s="422" t="s">
        <v>256</v>
      </c>
      <c r="C35" s="118" t="s">
        <v>362</v>
      </c>
      <c r="D35" s="118" t="s">
        <v>106</v>
      </c>
      <c r="E35" s="170"/>
      <c r="F35" s="170"/>
      <c r="G35" s="122"/>
      <c r="H35" s="122"/>
      <c r="I35" s="122"/>
      <c r="J35" s="122"/>
      <c r="K35" s="122"/>
    </row>
    <row r="36" spans="2:11" ht="14.5" customHeight="1" x14ac:dyDescent="0.2">
      <c r="B36" s="422"/>
      <c r="C36" s="117" t="s">
        <v>363</v>
      </c>
      <c r="D36" s="117" t="s">
        <v>298</v>
      </c>
      <c r="E36" s="170"/>
      <c r="F36" s="170"/>
      <c r="G36" s="122"/>
      <c r="H36" s="122"/>
      <c r="I36" s="122"/>
      <c r="J36" s="122"/>
      <c r="K36" s="122"/>
    </row>
    <row r="37" spans="2:11" ht="14.5" customHeight="1" x14ac:dyDescent="0.2">
      <c r="B37" s="422"/>
      <c r="C37" s="117" t="s">
        <v>364</v>
      </c>
      <c r="D37" s="117" t="s">
        <v>274</v>
      </c>
      <c r="E37" s="170"/>
      <c r="F37" s="170"/>
      <c r="G37" s="122"/>
      <c r="H37" s="122"/>
      <c r="I37" s="122"/>
      <c r="J37" s="122"/>
      <c r="K37" s="122"/>
    </row>
    <row r="38" spans="2:11" s="37" customFormat="1" ht="14.5" customHeight="1" x14ac:dyDescent="0.2">
      <c r="B38" s="422"/>
      <c r="C38" s="120"/>
      <c r="D38" s="120" t="s">
        <v>259</v>
      </c>
      <c r="E38" s="189"/>
      <c r="F38" s="189"/>
      <c r="G38" s="123"/>
      <c r="H38" s="123"/>
      <c r="I38" s="123"/>
      <c r="J38" s="123"/>
      <c r="K38" s="123"/>
    </row>
    <row r="39" spans="2:11" ht="14.5" customHeight="1" x14ac:dyDescent="0.2">
      <c r="B39" s="422"/>
      <c r="C39" s="121"/>
      <c r="D39" s="121" t="s">
        <v>257</v>
      </c>
      <c r="E39" s="190"/>
      <c r="F39" s="190"/>
      <c r="G39" s="124"/>
      <c r="H39" s="124"/>
      <c r="I39" s="124"/>
      <c r="J39" s="124"/>
      <c r="K39" s="124"/>
    </row>
    <row r="40" spans="2:11" s="21" customFormat="1" ht="14.5" customHeight="1" x14ac:dyDescent="0.2">
      <c r="B40" s="144"/>
      <c r="C40" s="126"/>
      <c r="D40" s="126" t="s">
        <v>110</v>
      </c>
      <c r="E40" s="148">
        <f>SUM(E39,E34,E28)</f>
        <v>0</v>
      </c>
      <c r="F40" s="148">
        <f>SUM(F39,F34,F28)</f>
        <v>4</v>
      </c>
      <c r="G40" s="147">
        <f t="shared" si="0"/>
        <v>0</v>
      </c>
      <c r="H40" s="154"/>
      <c r="I40" s="148">
        <f>SUM(I39,I34,I28)</f>
        <v>0</v>
      </c>
      <c r="J40" s="148">
        <f t="shared" ref="J40:K40" si="2">SUM(J39,J34,J28)</f>
        <v>0</v>
      </c>
      <c r="K40" s="148">
        <f t="shared" si="2"/>
        <v>0</v>
      </c>
    </row>
    <row r="41" spans="2:11" ht="14.5" customHeight="1" x14ac:dyDescent="0.2"/>
    <row r="42" spans="2:11" ht="14.5" customHeight="1" x14ac:dyDescent="0.2"/>
    <row r="43" spans="2:11" ht="14.5" customHeight="1" x14ac:dyDescent="0.2"/>
    <row r="44" spans="2:11" ht="14.5" customHeight="1" x14ac:dyDescent="0.2"/>
    <row r="46" spans="2:11" ht="14.5" customHeight="1" x14ac:dyDescent="0.2">
      <c r="B46" s="4" t="s">
        <v>440</v>
      </c>
      <c r="C46" s="5"/>
      <c r="D46" s="5"/>
      <c r="E46" s="33"/>
      <c r="F46" s="33"/>
      <c r="G46" s="34"/>
    </row>
    <row r="47" spans="2:11" ht="14.5" customHeight="1" x14ac:dyDescent="0.2">
      <c r="B47" s="8"/>
      <c r="C47" s="8"/>
      <c r="D47" s="8"/>
      <c r="E47" s="35"/>
      <c r="F47" s="35"/>
      <c r="G47" s="34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385" t="s">
        <v>438</v>
      </c>
      <c r="F48" s="385"/>
      <c r="G48" s="417" t="s">
        <v>56</v>
      </c>
      <c r="H48" s="394" t="s">
        <v>3</v>
      </c>
      <c r="I48" s="398" t="s">
        <v>439</v>
      </c>
      <c r="J48" s="398" t="s">
        <v>8</v>
      </c>
      <c r="K48" s="398" t="s">
        <v>75</v>
      </c>
    </row>
    <row r="49" spans="2:11" ht="14.5" customHeight="1" x14ac:dyDescent="0.2">
      <c r="B49" s="388"/>
      <c r="C49" s="388"/>
      <c r="D49" s="388"/>
      <c r="E49" s="36" t="s">
        <v>77</v>
      </c>
      <c r="F49" s="54" t="s">
        <v>58</v>
      </c>
      <c r="G49" s="417"/>
      <c r="H49" s="394"/>
      <c r="I49" s="398"/>
      <c r="J49" s="398"/>
      <c r="K49" s="398"/>
    </row>
    <row r="50" spans="2:11" ht="14.5" customHeight="1" x14ac:dyDescent="0.2">
      <c r="B50" s="422" t="s">
        <v>25</v>
      </c>
      <c r="C50" s="193"/>
      <c r="D50" s="193" t="s">
        <v>148</v>
      </c>
      <c r="E50" s="170"/>
      <c r="F50" s="170"/>
      <c r="G50" s="122"/>
      <c r="H50" s="122"/>
      <c r="I50" s="122"/>
      <c r="J50" s="122"/>
      <c r="K50" s="122"/>
    </row>
    <row r="51" spans="2:11" s="21" customFormat="1" ht="14.5" customHeight="1" x14ac:dyDescent="0.2">
      <c r="B51" s="422"/>
      <c r="C51" s="117" t="s">
        <v>365</v>
      </c>
      <c r="D51" s="117" t="s">
        <v>151</v>
      </c>
      <c r="E51" s="170"/>
      <c r="F51" s="170"/>
      <c r="G51" s="122"/>
      <c r="H51" s="122"/>
      <c r="I51" s="122"/>
      <c r="J51" s="122"/>
      <c r="K51" s="122"/>
    </row>
    <row r="52" spans="2:11" ht="14.5" customHeight="1" x14ac:dyDescent="0.2">
      <c r="B52" s="422"/>
      <c r="C52" s="117" t="s">
        <v>366</v>
      </c>
      <c r="D52" s="117" t="s">
        <v>241</v>
      </c>
      <c r="E52" s="170"/>
      <c r="F52" s="170"/>
      <c r="G52" s="122"/>
      <c r="H52" s="122"/>
      <c r="I52" s="122"/>
      <c r="J52" s="122"/>
      <c r="K52" s="122"/>
    </row>
    <row r="53" spans="2:11" ht="14.5" customHeight="1" x14ac:dyDescent="0.2">
      <c r="B53" s="422"/>
      <c r="C53" s="117" t="s">
        <v>368</v>
      </c>
      <c r="D53" s="117" t="s">
        <v>107</v>
      </c>
      <c r="E53" s="170"/>
      <c r="F53" s="170"/>
      <c r="G53" s="122"/>
      <c r="H53" s="122"/>
      <c r="I53" s="122"/>
      <c r="J53" s="122"/>
      <c r="K53" s="122"/>
    </row>
    <row r="54" spans="2:11" ht="14.5" customHeight="1" x14ac:dyDescent="0.2">
      <c r="B54" s="422"/>
      <c r="C54" s="117" t="s">
        <v>369</v>
      </c>
      <c r="D54" s="117" t="s">
        <v>262</v>
      </c>
      <c r="E54" s="170"/>
      <c r="F54" s="170"/>
      <c r="G54" s="122"/>
      <c r="H54" s="122"/>
      <c r="I54" s="122"/>
      <c r="J54" s="122"/>
      <c r="K54" s="122"/>
    </row>
    <row r="55" spans="2:11" s="37" customFormat="1" ht="14.5" customHeight="1" x14ac:dyDescent="0.2">
      <c r="B55" s="422"/>
      <c r="C55" s="120"/>
      <c r="D55" s="120" t="s">
        <v>177</v>
      </c>
      <c r="E55" s="149"/>
      <c r="F55" s="149"/>
      <c r="G55" s="150"/>
      <c r="H55" s="151"/>
      <c r="I55" s="152"/>
      <c r="J55" s="152"/>
      <c r="K55" s="152"/>
    </row>
    <row r="56" spans="2:11" ht="14.5" customHeight="1" x14ac:dyDescent="0.2">
      <c r="B56" s="422"/>
      <c r="C56" s="117" t="s">
        <v>370</v>
      </c>
      <c r="D56" s="117" t="s">
        <v>244</v>
      </c>
      <c r="E56" s="170"/>
      <c r="F56" s="170"/>
      <c r="G56" s="122"/>
      <c r="H56" s="122"/>
      <c r="I56" s="122"/>
      <c r="J56" s="122"/>
      <c r="K56" s="122"/>
    </row>
    <row r="57" spans="2:11" ht="14.5" customHeight="1" x14ac:dyDescent="0.2">
      <c r="B57" s="422"/>
      <c r="C57" s="117" t="s">
        <v>367</v>
      </c>
      <c r="D57" s="117" t="s">
        <v>242</v>
      </c>
      <c r="E57" s="170"/>
      <c r="F57" s="170"/>
      <c r="G57" s="122"/>
      <c r="H57" s="122"/>
      <c r="I57" s="122"/>
      <c r="J57" s="122"/>
      <c r="K57" s="122"/>
    </row>
    <row r="58" spans="2:11" ht="14.5" customHeight="1" x14ac:dyDescent="0.2">
      <c r="B58" s="422"/>
      <c r="C58" s="117"/>
      <c r="D58" s="117" t="s">
        <v>148</v>
      </c>
      <c r="E58" s="170"/>
      <c r="F58" s="170"/>
      <c r="G58" s="122"/>
      <c r="H58" s="122"/>
      <c r="I58" s="122"/>
      <c r="J58" s="122"/>
      <c r="K58" s="122"/>
    </row>
    <row r="59" spans="2:11" ht="14.5" customHeight="1" x14ac:dyDescent="0.2">
      <c r="B59" s="422"/>
      <c r="C59" s="117" t="s">
        <v>371</v>
      </c>
      <c r="D59" s="117" t="s">
        <v>303</v>
      </c>
      <c r="E59" s="170"/>
      <c r="F59" s="170"/>
      <c r="G59" s="122"/>
      <c r="H59" s="122"/>
      <c r="I59" s="122"/>
      <c r="J59" s="122"/>
      <c r="K59" s="122"/>
    </row>
    <row r="60" spans="2:11" ht="14.5" customHeight="1" x14ac:dyDescent="0.2">
      <c r="B60" s="422"/>
      <c r="C60" s="117" t="s">
        <v>372</v>
      </c>
      <c r="D60" s="117" t="s">
        <v>108</v>
      </c>
      <c r="E60" s="170"/>
      <c r="F60" s="170"/>
      <c r="G60" s="122"/>
      <c r="H60" s="122"/>
      <c r="I60" s="122"/>
      <c r="J60" s="122"/>
      <c r="K60" s="122"/>
    </row>
    <row r="61" spans="2:11" ht="14.5" customHeight="1" x14ac:dyDescent="0.2">
      <c r="B61" s="422"/>
      <c r="C61" s="52" t="s">
        <v>373</v>
      </c>
      <c r="D61" s="52" t="s">
        <v>268</v>
      </c>
      <c r="E61" s="15">
        <v>0</v>
      </c>
      <c r="F61" s="15">
        <v>5</v>
      </c>
      <c r="G61" s="20">
        <f t="shared" ref="G61:G62" si="3">E61/F61*100%</f>
        <v>0</v>
      </c>
      <c r="H61" s="83" t="s">
        <v>468</v>
      </c>
      <c r="I61" s="15">
        <v>0</v>
      </c>
      <c r="J61" s="15">
        <f>I61</f>
        <v>0</v>
      </c>
      <c r="K61" s="15">
        <v>0</v>
      </c>
    </row>
    <row r="62" spans="2:11" s="37" customFormat="1" ht="14.5" customHeight="1" x14ac:dyDescent="0.2">
      <c r="B62" s="422"/>
      <c r="C62" s="120"/>
      <c r="D62" s="120" t="s">
        <v>177</v>
      </c>
      <c r="E62" s="149">
        <f>SUM(E56:E61)</f>
        <v>0</v>
      </c>
      <c r="F62" s="149">
        <f>SUM(F56:F61)</f>
        <v>5</v>
      </c>
      <c r="G62" s="150">
        <f t="shared" si="3"/>
        <v>0</v>
      </c>
      <c r="H62" s="151"/>
      <c r="I62" s="152"/>
      <c r="J62" s="152"/>
      <c r="K62" s="152"/>
    </row>
    <row r="63" spans="2:11" ht="14.5" customHeight="1" x14ac:dyDescent="0.2">
      <c r="B63" s="422"/>
      <c r="C63" s="117" t="s">
        <v>374</v>
      </c>
      <c r="D63" s="117" t="s">
        <v>249</v>
      </c>
      <c r="E63" s="170"/>
      <c r="F63" s="170"/>
      <c r="G63" s="122"/>
      <c r="H63" s="122"/>
      <c r="I63" s="122"/>
      <c r="J63" s="122"/>
      <c r="K63" s="122"/>
    </row>
    <row r="64" spans="2:11" s="21" customFormat="1" ht="14.5" customHeight="1" x14ac:dyDescent="0.2">
      <c r="B64" s="422"/>
      <c r="C64" s="126"/>
      <c r="D64" s="126" t="s">
        <v>30</v>
      </c>
      <c r="E64" s="153">
        <f>SUM(E63,E62,E55)</f>
        <v>0</v>
      </c>
      <c r="F64" s="153">
        <f>SUM(F63,F62,F55)</f>
        <v>5</v>
      </c>
      <c r="G64" s="147">
        <f t="shared" ref="G64" si="4">E64/F64*100%</f>
        <v>0</v>
      </c>
      <c r="H64" s="154"/>
      <c r="I64" s="148">
        <f>SUM(I50:I63)</f>
        <v>0</v>
      </c>
      <c r="J64" s="148">
        <f t="shared" ref="J64:K64" si="5">SUM(J50:J63)</f>
        <v>0</v>
      </c>
      <c r="K64" s="148">
        <f t="shared" si="5"/>
        <v>0</v>
      </c>
    </row>
    <row r="65" spans="2:11" ht="14.5" customHeight="1" x14ac:dyDescent="0.2">
      <c r="B65" s="422" t="s">
        <v>59</v>
      </c>
      <c r="C65" s="117" t="s">
        <v>375</v>
      </c>
      <c r="D65" s="117" t="s">
        <v>211</v>
      </c>
      <c r="E65" s="170"/>
      <c r="F65" s="170"/>
      <c r="G65" s="122"/>
      <c r="H65" s="122"/>
      <c r="I65" s="122"/>
      <c r="J65" s="178"/>
      <c r="K65" s="178"/>
    </row>
    <row r="66" spans="2:11" ht="14.5" customHeight="1" x14ac:dyDescent="0.2">
      <c r="B66" s="422"/>
      <c r="C66" s="117" t="s">
        <v>376</v>
      </c>
      <c r="D66" s="117" t="s">
        <v>145</v>
      </c>
      <c r="E66" s="170"/>
      <c r="F66" s="170"/>
      <c r="G66" s="122"/>
      <c r="H66" s="122"/>
      <c r="I66" s="122"/>
      <c r="J66" s="178"/>
      <c r="K66" s="178"/>
    </row>
    <row r="67" spans="2:11" ht="14.5" customHeight="1" x14ac:dyDescent="0.2">
      <c r="B67" s="422"/>
      <c r="C67" s="117" t="s">
        <v>377</v>
      </c>
      <c r="D67" s="117" t="s">
        <v>287</v>
      </c>
      <c r="E67" s="170"/>
      <c r="F67" s="170"/>
      <c r="G67" s="122"/>
      <c r="H67" s="122"/>
      <c r="I67" s="122"/>
      <c r="J67" s="178"/>
      <c r="K67" s="178"/>
    </row>
    <row r="68" spans="2:11" ht="14.5" customHeight="1" x14ac:dyDescent="0.2">
      <c r="B68" s="422"/>
      <c r="C68" s="117" t="s">
        <v>379</v>
      </c>
      <c r="D68" s="117" t="s">
        <v>380</v>
      </c>
      <c r="E68" s="170"/>
      <c r="F68" s="170"/>
      <c r="G68" s="122"/>
      <c r="H68" s="122"/>
      <c r="I68" s="122"/>
      <c r="J68" s="178"/>
      <c r="K68" s="178"/>
    </row>
    <row r="69" spans="2:11" ht="14.5" customHeight="1" x14ac:dyDescent="0.2">
      <c r="B69" s="422"/>
      <c r="C69" s="117" t="s">
        <v>378</v>
      </c>
      <c r="D69" s="117" t="s">
        <v>210</v>
      </c>
      <c r="E69" s="170"/>
      <c r="F69" s="170"/>
      <c r="G69" s="122"/>
      <c r="H69" s="122"/>
      <c r="I69" s="122"/>
      <c r="J69" s="178"/>
      <c r="K69" s="178"/>
    </row>
    <row r="70" spans="2:11" s="37" customFormat="1" ht="14.5" customHeight="1" x14ac:dyDescent="0.2">
      <c r="B70" s="422"/>
      <c r="C70" s="120"/>
      <c r="D70" s="120" t="s">
        <v>74</v>
      </c>
      <c r="E70" s="149"/>
      <c r="F70" s="149"/>
      <c r="G70" s="150"/>
      <c r="H70" s="151"/>
      <c r="I70" s="152"/>
      <c r="J70" s="152"/>
      <c r="K70" s="152"/>
    </row>
    <row r="71" spans="2:11" ht="14.5" customHeight="1" x14ac:dyDescent="0.2">
      <c r="B71" s="422"/>
      <c r="C71" s="121"/>
      <c r="D71" s="121" t="s">
        <v>36</v>
      </c>
      <c r="E71" s="155"/>
      <c r="F71" s="155"/>
      <c r="G71" s="147"/>
      <c r="H71" s="156"/>
      <c r="I71" s="157"/>
      <c r="J71" s="157"/>
      <c r="K71" s="157"/>
    </row>
    <row r="72" spans="2:11" ht="14.5" customHeight="1" x14ac:dyDescent="0.2">
      <c r="B72" s="422" t="s">
        <v>131</v>
      </c>
      <c r="C72" s="118" t="s">
        <v>381</v>
      </c>
      <c r="D72" s="118" t="s">
        <v>132</v>
      </c>
      <c r="E72" s="170"/>
      <c r="F72" s="170"/>
      <c r="G72" s="122"/>
      <c r="H72" s="122"/>
      <c r="I72" s="122"/>
      <c r="J72" s="122"/>
      <c r="K72" s="122"/>
    </row>
    <row r="73" spans="2:11" ht="14.5" customHeight="1" x14ac:dyDescent="0.2">
      <c r="B73" s="422"/>
      <c r="C73" s="117" t="s">
        <v>382</v>
      </c>
      <c r="D73" s="117" t="s">
        <v>667</v>
      </c>
      <c r="E73" s="170"/>
      <c r="F73" s="170"/>
      <c r="G73" s="122"/>
      <c r="H73" s="122"/>
      <c r="I73" s="122"/>
      <c r="J73" s="122"/>
      <c r="K73" s="122"/>
    </row>
    <row r="74" spans="2:11" ht="14.5" customHeight="1" x14ac:dyDescent="0.2">
      <c r="B74" s="422"/>
      <c r="C74" s="117" t="s">
        <v>383</v>
      </c>
      <c r="D74" s="117" t="s">
        <v>613</v>
      </c>
      <c r="E74" s="170"/>
      <c r="F74" s="170"/>
      <c r="G74" s="122"/>
      <c r="H74" s="122"/>
      <c r="I74" s="122"/>
      <c r="J74" s="122"/>
      <c r="K74" s="122"/>
    </row>
    <row r="75" spans="2:11" s="37" customFormat="1" ht="14.5" customHeight="1" x14ac:dyDescent="0.2">
      <c r="B75" s="422"/>
      <c r="C75" s="120"/>
      <c r="D75" s="120" t="s">
        <v>483</v>
      </c>
      <c r="E75" s="189"/>
      <c r="F75" s="189"/>
      <c r="G75" s="123"/>
      <c r="H75" s="123"/>
      <c r="I75" s="123"/>
      <c r="J75" s="123"/>
      <c r="K75" s="123"/>
    </row>
    <row r="76" spans="2:11" ht="14.5" customHeight="1" x14ac:dyDescent="0.2">
      <c r="B76" s="422"/>
      <c r="C76" s="121"/>
      <c r="D76" s="121" t="s">
        <v>133</v>
      </c>
      <c r="E76" s="190"/>
      <c r="F76" s="190"/>
      <c r="G76" s="124"/>
      <c r="H76" s="124"/>
      <c r="I76" s="124"/>
      <c r="J76" s="124"/>
      <c r="K76" s="124"/>
    </row>
    <row r="77" spans="2:11" s="21" customFormat="1" ht="14.5" customHeight="1" x14ac:dyDescent="0.2">
      <c r="B77" s="144"/>
      <c r="C77" s="126"/>
      <c r="D77" s="126" t="s">
        <v>109</v>
      </c>
      <c r="E77" s="148">
        <f>SUM(E76,E71,E64)</f>
        <v>0</v>
      </c>
      <c r="F77" s="148">
        <f>SUM(F76,F71,F64)</f>
        <v>5</v>
      </c>
      <c r="G77" s="147">
        <f t="shared" ref="G77" si="6">E77/F77*100%</f>
        <v>0</v>
      </c>
      <c r="H77" s="154"/>
      <c r="I77" s="148">
        <f>SUM(I76,I71,I64)</f>
        <v>0</v>
      </c>
      <c r="J77" s="148">
        <f t="shared" ref="J77:K77" si="7">SUM(J76,J71,J64)</f>
        <v>0</v>
      </c>
      <c r="K77" s="148">
        <f t="shared" si="7"/>
        <v>0</v>
      </c>
    </row>
    <row r="78" spans="2:11" ht="14.5" customHeight="1" x14ac:dyDescent="0.2"/>
    <row r="79" spans="2:11" ht="14.5" customHeight="1" x14ac:dyDescent="0.2"/>
    <row r="80" spans="2:11" ht="14.5" customHeight="1" x14ac:dyDescent="0.2"/>
    <row r="81" spans="2:11" ht="14.5" customHeight="1" x14ac:dyDescent="0.2"/>
    <row r="83" spans="2:11" ht="14.5" customHeight="1" x14ac:dyDescent="0.2">
      <c r="B83" s="4" t="s">
        <v>441</v>
      </c>
      <c r="C83" s="5"/>
      <c r="D83" s="5"/>
      <c r="E83" s="33"/>
      <c r="F83" s="33"/>
      <c r="G83" s="34"/>
    </row>
    <row r="84" spans="2:11" ht="14.5" customHeight="1" x14ac:dyDescent="0.2">
      <c r="B84" s="8"/>
      <c r="C84" s="8"/>
      <c r="D84" s="8"/>
      <c r="E84" s="35"/>
      <c r="F84" s="35"/>
      <c r="G84" s="34"/>
    </row>
    <row r="85" spans="2:11" ht="14.5" customHeight="1" x14ac:dyDescent="0.2">
      <c r="B85" s="388" t="s">
        <v>0</v>
      </c>
      <c r="C85" s="388" t="s">
        <v>270</v>
      </c>
      <c r="D85" s="388" t="s">
        <v>2</v>
      </c>
      <c r="E85" s="385" t="s">
        <v>438</v>
      </c>
      <c r="F85" s="385"/>
      <c r="G85" s="417" t="s">
        <v>56</v>
      </c>
      <c r="H85" s="394" t="s">
        <v>3</v>
      </c>
      <c r="I85" s="398" t="s">
        <v>439</v>
      </c>
      <c r="J85" s="398" t="s">
        <v>8</v>
      </c>
      <c r="K85" s="398" t="s">
        <v>75</v>
      </c>
    </row>
    <row r="86" spans="2:11" ht="14.5" customHeight="1" x14ac:dyDescent="0.2">
      <c r="B86" s="388"/>
      <c r="C86" s="388"/>
      <c r="D86" s="388"/>
      <c r="E86" s="36" t="s">
        <v>77</v>
      </c>
      <c r="F86" s="54" t="s">
        <v>58</v>
      </c>
      <c r="G86" s="417"/>
      <c r="H86" s="394"/>
      <c r="I86" s="398"/>
      <c r="J86" s="398"/>
      <c r="K86" s="398"/>
    </row>
    <row r="87" spans="2:11" ht="14.5" customHeight="1" x14ac:dyDescent="0.2">
      <c r="B87" s="422" t="s">
        <v>37</v>
      </c>
      <c r="C87" s="118" t="s">
        <v>385</v>
      </c>
      <c r="D87" s="118" t="s">
        <v>98</v>
      </c>
      <c r="E87" s="170"/>
      <c r="F87" s="170"/>
      <c r="G87" s="122"/>
      <c r="H87" s="122"/>
      <c r="I87" s="122"/>
      <c r="J87" s="122"/>
      <c r="K87" s="122"/>
    </row>
    <row r="88" spans="2:11" ht="14.5" customHeight="1" x14ac:dyDescent="0.2">
      <c r="B88" s="422"/>
      <c r="C88" s="117" t="s">
        <v>384</v>
      </c>
      <c r="D88" s="117" t="s">
        <v>310</v>
      </c>
      <c r="E88" s="170"/>
      <c r="F88" s="170"/>
      <c r="G88" s="122"/>
      <c r="H88" s="122"/>
      <c r="I88" s="122"/>
      <c r="J88" s="122"/>
      <c r="K88" s="122"/>
    </row>
    <row r="89" spans="2:11" s="37" customFormat="1" ht="14.5" customHeight="1" x14ac:dyDescent="0.2">
      <c r="B89" s="422"/>
      <c r="C89" s="120"/>
      <c r="D89" s="120" t="s">
        <v>230</v>
      </c>
      <c r="E89" s="189"/>
      <c r="F89" s="189"/>
      <c r="G89" s="123"/>
      <c r="H89" s="123"/>
      <c r="I89" s="123"/>
      <c r="J89" s="123"/>
      <c r="K89" s="123"/>
    </row>
    <row r="90" spans="2:11" ht="14.5" customHeight="1" x14ac:dyDescent="0.2">
      <c r="B90" s="422"/>
      <c r="C90" s="121"/>
      <c r="D90" s="121" t="s">
        <v>38</v>
      </c>
      <c r="E90" s="190"/>
      <c r="F90" s="190"/>
      <c r="G90" s="124"/>
      <c r="H90" s="124"/>
      <c r="I90" s="124"/>
      <c r="J90" s="124"/>
      <c r="K90" s="124"/>
    </row>
    <row r="91" spans="2:11" s="21" customFormat="1" ht="14.5" customHeight="1" x14ac:dyDescent="0.2">
      <c r="B91" s="422" t="s">
        <v>614</v>
      </c>
      <c r="C91" s="116" t="s">
        <v>386</v>
      </c>
      <c r="D91" s="116" t="s">
        <v>265</v>
      </c>
      <c r="E91" s="170"/>
      <c r="F91" s="170"/>
      <c r="G91" s="122"/>
      <c r="H91" s="122"/>
      <c r="I91" s="122"/>
      <c r="J91" s="122"/>
      <c r="K91" s="122"/>
    </row>
    <row r="92" spans="2:11" ht="14.5" customHeight="1" x14ac:dyDescent="0.2">
      <c r="B92" s="422"/>
      <c r="C92" s="117" t="s">
        <v>387</v>
      </c>
      <c r="D92" s="117" t="s">
        <v>97</v>
      </c>
      <c r="E92" s="170"/>
      <c r="F92" s="170"/>
      <c r="G92" s="122"/>
      <c r="H92" s="122"/>
      <c r="I92" s="122"/>
      <c r="J92" s="122"/>
      <c r="K92" s="122"/>
    </row>
    <row r="93" spans="2:11" s="37" customFormat="1" ht="14.5" customHeight="1" x14ac:dyDescent="0.2">
      <c r="B93" s="422"/>
      <c r="C93" s="119"/>
      <c r="D93" s="119" t="s">
        <v>497</v>
      </c>
      <c r="E93" s="189"/>
      <c r="F93" s="189"/>
      <c r="G93" s="123"/>
      <c r="H93" s="123"/>
      <c r="I93" s="123"/>
      <c r="J93" s="123"/>
      <c r="K93" s="123"/>
    </row>
    <row r="94" spans="2:11" ht="14.5" customHeight="1" x14ac:dyDescent="0.2">
      <c r="B94" s="422"/>
      <c r="C94" s="121"/>
      <c r="D94" s="121" t="s">
        <v>615</v>
      </c>
      <c r="E94" s="190"/>
      <c r="F94" s="190"/>
      <c r="G94" s="124"/>
      <c r="H94" s="124"/>
      <c r="I94" s="124"/>
      <c r="J94" s="124"/>
      <c r="K94" s="124"/>
    </row>
    <row r="95" spans="2:11" s="21" customFormat="1" ht="14.5" customHeight="1" x14ac:dyDescent="0.2">
      <c r="B95" s="144"/>
      <c r="C95" s="126"/>
      <c r="D95" s="126" t="s">
        <v>219</v>
      </c>
      <c r="E95" s="148"/>
      <c r="F95" s="148"/>
      <c r="G95" s="147"/>
      <c r="H95" s="154"/>
      <c r="I95" s="146"/>
      <c r="J95" s="146"/>
      <c r="K95" s="146"/>
    </row>
    <row r="96" spans="2:11" ht="14.5" customHeight="1" x14ac:dyDescent="0.2"/>
    <row r="97" spans="2:12" ht="14.5" customHeight="1" x14ac:dyDescent="0.2"/>
    <row r="98" spans="2:12" ht="14.5" customHeight="1" x14ac:dyDescent="0.2"/>
    <row r="99" spans="2:12" ht="14.5" customHeight="1" x14ac:dyDescent="0.2"/>
    <row r="101" spans="2:12" ht="14.5" customHeight="1" x14ac:dyDescent="0.2">
      <c r="B101" s="4" t="s">
        <v>442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438</v>
      </c>
      <c r="F103" s="385"/>
      <c r="G103" s="417" t="s">
        <v>56</v>
      </c>
      <c r="H103" s="394" t="s">
        <v>3</v>
      </c>
      <c r="I103" s="398" t="s">
        <v>439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422" t="s">
        <v>39</v>
      </c>
      <c r="C105" s="117" t="s">
        <v>388</v>
      </c>
      <c r="D105" s="117" t="s">
        <v>389</v>
      </c>
      <c r="E105" s="170"/>
      <c r="F105" s="170"/>
      <c r="G105" s="122"/>
      <c r="H105" s="122"/>
      <c r="I105" s="122"/>
      <c r="J105" s="122"/>
      <c r="K105" s="122"/>
      <c r="L105" s="2"/>
    </row>
    <row r="106" spans="2:12" ht="14.5" customHeight="1" x14ac:dyDescent="0.2">
      <c r="B106" s="422"/>
      <c r="C106" s="117" t="s">
        <v>390</v>
      </c>
      <c r="D106" s="117" t="s">
        <v>111</v>
      </c>
      <c r="E106" s="170"/>
      <c r="F106" s="170"/>
      <c r="G106" s="122"/>
      <c r="H106" s="122"/>
      <c r="I106" s="122"/>
      <c r="J106" s="122"/>
      <c r="K106" s="122"/>
      <c r="L106" s="2"/>
    </row>
    <row r="107" spans="2:12" ht="14.5" customHeight="1" x14ac:dyDescent="0.2">
      <c r="B107" s="422"/>
      <c r="C107" s="117" t="s">
        <v>391</v>
      </c>
      <c r="D107" s="117" t="s">
        <v>271</v>
      </c>
      <c r="E107" s="170"/>
      <c r="F107" s="170"/>
      <c r="G107" s="122"/>
      <c r="H107" s="122"/>
      <c r="I107" s="122"/>
      <c r="J107" s="122"/>
      <c r="K107" s="122"/>
      <c r="L107" s="2"/>
    </row>
    <row r="108" spans="2:12" ht="14.5" customHeight="1" x14ac:dyDescent="0.2">
      <c r="B108" s="422"/>
      <c r="C108" s="120"/>
      <c r="D108" s="120" t="s">
        <v>891</v>
      </c>
      <c r="E108" s="149"/>
      <c r="F108" s="149"/>
      <c r="G108" s="150"/>
      <c r="H108" s="151"/>
      <c r="I108" s="152"/>
      <c r="J108" s="152"/>
      <c r="K108" s="152"/>
      <c r="L108" s="2"/>
    </row>
    <row r="109" spans="2:12" ht="14.5" customHeight="1" x14ac:dyDescent="0.2">
      <c r="B109" s="422"/>
      <c r="C109" s="127"/>
      <c r="D109" s="127" t="s">
        <v>40</v>
      </c>
      <c r="E109" s="155"/>
      <c r="F109" s="155"/>
      <c r="G109" s="158"/>
      <c r="H109" s="156"/>
      <c r="I109" s="157"/>
      <c r="J109" s="157"/>
      <c r="K109" s="157"/>
      <c r="L109" s="2"/>
    </row>
    <row r="110" spans="2:12" ht="14.5" customHeight="1" x14ac:dyDescent="0.2">
      <c r="B110" s="422" t="s">
        <v>41</v>
      </c>
      <c r="C110" s="117" t="s">
        <v>392</v>
      </c>
      <c r="D110" s="117" t="s">
        <v>112</v>
      </c>
      <c r="E110" s="170"/>
      <c r="F110" s="170"/>
      <c r="G110" s="122"/>
      <c r="H110" s="122"/>
      <c r="I110" s="122"/>
      <c r="J110" s="122"/>
      <c r="K110" s="122"/>
      <c r="L110" s="2"/>
    </row>
    <row r="111" spans="2:12" ht="14.5" customHeight="1" x14ac:dyDescent="0.2">
      <c r="B111" s="422"/>
      <c r="C111" s="117" t="s">
        <v>393</v>
      </c>
      <c r="D111" s="117" t="s">
        <v>394</v>
      </c>
      <c r="E111" s="170"/>
      <c r="F111" s="170"/>
      <c r="G111" s="122"/>
      <c r="H111" s="122"/>
      <c r="I111" s="122"/>
      <c r="J111" s="122"/>
      <c r="K111" s="122"/>
      <c r="L111" s="2"/>
    </row>
    <row r="112" spans="2:12" ht="14.5" customHeight="1" x14ac:dyDescent="0.2">
      <c r="B112" s="422"/>
      <c r="C112" s="117" t="s">
        <v>395</v>
      </c>
      <c r="D112" s="117" t="s">
        <v>113</v>
      </c>
      <c r="E112" s="170"/>
      <c r="F112" s="170"/>
      <c r="G112" s="122"/>
      <c r="H112" s="122"/>
      <c r="I112" s="122"/>
      <c r="J112" s="122"/>
      <c r="K112" s="122"/>
      <c r="L112" s="2"/>
    </row>
    <row r="113" spans="2:12" ht="14.5" customHeight="1" x14ac:dyDescent="0.2">
      <c r="B113" s="422"/>
      <c r="C113" s="117" t="s">
        <v>396</v>
      </c>
      <c r="D113" s="117" t="s">
        <v>253</v>
      </c>
      <c r="E113" s="170"/>
      <c r="F113" s="170"/>
      <c r="G113" s="122"/>
      <c r="H113" s="122"/>
      <c r="I113" s="122"/>
      <c r="J113" s="122"/>
      <c r="K113" s="122"/>
      <c r="L113" s="2"/>
    </row>
    <row r="114" spans="2:12" ht="14.5" customHeight="1" x14ac:dyDescent="0.2">
      <c r="B114" s="422"/>
      <c r="C114" s="120"/>
      <c r="D114" s="120" t="s">
        <v>316</v>
      </c>
      <c r="E114" s="149"/>
      <c r="F114" s="149"/>
      <c r="G114" s="150"/>
      <c r="H114" s="151"/>
      <c r="I114" s="152"/>
      <c r="J114" s="152"/>
      <c r="K114" s="152"/>
      <c r="L114" s="2"/>
    </row>
    <row r="115" spans="2:12" ht="14.5" customHeight="1" x14ac:dyDescent="0.2">
      <c r="B115" s="422"/>
      <c r="C115" s="127"/>
      <c r="D115" s="127" t="s">
        <v>42</v>
      </c>
      <c r="E115" s="155"/>
      <c r="F115" s="155"/>
      <c r="G115" s="158"/>
      <c r="H115" s="156"/>
      <c r="I115" s="157"/>
      <c r="J115" s="157"/>
      <c r="K115" s="157"/>
      <c r="L115" s="2"/>
    </row>
    <row r="116" spans="2:12" ht="14.5" customHeight="1" x14ac:dyDescent="0.2">
      <c r="B116" s="422" t="s">
        <v>43</v>
      </c>
      <c r="C116" s="117" t="s">
        <v>397</v>
      </c>
      <c r="D116" s="117" t="s">
        <v>114</v>
      </c>
      <c r="E116" s="170"/>
      <c r="F116" s="170"/>
      <c r="G116" s="122"/>
      <c r="H116" s="122"/>
      <c r="I116" s="122"/>
      <c r="J116" s="122"/>
      <c r="K116" s="122"/>
      <c r="L116" s="2"/>
    </row>
    <row r="117" spans="2:12" ht="14.5" customHeight="1" x14ac:dyDescent="0.2">
      <c r="B117" s="422"/>
      <c r="C117" s="117" t="s">
        <v>398</v>
      </c>
      <c r="D117" s="117" t="s">
        <v>341</v>
      </c>
      <c r="E117" s="170"/>
      <c r="F117" s="170"/>
      <c r="G117" s="122"/>
      <c r="H117" s="122"/>
      <c r="I117" s="122"/>
      <c r="J117" s="122"/>
      <c r="K117" s="122"/>
      <c r="L117" s="2"/>
    </row>
    <row r="118" spans="2:12" ht="14.5" customHeight="1" x14ac:dyDescent="0.2">
      <c r="B118" s="422"/>
      <c r="C118" s="117" t="s">
        <v>399</v>
      </c>
      <c r="D118" s="117" t="s">
        <v>321</v>
      </c>
      <c r="E118" s="170"/>
      <c r="F118" s="170"/>
      <c r="G118" s="122"/>
      <c r="H118" s="122"/>
      <c r="I118" s="122"/>
      <c r="J118" s="122"/>
      <c r="K118" s="122"/>
      <c r="L118" s="2"/>
    </row>
    <row r="119" spans="2:12" ht="14.5" customHeight="1" x14ac:dyDescent="0.2">
      <c r="B119" s="422"/>
      <c r="C119" s="117" t="s">
        <v>400</v>
      </c>
      <c r="D119" s="117" t="s">
        <v>322</v>
      </c>
      <c r="E119" s="170"/>
      <c r="F119" s="170"/>
      <c r="G119" s="122"/>
      <c r="H119" s="122"/>
      <c r="I119" s="122"/>
      <c r="J119" s="122"/>
      <c r="K119" s="122"/>
      <c r="L119" s="2"/>
    </row>
    <row r="120" spans="2:12" ht="14.5" customHeight="1" x14ac:dyDescent="0.2">
      <c r="B120" s="422"/>
      <c r="C120" s="117"/>
      <c r="D120" s="117" t="s">
        <v>474</v>
      </c>
      <c r="E120" s="174"/>
      <c r="F120" s="174"/>
      <c r="G120" s="163"/>
      <c r="H120" s="122"/>
      <c r="I120" s="122"/>
      <c r="J120" s="122"/>
      <c r="K120" s="122"/>
      <c r="L120" s="2"/>
    </row>
    <row r="121" spans="2:12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74"/>
      <c r="H121" s="122"/>
      <c r="I121" s="122"/>
      <c r="J121" s="170"/>
      <c r="K121" s="170"/>
      <c r="L121" s="19"/>
    </row>
    <row r="122" spans="2:12" s="21" customFormat="1" ht="14.5" customHeight="1" x14ac:dyDescent="0.2">
      <c r="B122" s="418"/>
      <c r="C122" s="117"/>
      <c r="D122" s="117" t="s">
        <v>838</v>
      </c>
      <c r="E122" s="122"/>
      <c r="F122" s="174"/>
      <c r="G122" s="174"/>
      <c r="H122" s="122"/>
      <c r="I122" s="122"/>
      <c r="J122" s="170"/>
      <c r="K122" s="170"/>
      <c r="L122" s="19"/>
    </row>
    <row r="123" spans="2:12" s="21" customFormat="1" ht="14.5" customHeight="1" x14ac:dyDescent="0.2">
      <c r="B123" s="418"/>
      <c r="C123" s="117"/>
      <c r="D123" s="117" t="s">
        <v>839</v>
      </c>
      <c r="E123" s="122"/>
      <c r="F123" s="174"/>
      <c r="G123" s="174"/>
      <c r="H123" s="122"/>
      <c r="I123" s="122"/>
      <c r="J123" s="170"/>
      <c r="K123" s="170"/>
      <c r="L123" s="19"/>
    </row>
    <row r="124" spans="2:12" s="21" customFormat="1" ht="14.5" customHeight="1" x14ac:dyDescent="0.2">
      <c r="B124" s="418"/>
      <c r="C124" s="117"/>
      <c r="D124" s="117" t="s">
        <v>893</v>
      </c>
      <c r="E124" s="122"/>
      <c r="F124" s="174"/>
      <c r="G124" s="174"/>
      <c r="H124" s="122"/>
      <c r="I124" s="122"/>
      <c r="J124" s="170"/>
      <c r="K124" s="170"/>
      <c r="L124" s="19"/>
    </row>
    <row r="125" spans="2:12" s="21" customFormat="1" ht="14.5" customHeight="1" x14ac:dyDescent="0.2">
      <c r="B125" s="418"/>
      <c r="C125" s="117"/>
      <c r="D125" s="117" t="s">
        <v>840</v>
      </c>
      <c r="E125" s="122"/>
      <c r="F125" s="174"/>
      <c r="G125" s="174"/>
      <c r="H125" s="122"/>
      <c r="I125" s="122"/>
      <c r="J125" s="170"/>
      <c r="K125" s="170"/>
      <c r="L125" s="19"/>
    </row>
    <row r="126" spans="2:12" s="21" customFormat="1" ht="14.5" customHeight="1" x14ac:dyDescent="0.2">
      <c r="B126" s="418"/>
      <c r="C126" s="117"/>
      <c r="D126" s="117" t="s">
        <v>841</v>
      </c>
      <c r="E126" s="122"/>
      <c r="F126" s="174"/>
      <c r="G126" s="174"/>
      <c r="H126" s="122"/>
      <c r="I126" s="122"/>
      <c r="J126" s="170"/>
      <c r="K126" s="170"/>
      <c r="L126" s="19"/>
    </row>
    <row r="127" spans="2:12" ht="14.5" customHeight="1" x14ac:dyDescent="0.2">
      <c r="B127" s="418"/>
      <c r="C127" s="120"/>
      <c r="D127" s="120" t="s">
        <v>275</v>
      </c>
      <c r="E127" s="149"/>
      <c r="F127" s="149"/>
      <c r="G127" s="150"/>
      <c r="H127" s="151"/>
      <c r="I127" s="152"/>
      <c r="J127" s="152"/>
      <c r="K127" s="152"/>
      <c r="L127" s="2"/>
    </row>
    <row r="128" spans="2:12" s="21" customFormat="1" ht="14.5" customHeight="1" x14ac:dyDescent="0.2">
      <c r="B128" s="419"/>
      <c r="C128" s="127"/>
      <c r="D128" s="127" t="s">
        <v>964</v>
      </c>
      <c r="E128" s="124"/>
      <c r="F128" s="176"/>
      <c r="G128" s="176"/>
      <c r="H128" s="124"/>
      <c r="I128" s="124"/>
      <c r="J128" s="190"/>
      <c r="K128" s="190"/>
      <c r="L128" s="19"/>
    </row>
    <row r="129" spans="2:12" ht="14.5" customHeight="1" x14ac:dyDescent="0.2">
      <c r="B129" s="422" t="s">
        <v>45</v>
      </c>
      <c r="C129" s="117"/>
      <c r="D129" s="117" t="s">
        <v>175</v>
      </c>
      <c r="E129" s="170"/>
      <c r="F129" s="170"/>
      <c r="G129" s="122"/>
      <c r="H129" s="122"/>
      <c r="I129" s="122"/>
      <c r="J129" s="122"/>
      <c r="K129" s="122"/>
      <c r="L129" s="2"/>
    </row>
    <row r="130" spans="2:12" ht="14.5" customHeight="1" x14ac:dyDescent="0.2">
      <c r="B130" s="422"/>
      <c r="C130" s="117" t="s">
        <v>401</v>
      </c>
      <c r="D130" s="117" t="s">
        <v>288</v>
      </c>
      <c r="E130" s="170"/>
      <c r="F130" s="170"/>
      <c r="G130" s="122"/>
      <c r="H130" s="122"/>
      <c r="I130" s="122"/>
      <c r="J130" s="122"/>
      <c r="K130" s="122"/>
      <c r="L130" s="2"/>
    </row>
    <row r="131" spans="2:12" ht="14.5" customHeight="1" x14ac:dyDescent="0.2">
      <c r="B131" s="422"/>
      <c r="C131" s="117" t="s">
        <v>402</v>
      </c>
      <c r="D131" s="117" t="s">
        <v>251</v>
      </c>
      <c r="E131" s="170"/>
      <c r="F131" s="170"/>
      <c r="G131" s="122"/>
      <c r="H131" s="122"/>
      <c r="I131" s="122"/>
      <c r="J131" s="122"/>
      <c r="K131" s="122"/>
      <c r="L131" s="2"/>
    </row>
    <row r="132" spans="2:12" ht="14.5" customHeight="1" x14ac:dyDescent="0.2">
      <c r="B132" s="422"/>
      <c r="C132" s="120"/>
      <c r="D132" s="120" t="s">
        <v>315</v>
      </c>
      <c r="E132" s="189"/>
      <c r="F132" s="189"/>
      <c r="G132" s="123"/>
      <c r="H132" s="123"/>
      <c r="I132" s="123"/>
      <c r="J132" s="123"/>
      <c r="K132" s="123"/>
      <c r="L132" s="2"/>
    </row>
    <row r="133" spans="2:12" ht="14.5" customHeight="1" x14ac:dyDescent="0.2">
      <c r="B133" s="422"/>
      <c r="C133" s="127"/>
      <c r="D133" s="127" t="s">
        <v>46</v>
      </c>
      <c r="E133" s="190"/>
      <c r="F133" s="190"/>
      <c r="G133" s="124"/>
      <c r="H133" s="124"/>
      <c r="I133" s="124"/>
      <c r="J133" s="124"/>
      <c r="K133" s="124"/>
      <c r="L133" s="2"/>
    </row>
    <row r="134" spans="2:12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74"/>
      <c r="H134" s="122"/>
      <c r="I134" s="122"/>
      <c r="J134" s="170"/>
      <c r="K134" s="170"/>
      <c r="L134" s="19"/>
    </row>
    <row r="135" spans="2:12" s="21" customFormat="1" ht="14.5" customHeight="1" x14ac:dyDescent="0.2">
      <c r="B135" s="418"/>
      <c r="C135" s="117"/>
      <c r="D135" s="117" t="s">
        <v>526</v>
      </c>
      <c r="E135" s="122"/>
      <c r="F135" s="174"/>
      <c r="G135" s="174"/>
      <c r="H135" s="122"/>
      <c r="I135" s="122"/>
      <c r="J135" s="170"/>
      <c r="K135" s="170"/>
      <c r="L135" s="19"/>
    </row>
    <row r="136" spans="2:12" s="21" customFormat="1" ht="14.5" customHeight="1" x14ac:dyDescent="0.2">
      <c r="B136" s="418"/>
      <c r="C136" s="117"/>
      <c r="D136" s="117" t="s">
        <v>616</v>
      </c>
      <c r="E136" s="122"/>
      <c r="F136" s="174"/>
      <c r="G136" s="174"/>
      <c r="H136" s="122"/>
      <c r="I136" s="122"/>
      <c r="J136" s="170"/>
      <c r="K136" s="170"/>
      <c r="L136" s="19"/>
    </row>
    <row r="137" spans="2:12" s="21" customFormat="1" ht="14.5" customHeight="1" x14ac:dyDescent="0.2">
      <c r="B137" s="418"/>
      <c r="C137" s="117"/>
      <c r="D137" s="117" t="s">
        <v>499</v>
      </c>
      <c r="E137" s="122"/>
      <c r="F137" s="174"/>
      <c r="G137" s="174"/>
      <c r="H137" s="122"/>
      <c r="I137" s="122"/>
      <c r="J137" s="170"/>
      <c r="K137" s="170"/>
      <c r="L137" s="19"/>
    </row>
    <row r="138" spans="2:12" s="21" customFormat="1" ht="14.5" customHeight="1" x14ac:dyDescent="0.2">
      <c r="B138" s="418"/>
      <c r="C138" s="117"/>
      <c r="D138" s="117" t="s">
        <v>527</v>
      </c>
      <c r="E138" s="122"/>
      <c r="F138" s="174"/>
      <c r="G138" s="174"/>
      <c r="H138" s="122"/>
      <c r="I138" s="122"/>
      <c r="J138" s="170"/>
      <c r="K138" s="170"/>
      <c r="L138" s="19"/>
    </row>
    <row r="139" spans="2:12" s="21" customFormat="1" ht="14.5" customHeight="1" x14ac:dyDescent="0.2">
      <c r="B139" s="418"/>
      <c r="C139" s="117"/>
      <c r="D139" s="117" t="s">
        <v>528</v>
      </c>
      <c r="E139" s="122"/>
      <c r="F139" s="174"/>
      <c r="G139" s="174"/>
      <c r="H139" s="122"/>
      <c r="I139" s="122"/>
      <c r="J139" s="170"/>
      <c r="K139" s="170"/>
      <c r="L139" s="19"/>
    </row>
    <row r="140" spans="2:12" s="21" customFormat="1" ht="14.5" customHeight="1" x14ac:dyDescent="0.2">
      <c r="B140" s="418"/>
      <c r="C140" s="117"/>
      <c r="D140" s="117" t="s">
        <v>789</v>
      </c>
      <c r="E140" s="122"/>
      <c r="F140" s="174"/>
      <c r="G140" s="174"/>
      <c r="H140" s="122"/>
      <c r="I140" s="122"/>
      <c r="J140" s="170"/>
      <c r="K140" s="170"/>
      <c r="L140" s="19"/>
    </row>
    <row r="141" spans="2:12" s="21" customFormat="1" ht="14.5" customHeight="1" x14ac:dyDescent="0.2">
      <c r="B141" s="418"/>
      <c r="C141" s="117"/>
      <c r="D141" s="117" t="s">
        <v>835</v>
      </c>
      <c r="E141" s="122"/>
      <c r="F141" s="174"/>
      <c r="G141" s="174"/>
      <c r="H141" s="122"/>
      <c r="I141" s="122"/>
      <c r="J141" s="170"/>
      <c r="K141" s="170"/>
      <c r="L141" s="19"/>
    </row>
    <row r="142" spans="2:12" s="21" customFormat="1" ht="14.5" customHeight="1" x14ac:dyDescent="0.2">
      <c r="B142" s="418"/>
      <c r="C142" s="117"/>
      <c r="D142" s="117" t="s">
        <v>529</v>
      </c>
      <c r="E142" s="122"/>
      <c r="F142" s="174"/>
      <c r="G142" s="174"/>
      <c r="H142" s="122"/>
      <c r="I142" s="122"/>
      <c r="J142" s="170"/>
      <c r="K142" s="170"/>
      <c r="L142" s="19"/>
    </row>
    <row r="143" spans="2:12" s="21" customFormat="1" ht="14.5" customHeight="1" x14ac:dyDescent="0.2">
      <c r="B143" s="418"/>
      <c r="C143" s="117"/>
      <c r="D143" s="117" t="s">
        <v>530</v>
      </c>
      <c r="E143" s="122"/>
      <c r="F143" s="174"/>
      <c r="G143" s="174"/>
      <c r="H143" s="122"/>
      <c r="I143" s="122"/>
      <c r="J143" s="170"/>
      <c r="K143" s="170"/>
      <c r="L143" s="19"/>
    </row>
    <row r="144" spans="2:12" s="21" customFormat="1" ht="14.5" customHeight="1" x14ac:dyDescent="0.2">
      <c r="B144" s="418"/>
      <c r="C144" s="117"/>
      <c r="D144" s="117" t="s">
        <v>531</v>
      </c>
      <c r="E144" s="122"/>
      <c r="F144" s="174"/>
      <c r="G144" s="174"/>
      <c r="H144" s="122"/>
      <c r="I144" s="122"/>
      <c r="J144" s="170"/>
      <c r="K144" s="170"/>
      <c r="L144" s="19"/>
    </row>
    <row r="145" spans="2:12" s="21" customFormat="1" ht="14.5" customHeight="1" x14ac:dyDescent="0.2">
      <c r="B145" s="418"/>
      <c r="C145" s="119"/>
      <c r="D145" s="119" t="s">
        <v>74</v>
      </c>
      <c r="E145" s="123"/>
      <c r="F145" s="175"/>
      <c r="G145" s="175"/>
      <c r="H145" s="123"/>
      <c r="I145" s="123"/>
      <c r="J145" s="189"/>
      <c r="K145" s="189"/>
      <c r="L145" s="19"/>
    </row>
    <row r="146" spans="2:12" s="21" customFormat="1" ht="14.5" customHeight="1" x14ac:dyDescent="0.2">
      <c r="B146" s="419"/>
      <c r="C146" s="127"/>
      <c r="D146" s="127" t="s">
        <v>48</v>
      </c>
      <c r="E146" s="124"/>
      <c r="F146" s="176"/>
      <c r="G146" s="176"/>
      <c r="H146" s="124"/>
      <c r="I146" s="124"/>
      <c r="J146" s="190"/>
      <c r="K146" s="190"/>
      <c r="L146" s="19"/>
    </row>
    <row r="147" spans="2:12" ht="14.5" customHeight="1" x14ac:dyDescent="0.2">
      <c r="B147" s="127"/>
      <c r="C147" s="121"/>
      <c r="D147" s="121" t="s">
        <v>49</v>
      </c>
      <c r="E147" s="213"/>
      <c r="F147" s="213"/>
      <c r="G147" s="177"/>
      <c r="H147" s="177"/>
      <c r="I147" s="157"/>
      <c r="J147" s="157"/>
      <c r="K147" s="157"/>
      <c r="L147" s="2"/>
    </row>
    <row r="148" spans="2:12" ht="14.5" customHeight="1" x14ac:dyDescent="0.2"/>
    <row r="149" spans="2:12" ht="14.5" customHeight="1" x14ac:dyDescent="0.2"/>
    <row r="150" spans="2:12" ht="14.5" customHeight="1" x14ac:dyDescent="0.2"/>
    <row r="151" spans="2:12" ht="14.5" customHeight="1" x14ac:dyDescent="0.2"/>
    <row r="152" spans="2:12" ht="14.5" customHeight="1" x14ac:dyDescent="0.2"/>
    <row r="153" spans="2:12" ht="14.5" customHeight="1" x14ac:dyDescent="0.2">
      <c r="B153" s="4" t="s">
        <v>443</v>
      </c>
      <c r="C153" s="5"/>
      <c r="D153" s="5"/>
      <c r="E153" s="33"/>
      <c r="F153" s="33"/>
    </row>
    <row r="154" spans="2:12" ht="14.5" customHeight="1" x14ac:dyDescent="0.2">
      <c r="B154" s="8"/>
      <c r="C154" s="8"/>
      <c r="D154" s="8"/>
      <c r="E154" s="35"/>
      <c r="F154" s="35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438</v>
      </c>
      <c r="F155" s="385"/>
      <c r="G155" s="417" t="s">
        <v>56</v>
      </c>
      <c r="H155" s="394" t="s">
        <v>3</v>
      </c>
      <c r="I155" s="398" t="s">
        <v>439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74"/>
      <c r="H157" s="122"/>
      <c r="I157" s="122"/>
      <c r="J157" s="170"/>
      <c r="K157" s="170"/>
    </row>
    <row r="158" spans="2:12" ht="14.5" customHeight="1" x14ac:dyDescent="0.2">
      <c r="B158" s="418"/>
      <c r="C158" s="117"/>
      <c r="D158" s="117" t="s">
        <v>800</v>
      </c>
      <c r="E158" s="122"/>
      <c r="F158" s="174"/>
      <c r="G158" s="174"/>
      <c r="H158" s="122"/>
      <c r="I158" s="122"/>
      <c r="J158" s="170"/>
      <c r="K158" s="170"/>
    </row>
    <row r="159" spans="2:12" ht="14.5" customHeight="1" x14ac:dyDescent="0.2">
      <c r="B159" s="418"/>
      <c r="C159" s="117"/>
      <c r="D159" s="117" t="s">
        <v>532</v>
      </c>
      <c r="E159" s="122"/>
      <c r="F159" s="174"/>
      <c r="G159" s="174"/>
      <c r="H159" s="122"/>
      <c r="I159" s="122"/>
      <c r="J159" s="170"/>
      <c r="K159" s="170"/>
    </row>
    <row r="160" spans="2:12" ht="14.5" customHeight="1" x14ac:dyDescent="0.2">
      <c r="B160" s="418"/>
      <c r="C160" s="117"/>
      <c r="D160" s="117" t="s">
        <v>535</v>
      </c>
      <c r="E160" s="122"/>
      <c r="F160" s="174"/>
      <c r="G160" s="174"/>
      <c r="H160" s="122"/>
      <c r="I160" s="122"/>
      <c r="J160" s="170"/>
      <c r="K160" s="170"/>
    </row>
    <row r="161" spans="2:11" ht="14.5" customHeight="1" x14ac:dyDescent="0.2">
      <c r="B161" s="418"/>
      <c r="C161" s="117"/>
      <c r="D161" s="117" t="s">
        <v>533</v>
      </c>
      <c r="E161" s="122"/>
      <c r="F161" s="174"/>
      <c r="G161" s="174"/>
      <c r="H161" s="122"/>
      <c r="I161" s="122"/>
      <c r="J161" s="170"/>
      <c r="K161" s="170"/>
    </row>
    <row r="162" spans="2:11" ht="14.5" customHeight="1" x14ac:dyDescent="0.2">
      <c r="B162" s="418"/>
      <c r="C162" s="117"/>
      <c r="D162" s="117" t="s">
        <v>534</v>
      </c>
      <c r="E162" s="122"/>
      <c r="F162" s="174"/>
      <c r="G162" s="174"/>
      <c r="H162" s="122"/>
      <c r="I162" s="122"/>
      <c r="J162" s="170"/>
      <c r="K162" s="170"/>
    </row>
    <row r="163" spans="2:11" ht="14.5" customHeight="1" x14ac:dyDescent="0.2">
      <c r="B163" s="418"/>
      <c r="C163" s="119"/>
      <c r="D163" s="119" t="s">
        <v>894</v>
      </c>
      <c r="E163" s="123"/>
      <c r="F163" s="175"/>
      <c r="G163" s="175"/>
      <c r="H163" s="123"/>
      <c r="I163" s="123"/>
      <c r="J163" s="189"/>
      <c r="K163" s="189"/>
    </row>
    <row r="164" spans="2:11" ht="14.5" customHeight="1" x14ac:dyDescent="0.2">
      <c r="B164" s="418"/>
      <c r="C164" s="119"/>
      <c r="D164" s="119" t="s">
        <v>154</v>
      </c>
      <c r="E164" s="123"/>
      <c r="F164" s="175"/>
      <c r="G164" s="175"/>
      <c r="H164" s="123"/>
      <c r="I164" s="123"/>
      <c r="J164" s="189"/>
      <c r="K164" s="189"/>
    </row>
    <row r="165" spans="2:11" ht="14.5" customHeight="1" x14ac:dyDescent="0.2">
      <c r="B165" s="419"/>
      <c r="C165" s="127"/>
      <c r="D165" s="127" t="s">
        <v>54</v>
      </c>
      <c r="E165" s="124"/>
      <c r="F165" s="176"/>
      <c r="G165" s="176"/>
      <c r="H165" s="124"/>
      <c r="I165" s="124"/>
      <c r="J165" s="190"/>
      <c r="K165" s="190"/>
    </row>
    <row r="166" spans="2:11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74"/>
      <c r="H166" s="122"/>
      <c r="I166" s="122"/>
      <c r="J166" s="170"/>
      <c r="K166" s="170"/>
    </row>
    <row r="167" spans="2:11" ht="14.5" customHeight="1" x14ac:dyDescent="0.2">
      <c r="B167" s="418"/>
      <c r="C167" s="117"/>
      <c r="D167" s="117" t="s">
        <v>801</v>
      </c>
      <c r="E167" s="122"/>
      <c r="F167" s="174"/>
      <c r="G167" s="174"/>
      <c r="H167" s="122"/>
      <c r="I167" s="122"/>
      <c r="J167" s="170"/>
      <c r="K167" s="170"/>
    </row>
    <row r="168" spans="2:11" ht="14.5" customHeight="1" x14ac:dyDescent="0.2">
      <c r="B168" s="418"/>
      <c r="C168" s="117"/>
      <c r="D168" s="117" t="s">
        <v>541</v>
      </c>
      <c r="E168" s="122"/>
      <c r="F168" s="174"/>
      <c r="G168" s="174"/>
      <c r="H168" s="122"/>
      <c r="I168" s="122"/>
      <c r="J168" s="170"/>
      <c r="K168" s="170"/>
    </row>
    <row r="169" spans="2:11" ht="14.5" customHeight="1" x14ac:dyDescent="0.2">
      <c r="B169" s="418"/>
      <c r="C169" s="117"/>
      <c r="D169" s="117" t="s">
        <v>538</v>
      </c>
      <c r="E169" s="122"/>
      <c r="F169" s="174"/>
      <c r="G169" s="174"/>
      <c r="H169" s="122"/>
      <c r="I169" s="122"/>
      <c r="J169" s="170"/>
      <c r="K169" s="170"/>
    </row>
    <row r="170" spans="2:11" ht="14.5" customHeight="1" x14ac:dyDescent="0.2">
      <c r="B170" s="418"/>
      <c r="C170" s="117"/>
      <c r="D170" s="117" t="s">
        <v>539</v>
      </c>
      <c r="E170" s="122"/>
      <c r="F170" s="174"/>
      <c r="G170" s="174"/>
      <c r="H170" s="122"/>
      <c r="I170" s="122"/>
      <c r="J170" s="170"/>
      <c r="K170" s="170"/>
    </row>
    <row r="171" spans="2:11" ht="14.5" customHeight="1" x14ac:dyDescent="0.2">
      <c r="B171" s="418"/>
      <c r="C171" s="117"/>
      <c r="D171" s="117" t="s">
        <v>537</v>
      </c>
      <c r="E171" s="122"/>
      <c r="F171" s="174"/>
      <c r="G171" s="174"/>
      <c r="H171" s="122"/>
      <c r="I171" s="122"/>
      <c r="J171" s="170"/>
      <c r="K171" s="170"/>
    </row>
    <row r="172" spans="2:11" ht="14.5" customHeight="1" x14ac:dyDescent="0.2">
      <c r="B172" s="418"/>
      <c r="C172" s="117"/>
      <c r="D172" s="117" t="s">
        <v>540</v>
      </c>
      <c r="E172" s="122"/>
      <c r="F172" s="174"/>
      <c r="G172" s="174"/>
      <c r="H172" s="122"/>
      <c r="I172" s="122"/>
      <c r="J172" s="170"/>
      <c r="K172" s="170"/>
    </row>
    <row r="173" spans="2:11" ht="14.5" customHeight="1" x14ac:dyDescent="0.2">
      <c r="B173" s="418"/>
      <c r="C173" s="119"/>
      <c r="D173" s="119" t="s">
        <v>680</v>
      </c>
      <c r="E173" s="123"/>
      <c r="F173" s="175"/>
      <c r="G173" s="175"/>
      <c r="H173" s="123"/>
      <c r="I173" s="123"/>
      <c r="J173" s="189"/>
      <c r="K173" s="189"/>
    </row>
    <row r="174" spans="2:11" ht="14.5" customHeight="1" x14ac:dyDescent="0.2">
      <c r="B174" s="418"/>
      <c r="C174" s="117"/>
      <c r="D174" s="117" t="s">
        <v>617</v>
      </c>
      <c r="E174" s="122"/>
      <c r="F174" s="174"/>
      <c r="G174" s="174"/>
      <c r="H174" s="122"/>
      <c r="I174" s="122"/>
      <c r="J174" s="170"/>
      <c r="K174" s="170"/>
    </row>
    <row r="175" spans="2:11" ht="14.5" customHeight="1" x14ac:dyDescent="0.2">
      <c r="B175" s="418"/>
      <c r="C175" s="117"/>
      <c r="D175" s="117" t="s">
        <v>802</v>
      </c>
      <c r="E175" s="122"/>
      <c r="F175" s="174"/>
      <c r="G175" s="174"/>
      <c r="H175" s="122"/>
      <c r="I175" s="122"/>
      <c r="J175" s="170"/>
      <c r="K175" s="170"/>
    </row>
    <row r="176" spans="2:11" ht="14.5" customHeight="1" x14ac:dyDescent="0.2">
      <c r="B176" s="418"/>
      <c r="C176" s="117"/>
      <c r="D176" s="117" t="s">
        <v>542</v>
      </c>
      <c r="E176" s="122"/>
      <c r="F176" s="174"/>
      <c r="G176" s="174"/>
      <c r="H176" s="122"/>
      <c r="I176" s="122"/>
      <c r="J176" s="170"/>
      <c r="K176" s="170"/>
    </row>
    <row r="177" spans="2:11" ht="14.5" customHeight="1" x14ac:dyDescent="0.2">
      <c r="B177" s="418"/>
      <c r="C177" s="117"/>
      <c r="D177" s="117" t="s">
        <v>543</v>
      </c>
      <c r="E177" s="122"/>
      <c r="F177" s="174"/>
      <c r="G177" s="174"/>
      <c r="H177" s="122"/>
      <c r="I177" s="122"/>
      <c r="J177" s="170"/>
      <c r="K177" s="170"/>
    </row>
    <row r="178" spans="2:11" ht="14.5" customHeight="1" x14ac:dyDescent="0.2">
      <c r="B178" s="418"/>
      <c r="C178" s="117"/>
      <c r="D178" s="117" t="s">
        <v>618</v>
      </c>
      <c r="E178" s="122"/>
      <c r="F178" s="174"/>
      <c r="G178" s="174"/>
      <c r="H178" s="122"/>
      <c r="I178" s="122"/>
      <c r="J178" s="170"/>
      <c r="K178" s="170"/>
    </row>
    <row r="179" spans="2:11" ht="14.5" customHeight="1" x14ac:dyDescent="0.2">
      <c r="B179" s="418"/>
      <c r="C179" s="119"/>
      <c r="D179" s="119" t="s">
        <v>687</v>
      </c>
      <c r="E179" s="123"/>
      <c r="F179" s="175"/>
      <c r="G179" s="175"/>
      <c r="H179" s="123"/>
      <c r="I179" s="123"/>
      <c r="J179" s="189"/>
      <c r="K179" s="189"/>
    </row>
    <row r="180" spans="2:11" ht="14.5" customHeight="1" x14ac:dyDescent="0.2">
      <c r="B180" s="418"/>
      <c r="C180" s="119"/>
      <c r="D180" s="119" t="s">
        <v>95</v>
      </c>
      <c r="E180" s="123"/>
      <c r="F180" s="175"/>
      <c r="G180" s="175"/>
      <c r="H180" s="123"/>
      <c r="I180" s="123"/>
      <c r="J180" s="189"/>
      <c r="K180" s="189"/>
    </row>
    <row r="181" spans="2:11" ht="14.5" customHeight="1" x14ac:dyDescent="0.2">
      <c r="B181" s="419"/>
      <c r="C181" s="127"/>
      <c r="D181" s="127" t="s">
        <v>556</v>
      </c>
      <c r="E181" s="124"/>
      <c r="F181" s="176"/>
      <c r="G181" s="176"/>
      <c r="H181" s="124"/>
      <c r="I181" s="124"/>
      <c r="J181" s="190"/>
      <c r="K181" s="190"/>
    </row>
    <row r="182" spans="2:11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74"/>
      <c r="H182" s="122"/>
      <c r="I182" s="122"/>
      <c r="J182" s="170"/>
      <c r="K182" s="170"/>
    </row>
    <row r="183" spans="2:11" ht="14.5" customHeight="1" x14ac:dyDescent="0.2">
      <c r="B183" s="418"/>
      <c r="C183" s="117"/>
      <c r="D183" s="117" t="s">
        <v>560</v>
      </c>
      <c r="E183" s="122"/>
      <c r="F183" s="174"/>
      <c r="G183" s="174"/>
      <c r="H183" s="122"/>
      <c r="I183" s="122"/>
      <c r="J183" s="170"/>
      <c r="K183" s="170"/>
    </row>
    <row r="184" spans="2:11" ht="14.5" customHeight="1" x14ac:dyDescent="0.2">
      <c r="B184" s="418"/>
      <c r="C184" s="117"/>
      <c r="D184" s="117" t="s">
        <v>562</v>
      </c>
      <c r="E184" s="122"/>
      <c r="F184" s="174"/>
      <c r="G184" s="174"/>
      <c r="H184" s="122"/>
      <c r="I184" s="122"/>
      <c r="J184" s="170"/>
      <c r="K184" s="170"/>
    </row>
    <row r="185" spans="2:11" ht="14.5" customHeight="1" x14ac:dyDescent="0.2">
      <c r="B185" s="418"/>
      <c r="C185" s="117"/>
      <c r="D185" s="117" t="s">
        <v>561</v>
      </c>
      <c r="E185" s="122"/>
      <c r="F185" s="174"/>
      <c r="G185" s="174"/>
      <c r="H185" s="122"/>
      <c r="I185" s="122"/>
      <c r="J185" s="170"/>
      <c r="K185" s="170"/>
    </row>
    <row r="186" spans="2:11" ht="14.5" customHeight="1" x14ac:dyDescent="0.2">
      <c r="B186" s="418"/>
      <c r="C186" s="117"/>
      <c r="D186" s="117" t="s">
        <v>803</v>
      </c>
      <c r="E186" s="122"/>
      <c r="F186" s="174"/>
      <c r="G186" s="174"/>
      <c r="H186" s="122"/>
      <c r="I186" s="122"/>
      <c r="J186" s="170"/>
      <c r="K186" s="170"/>
    </row>
    <row r="187" spans="2:11" ht="14.5" customHeight="1" x14ac:dyDescent="0.2">
      <c r="B187" s="418"/>
      <c r="C187" s="117"/>
      <c r="D187" s="117" t="s">
        <v>790</v>
      </c>
      <c r="E187" s="122"/>
      <c r="F187" s="174"/>
      <c r="G187" s="174"/>
      <c r="H187" s="122"/>
      <c r="I187" s="122"/>
      <c r="J187" s="170"/>
      <c r="K187" s="170"/>
    </row>
    <row r="188" spans="2:11" ht="14.5" customHeight="1" x14ac:dyDescent="0.2">
      <c r="B188" s="418"/>
      <c r="C188" s="117"/>
      <c r="D188" s="117" t="s">
        <v>559</v>
      </c>
      <c r="E188" s="122"/>
      <c r="F188" s="174"/>
      <c r="G188" s="174"/>
      <c r="H188" s="122"/>
      <c r="I188" s="122"/>
      <c r="J188" s="170"/>
      <c r="K188" s="170"/>
    </row>
    <row r="189" spans="2:11" ht="14.5" customHeight="1" x14ac:dyDescent="0.2">
      <c r="B189" s="419"/>
      <c r="C189" s="119"/>
      <c r="D189" s="119" t="s">
        <v>719</v>
      </c>
      <c r="E189" s="123"/>
      <c r="F189" s="175"/>
      <c r="G189" s="175"/>
      <c r="H189" s="123"/>
      <c r="I189" s="123"/>
      <c r="J189" s="189"/>
      <c r="K189" s="189"/>
    </row>
    <row r="190" spans="2:11" ht="14.5" customHeight="1" x14ac:dyDescent="0.2">
      <c r="B190" s="127"/>
      <c r="C190" s="127"/>
      <c r="D190" s="127" t="s">
        <v>619</v>
      </c>
      <c r="E190" s="124"/>
      <c r="F190" s="176"/>
      <c r="G190" s="176"/>
      <c r="H190" s="124"/>
      <c r="I190" s="124"/>
      <c r="J190" s="190"/>
      <c r="K190" s="190"/>
    </row>
    <row r="191" spans="2:11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74"/>
      <c r="H191" s="122"/>
      <c r="I191" s="122"/>
      <c r="J191" s="170"/>
      <c r="K191" s="170"/>
    </row>
    <row r="192" spans="2:11" ht="14.5" customHeight="1" x14ac:dyDescent="0.2">
      <c r="B192" s="418"/>
      <c r="C192" s="117"/>
      <c r="D192" s="117" t="s">
        <v>563</v>
      </c>
      <c r="E192" s="122"/>
      <c r="F192" s="174"/>
      <c r="G192" s="174"/>
      <c r="H192" s="122"/>
      <c r="I192" s="122"/>
      <c r="J192" s="170"/>
      <c r="K192" s="170"/>
    </row>
    <row r="193" spans="2:11" ht="14.5" customHeight="1" x14ac:dyDescent="0.2">
      <c r="B193" s="418"/>
      <c r="C193" s="117"/>
      <c r="D193" s="117" t="s">
        <v>804</v>
      </c>
      <c r="E193" s="122"/>
      <c r="F193" s="174"/>
      <c r="G193" s="174"/>
      <c r="H193" s="122"/>
      <c r="I193" s="122"/>
      <c r="J193" s="170"/>
      <c r="K193" s="170"/>
    </row>
    <row r="194" spans="2:11" ht="14.5" customHeight="1" x14ac:dyDescent="0.2">
      <c r="B194" s="418"/>
      <c r="C194" s="117"/>
      <c r="D194" s="117" t="s">
        <v>565</v>
      </c>
      <c r="E194" s="122"/>
      <c r="F194" s="174"/>
      <c r="G194" s="174"/>
      <c r="H194" s="122"/>
      <c r="I194" s="122"/>
      <c r="J194" s="170"/>
      <c r="K194" s="170"/>
    </row>
    <row r="195" spans="2:11" ht="14.5" customHeight="1" x14ac:dyDescent="0.2">
      <c r="B195" s="418"/>
      <c r="C195" s="117"/>
      <c r="D195" s="117" t="s">
        <v>843</v>
      </c>
      <c r="E195" s="122"/>
      <c r="F195" s="174"/>
      <c r="G195" s="174"/>
      <c r="H195" s="122"/>
      <c r="I195" s="122"/>
      <c r="J195" s="170"/>
      <c r="K195" s="170"/>
    </row>
    <row r="196" spans="2:11" ht="14.5" customHeight="1" x14ac:dyDescent="0.2">
      <c r="B196" s="418"/>
      <c r="C196" s="117"/>
      <c r="D196" s="117" t="s">
        <v>564</v>
      </c>
      <c r="E196" s="122"/>
      <c r="F196" s="174"/>
      <c r="G196" s="174"/>
      <c r="H196" s="122"/>
      <c r="I196" s="122"/>
      <c r="J196" s="170"/>
      <c r="K196" s="170"/>
    </row>
    <row r="197" spans="2:11" ht="14.5" customHeight="1" x14ac:dyDescent="0.2">
      <c r="B197" s="418"/>
      <c r="C197" s="119"/>
      <c r="D197" s="119" t="s">
        <v>726</v>
      </c>
      <c r="E197" s="123"/>
      <c r="F197" s="175"/>
      <c r="G197" s="175"/>
      <c r="H197" s="123"/>
      <c r="I197" s="123"/>
      <c r="J197" s="189"/>
      <c r="K197" s="189"/>
    </row>
    <row r="198" spans="2:11" ht="14.5" customHeight="1" x14ac:dyDescent="0.2">
      <c r="B198" s="418"/>
      <c r="C198" s="119"/>
      <c r="D198" s="119" t="s">
        <v>155</v>
      </c>
      <c r="E198" s="123"/>
      <c r="F198" s="175"/>
      <c r="G198" s="175"/>
      <c r="H198" s="123"/>
      <c r="I198" s="123"/>
      <c r="J198" s="189"/>
      <c r="K198" s="189"/>
    </row>
    <row r="199" spans="2:11" ht="14.5" customHeight="1" x14ac:dyDescent="0.2">
      <c r="B199" s="419"/>
      <c r="C199" s="127"/>
      <c r="D199" s="127" t="s">
        <v>558</v>
      </c>
      <c r="E199" s="124"/>
      <c r="F199" s="176"/>
      <c r="G199" s="176"/>
      <c r="H199" s="124"/>
      <c r="I199" s="124"/>
      <c r="J199" s="190"/>
      <c r="K199" s="190"/>
    </row>
    <row r="200" spans="2:11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74"/>
      <c r="H200" s="122"/>
      <c r="I200" s="122"/>
      <c r="J200" s="170"/>
      <c r="K200" s="170"/>
    </row>
    <row r="201" spans="2:11" ht="14.5" customHeight="1" x14ac:dyDescent="0.2">
      <c r="B201" s="418"/>
      <c r="C201" s="117"/>
      <c r="D201" s="117" t="s">
        <v>900</v>
      </c>
      <c r="E201" s="122"/>
      <c r="F201" s="174"/>
      <c r="G201" s="174"/>
      <c r="H201" s="122"/>
      <c r="I201" s="122"/>
      <c r="J201" s="170"/>
      <c r="K201" s="170"/>
    </row>
    <row r="202" spans="2:11" ht="14.5" customHeight="1" x14ac:dyDescent="0.2">
      <c r="B202" s="418"/>
      <c r="C202" s="117"/>
      <c r="D202" s="117" t="s">
        <v>551</v>
      </c>
      <c r="E202" s="122"/>
      <c r="F202" s="174"/>
      <c r="G202" s="174"/>
      <c r="H202" s="122"/>
      <c r="I202" s="122"/>
      <c r="J202" s="170"/>
      <c r="K202" s="170"/>
    </row>
    <row r="203" spans="2:11" ht="14.5" customHeight="1" x14ac:dyDescent="0.2">
      <c r="B203" s="418"/>
      <c r="C203" s="117"/>
      <c r="D203" s="117" t="s">
        <v>548</v>
      </c>
      <c r="E203" s="122"/>
      <c r="F203" s="174"/>
      <c r="G203" s="174"/>
      <c r="H203" s="122"/>
      <c r="I203" s="122"/>
      <c r="J203" s="170"/>
      <c r="K203" s="170"/>
    </row>
    <row r="204" spans="2:11" ht="14.5" customHeight="1" x14ac:dyDescent="0.2">
      <c r="B204" s="418"/>
      <c r="C204" s="117"/>
      <c r="D204" s="117" t="s">
        <v>549</v>
      </c>
      <c r="E204" s="122"/>
      <c r="F204" s="174"/>
      <c r="G204" s="174"/>
      <c r="H204" s="122"/>
      <c r="I204" s="122"/>
      <c r="J204" s="170"/>
      <c r="K204" s="170"/>
    </row>
    <row r="205" spans="2:11" ht="14.5" customHeight="1" x14ac:dyDescent="0.2">
      <c r="B205" s="418"/>
      <c r="C205" s="119"/>
      <c r="D205" s="119" t="s">
        <v>708</v>
      </c>
      <c r="E205" s="123"/>
      <c r="F205" s="175"/>
      <c r="G205" s="175"/>
      <c r="H205" s="123"/>
      <c r="I205" s="123"/>
      <c r="J205" s="189"/>
      <c r="K205" s="189"/>
    </row>
    <row r="206" spans="2:11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74"/>
      <c r="H206" s="122"/>
      <c r="I206" s="122"/>
      <c r="J206" s="170"/>
      <c r="K206" s="170"/>
    </row>
    <row r="207" spans="2:11" ht="14.5" customHeight="1" x14ac:dyDescent="0.2">
      <c r="B207" s="418"/>
      <c r="C207" s="117"/>
      <c r="D207" s="117" t="s">
        <v>553</v>
      </c>
      <c r="E207" s="122"/>
      <c r="F207" s="174"/>
      <c r="G207" s="174"/>
      <c r="H207" s="122"/>
      <c r="I207" s="122"/>
      <c r="J207" s="170"/>
      <c r="K207" s="170"/>
    </row>
    <row r="208" spans="2:11" ht="14.5" customHeight="1" x14ac:dyDescent="0.2">
      <c r="B208" s="418"/>
      <c r="C208" s="117"/>
      <c r="D208" s="117" t="s">
        <v>552</v>
      </c>
      <c r="E208" s="122"/>
      <c r="F208" s="174"/>
      <c r="G208" s="174"/>
      <c r="H208" s="122"/>
      <c r="I208" s="122"/>
      <c r="J208" s="170"/>
      <c r="K208" s="170"/>
    </row>
    <row r="209" spans="2:11" ht="14.5" customHeight="1" x14ac:dyDescent="0.2">
      <c r="B209" s="418"/>
      <c r="C209" s="117"/>
      <c r="D209" s="117" t="s">
        <v>620</v>
      </c>
      <c r="E209" s="122"/>
      <c r="F209" s="174"/>
      <c r="G209" s="174"/>
      <c r="H209" s="122"/>
      <c r="I209" s="122"/>
      <c r="J209" s="170"/>
      <c r="K209" s="170"/>
    </row>
    <row r="210" spans="2:11" ht="14.5" customHeight="1" x14ac:dyDescent="0.2">
      <c r="B210" s="418"/>
      <c r="C210" s="117"/>
      <c r="D210" s="117" t="s">
        <v>216</v>
      </c>
      <c r="E210" s="122"/>
      <c r="F210" s="174"/>
      <c r="G210" s="174"/>
      <c r="H210" s="122"/>
      <c r="I210" s="122"/>
      <c r="J210" s="170"/>
      <c r="K210" s="170"/>
    </row>
    <row r="211" spans="2:11" ht="14.5" customHeight="1" x14ac:dyDescent="0.2">
      <c r="B211" s="418"/>
      <c r="C211" s="117"/>
      <c r="D211" s="117" t="s">
        <v>805</v>
      </c>
      <c r="E211" s="122"/>
      <c r="F211" s="174"/>
      <c r="G211" s="174"/>
      <c r="H211" s="122"/>
      <c r="I211" s="122"/>
      <c r="J211" s="170"/>
      <c r="K211" s="170"/>
    </row>
    <row r="212" spans="2:11" ht="14.5" customHeight="1" x14ac:dyDescent="0.2">
      <c r="B212" s="418"/>
      <c r="C212" s="117"/>
      <c r="D212" s="117" t="s">
        <v>844</v>
      </c>
      <c r="E212" s="122"/>
      <c r="F212" s="174"/>
      <c r="G212" s="174"/>
      <c r="H212" s="122"/>
      <c r="I212" s="122"/>
      <c r="J212" s="170"/>
      <c r="K212" s="170"/>
    </row>
    <row r="213" spans="2:11" ht="14.5" customHeight="1" x14ac:dyDescent="0.2">
      <c r="B213" s="418"/>
      <c r="C213" s="119"/>
      <c r="D213" s="119" t="s">
        <v>715</v>
      </c>
      <c r="E213" s="123"/>
      <c r="F213" s="175"/>
      <c r="G213" s="175"/>
      <c r="H213" s="123"/>
      <c r="I213" s="123"/>
      <c r="J213" s="189"/>
      <c r="K213" s="189"/>
    </row>
    <row r="214" spans="2:11" ht="14.5" customHeight="1" x14ac:dyDescent="0.2">
      <c r="B214" s="418"/>
      <c r="C214" s="119"/>
      <c r="D214" s="119" t="s">
        <v>74</v>
      </c>
      <c r="E214" s="123"/>
      <c r="F214" s="175"/>
      <c r="G214" s="175"/>
      <c r="H214" s="123"/>
      <c r="I214" s="123"/>
      <c r="J214" s="189"/>
      <c r="K214" s="189"/>
    </row>
    <row r="215" spans="2:11" ht="14.5" customHeight="1" x14ac:dyDescent="0.2">
      <c r="B215" s="419"/>
      <c r="C215" s="127"/>
      <c r="D215" s="127" t="s">
        <v>557</v>
      </c>
      <c r="E215" s="124"/>
      <c r="F215" s="176"/>
      <c r="G215" s="176"/>
      <c r="H215" s="124"/>
      <c r="I215" s="124"/>
      <c r="J215" s="190"/>
      <c r="K215" s="190"/>
    </row>
    <row r="216" spans="2:11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74"/>
      <c r="H216" s="122"/>
      <c r="I216" s="122"/>
      <c r="J216" s="170"/>
      <c r="K216" s="170"/>
    </row>
    <row r="217" spans="2:11" ht="14.5" customHeight="1" x14ac:dyDescent="0.2">
      <c r="B217" s="418"/>
      <c r="C217" s="117"/>
      <c r="D217" s="117" t="s">
        <v>624</v>
      </c>
      <c r="E217" s="122"/>
      <c r="F217" s="174"/>
      <c r="G217" s="174"/>
      <c r="H217" s="122"/>
      <c r="I217" s="122"/>
      <c r="J217" s="170"/>
      <c r="K217" s="170"/>
    </row>
    <row r="218" spans="2:11" ht="14.5" customHeight="1" x14ac:dyDescent="0.2">
      <c r="B218" s="418"/>
      <c r="C218" s="117"/>
      <c r="D218" s="117" t="s">
        <v>845</v>
      </c>
      <c r="E218" s="122"/>
      <c r="F218" s="174"/>
      <c r="G218" s="174"/>
      <c r="H218" s="122"/>
      <c r="I218" s="122"/>
      <c r="J218" s="170"/>
      <c r="K218" s="170"/>
    </row>
    <row r="219" spans="2:11" ht="14.5" customHeight="1" x14ac:dyDescent="0.2">
      <c r="B219" s="418"/>
      <c r="C219" s="119"/>
      <c r="D219" s="119" t="s">
        <v>730</v>
      </c>
      <c r="E219" s="123"/>
      <c r="F219" s="175"/>
      <c r="G219" s="175"/>
      <c r="H219" s="123"/>
      <c r="I219" s="123"/>
      <c r="J219" s="189"/>
      <c r="K219" s="189"/>
    </row>
    <row r="220" spans="2:11" ht="14.5" customHeight="1" x14ac:dyDescent="0.2">
      <c r="B220" s="419"/>
      <c r="C220" s="127"/>
      <c r="D220" s="127" t="s">
        <v>622</v>
      </c>
      <c r="E220" s="124"/>
      <c r="F220" s="176"/>
      <c r="G220" s="176"/>
      <c r="H220" s="124"/>
      <c r="I220" s="124"/>
      <c r="J220" s="190"/>
      <c r="K220" s="190"/>
    </row>
    <row r="221" spans="2:11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74"/>
      <c r="H221" s="122"/>
      <c r="I221" s="122"/>
      <c r="J221" s="170"/>
      <c r="K221" s="170"/>
    </row>
    <row r="222" spans="2:11" ht="14.5" customHeight="1" x14ac:dyDescent="0.2">
      <c r="B222" s="418"/>
      <c r="C222" s="117"/>
      <c r="D222" s="117" t="s">
        <v>627</v>
      </c>
      <c r="E222" s="122"/>
      <c r="F222" s="174"/>
      <c r="G222" s="174"/>
      <c r="H222" s="122"/>
      <c r="I222" s="122"/>
      <c r="J222" s="170"/>
      <c r="K222" s="170"/>
    </row>
    <row r="223" spans="2:11" ht="14.5" customHeight="1" x14ac:dyDescent="0.2">
      <c r="B223" s="418"/>
      <c r="C223" s="117"/>
      <c r="D223" s="117" t="s">
        <v>846</v>
      </c>
      <c r="E223" s="122"/>
      <c r="F223" s="174"/>
      <c r="G223" s="174"/>
      <c r="H223" s="122"/>
      <c r="I223" s="122"/>
      <c r="J223" s="170"/>
      <c r="K223" s="170"/>
    </row>
    <row r="224" spans="2:11" ht="14.5" customHeight="1" x14ac:dyDescent="0.2">
      <c r="B224" s="418"/>
      <c r="C224" s="119"/>
      <c r="D224" s="119" t="s">
        <v>732</v>
      </c>
      <c r="E224" s="123"/>
      <c r="F224" s="175"/>
      <c r="G224" s="175"/>
      <c r="H224" s="123"/>
      <c r="I224" s="123"/>
      <c r="J224" s="189"/>
      <c r="K224" s="189"/>
    </row>
    <row r="225" spans="2:11" ht="14.5" customHeight="1" x14ac:dyDescent="0.2">
      <c r="B225" s="419"/>
      <c r="C225" s="127"/>
      <c r="D225" s="127" t="s">
        <v>628</v>
      </c>
      <c r="E225" s="124"/>
      <c r="F225" s="176"/>
      <c r="G225" s="176"/>
      <c r="H225" s="124"/>
      <c r="I225" s="124"/>
      <c r="J225" s="190"/>
      <c r="K225" s="190"/>
    </row>
    <row r="226" spans="2:11" ht="14.5" customHeight="1" x14ac:dyDescent="0.2">
      <c r="B226" s="127"/>
      <c r="C226" s="127"/>
      <c r="D226" s="127" t="s">
        <v>629</v>
      </c>
      <c r="E226" s="124"/>
      <c r="F226" s="176"/>
      <c r="G226" s="176"/>
      <c r="H226" s="124"/>
      <c r="I226" s="124"/>
      <c r="J226" s="190"/>
      <c r="K226" s="190"/>
    </row>
    <row r="227" spans="2:11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74"/>
      <c r="H227" s="122"/>
      <c r="I227" s="122"/>
      <c r="J227" s="170"/>
      <c r="K227" s="170"/>
    </row>
    <row r="228" spans="2:11" ht="14.5" customHeight="1" x14ac:dyDescent="0.2">
      <c r="B228" s="418"/>
      <c r="C228" s="117"/>
      <c r="D228" s="117" t="s">
        <v>544</v>
      </c>
      <c r="E228" s="122"/>
      <c r="F228" s="174"/>
      <c r="G228" s="174"/>
      <c r="H228" s="122"/>
      <c r="I228" s="122"/>
      <c r="J228" s="170"/>
      <c r="K228" s="170"/>
    </row>
    <row r="229" spans="2:11" ht="14.5" customHeight="1" x14ac:dyDescent="0.2">
      <c r="B229" s="418"/>
      <c r="C229" s="117"/>
      <c r="D229" s="117" t="s">
        <v>545</v>
      </c>
      <c r="E229" s="122"/>
      <c r="F229" s="174"/>
      <c r="G229" s="174"/>
      <c r="H229" s="122"/>
      <c r="I229" s="122"/>
      <c r="J229" s="170"/>
      <c r="K229" s="170"/>
    </row>
    <row r="230" spans="2:11" ht="14.5" customHeight="1" x14ac:dyDescent="0.2">
      <c r="B230" s="418"/>
      <c r="C230" s="117"/>
      <c r="D230" s="117" t="s">
        <v>806</v>
      </c>
      <c r="E230" s="122"/>
      <c r="F230" s="174"/>
      <c r="G230" s="174"/>
      <c r="H230" s="122"/>
      <c r="I230" s="122"/>
      <c r="J230" s="170"/>
      <c r="K230" s="170"/>
    </row>
    <row r="231" spans="2:11" ht="14.5" customHeight="1" x14ac:dyDescent="0.2">
      <c r="B231" s="418"/>
      <c r="C231" s="117"/>
      <c r="D231" s="117" t="s">
        <v>630</v>
      </c>
      <c r="E231" s="122"/>
      <c r="F231" s="174"/>
      <c r="G231" s="174"/>
      <c r="H231" s="122"/>
      <c r="I231" s="122"/>
      <c r="J231" s="170"/>
      <c r="K231" s="170"/>
    </row>
    <row r="232" spans="2:11" ht="14.5" customHeight="1" x14ac:dyDescent="0.2">
      <c r="B232" s="418"/>
      <c r="C232" s="117"/>
      <c r="D232" s="117" t="s">
        <v>546</v>
      </c>
      <c r="E232" s="122"/>
      <c r="F232" s="174"/>
      <c r="G232" s="174"/>
      <c r="H232" s="122"/>
      <c r="I232" s="122"/>
      <c r="J232" s="170"/>
      <c r="K232" s="170"/>
    </row>
    <row r="233" spans="2:11" ht="14.5" customHeight="1" x14ac:dyDescent="0.2">
      <c r="B233" s="418"/>
      <c r="C233" s="117"/>
      <c r="D233" s="117" t="s">
        <v>547</v>
      </c>
      <c r="E233" s="122"/>
      <c r="F233" s="174"/>
      <c r="G233" s="174"/>
      <c r="H233" s="122"/>
      <c r="I233" s="122"/>
      <c r="J233" s="170"/>
      <c r="K233" s="170"/>
    </row>
    <row r="234" spans="2:11" ht="14.5" customHeight="1" x14ac:dyDescent="0.2">
      <c r="B234" s="418"/>
      <c r="C234" s="119"/>
      <c r="D234" s="119" t="s">
        <v>694</v>
      </c>
      <c r="E234" s="123"/>
      <c r="F234" s="175"/>
      <c r="G234" s="175"/>
      <c r="H234" s="123"/>
      <c r="I234" s="123"/>
      <c r="J234" s="189"/>
      <c r="K234" s="189"/>
    </row>
    <row r="235" spans="2:11" ht="14.5" customHeight="1" x14ac:dyDescent="0.2">
      <c r="B235" s="418"/>
      <c r="C235" s="117"/>
      <c r="D235" s="117" t="s">
        <v>631</v>
      </c>
      <c r="E235" s="122"/>
      <c r="F235" s="174"/>
      <c r="G235" s="174"/>
      <c r="H235" s="122"/>
      <c r="I235" s="122"/>
      <c r="J235" s="170"/>
      <c r="K235" s="170"/>
    </row>
    <row r="236" spans="2:11" ht="14.5" customHeight="1" x14ac:dyDescent="0.2">
      <c r="B236" s="418"/>
      <c r="C236" s="117"/>
      <c r="D236" s="117" t="s">
        <v>847</v>
      </c>
      <c r="E236" s="122"/>
      <c r="F236" s="174"/>
      <c r="G236" s="174"/>
      <c r="H236" s="122"/>
      <c r="I236" s="122"/>
      <c r="J236" s="170"/>
      <c r="K236" s="170"/>
    </row>
    <row r="237" spans="2:11" ht="14.5" customHeight="1" x14ac:dyDescent="0.2">
      <c r="B237" s="418"/>
      <c r="C237" s="117"/>
      <c r="D237" s="117" t="s">
        <v>848</v>
      </c>
      <c r="E237" s="122"/>
      <c r="F237" s="174"/>
      <c r="G237" s="174"/>
      <c r="H237" s="122"/>
      <c r="I237" s="122"/>
      <c r="J237" s="170"/>
      <c r="K237" s="170"/>
    </row>
    <row r="238" spans="2:11" ht="14.5" customHeight="1" x14ac:dyDescent="0.2">
      <c r="B238" s="418"/>
      <c r="C238" s="117"/>
      <c r="D238" s="117" t="s">
        <v>849</v>
      </c>
      <c r="E238" s="122"/>
      <c r="F238" s="174"/>
      <c r="G238" s="174"/>
      <c r="H238" s="122"/>
      <c r="I238" s="122"/>
      <c r="J238" s="170"/>
      <c r="K238" s="170"/>
    </row>
    <row r="239" spans="2:11" ht="14.5" customHeight="1" x14ac:dyDescent="0.2">
      <c r="B239" s="418"/>
      <c r="C239" s="117"/>
      <c r="D239" s="117" t="s">
        <v>605</v>
      </c>
      <c r="E239" s="122"/>
      <c r="F239" s="174"/>
      <c r="G239" s="174"/>
      <c r="H239" s="122"/>
      <c r="I239" s="122"/>
      <c r="J239" s="170"/>
      <c r="K239" s="170"/>
    </row>
    <row r="240" spans="2:11" ht="14.5" customHeight="1" x14ac:dyDescent="0.2">
      <c r="B240" s="418"/>
      <c r="C240" s="119"/>
      <c r="D240" s="119" t="s">
        <v>896</v>
      </c>
      <c r="E240" s="123"/>
      <c r="F240" s="175"/>
      <c r="G240" s="175"/>
      <c r="H240" s="123"/>
      <c r="I240" s="123"/>
      <c r="J240" s="189"/>
      <c r="K240" s="189"/>
    </row>
    <row r="241" spans="2:11" ht="14.5" customHeight="1" x14ac:dyDescent="0.2">
      <c r="B241" s="418"/>
      <c r="C241" s="119"/>
      <c r="D241" s="119" t="s">
        <v>73</v>
      </c>
      <c r="E241" s="123"/>
      <c r="F241" s="175"/>
      <c r="G241" s="175"/>
      <c r="H241" s="123"/>
      <c r="I241" s="123"/>
      <c r="J241" s="189"/>
      <c r="K241" s="189"/>
    </row>
    <row r="242" spans="2:11" ht="14.5" customHeight="1" x14ac:dyDescent="0.2">
      <c r="B242" s="419"/>
      <c r="C242" s="127"/>
      <c r="D242" s="127" t="s">
        <v>604</v>
      </c>
      <c r="E242" s="124"/>
      <c r="F242" s="176"/>
      <c r="G242" s="176"/>
      <c r="H242" s="124"/>
      <c r="I242" s="124"/>
      <c r="J242" s="190"/>
      <c r="K242" s="190"/>
    </row>
    <row r="243" spans="2:11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74"/>
      <c r="H243" s="122"/>
      <c r="I243" s="122"/>
      <c r="J243" s="170"/>
      <c r="K243" s="170"/>
    </row>
    <row r="244" spans="2:11" ht="14.5" customHeight="1" x14ac:dyDescent="0.2">
      <c r="B244" s="418"/>
      <c r="C244" s="117"/>
      <c r="D244" s="117" t="s">
        <v>635</v>
      </c>
      <c r="E244" s="122"/>
      <c r="F244" s="174"/>
      <c r="G244" s="174"/>
      <c r="H244" s="122"/>
      <c r="I244" s="122"/>
      <c r="J244" s="170"/>
      <c r="K244" s="170"/>
    </row>
    <row r="245" spans="2:11" ht="14.5" customHeight="1" x14ac:dyDescent="0.2">
      <c r="B245" s="418"/>
      <c r="C245" s="117"/>
      <c r="D245" s="117" t="s">
        <v>636</v>
      </c>
      <c r="E245" s="122"/>
      <c r="F245" s="174"/>
      <c r="G245" s="174"/>
      <c r="H245" s="122"/>
      <c r="I245" s="122"/>
      <c r="J245" s="170"/>
      <c r="K245" s="170"/>
    </row>
    <row r="246" spans="2:11" ht="14.5" customHeight="1" x14ac:dyDescent="0.2">
      <c r="B246" s="418"/>
      <c r="C246" s="117"/>
      <c r="D246" s="117" t="s">
        <v>807</v>
      </c>
      <c r="E246" s="122"/>
      <c r="F246" s="174"/>
      <c r="G246" s="174"/>
      <c r="H246" s="122"/>
      <c r="I246" s="122"/>
      <c r="J246" s="170"/>
      <c r="K246" s="170"/>
    </row>
    <row r="247" spans="2:11" ht="14.5" customHeight="1" x14ac:dyDescent="0.2">
      <c r="B247" s="418"/>
      <c r="C247" s="117"/>
      <c r="D247" s="117" t="s">
        <v>637</v>
      </c>
      <c r="E247" s="122"/>
      <c r="F247" s="174"/>
      <c r="G247" s="174"/>
      <c r="H247" s="122"/>
      <c r="I247" s="122"/>
      <c r="J247" s="170"/>
      <c r="K247" s="170"/>
    </row>
    <row r="248" spans="2:11" ht="14.5" customHeight="1" x14ac:dyDescent="0.2">
      <c r="B248" s="418"/>
      <c r="C248" s="119"/>
      <c r="D248" s="119" t="s">
        <v>702</v>
      </c>
      <c r="E248" s="123"/>
      <c r="F248" s="175"/>
      <c r="G248" s="175"/>
      <c r="H248" s="123"/>
      <c r="I248" s="123"/>
      <c r="J248" s="189"/>
      <c r="K248" s="189"/>
    </row>
    <row r="249" spans="2:11" ht="14.5" customHeight="1" x14ac:dyDescent="0.2">
      <c r="B249" s="419"/>
      <c r="C249" s="127"/>
      <c r="D249" s="127" t="s">
        <v>633</v>
      </c>
      <c r="E249" s="124"/>
      <c r="F249" s="176"/>
      <c r="G249" s="176"/>
      <c r="H249" s="124"/>
      <c r="I249" s="124"/>
      <c r="J249" s="190"/>
      <c r="K249" s="190"/>
    </row>
    <row r="250" spans="2:11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74"/>
      <c r="H250" s="122"/>
      <c r="I250" s="122"/>
      <c r="J250" s="170"/>
      <c r="K250" s="170"/>
    </row>
    <row r="251" spans="2:11" ht="14.5" customHeight="1" x14ac:dyDescent="0.2">
      <c r="B251" s="418"/>
      <c r="C251" s="117"/>
      <c r="D251" s="117" t="s">
        <v>567</v>
      </c>
      <c r="E251" s="122"/>
      <c r="F251" s="174"/>
      <c r="G251" s="174"/>
      <c r="H251" s="122"/>
      <c r="I251" s="122"/>
      <c r="J251" s="170"/>
      <c r="K251" s="170"/>
    </row>
    <row r="252" spans="2:11" ht="14.5" customHeight="1" x14ac:dyDescent="0.2">
      <c r="B252" s="418"/>
      <c r="C252" s="117"/>
      <c r="D252" s="117" t="s">
        <v>569</v>
      </c>
      <c r="E252" s="122"/>
      <c r="F252" s="174"/>
      <c r="G252" s="174"/>
      <c r="H252" s="122"/>
      <c r="I252" s="122"/>
      <c r="J252" s="170"/>
      <c r="K252" s="170"/>
    </row>
    <row r="253" spans="2:11" ht="14.5" customHeight="1" x14ac:dyDescent="0.2">
      <c r="B253" s="418"/>
      <c r="C253" s="117"/>
      <c r="D253" s="117" t="s">
        <v>808</v>
      </c>
      <c r="E253" s="122"/>
      <c r="F253" s="174"/>
      <c r="G253" s="174"/>
      <c r="H253" s="122"/>
      <c r="I253" s="122"/>
      <c r="J253" s="170"/>
      <c r="K253" s="170"/>
    </row>
    <row r="254" spans="2:11" ht="14.5" customHeight="1" x14ac:dyDescent="0.2">
      <c r="B254" s="418"/>
      <c r="C254" s="117"/>
      <c r="D254" s="117" t="s">
        <v>568</v>
      </c>
      <c r="E254" s="122"/>
      <c r="F254" s="174"/>
      <c r="G254" s="174"/>
      <c r="H254" s="122"/>
      <c r="I254" s="122"/>
      <c r="J254" s="170"/>
      <c r="K254" s="170"/>
    </row>
    <row r="255" spans="2:11" ht="14.5" customHeight="1" x14ac:dyDescent="0.2">
      <c r="B255" s="418"/>
      <c r="C255" s="117"/>
      <c r="D255" s="117" t="s">
        <v>566</v>
      </c>
      <c r="E255" s="122"/>
      <c r="F255" s="174"/>
      <c r="G255" s="174"/>
      <c r="H255" s="122"/>
      <c r="I255" s="122"/>
      <c r="J255" s="170"/>
      <c r="K255" s="170"/>
    </row>
    <row r="256" spans="2:11" ht="14.5" customHeight="1" x14ac:dyDescent="0.2">
      <c r="B256" s="418"/>
      <c r="C256" s="117"/>
      <c r="D256" s="117" t="s">
        <v>570</v>
      </c>
      <c r="E256" s="122"/>
      <c r="F256" s="174"/>
      <c r="G256" s="174"/>
      <c r="H256" s="122"/>
      <c r="I256" s="122"/>
      <c r="J256" s="170"/>
      <c r="K256" s="170"/>
    </row>
    <row r="257" spans="2:11" ht="14.5" customHeight="1" x14ac:dyDescent="0.2">
      <c r="B257" s="418"/>
      <c r="C257" s="119"/>
      <c r="D257" s="119" t="s">
        <v>734</v>
      </c>
      <c r="E257" s="123"/>
      <c r="F257" s="175"/>
      <c r="G257" s="175"/>
      <c r="H257" s="123"/>
      <c r="I257" s="123"/>
      <c r="J257" s="189"/>
      <c r="K257" s="189"/>
    </row>
    <row r="258" spans="2:11" ht="14.5" customHeight="1" x14ac:dyDescent="0.2">
      <c r="B258" s="419"/>
      <c r="C258" s="127"/>
      <c r="D258" s="127" t="s">
        <v>51</v>
      </c>
      <c r="E258" s="124"/>
      <c r="F258" s="176"/>
      <c r="G258" s="176"/>
      <c r="H258" s="124"/>
      <c r="I258" s="124"/>
      <c r="J258" s="190"/>
      <c r="K258" s="190"/>
    </row>
    <row r="259" spans="2:11" ht="14.5" customHeight="1" x14ac:dyDescent="0.2">
      <c r="B259" s="127"/>
      <c r="C259" s="127"/>
      <c r="D259" s="127" t="s">
        <v>638</v>
      </c>
      <c r="E259" s="124"/>
      <c r="F259" s="176"/>
      <c r="G259" s="176"/>
      <c r="H259" s="124"/>
      <c r="I259" s="124"/>
      <c r="J259" s="190"/>
      <c r="K259" s="190"/>
    </row>
    <row r="260" spans="2:11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74"/>
      <c r="H260" s="122"/>
      <c r="I260" s="122"/>
      <c r="J260" s="170"/>
      <c r="K260" s="170"/>
    </row>
    <row r="261" spans="2:11" ht="14.5" customHeight="1" x14ac:dyDescent="0.2">
      <c r="B261" s="418"/>
      <c r="C261" s="117"/>
      <c r="D261" s="117" t="s">
        <v>609</v>
      </c>
      <c r="E261" s="122"/>
      <c r="F261" s="174"/>
      <c r="G261" s="174"/>
      <c r="H261" s="122"/>
      <c r="I261" s="122"/>
      <c r="J261" s="170"/>
      <c r="K261" s="170"/>
    </row>
    <row r="262" spans="2:11" ht="14.5" customHeight="1" x14ac:dyDescent="0.2">
      <c r="B262" s="418"/>
      <c r="C262" s="117"/>
      <c r="D262" s="117" t="s">
        <v>610</v>
      </c>
      <c r="E262" s="122"/>
      <c r="F262" s="174"/>
      <c r="G262" s="174"/>
      <c r="H262" s="122"/>
      <c r="I262" s="122"/>
      <c r="J262" s="170"/>
      <c r="K262" s="170"/>
    </row>
    <row r="263" spans="2:11" ht="14.5" customHeight="1" x14ac:dyDescent="0.2">
      <c r="B263" s="418"/>
      <c r="C263" s="117"/>
      <c r="D263" s="117" t="s">
        <v>611</v>
      </c>
      <c r="E263" s="122"/>
      <c r="F263" s="174"/>
      <c r="G263" s="174"/>
      <c r="H263" s="122"/>
      <c r="I263" s="122"/>
      <c r="J263" s="170"/>
      <c r="K263" s="170"/>
    </row>
    <row r="264" spans="2:11" ht="14.5" customHeight="1" x14ac:dyDescent="0.2">
      <c r="B264" s="418"/>
      <c r="C264" s="117"/>
      <c r="D264" s="117" t="s">
        <v>850</v>
      </c>
      <c r="E264" s="122"/>
      <c r="F264" s="174"/>
      <c r="G264" s="174"/>
      <c r="H264" s="122"/>
      <c r="I264" s="122"/>
      <c r="J264" s="170"/>
      <c r="K264" s="170"/>
    </row>
    <row r="265" spans="2:11" ht="14.5" customHeight="1" x14ac:dyDescent="0.2">
      <c r="B265" s="418"/>
      <c r="C265" s="119"/>
      <c r="D265" s="119" t="s">
        <v>743</v>
      </c>
      <c r="E265" s="123"/>
      <c r="F265" s="175"/>
      <c r="G265" s="175"/>
      <c r="H265" s="123"/>
      <c r="I265" s="123"/>
      <c r="J265" s="189"/>
      <c r="K265" s="189"/>
    </row>
    <row r="266" spans="2:11" ht="14.5" customHeight="1" x14ac:dyDescent="0.2">
      <c r="B266" s="418"/>
      <c r="C266" s="117"/>
      <c r="D266" s="117" t="s">
        <v>606</v>
      </c>
      <c r="E266" s="122"/>
      <c r="F266" s="174"/>
      <c r="G266" s="174"/>
      <c r="H266" s="122"/>
      <c r="I266" s="122"/>
      <c r="J266" s="170"/>
      <c r="K266" s="170"/>
    </row>
    <row r="267" spans="2:11" ht="14.5" customHeight="1" x14ac:dyDescent="0.2">
      <c r="B267" s="418"/>
      <c r="C267" s="117"/>
      <c r="D267" s="117" t="s">
        <v>901</v>
      </c>
      <c r="E267" s="122"/>
      <c r="F267" s="174"/>
      <c r="G267" s="174"/>
      <c r="H267" s="122"/>
      <c r="I267" s="122"/>
      <c r="J267" s="170"/>
      <c r="K267" s="170"/>
    </row>
    <row r="268" spans="2:11" ht="14.5" customHeight="1" x14ac:dyDescent="0.2">
      <c r="B268" s="418"/>
      <c r="C268" s="117"/>
      <c r="D268" s="117" t="s">
        <v>607</v>
      </c>
      <c r="E268" s="122"/>
      <c r="F268" s="174"/>
      <c r="G268" s="174"/>
      <c r="H268" s="122"/>
      <c r="I268" s="122"/>
      <c r="J268" s="170"/>
      <c r="K268" s="170"/>
    </row>
    <row r="269" spans="2:11" ht="14.5" customHeight="1" x14ac:dyDescent="0.2">
      <c r="B269" s="418"/>
      <c r="C269" s="117"/>
      <c r="D269" s="117" t="s">
        <v>608</v>
      </c>
      <c r="E269" s="122"/>
      <c r="F269" s="174"/>
      <c r="G269" s="174"/>
      <c r="H269" s="122"/>
      <c r="I269" s="122"/>
      <c r="J269" s="170"/>
      <c r="K269" s="170"/>
    </row>
    <row r="270" spans="2:11" ht="14.5" customHeight="1" x14ac:dyDescent="0.2">
      <c r="B270" s="418"/>
      <c r="C270" s="117"/>
      <c r="D270" s="117" t="s">
        <v>640</v>
      </c>
      <c r="E270" s="122"/>
      <c r="F270" s="174"/>
      <c r="G270" s="174"/>
      <c r="H270" s="122"/>
      <c r="I270" s="122"/>
      <c r="J270" s="170"/>
      <c r="K270" s="170"/>
    </row>
    <row r="271" spans="2:11" ht="14.5" customHeight="1" x14ac:dyDescent="0.2">
      <c r="B271" s="418"/>
      <c r="C271" s="117"/>
      <c r="D271" s="117" t="s">
        <v>851</v>
      </c>
      <c r="E271" s="122"/>
      <c r="F271" s="174"/>
      <c r="G271" s="174"/>
      <c r="H271" s="122"/>
      <c r="I271" s="122"/>
      <c r="J271" s="170"/>
      <c r="K271" s="170"/>
    </row>
    <row r="272" spans="2:11" ht="14.5" customHeight="1" x14ac:dyDescent="0.2">
      <c r="B272" s="418"/>
      <c r="C272" s="119"/>
      <c r="D272" s="119" t="s">
        <v>898</v>
      </c>
      <c r="E272" s="123"/>
      <c r="F272" s="175"/>
      <c r="G272" s="175"/>
      <c r="H272" s="123"/>
      <c r="I272" s="123"/>
      <c r="J272" s="189"/>
      <c r="K272" s="189"/>
    </row>
    <row r="273" spans="2:11" ht="14.5" customHeight="1" x14ac:dyDescent="0.2">
      <c r="B273" s="418"/>
      <c r="C273" s="119"/>
      <c r="D273" s="119" t="s">
        <v>897</v>
      </c>
      <c r="E273" s="123"/>
      <c r="F273" s="175"/>
      <c r="G273" s="175"/>
      <c r="H273" s="123"/>
      <c r="I273" s="123"/>
      <c r="J273" s="189"/>
      <c r="K273" s="189"/>
    </row>
    <row r="274" spans="2:11" ht="14.5" customHeight="1" x14ac:dyDescent="0.2">
      <c r="B274" s="419"/>
      <c r="C274" s="127"/>
      <c r="D274" s="127" t="s">
        <v>639</v>
      </c>
      <c r="E274" s="124"/>
      <c r="F274" s="176"/>
      <c r="G274" s="176"/>
      <c r="H274" s="124"/>
      <c r="I274" s="124"/>
      <c r="J274" s="190"/>
      <c r="K274" s="190"/>
    </row>
    <row r="275" spans="2:11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74"/>
      <c r="H275" s="122"/>
      <c r="I275" s="122"/>
      <c r="J275" s="170"/>
      <c r="K275" s="170"/>
    </row>
    <row r="276" spans="2:11" ht="14.5" customHeight="1" x14ac:dyDescent="0.2">
      <c r="B276" s="418"/>
      <c r="C276" s="117"/>
      <c r="D276" s="117" t="s">
        <v>852</v>
      </c>
      <c r="E276" s="122"/>
      <c r="F276" s="174"/>
      <c r="G276" s="174"/>
      <c r="H276" s="122"/>
      <c r="I276" s="122"/>
      <c r="J276" s="170"/>
      <c r="K276" s="170"/>
    </row>
    <row r="277" spans="2:11" ht="14.5" customHeight="1" x14ac:dyDescent="0.2">
      <c r="B277" s="418"/>
      <c r="C277" s="117"/>
      <c r="D277" s="117" t="s">
        <v>853</v>
      </c>
      <c r="E277" s="122"/>
      <c r="F277" s="174"/>
      <c r="G277" s="174"/>
      <c r="H277" s="122"/>
      <c r="I277" s="122"/>
      <c r="J277" s="170"/>
      <c r="K277" s="170"/>
    </row>
    <row r="278" spans="2:11" ht="14.5" customHeight="1" x14ac:dyDescent="0.2">
      <c r="B278" s="418"/>
      <c r="C278" s="117"/>
      <c r="D278" s="117" t="s">
        <v>854</v>
      </c>
      <c r="E278" s="122"/>
      <c r="F278" s="174"/>
      <c r="G278" s="174"/>
      <c r="H278" s="122"/>
      <c r="I278" s="122"/>
      <c r="J278" s="170"/>
      <c r="K278" s="170"/>
    </row>
    <row r="279" spans="2:11" ht="14.5" customHeight="1" x14ac:dyDescent="0.2">
      <c r="B279" s="418"/>
      <c r="C279" s="119"/>
      <c r="D279" s="119" t="s">
        <v>746</v>
      </c>
      <c r="E279" s="123"/>
      <c r="F279" s="175"/>
      <c r="G279" s="175"/>
      <c r="H279" s="123"/>
      <c r="I279" s="123"/>
      <c r="J279" s="189"/>
      <c r="K279" s="189"/>
    </row>
    <row r="280" spans="2:11" ht="14.5" customHeight="1" x14ac:dyDescent="0.2">
      <c r="B280" s="419"/>
      <c r="C280" s="127"/>
      <c r="D280" s="127" t="s">
        <v>642</v>
      </c>
      <c r="E280" s="124"/>
      <c r="F280" s="176"/>
      <c r="G280" s="176"/>
      <c r="H280" s="124"/>
      <c r="I280" s="124"/>
      <c r="J280" s="190"/>
      <c r="K280" s="190"/>
    </row>
    <row r="281" spans="2:11" ht="14.5" customHeight="1" x14ac:dyDescent="0.2">
      <c r="B281" s="127"/>
      <c r="C281" s="127"/>
      <c r="D281" s="127" t="s">
        <v>643</v>
      </c>
      <c r="E281" s="124"/>
      <c r="F281" s="176"/>
      <c r="G281" s="176"/>
      <c r="H281" s="124"/>
      <c r="I281" s="124"/>
      <c r="J281" s="190"/>
      <c r="K281" s="190"/>
    </row>
    <row r="282" spans="2:11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74"/>
      <c r="H282" s="122"/>
      <c r="I282" s="122"/>
      <c r="J282" s="170"/>
      <c r="K282" s="170"/>
    </row>
    <row r="283" spans="2:11" ht="14.5" customHeight="1" x14ac:dyDescent="0.2">
      <c r="B283" s="418"/>
      <c r="C283" s="117"/>
      <c r="D283" s="117" t="s">
        <v>791</v>
      </c>
      <c r="E283" s="122"/>
      <c r="F283" s="174"/>
      <c r="G283" s="174"/>
      <c r="H283" s="122"/>
      <c r="I283" s="122"/>
      <c r="J283" s="170"/>
      <c r="K283" s="170"/>
    </row>
    <row r="284" spans="2:11" ht="14.5" customHeight="1" x14ac:dyDescent="0.2">
      <c r="B284" s="418"/>
      <c r="C284" s="117"/>
      <c r="D284" s="117" t="s">
        <v>647</v>
      </c>
      <c r="E284" s="122"/>
      <c r="F284" s="174"/>
      <c r="G284" s="174"/>
      <c r="H284" s="122"/>
      <c r="I284" s="122"/>
      <c r="J284" s="170"/>
      <c r="K284" s="170"/>
    </row>
    <row r="285" spans="2:11" ht="14.5" customHeight="1" x14ac:dyDescent="0.2">
      <c r="B285" s="418"/>
      <c r="C285" s="117"/>
      <c r="D285" s="117" t="s">
        <v>857</v>
      </c>
      <c r="E285" s="122"/>
      <c r="F285" s="174"/>
      <c r="G285" s="174"/>
      <c r="H285" s="122"/>
      <c r="I285" s="122"/>
      <c r="J285" s="170"/>
      <c r="K285" s="170"/>
    </row>
    <row r="286" spans="2:11" ht="14.5" customHeight="1" x14ac:dyDescent="0.2">
      <c r="B286" s="418"/>
      <c r="C286" s="117"/>
      <c r="D286" s="117" t="s">
        <v>648</v>
      </c>
      <c r="E286" s="122"/>
      <c r="F286" s="174"/>
      <c r="G286" s="174"/>
      <c r="H286" s="122"/>
      <c r="I286" s="122"/>
      <c r="J286" s="170"/>
      <c r="K286" s="170"/>
    </row>
    <row r="287" spans="2:11" ht="14.5" customHeight="1" x14ac:dyDescent="0.2">
      <c r="B287" s="418"/>
      <c r="C287" s="119"/>
      <c r="D287" s="119" t="s">
        <v>747</v>
      </c>
      <c r="E287" s="123"/>
      <c r="F287" s="175"/>
      <c r="G287" s="175"/>
      <c r="H287" s="123"/>
      <c r="I287" s="123"/>
      <c r="J287" s="189"/>
      <c r="K287" s="189"/>
    </row>
    <row r="288" spans="2:11" ht="14.5" customHeight="1" x14ac:dyDescent="0.2">
      <c r="B288" s="419"/>
      <c r="C288" s="127"/>
      <c r="D288" s="127" t="s">
        <v>645</v>
      </c>
      <c r="E288" s="124"/>
      <c r="F288" s="176"/>
      <c r="G288" s="176"/>
      <c r="H288" s="124"/>
      <c r="I288" s="124"/>
      <c r="J288" s="190"/>
      <c r="K288" s="190"/>
    </row>
    <row r="289" spans="2:11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74"/>
      <c r="H289" s="122"/>
      <c r="I289" s="122"/>
      <c r="J289" s="170"/>
      <c r="K289" s="170"/>
    </row>
    <row r="290" spans="2:11" ht="14.5" customHeight="1" x14ac:dyDescent="0.2">
      <c r="B290" s="418"/>
      <c r="C290" s="117"/>
      <c r="D290" s="117" t="s">
        <v>856</v>
      </c>
      <c r="E290" s="122"/>
      <c r="F290" s="174"/>
      <c r="G290" s="174"/>
      <c r="H290" s="122"/>
      <c r="I290" s="122"/>
      <c r="J290" s="170"/>
      <c r="K290" s="170"/>
    </row>
    <row r="291" spans="2:11" ht="14.5" customHeight="1" x14ac:dyDescent="0.2">
      <c r="B291" s="418"/>
      <c r="C291" s="119"/>
      <c r="D291" s="119" t="s">
        <v>899</v>
      </c>
      <c r="E291" s="123"/>
      <c r="F291" s="175"/>
      <c r="G291" s="175"/>
      <c r="H291" s="123"/>
      <c r="I291" s="123"/>
      <c r="J291" s="189"/>
      <c r="K291" s="189"/>
    </row>
    <row r="292" spans="2:11" ht="14.5" customHeight="1" x14ac:dyDescent="0.2">
      <c r="B292" s="419"/>
      <c r="C292" s="127"/>
      <c r="D292" s="127" t="s">
        <v>860</v>
      </c>
      <c r="E292" s="124"/>
      <c r="F292" s="176"/>
      <c r="G292" s="176"/>
      <c r="H292" s="124"/>
      <c r="I292" s="124"/>
      <c r="J292" s="190"/>
      <c r="K292" s="190"/>
    </row>
    <row r="293" spans="2:11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74"/>
      <c r="H293" s="122"/>
      <c r="I293" s="122"/>
      <c r="J293" s="170"/>
      <c r="K293" s="170"/>
    </row>
    <row r="294" spans="2:11" ht="14.5" customHeight="1" x14ac:dyDescent="0.2">
      <c r="B294" s="418"/>
      <c r="C294" s="117"/>
      <c r="D294" s="117" t="s">
        <v>861</v>
      </c>
      <c r="E294" s="122"/>
      <c r="F294" s="174"/>
      <c r="G294" s="174"/>
      <c r="H294" s="122"/>
      <c r="I294" s="122"/>
      <c r="J294" s="170"/>
      <c r="K294" s="170"/>
    </row>
    <row r="295" spans="2:11" ht="14.5" customHeight="1" x14ac:dyDescent="0.2">
      <c r="B295" s="418"/>
      <c r="C295" s="117"/>
      <c r="D295" s="117" t="s">
        <v>651</v>
      </c>
      <c r="E295" s="122"/>
      <c r="F295" s="174"/>
      <c r="G295" s="174"/>
      <c r="H295" s="122"/>
      <c r="I295" s="122"/>
      <c r="J295" s="170"/>
      <c r="K295" s="170"/>
    </row>
    <row r="296" spans="2:11" ht="14.5" customHeight="1" x14ac:dyDescent="0.2">
      <c r="B296" s="418"/>
      <c r="C296" s="117"/>
      <c r="D296" s="117" t="s">
        <v>652</v>
      </c>
      <c r="E296" s="122"/>
      <c r="F296" s="174"/>
      <c r="G296" s="174"/>
      <c r="H296" s="122"/>
      <c r="I296" s="122"/>
      <c r="J296" s="170"/>
      <c r="K296" s="170"/>
    </row>
    <row r="297" spans="2:11" ht="14.5" customHeight="1" x14ac:dyDescent="0.2">
      <c r="B297" s="418"/>
      <c r="C297" s="117"/>
      <c r="D297" s="117" t="s">
        <v>653</v>
      </c>
      <c r="E297" s="122"/>
      <c r="F297" s="174"/>
      <c r="G297" s="174"/>
      <c r="H297" s="122"/>
      <c r="I297" s="122"/>
      <c r="J297" s="170"/>
      <c r="K297" s="170"/>
    </row>
    <row r="298" spans="2:11" ht="14.5" customHeight="1" x14ac:dyDescent="0.2">
      <c r="B298" s="418"/>
      <c r="C298" s="119"/>
      <c r="D298" s="119" t="s">
        <v>754</v>
      </c>
      <c r="E298" s="123"/>
      <c r="F298" s="175"/>
      <c r="G298" s="175"/>
      <c r="H298" s="123"/>
      <c r="I298" s="123"/>
      <c r="J298" s="189"/>
      <c r="K298" s="189"/>
    </row>
    <row r="299" spans="2:11" ht="14.5" customHeight="1" x14ac:dyDescent="0.2">
      <c r="B299" s="419"/>
      <c r="C299" s="127"/>
      <c r="D299" s="127" t="s">
        <v>654</v>
      </c>
      <c r="E299" s="124"/>
      <c r="F299" s="176"/>
      <c r="G299" s="176"/>
      <c r="H299" s="124"/>
      <c r="I299" s="124"/>
      <c r="J299" s="190"/>
      <c r="K299" s="190"/>
    </row>
    <row r="300" spans="2:11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74"/>
      <c r="H300" s="122"/>
      <c r="I300" s="122"/>
      <c r="J300" s="170"/>
      <c r="K300" s="170"/>
    </row>
    <row r="301" spans="2:11" ht="14.5" customHeight="1" x14ac:dyDescent="0.2">
      <c r="B301" s="418"/>
      <c r="C301" s="117"/>
      <c r="D301" s="117" t="s">
        <v>657</v>
      </c>
      <c r="E301" s="122"/>
      <c r="F301" s="174"/>
      <c r="G301" s="174"/>
      <c r="H301" s="122"/>
      <c r="I301" s="122"/>
      <c r="J301" s="170"/>
      <c r="K301" s="170"/>
    </row>
    <row r="302" spans="2:11" ht="14.5" customHeight="1" x14ac:dyDescent="0.2">
      <c r="B302" s="418"/>
      <c r="C302" s="117"/>
      <c r="D302" s="117" t="s">
        <v>793</v>
      </c>
      <c r="E302" s="122"/>
      <c r="F302" s="174"/>
      <c r="G302" s="174"/>
      <c r="H302" s="122"/>
      <c r="I302" s="122"/>
      <c r="J302" s="170"/>
      <c r="K302" s="170"/>
    </row>
    <row r="303" spans="2:11" ht="14.5" customHeight="1" x14ac:dyDescent="0.2">
      <c r="B303" s="418"/>
      <c r="C303" s="117"/>
      <c r="D303" s="117" t="s">
        <v>862</v>
      </c>
      <c r="E303" s="122"/>
      <c r="F303" s="174"/>
      <c r="G303" s="174"/>
      <c r="H303" s="122"/>
      <c r="I303" s="122"/>
      <c r="J303" s="170"/>
      <c r="K303" s="170"/>
    </row>
    <row r="304" spans="2:11" ht="14.5" customHeight="1" x14ac:dyDescent="0.2">
      <c r="B304" s="418"/>
      <c r="C304" s="117"/>
      <c r="D304" s="117" t="s">
        <v>809</v>
      </c>
      <c r="E304" s="122"/>
      <c r="F304" s="174"/>
      <c r="G304" s="174"/>
      <c r="H304" s="122"/>
      <c r="I304" s="122"/>
      <c r="J304" s="170"/>
      <c r="K304" s="170"/>
    </row>
    <row r="305" spans="2:11" ht="14.5" customHeight="1" x14ac:dyDescent="0.2">
      <c r="B305" s="418"/>
      <c r="C305" s="117"/>
      <c r="D305" s="117" t="s">
        <v>794</v>
      </c>
      <c r="E305" s="122"/>
      <c r="F305" s="174"/>
      <c r="G305" s="174"/>
      <c r="H305" s="122"/>
      <c r="I305" s="122"/>
      <c r="J305" s="170"/>
      <c r="K305" s="170"/>
    </row>
    <row r="306" spans="2:11" ht="14.5" customHeight="1" x14ac:dyDescent="0.2">
      <c r="B306" s="418"/>
      <c r="C306" s="119"/>
      <c r="D306" s="119" t="s">
        <v>752</v>
      </c>
      <c r="E306" s="123"/>
      <c r="F306" s="175"/>
      <c r="G306" s="175"/>
      <c r="H306" s="123"/>
      <c r="I306" s="123"/>
      <c r="J306" s="189"/>
      <c r="K306" s="189"/>
    </row>
    <row r="307" spans="2:11" ht="14.5" customHeight="1" x14ac:dyDescent="0.2">
      <c r="B307" s="419"/>
      <c r="C307" s="127"/>
      <c r="D307" s="127" t="s">
        <v>656</v>
      </c>
      <c r="E307" s="124"/>
      <c r="F307" s="176"/>
      <c r="G307" s="176"/>
      <c r="H307" s="124"/>
      <c r="I307" s="124"/>
      <c r="J307" s="190"/>
      <c r="K307" s="190"/>
    </row>
    <row r="308" spans="2:11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74"/>
      <c r="H308" s="122"/>
      <c r="I308" s="122"/>
      <c r="J308" s="170"/>
      <c r="K308" s="170"/>
    </row>
    <row r="309" spans="2:11" ht="14.5" customHeight="1" x14ac:dyDescent="0.2">
      <c r="B309" s="418"/>
      <c r="C309" s="117"/>
      <c r="D309" s="117" t="s">
        <v>795</v>
      </c>
      <c r="E309" s="122"/>
      <c r="F309" s="174"/>
      <c r="G309" s="174"/>
      <c r="H309" s="122"/>
      <c r="I309" s="122"/>
      <c r="J309" s="170"/>
      <c r="K309" s="170"/>
    </row>
    <row r="310" spans="2:11" ht="14.5" customHeight="1" x14ac:dyDescent="0.2">
      <c r="B310" s="418"/>
      <c r="C310" s="117"/>
      <c r="D310" s="117" t="s">
        <v>661</v>
      </c>
      <c r="E310" s="122"/>
      <c r="F310" s="174"/>
      <c r="G310" s="174"/>
      <c r="H310" s="122"/>
      <c r="I310" s="122"/>
      <c r="J310" s="170"/>
      <c r="K310" s="170"/>
    </row>
    <row r="311" spans="2:11" ht="14.5" customHeight="1" x14ac:dyDescent="0.2">
      <c r="B311" s="418"/>
      <c r="C311" s="117"/>
      <c r="D311" s="117" t="s">
        <v>662</v>
      </c>
      <c r="E311" s="122"/>
      <c r="F311" s="174"/>
      <c r="G311" s="174"/>
      <c r="H311" s="122"/>
      <c r="I311" s="122"/>
      <c r="J311" s="170"/>
      <c r="K311" s="170"/>
    </row>
    <row r="312" spans="2:11" ht="14.5" customHeight="1" x14ac:dyDescent="0.2">
      <c r="B312" s="418"/>
      <c r="C312" s="119"/>
      <c r="D312" s="119" t="s">
        <v>759</v>
      </c>
      <c r="E312" s="123"/>
      <c r="F312" s="175"/>
      <c r="G312" s="175"/>
      <c r="H312" s="123"/>
      <c r="I312" s="123"/>
      <c r="J312" s="189"/>
      <c r="K312" s="189"/>
    </row>
    <row r="313" spans="2:11" ht="14.5" customHeight="1" x14ac:dyDescent="0.2">
      <c r="B313" s="419"/>
      <c r="C313" s="127"/>
      <c r="D313" s="127" t="s">
        <v>659</v>
      </c>
      <c r="E313" s="124"/>
      <c r="F313" s="176"/>
      <c r="G313" s="176"/>
      <c r="H313" s="124"/>
      <c r="I313" s="124"/>
      <c r="J313" s="190"/>
      <c r="K313" s="190"/>
    </row>
    <row r="314" spans="2:11" ht="14.5" customHeight="1" x14ac:dyDescent="0.2">
      <c r="B314" s="127"/>
      <c r="C314" s="127"/>
      <c r="D314" s="127" t="s">
        <v>863</v>
      </c>
      <c r="E314" s="124"/>
      <c r="F314" s="176"/>
      <c r="G314" s="176"/>
      <c r="H314" s="124"/>
      <c r="I314" s="124"/>
      <c r="J314" s="190"/>
      <c r="K314" s="190"/>
    </row>
    <row r="315" spans="2:11" ht="14.5" customHeight="1" x14ac:dyDescent="0.2">
      <c r="B315" s="127"/>
      <c r="C315" s="127"/>
      <c r="D315" s="127" t="s">
        <v>55</v>
      </c>
      <c r="E315" s="124"/>
      <c r="F315" s="176"/>
      <c r="G315" s="176"/>
      <c r="H315" s="124"/>
      <c r="I315" s="124"/>
      <c r="J315" s="190"/>
      <c r="K315" s="190"/>
    </row>
    <row r="316" spans="2:11" ht="14.5" customHeight="1" x14ac:dyDescent="0.2"/>
    <row r="317" spans="2:11" ht="14.5" customHeight="1" x14ac:dyDescent="0.2"/>
    <row r="318" spans="2:11" ht="14.5" customHeight="1" x14ac:dyDescent="0.2"/>
    <row r="319" spans="2:11" ht="14.5" customHeight="1" x14ac:dyDescent="0.2"/>
    <row r="320" spans="2:11" ht="14.5" customHeight="1" x14ac:dyDescent="0.2">
      <c r="B320" s="4" t="s">
        <v>885</v>
      </c>
      <c r="C320" s="5"/>
      <c r="D320" s="5"/>
      <c r="E320" s="33"/>
      <c r="F320" s="33"/>
      <c r="G320" s="34"/>
    </row>
    <row r="321" spans="2:11" ht="14.5" customHeight="1" x14ac:dyDescent="0.2">
      <c r="B321" s="8"/>
      <c r="C321" s="8"/>
      <c r="D321" s="8"/>
      <c r="E321" s="35"/>
      <c r="F321" s="35"/>
      <c r="G321" s="34"/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385" t="s">
        <v>438</v>
      </c>
      <c r="F322" s="385"/>
      <c r="G322" s="417" t="s">
        <v>56</v>
      </c>
      <c r="H322" s="394" t="s">
        <v>3</v>
      </c>
      <c r="I322" s="398" t="s">
        <v>439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36" t="s">
        <v>77</v>
      </c>
      <c r="F323" s="54" t="s">
        <v>58</v>
      </c>
      <c r="G323" s="417"/>
      <c r="H323" s="394"/>
      <c r="I323" s="398"/>
      <c r="J323" s="398"/>
      <c r="K323" s="398"/>
    </row>
    <row r="324" spans="2:11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74"/>
      <c r="H324" s="122"/>
      <c r="I324" s="122"/>
      <c r="J324" s="170"/>
      <c r="K324" s="170"/>
    </row>
    <row r="325" spans="2:11" ht="14.5" customHeight="1" x14ac:dyDescent="0.2">
      <c r="B325" s="418"/>
      <c r="C325" s="117"/>
      <c r="D325" s="117" t="s">
        <v>869</v>
      </c>
      <c r="E325" s="122"/>
      <c r="F325" s="174"/>
      <c r="G325" s="174"/>
      <c r="H325" s="122"/>
      <c r="I325" s="122"/>
      <c r="J325" s="170"/>
      <c r="K325" s="170"/>
    </row>
    <row r="326" spans="2:11" ht="14.5" customHeight="1" x14ac:dyDescent="0.2">
      <c r="B326" s="418"/>
      <c r="C326" s="117"/>
      <c r="D326" s="117" t="s">
        <v>870</v>
      </c>
      <c r="E326" s="122"/>
      <c r="F326" s="174"/>
      <c r="G326" s="174"/>
      <c r="H326" s="122"/>
      <c r="I326" s="122"/>
      <c r="J326" s="170"/>
      <c r="K326" s="170"/>
    </row>
    <row r="327" spans="2:11" ht="14.5" customHeight="1" x14ac:dyDescent="0.2">
      <c r="B327" s="418"/>
      <c r="C327" s="117"/>
      <c r="D327" s="117" t="s">
        <v>871</v>
      </c>
      <c r="E327" s="122"/>
      <c r="F327" s="174"/>
      <c r="G327" s="174"/>
      <c r="H327" s="122"/>
      <c r="I327" s="122"/>
      <c r="J327" s="170"/>
      <c r="K327" s="170"/>
    </row>
    <row r="328" spans="2:11" ht="14.5" customHeight="1" x14ac:dyDescent="0.2">
      <c r="B328" s="418"/>
      <c r="C328" s="117"/>
      <c r="D328" s="117" t="s">
        <v>872</v>
      </c>
      <c r="E328" s="122"/>
      <c r="F328" s="174"/>
      <c r="G328" s="174"/>
      <c r="H328" s="122"/>
      <c r="I328" s="122"/>
      <c r="J328" s="170"/>
      <c r="K328" s="170"/>
    </row>
    <row r="329" spans="2:11" ht="14.5" customHeight="1" x14ac:dyDescent="0.2">
      <c r="B329" s="418"/>
      <c r="C329" s="117"/>
      <c r="D329" s="117" t="s">
        <v>873</v>
      </c>
      <c r="E329" s="122"/>
      <c r="F329" s="174"/>
      <c r="G329" s="174"/>
      <c r="H329" s="122"/>
      <c r="I329" s="122"/>
      <c r="J329" s="170"/>
      <c r="K329" s="170"/>
    </row>
    <row r="330" spans="2:11" ht="14.5" customHeight="1" x14ac:dyDescent="0.2">
      <c r="B330" s="418"/>
      <c r="C330" s="117"/>
      <c r="D330" s="117" t="s">
        <v>874</v>
      </c>
      <c r="E330" s="122"/>
      <c r="F330" s="174"/>
      <c r="G330" s="174"/>
      <c r="H330" s="122"/>
      <c r="I330" s="122"/>
      <c r="J330" s="170"/>
      <c r="K330" s="170"/>
    </row>
    <row r="331" spans="2:11" ht="14.5" customHeight="1" x14ac:dyDescent="0.2">
      <c r="B331" s="418"/>
      <c r="C331" s="117"/>
      <c r="D331" s="117" t="s">
        <v>875</v>
      </c>
      <c r="E331" s="122"/>
      <c r="F331" s="174"/>
      <c r="G331" s="174"/>
      <c r="H331" s="122"/>
      <c r="I331" s="122"/>
      <c r="J331" s="170"/>
      <c r="K331" s="170"/>
    </row>
    <row r="332" spans="2:11" ht="14.5" customHeight="1" x14ac:dyDescent="0.2">
      <c r="B332" s="418"/>
      <c r="C332" s="117"/>
      <c r="D332" s="117" t="s">
        <v>876</v>
      </c>
      <c r="E332" s="122"/>
      <c r="F332" s="174"/>
      <c r="G332" s="174"/>
      <c r="H332" s="122"/>
      <c r="I332" s="122"/>
      <c r="J332" s="170"/>
      <c r="K332" s="170"/>
    </row>
    <row r="333" spans="2:11" ht="14.5" customHeight="1" x14ac:dyDescent="0.2">
      <c r="B333" s="418"/>
      <c r="C333" s="117"/>
      <c r="D333" s="117" t="s">
        <v>877</v>
      </c>
      <c r="E333" s="122"/>
      <c r="F333" s="174"/>
      <c r="G333" s="174"/>
      <c r="H333" s="122"/>
      <c r="I333" s="122"/>
      <c r="J333" s="170"/>
      <c r="K333" s="170"/>
    </row>
    <row r="334" spans="2:11" ht="14.5" customHeight="1" x14ac:dyDescent="0.2">
      <c r="B334" s="418"/>
      <c r="C334" s="119"/>
      <c r="D334" s="119" t="s">
        <v>892</v>
      </c>
      <c r="E334" s="123"/>
      <c r="F334" s="175"/>
      <c r="G334" s="175"/>
      <c r="H334" s="123"/>
      <c r="I334" s="123"/>
      <c r="J334" s="189"/>
      <c r="K334" s="189"/>
    </row>
    <row r="335" spans="2:11" ht="14.5" customHeight="1" x14ac:dyDescent="0.2">
      <c r="B335" s="418"/>
      <c r="C335" s="119"/>
      <c r="D335" s="119" t="s">
        <v>74</v>
      </c>
      <c r="E335" s="123"/>
      <c r="F335" s="175"/>
      <c r="G335" s="175"/>
      <c r="H335" s="123"/>
      <c r="I335" s="123"/>
      <c r="J335" s="189"/>
      <c r="K335" s="189"/>
    </row>
    <row r="336" spans="2:11" ht="14.5" customHeight="1" x14ac:dyDescent="0.2">
      <c r="B336" s="419"/>
      <c r="C336" s="127"/>
      <c r="D336" s="127" t="s">
        <v>866</v>
      </c>
      <c r="E336" s="124"/>
      <c r="F336" s="176"/>
      <c r="G336" s="176"/>
      <c r="H336" s="124"/>
      <c r="I336" s="124"/>
      <c r="J336" s="190"/>
      <c r="K336" s="190"/>
    </row>
    <row r="337" spans="2:11" ht="14.5" customHeight="1" x14ac:dyDescent="0.2">
      <c r="B337" s="127"/>
      <c r="C337" s="127"/>
      <c r="D337" s="127" t="s">
        <v>867</v>
      </c>
      <c r="E337" s="124"/>
      <c r="F337" s="176"/>
      <c r="G337" s="176"/>
      <c r="H337" s="124"/>
      <c r="I337" s="124"/>
      <c r="J337" s="190"/>
      <c r="K337" s="190"/>
    </row>
    <row r="338" spans="2:11" ht="14.5" customHeight="1" x14ac:dyDescent="0.2"/>
    <row r="339" spans="2:11" s="45" customFormat="1" ht="14.5" customHeight="1" x14ac:dyDescent="0.2">
      <c r="E339" s="46"/>
      <c r="F339" s="46"/>
      <c r="G339" s="228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46"/>
      <c r="F340" s="46"/>
      <c r="G340" s="228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46"/>
      <c r="F341" s="46"/>
      <c r="G341" s="228" t="s">
        <v>138</v>
      </c>
      <c r="H341" s="48"/>
      <c r="I341" s="128">
        <f>'Pencapaian Effective Call'!I341</f>
        <v>4324500</v>
      </c>
      <c r="J341" s="46"/>
      <c r="K341" s="46"/>
    </row>
    <row r="342" spans="2:11" s="45" customFormat="1" ht="14.5" customHeight="1" x14ac:dyDescent="0.2">
      <c r="E342" s="46"/>
      <c r="F342" s="46"/>
      <c r="G342" s="228" t="s">
        <v>153</v>
      </c>
      <c r="H342" s="48"/>
      <c r="I342" s="128">
        <f>'Pencapaian New Open Outlet'!I342</f>
        <v>1949250</v>
      </c>
      <c r="J342" s="46"/>
      <c r="K342" s="46"/>
    </row>
    <row r="343" spans="2:11" s="45" customFormat="1" ht="14.5" customHeight="1" x14ac:dyDescent="0.2">
      <c r="E343" s="46"/>
      <c r="F343" s="46"/>
      <c r="G343" s="228" t="s">
        <v>79</v>
      </c>
      <c r="H343" s="48"/>
      <c r="I343" s="128">
        <f>'Pencapaian Active Outlet'!I343</f>
        <v>7007500</v>
      </c>
      <c r="J343" s="46"/>
      <c r="K343" s="46"/>
    </row>
    <row r="344" spans="2:11" s="45" customFormat="1" ht="14.5" customHeight="1" x14ac:dyDescent="0.2">
      <c r="E344" s="46"/>
      <c r="F344" s="46"/>
      <c r="G344" s="228" t="s">
        <v>136</v>
      </c>
      <c r="H344" s="48"/>
      <c r="I344" s="128">
        <f>'Pencapaian Item per Outlet'!I344</f>
        <v>1646000</v>
      </c>
      <c r="J344" s="46"/>
      <c r="K344" s="46"/>
    </row>
    <row r="345" spans="2:11" s="45" customFormat="1" ht="14.5" customHeight="1" x14ac:dyDescent="0.2">
      <c r="E345" s="46"/>
      <c r="F345" s="46"/>
      <c r="G345" s="228" t="s">
        <v>414</v>
      </c>
      <c r="I345" s="128">
        <f>'Pencapaian Product Display'!I345</f>
        <v>40000</v>
      </c>
      <c r="J345" s="46"/>
      <c r="K345" s="46"/>
    </row>
    <row r="346" spans="2:11" s="45" customFormat="1" ht="14.5" customHeight="1" x14ac:dyDescent="0.2">
      <c r="E346" s="46"/>
      <c r="F346" s="46"/>
      <c r="G346" s="228" t="s">
        <v>415</v>
      </c>
      <c r="I346" s="128">
        <f>'Pencapaian Sales Contract'!I346</f>
        <v>0</v>
      </c>
      <c r="J346" s="46"/>
      <c r="K346" s="46"/>
    </row>
    <row r="347" spans="2:11" ht="14.5" customHeight="1" x14ac:dyDescent="0.2">
      <c r="G347" s="228" t="s">
        <v>416</v>
      </c>
      <c r="H347" s="45"/>
      <c r="I347" s="128">
        <f>SUM(I315,I147,I95,I77,I40,I337)</f>
        <v>0</v>
      </c>
      <c r="J347" s="46"/>
      <c r="K347" s="46"/>
    </row>
    <row r="348" spans="2:11" ht="14.5" customHeight="1" x14ac:dyDescent="0.2">
      <c r="G348" s="228" t="s">
        <v>417</v>
      </c>
      <c r="H348" s="45"/>
      <c r="I348" s="128">
        <f>'Pencapaian Join Event Activity'!I348</f>
        <v>50000</v>
      </c>
      <c r="J348" s="46"/>
      <c r="K348" s="46"/>
    </row>
    <row r="349" spans="2:11" ht="14.5" customHeight="1" x14ac:dyDescent="0.2">
      <c r="G349" s="228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47"/>
      <c r="I350" s="229"/>
      <c r="J350" s="46"/>
      <c r="K350" s="46"/>
    </row>
    <row r="351" spans="2:11" ht="14.5" customHeight="1" x14ac:dyDescent="0.2">
      <c r="G351" s="50" t="s">
        <v>62</v>
      </c>
      <c r="I351" s="235">
        <f>SUM(I339:I349)</f>
        <v>38916750</v>
      </c>
    </row>
    <row r="352" spans="2:11" ht="14.5" customHeight="1" x14ac:dyDescent="0.2"/>
    <row r="353" ht="14.5" customHeight="1" x14ac:dyDescent="0.2"/>
    <row r="354" ht="14.5" customHeight="1" x14ac:dyDescent="0.2"/>
    <row r="355" ht="14.5" customHeight="1" x14ac:dyDescent="0.2"/>
    <row r="356" ht="14.5" customHeight="1" x14ac:dyDescent="0.2"/>
    <row r="357" ht="14.5" customHeight="1" x14ac:dyDescent="0.2"/>
  </sheetData>
  <mergeCells count="86">
    <mergeCell ref="B275:B280"/>
    <mergeCell ref="B282:B288"/>
    <mergeCell ref="B293:B299"/>
    <mergeCell ref="B300:B307"/>
    <mergeCell ref="B308:B313"/>
    <mergeCell ref="B289:B292"/>
    <mergeCell ref="K155:K156"/>
    <mergeCell ref="H155:H156"/>
    <mergeCell ref="I155:I156"/>
    <mergeCell ref="C155:C156"/>
    <mergeCell ref="D155:D156"/>
    <mergeCell ref="E155:F155"/>
    <mergeCell ref="G155:G156"/>
    <mergeCell ref="J155:J156"/>
    <mergeCell ref="I103:I104"/>
    <mergeCell ref="J103:J104"/>
    <mergeCell ref="K103:K104"/>
    <mergeCell ref="B105:B109"/>
    <mergeCell ref="C103:C104"/>
    <mergeCell ref="D103:D104"/>
    <mergeCell ref="E103:F103"/>
    <mergeCell ref="G103:G104"/>
    <mergeCell ref="C85:C86"/>
    <mergeCell ref="D85:D86"/>
    <mergeCell ref="E85:F85"/>
    <mergeCell ref="G85:G86"/>
    <mergeCell ref="H103:H104"/>
    <mergeCell ref="I85:I86"/>
    <mergeCell ref="B157:B165"/>
    <mergeCell ref="J48:J49"/>
    <mergeCell ref="K48:K49"/>
    <mergeCell ref="B50:B64"/>
    <mergeCell ref="B65:B71"/>
    <mergeCell ref="B72:B76"/>
    <mergeCell ref="B48:B49"/>
    <mergeCell ref="C48:C49"/>
    <mergeCell ref="D48:D49"/>
    <mergeCell ref="E48:F48"/>
    <mergeCell ref="G48:G49"/>
    <mergeCell ref="H48:H49"/>
    <mergeCell ref="J85:J86"/>
    <mergeCell ref="K85:K86"/>
    <mergeCell ref="B87:B90"/>
    <mergeCell ref="B191:B199"/>
    <mergeCell ref="B200:B215"/>
    <mergeCell ref="B216:B220"/>
    <mergeCell ref="K3:K4"/>
    <mergeCell ref="B5:B28"/>
    <mergeCell ref="B29:B34"/>
    <mergeCell ref="G3:G4"/>
    <mergeCell ref="H3:H4"/>
    <mergeCell ref="C3:C4"/>
    <mergeCell ref="D3:D4"/>
    <mergeCell ref="E3:F3"/>
    <mergeCell ref="I3:I4"/>
    <mergeCell ref="J3:J4"/>
    <mergeCell ref="H85:H86"/>
    <mergeCell ref="I48:I49"/>
    <mergeCell ref="B110:B115"/>
    <mergeCell ref="B35:B39"/>
    <mergeCell ref="B3:B4"/>
    <mergeCell ref="B166:B181"/>
    <mergeCell ref="B182:B189"/>
    <mergeCell ref="B116:B120"/>
    <mergeCell ref="B129:B133"/>
    <mergeCell ref="B155:B156"/>
    <mergeCell ref="B121:B128"/>
    <mergeCell ref="B91:B94"/>
    <mergeCell ref="B103:B104"/>
    <mergeCell ref="B134:B146"/>
    <mergeCell ref="B85:B86"/>
    <mergeCell ref="B221:B225"/>
    <mergeCell ref="B227:B242"/>
    <mergeCell ref="B243:B249"/>
    <mergeCell ref="B250:B258"/>
    <mergeCell ref="B260:B274"/>
    <mergeCell ref="H322:H323"/>
    <mergeCell ref="I322:I323"/>
    <mergeCell ref="J322:J323"/>
    <mergeCell ref="K322:K323"/>
    <mergeCell ref="B324:B336"/>
    <mergeCell ref="B322:B323"/>
    <mergeCell ref="C322:C323"/>
    <mergeCell ref="D322:D323"/>
    <mergeCell ref="E322:F322"/>
    <mergeCell ref="G322:G323"/>
  </mergeCells>
  <conditionalFormatting sqref="G22:G23">
    <cfRule type="cellIs" dxfId="5" priority="10" operator="greaterThan">
      <formula>1</formula>
    </cfRule>
    <cfRule type="cellIs" dxfId="4" priority="11" operator="greaterThan">
      <formula>0.7</formula>
    </cfRule>
    <cfRule type="cellIs" dxfId="3" priority="12" operator="lessThan">
      <formula>0.7</formula>
    </cfRule>
  </conditionalFormatting>
  <conditionalFormatting sqref="G61">
    <cfRule type="cellIs" dxfId="2" priority="4" operator="greaterThan">
      <formula>1</formula>
    </cfRule>
    <cfRule type="cellIs" dxfId="1" priority="5" operator="greaterThan">
      <formula>0.7</formula>
    </cfRule>
    <cfRule type="cellIs" dxfId="0" priority="6" operator="lessThan">
      <formula>0.7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C078-350C-42E6-AA69-0C4C9674051F}">
  <dimension ref="B1:L360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F125" sqref="F125"/>
    </sheetView>
  </sheetViews>
  <sheetFormatPr baseColWidth="10" defaultColWidth="8.83203125" defaultRowHeight="15" x14ac:dyDescent="0.2"/>
  <cols>
    <col min="1" max="1" width="3.83203125" customWidth="1"/>
    <col min="2" max="2" width="21" customWidth="1"/>
    <col min="3" max="3" width="16.1640625" bestFit="1" customWidth="1"/>
    <col min="4" max="4" width="28.6640625" bestFit="1" customWidth="1"/>
    <col min="5" max="6" width="10.6640625" style="2" customWidth="1"/>
    <col min="7" max="7" width="13.1640625" style="1" customWidth="1"/>
    <col min="8" max="8" width="10.83203125" customWidth="1"/>
    <col min="9" max="11" width="12.6640625" style="2" customWidth="1"/>
    <col min="12" max="12" width="3.5" customWidth="1"/>
  </cols>
  <sheetData>
    <row r="1" spans="2:11" ht="14.5" customHeight="1" x14ac:dyDescent="0.2">
      <c r="B1" s="4" t="s">
        <v>444</v>
      </c>
      <c r="C1" s="5"/>
      <c r="D1" s="5"/>
      <c r="E1" s="33"/>
      <c r="F1" s="33"/>
      <c r="G1" s="34"/>
    </row>
    <row r="2" spans="2:11" ht="14.5" customHeight="1" x14ac:dyDescent="0.2">
      <c r="B2" s="8"/>
      <c r="C2" s="8"/>
      <c r="D2" s="8"/>
      <c r="E2" s="35"/>
      <c r="F2" s="35"/>
      <c r="G2" s="34"/>
    </row>
    <row r="3" spans="2:11" ht="14.5" customHeight="1" x14ac:dyDescent="0.2">
      <c r="B3" s="388" t="s">
        <v>0</v>
      </c>
      <c r="C3" s="388" t="s">
        <v>270</v>
      </c>
      <c r="D3" s="388" t="s">
        <v>2</v>
      </c>
      <c r="E3" s="385" t="s">
        <v>445</v>
      </c>
      <c r="F3" s="385"/>
      <c r="G3" s="417" t="s">
        <v>56</v>
      </c>
      <c r="H3" s="394" t="s">
        <v>3</v>
      </c>
      <c r="I3" s="398" t="s">
        <v>446</v>
      </c>
      <c r="J3" s="398" t="s">
        <v>8</v>
      </c>
      <c r="K3" s="398" t="s">
        <v>75</v>
      </c>
    </row>
    <row r="4" spans="2:11" ht="14.5" customHeight="1" x14ac:dyDescent="0.2">
      <c r="B4" s="388"/>
      <c r="C4" s="388"/>
      <c r="D4" s="388"/>
      <c r="E4" s="36" t="s">
        <v>77</v>
      </c>
      <c r="F4" s="54" t="s">
        <v>58</v>
      </c>
      <c r="G4" s="417"/>
      <c r="H4" s="394"/>
      <c r="I4" s="398"/>
      <c r="J4" s="398"/>
      <c r="K4" s="398"/>
    </row>
    <row r="5" spans="2:11" ht="14.5" customHeight="1" x14ac:dyDescent="0.2">
      <c r="B5" s="422" t="s">
        <v>13</v>
      </c>
      <c r="C5" s="117" t="s">
        <v>342</v>
      </c>
      <c r="D5" s="117" t="s">
        <v>233</v>
      </c>
      <c r="E5" s="170"/>
      <c r="F5" s="170"/>
      <c r="G5" s="122"/>
      <c r="H5" s="122"/>
      <c r="I5" s="122"/>
      <c r="J5" s="122"/>
      <c r="K5" s="122"/>
    </row>
    <row r="6" spans="2:11" ht="14.5" customHeight="1" x14ac:dyDescent="0.2">
      <c r="B6" s="422"/>
      <c r="C6" s="117" t="s">
        <v>343</v>
      </c>
      <c r="D6" s="117" t="s">
        <v>234</v>
      </c>
      <c r="E6" s="170"/>
      <c r="F6" s="170"/>
      <c r="G6" s="122"/>
      <c r="H6" s="122"/>
      <c r="I6" s="122"/>
      <c r="J6" s="122"/>
      <c r="K6" s="122"/>
    </row>
    <row r="7" spans="2:11" ht="14.5" customHeight="1" x14ac:dyDescent="0.2">
      <c r="B7" s="422"/>
      <c r="C7" s="117" t="s">
        <v>344</v>
      </c>
      <c r="D7" s="117" t="s">
        <v>235</v>
      </c>
      <c r="E7" s="170"/>
      <c r="F7" s="170"/>
      <c r="G7" s="122"/>
      <c r="H7" s="122"/>
      <c r="I7" s="122"/>
      <c r="J7" s="122"/>
      <c r="K7" s="122"/>
    </row>
    <row r="8" spans="2:11" ht="14.5" customHeight="1" x14ac:dyDescent="0.2">
      <c r="B8" s="422"/>
      <c r="C8" s="117" t="s">
        <v>345</v>
      </c>
      <c r="D8" s="117" t="s">
        <v>236</v>
      </c>
      <c r="E8" s="170"/>
      <c r="F8" s="170"/>
      <c r="G8" s="122"/>
      <c r="H8" s="122"/>
      <c r="I8" s="122"/>
      <c r="J8" s="122"/>
      <c r="K8" s="122"/>
    </row>
    <row r="9" spans="2:11" ht="14.5" customHeight="1" x14ac:dyDescent="0.2">
      <c r="B9" s="422"/>
      <c r="C9" s="117" t="s">
        <v>346</v>
      </c>
      <c r="D9" s="117" t="s">
        <v>237</v>
      </c>
      <c r="E9" s="170"/>
      <c r="F9" s="170"/>
      <c r="G9" s="122"/>
      <c r="H9" s="122"/>
      <c r="I9" s="122"/>
      <c r="J9" s="122"/>
      <c r="K9" s="122"/>
    </row>
    <row r="10" spans="2:11" ht="14.5" customHeight="1" x14ac:dyDescent="0.2">
      <c r="B10" s="422"/>
      <c r="C10" s="117" t="s">
        <v>347</v>
      </c>
      <c r="D10" s="117" t="s">
        <v>101</v>
      </c>
      <c r="E10" s="170"/>
      <c r="F10" s="170"/>
      <c r="G10" s="122"/>
      <c r="H10" s="122"/>
      <c r="I10" s="122"/>
      <c r="J10" s="122"/>
      <c r="K10" s="122"/>
    </row>
    <row r="11" spans="2:11" ht="14.5" customHeight="1" x14ac:dyDescent="0.2">
      <c r="B11" s="422"/>
      <c r="C11" s="117" t="s">
        <v>348</v>
      </c>
      <c r="D11" s="117" t="s">
        <v>157</v>
      </c>
      <c r="E11" s="170"/>
      <c r="F11" s="170"/>
      <c r="G11" s="122"/>
      <c r="H11" s="122"/>
      <c r="I11" s="122"/>
      <c r="J11" s="122"/>
      <c r="K11" s="122"/>
    </row>
    <row r="12" spans="2:11" ht="14.5" customHeight="1" x14ac:dyDescent="0.2">
      <c r="B12" s="422"/>
      <c r="C12" s="117" t="s">
        <v>349</v>
      </c>
      <c r="D12" s="117" t="s">
        <v>158</v>
      </c>
      <c r="E12" s="170"/>
      <c r="F12" s="170"/>
      <c r="G12" s="122"/>
      <c r="H12" s="122"/>
      <c r="I12" s="122"/>
      <c r="J12" s="122"/>
      <c r="K12" s="122"/>
    </row>
    <row r="13" spans="2:11" s="37" customFormat="1" ht="14.5" customHeight="1" x14ac:dyDescent="0.2">
      <c r="B13" s="422"/>
      <c r="C13" s="120"/>
      <c r="D13" s="120" t="s">
        <v>289</v>
      </c>
      <c r="E13" s="149"/>
      <c r="F13" s="149"/>
      <c r="G13" s="150"/>
      <c r="H13" s="151"/>
      <c r="I13" s="152"/>
      <c r="J13" s="152"/>
      <c r="K13" s="152"/>
    </row>
    <row r="14" spans="2:11" s="21" customFormat="1" ht="14.5" customHeight="1" x14ac:dyDescent="0.2">
      <c r="B14" s="422"/>
      <c r="C14" s="117" t="s">
        <v>350</v>
      </c>
      <c r="D14" s="117" t="s">
        <v>99</v>
      </c>
      <c r="E14" s="170"/>
      <c r="F14" s="170"/>
      <c r="G14" s="122"/>
      <c r="H14" s="122"/>
      <c r="I14" s="122"/>
      <c r="J14" s="122"/>
      <c r="K14" s="122"/>
    </row>
    <row r="15" spans="2:11" ht="14.5" customHeight="1" x14ac:dyDescent="0.2">
      <c r="B15" s="422"/>
      <c r="C15" s="117" t="s">
        <v>351</v>
      </c>
      <c r="D15" s="117" t="s">
        <v>100</v>
      </c>
      <c r="E15" s="170"/>
      <c r="F15" s="170"/>
      <c r="G15" s="122"/>
      <c r="H15" s="122"/>
      <c r="I15" s="122"/>
      <c r="J15" s="122"/>
      <c r="K15" s="122"/>
    </row>
    <row r="16" spans="2:11" ht="14.5" customHeight="1" x14ac:dyDescent="0.2">
      <c r="B16" s="422"/>
      <c r="C16" s="117" t="s">
        <v>352</v>
      </c>
      <c r="D16" s="117" t="s">
        <v>238</v>
      </c>
      <c r="E16" s="170"/>
      <c r="F16" s="170"/>
      <c r="G16" s="122"/>
      <c r="H16" s="122"/>
      <c r="I16" s="122"/>
      <c r="J16" s="122"/>
      <c r="K16" s="122"/>
    </row>
    <row r="17" spans="2:11" ht="14.5" customHeight="1" x14ac:dyDescent="0.2">
      <c r="B17" s="422"/>
      <c r="C17" s="117" t="s">
        <v>353</v>
      </c>
      <c r="D17" s="117" t="s">
        <v>239</v>
      </c>
      <c r="E17" s="170"/>
      <c r="F17" s="170"/>
      <c r="G17" s="122"/>
      <c r="H17" s="122"/>
      <c r="I17" s="122"/>
      <c r="J17" s="122"/>
      <c r="K17" s="122"/>
    </row>
    <row r="18" spans="2:11" ht="14.5" customHeight="1" x14ac:dyDescent="0.2">
      <c r="B18" s="422"/>
      <c r="C18" s="117" t="s">
        <v>354</v>
      </c>
      <c r="D18" s="117" t="s">
        <v>294</v>
      </c>
      <c r="E18" s="170"/>
      <c r="F18" s="170"/>
      <c r="G18" s="122"/>
      <c r="H18" s="122"/>
      <c r="I18" s="122"/>
      <c r="J18" s="122"/>
      <c r="K18" s="122"/>
    </row>
    <row r="19" spans="2:11" ht="14.5" customHeight="1" x14ac:dyDescent="0.2">
      <c r="B19" s="422"/>
      <c r="C19" s="117" t="s">
        <v>355</v>
      </c>
      <c r="D19" s="117" t="s">
        <v>273</v>
      </c>
      <c r="E19" s="170"/>
      <c r="F19" s="170"/>
      <c r="G19" s="122"/>
      <c r="H19" s="122"/>
      <c r="I19" s="122"/>
      <c r="J19" s="122"/>
      <c r="K19" s="122"/>
    </row>
    <row r="20" spans="2:11" ht="14.5" customHeight="1" x14ac:dyDescent="0.2">
      <c r="B20" s="422"/>
      <c r="C20" s="117"/>
      <c r="D20" s="117" t="s">
        <v>243</v>
      </c>
      <c r="E20" s="170"/>
      <c r="F20" s="170"/>
      <c r="G20" s="122"/>
      <c r="H20" s="122"/>
      <c r="I20" s="122"/>
      <c r="J20" s="122"/>
      <c r="K20" s="122"/>
    </row>
    <row r="21" spans="2:11" s="37" customFormat="1" ht="14.5" customHeight="1" x14ac:dyDescent="0.2">
      <c r="B21" s="422"/>
      <c r="C21" s="120"/>
      <c r="D21" s="120" t="s">
        <v>293</v>
      </c>
      <c r="E21" s="149"/>
      <c r="F21" s="149"/>
      <c r="G21" s="150"/>
      <c r="H21" s="151"/>
      <c r="I21" s="152"/>
      <c r="J21" s="152"/>
      <c r="K21" s="152"/>
    </row>
    <row r="22" spans="2:11" s="37" customFormat="1" ht="14.5" customHeight="1" x14ac:dyDescent="0.2">
      <c r="B22" s="422"/>
      <c r="C22" s="117" t="s">
        <v>356</v>
      </c>
      <c r="D22" s="117" t="s">
        <v>147</v>
      </c>
      <c r="E22" s="170"/>
      <c r="F22" s="170"/>
      <c r="G22" s="122"/>
      <c r="H22" s="122"/>
      <c r="I22" s="122"/>
      <c r="J22" s="122"/>
      <c r="K22" s="122"/>
    </row>
    <row r="23" spans="2:11" s="37" customFormat="1" ht="14.5" customHeight="1" x14ac:dyDescent="0.2">
      <c r="B23" s="422"/>
      <c r="C23" s="117" t="s">
        <v>357</v>
      </c>
      <c r="D23" s="117" t="s">
        <v>813</v>
      </c>
      <c r="E23" s="170"/>
      <c r="F23" s="170"/>
      <c r="G23" s="122"/>
      <c r="H23" s="122"/>
      <c r="I23" s="122"/>
      <c r="J23" s="122"/>
      <c r="K23" s="122"/>
    </row>
    <row r="24" spans="2:11" s="37" customFormat="1" ht="14.5" customHeight="1" x14ac:dyDescent="0.2">
      <c r="B24" s="422"/>
      <c r="C24" s="78"/>
      <c r="D24" s="78" t="s">
        <v>146</v>
      </c>
      <c r="E24" s="65">
        <v>1</v>
      </c>
      <c r="F24" s="65">
        <v>1</v>
      </c>
      <c r="G24" s="168">
        <f t="shared" ref="G24" si="0">E24/F24*100%</f>
        <v>1</v>
      </c>
      <c r="H24" s="64" t="s">
        <v>20</v>
      </c>
      <c r="I24" s="63">
        <v>50000</v>
      </c>
      <c r="J24" s="63">
        <f t="shared" ref="J24" si="1">I24</f>
        <v>50000</v>
      </c>
      <c r="K24" s="63">
        <v>0</v>
      </c>
    </row>
    <row r="25" spans="2:11" s="37" customFormat="1" ht="14.5" customHeight="1" x14ac:dyDescent="0.2">
      <c r="B25" s="422"/>
      <c r="C25" s="117" t="s">
        <v>358</v>
      </c>
      <c r="D25" s="117" t="s">
        <v>258</v>
      </c>
      <c r="E25" s="170"/>
      <c r="F25" s="170"/>
      <c r="G25" s="122"/>
      <c r="H25" s="122"/>
      <c r="I25" s="122"/>
      <c r="J25" s="122"/>
      <c r="K25" s="122"/>
    </row>
    <row r="26" spans="2:11" s="37" customFormat="1" ht="14.5" customHeight="1" x14ac:dyDescent="0.2">
      <c r="B26" s="422"/>
      <c r="C26" s="117" t="s">
        <v>525</v>
      </c>
      <c r="D26" s="117" t="s">
        <v>578</v>
      </c>
      <c r="E26" s="170"/>
      <c r="F26" s="170"/>
      <c r="G26" s="122"/>
      <c r="H26" s="122"/>
      <c r="I26" s="122"/>
      <c r="J26" s="122"/>
      <c r="K26" s="122"/>
    </row>
    <row r="27" spans="2:11" s="37" customFormat="1" ht="14.5" customHeight="1" x14ac:dyDescent="0.2">
      <c r="B27" s="422"/>
      <c r="C27" s="119"/>
      <c r="D27" s="119" t="s">
        <v>587</v>
      </c>
      <c r="E27" s="189"/>
      <c r="F27" s="189"/>
      <c r="G27" s="123"/>
      <c r="H27" s="123"/>
      <c r="I27" s="123"/>
      <c r="J27" s="123"/>
      <c r="K27" s="123"/>
    </row>
    <row r="28" spans="2:11" s="21" customFormat="1" ht="14.5" customHeight="1" x14ac:dyDescent="0.2">
      <c r="B28" s="422"/>
      <c r="C28" s="126"/>
      <c r="D28" s="126" t="s">
        <v>24</v>
      </c>
      <c r="E28" s="153">
        <f>SUM(E27,E24,E21,E13)</f>
        <v>1</v>
      </c>
      <c r="F28" s="153">
        <f>SUM(F27,F24,F21,F13)</f>
        <v>1</v>
      </c>
      <c r="G28" s="147">
        <f t="shared" ref="G28" si="2">E28/F28*100%</f>
        <v>1</v>
      </c>
      <c r="H28" s="154"/>
      <c r="I28" s="148">
        <f>SUM(I5:I27)</f>
        <v>50000</v>
      </c>
      <c r="J28" s="148">
        <f>SUM(J5:J27)</f>
        <v>50000</v>
      </c>
      <c r="K28" s="148">
        <f>SUM(K5:K27)</f>
        <v>0</v>
      </c>
    </row>
    <row r="29" spans="2:11" ht="14.5" customHeight="1" x14ac:dyDescent="0.2">
      <c r="B29" s="422" t="s">
        <v>32</v>
      </c>
      <c r="C29" s="117" t="s">
        <v>359</v>
      </c>
      <c r="D29" s="117" t="s">
        <v>103</v>
      </c>
      <c r="E29" s="170"/>
      <c r="F29" s="170"/>
      <c r="G29" s="122"/>
      <c r="H29" s="122"/>
      <c r="I29" s="122"/>
      <c r="J29" s="122"/>
      <c r="K29" s="122"/>
    </row>
    <row r="30" spans="2:11" ht="14.5" customHeight="1" x14ac:dyDescent="0.2">
      <c r="B30" s="422"/>
      <c r="C30" s="117" t="s">
        <v>360</v>
      </c>
      <c r="D30" s="117" t="s">
        <v>104</v>
      </c>
      <c r="E30" s="170"/>
      <c r="F30" s="170"/>
      <c r="G30" s="122"/>
      <c r="H30" s="122"/>
      <c r="I30" s="122"/>
      <c r="J30" s="122"/>
      <c r="K30" s="122"/>
    </row>
    <row r="31" spans="2:11" ht="14.5" customHeight="1" x14ac:dyDescent="0.2">
      <c r="B31" s="422"/>
      <c r="C31" s="117"/>
      <c r="D31" s="117" t="s">
        <v>148</v>
      </c>
      <c r="E31" s="170"/>
      <c r="F31" s="170"/>
      <c r="G31" s="122"/>
      <c r="H31" s="122"/>
      <c r="I31" s="122"/>
      <c r="J31" s="122"/>
      <c r="K31" s="122"/>
    </row>
    <row r="32" spans="2:11" ht="14.5" customHeight="1" x14ac:dyDescent="0.2">
      <c r="B32" s="422"/>
      <c r="C32" s="117" t="s">
        <v>361</v>
      </c>
      <c r="D32" s="117" t="s">
        <v>295</v>
      </c>
      <c r="E32" s="170"/>
      <c r="F32" s="170"/>
      <c r="G32" s="122"/>
      <c r="H32" s="122"/>
      <c r="I32" s="122"/>
      <c r="J32" s="122"/>
      <c r="K32" s="122"/>
    </row>
    <row r="33" spans="2:11" s="37" customFormat="1" ht="14.5" customHeight="1" x14ac:dyDescent="0.2">
      <c r="B33" s="422"/>
      <c r="C33" s="120"/>
      <c r="D33" s="120" t="s">
        <v>72</v>
      </c>
      <c r="E33" s="149"/>
      <c r="F33" s="149"/>
      <c r="G33" s="150"/>
      <c r="H33" s="151"/>
      <c r="I33" s="152"/>
      <c r="J33" s="152"/>
      <c r="K33" s="152"/>
    </row>
    <row r="34" spans="2:11" ht="14.5" customHeight="1" x14ac:dyDescent="0.2">
      <c r="B34" s="422"/>
      <c r="C34" s="121"/>
      <c r="D34" s="121" t="s">
        <v>34</v>
      </c>
      <c r="E34" s="155"/>
      <c r="F34" s="155"/>
      <c r="G34" s="147"/>
      <c r="H34" s="156"/>
      <c r="I34" s="157"/>
      <c r="J34" s="157"/>
      <c r="K34" s="157"/>
    </row>
    <row r="35" spans="2:11" ht="14.5" customHeight="1" x14ac:dyDescent="0.2">
      <c r="B35" s="422" t="s">
        <v>256</v>
      </c>
      <c r="C35" s="118" t="s">
        <v>362</v>
      </c>
      <c r="D35" s="118" t="s">
        <v>106</v>
      </c>
      <c r="E35" s="170"/>
      <c r="F35" s="170"/>
      <c r="G35" s="122"/>
      <c r="H35" s="122"/>
      <c r="I35" s="122"/>
      <c r="J35" s="122"/>
      <c r="K35" s="122"/>
    </row>
    <row r="36" spans="2:11" ht="14.5" customHeight="1" x14ac:dyDescent="0.2">
      <c r="B36" s="422"/>
      <c r="C36" s="117" t="s">
        <v>363</v>
      </c>
      <c r="D36" s="117" t="s">
        <v>298</v>
      </c>
      <c r="E36" s="170"/>
      <c r="F36" s="170"/>
      <c r="G36" s="122"/>
      <c r="H36" s="122"/>
      <c r="I36" s="122"/>
      <c r="J36" s="122"/>
      <c r="K36" s="122"/>
    </row>
    <row r="37" spans="2:11" ht="14.5" customHeight="1" x14ac:dyDescent="0.2">
      <c r="B37" s="422"/>
      <c r="C37" s="117" t="s">
        <v>364</v>
      </c>
      <c r="D37" s="117" t="s">
        <v>274</v>
      </c>
      <c r="E37" s="170"/>
      <c r="F37" s="170"/>
      <c r="G37" s="122"/>
      <c r="H37" s="122"/>
      <c r="I37" s="122"/>
      <c r="J37" s="122"/>
      <c r="K37" s="122"/>
    </row>
    <row r="38" spans="2:11" s="37" customFormat="1" ht="14.5" customHeight="1" x14ac:dyDescent="0.2">
      <c r="B38" s="422"/>
      <c r="C38" s="120"/>
      <c r="D38" s="120" t="s">
        <v>259</v>
      </c>
      <c r="E38" s="189"/>
      <c r="F38" s="189"/>
      <c r="G38" s="123"/>
      <c r="H38" s="123"/>
      <c r="I38" s="123"/>
      <c r="J38" s="123"/>
      <c r="K38" s="123"/>
    </row>
    <row r="39" spans="2:11" ht="14.5" customHeight="1" x14ac:dyDescent="0.2">
      <c r="B39" s="422"/>
      <c r="C39" s="121"/>
      <c r="D39" s="121" t="s">
        <v>257</v>
      </c>
      <c r="E39" s="190"/>
      <c r="F39" s="190"/>
      <c r="G39" s="124"/>
      <c r="H39" s="124"/>
      <c r="I39" s="124"/>
      <c r="J39" s="124"/>
      <c r="K39" s="124"/>
    </row>
    <row r="40" spans="2:11" s="21" customFormat="1" ht="14.5" customHeight="1" x14ac:dyDescent="0.2">
      <c r="B40" s="144"/>
      <c r="C40" s="126"/>
      <c r="D40" s="126" t="s">
        <v>110</v>
      </c>
      <c r="E40" s="148">
        <f>SUM(E39,E34,E28)</f>
        <v>1</v>
      </c>
      <c r="F40" s="148">
        <f>SUM(F39,F34,F28)</f>
        <v>1</v>
      </c>
      <c r="G40" s="147">
        <f t="shared" ref="G40" si="3">E40/F40*100%</f>
        <v>1</v>
      </c>
      <c r="H40" s="154"/>
      <c r="I40" s="148">
        <f>SUM(I39,I34,I28)</f>
        <v>50000</v>
      </c>
      <c r="J40" s="148">
        <f t="shared" ref="J40:K40" si="4">SUM(J39,J34,J28)</f>
        <v>50000</v>
      </c>
      <c r="K40" s="148">
        <f t="shared" si="4"/>
        <v>0</v>
      </c>
    </row>
    <row r="41" spans="2:11" ht="14.5" customHeight="1" x14ac:dyDescent="0.2"/>
    <row r="42" spans="2:11" ht="14.5" customHeight="1" x14ac:dyDescent="0.2"/>
    <row r="43" spans="2:11" ht="14.5" customHeight="1" x14ac:dyDescent="0.2"/>
    <row r="44" spans="2:11" ht="14.5" customHeight="1" x14ac:dyDescent="0.2"/>
    <row r="45" spans="2:11" ht="14.5" customHeight="1" x14ac:dyDescent="0.2"/>
    <row r="46" spans="2:11" ht="14.5" customHeight="1" x14ac:dyDescent="0.2">
      <c r="B46" s="4" t="s">
        <v>447</v>
      </c>
      <c r="C46" s="5"/>
      <c r="D46" s="5"/>
      <c r="E46" s="33"/>
      <c r="F46" s="33"/>
      <c r="G46" s="34"/>
    </row>
    <row r="47" spans="2:11" ht="14.5" customHeight="1" x14ac:dyDescent="0.2">
      <c r="B47" s="8"/>
      <c r="C47" s="8"/>
      <c r="D47" s="8"/>
      <c r="E47" s="35"/>
      <c r="F47" s="35"/>
      <c r="G47" s="34"/>
    </row>
    <row r="48" spans="2:11" ht="14.5" customHeight="1" x14ac:dyDescent="0.2">
      <c r="B48" s="388" t="s">
        <v>0</v>
      </c>
      <c r="C48" s="388" t="s">
        <v>270</v>
      </c>
      <c r="D48" s="388" t="s">
        <v>2</v>
      </c>
      <c r="E48" s="385" t="s">
        <v>445</v>
      </c>
      <c r="F48" s="385"/>
      <c r="G48" s="417" t="s">
        <v>56</v>
      </c>
      <c r="H48" s="394" t="s">
        <v>3</v>
      </c>
      <c r="I48" s="398" t="s">
        <v>446</v>
      </c>
      <c r="J48" s="398" t="s">
        <v>8</v>
      </c>
      <c r="K48" s="398" t="s">
        <v>75</v>
      </c>
    </row>
    <row r="49" spans="2:11" ht="14.5" customHeight="1" x14ac:dyDescent="0.2">
      <c r="B49" s="388"/>
      <c r="C49" s="388"/>
      <c r="D49" s="388"/>
      <c r="E49" s="36" t="s">
        <v>77</v>
      </c>
      <c r="F49" s="54" t="s">
        <v>58</v>
      </c>
      <c r="G49" s="417"/>
      <c r="H49" s="394"/>
      <c r="I49" s="398"/>
      <c r="J49" s="398"/>
      <c r="K49" s="398"/>
    </row>
    <row r="50" spans="2:11" ht="14.5" customHeight="1" x14ac:dyDescent="0.2">
      <c r="B50" s="422" t="s">
        <v>25</v>
      </c>
      <c r="C50" s="193"/>
      <c r="D50" s="193" t="s">
        <v>148</v>
      </c>
      <c r="E50" s="170"/>
      <c r="F50" s="170"/>
      <c r="G50" s="122"/>
      <c r="H50" s="122"/>
      <c r="I50" s="122"/>
      <c r="J50" s="122"/>
      <c r="K50" s="122"/>
    </row>
    <row r="51" spans="2:11" s="21" customFormat="1" ht="14.5" customHeight="1" x14ac:dyDescent="0.2">
      <c r="B51" s="422"/>
      <c r="C51" s="117" t="s">
        <v>365</v>
      </c>
      <c r="D51" s="117" t="s">
        <v>151</v>
      </c>
      <c r="E51" s="170"/>
      <c r="F51" s="170"/>
      <c r="G51" s="122"/>
      <c r="H51" s="122"/>
      <c r="I51" s="122"/>
      <c r="J51" s="122"/>
      <c r="K51" s="122"/>
    </row>
    <row r="52" spans="2:11" ht="14.5" customHeight="1" x14ac:dyDescent="0.2">
      <c r="B52" s="422"/>
      <c r="C52" s="117" t="s">
        <v>366</v>
      </c>
      <c r="D52" s="117" t="s">
        <v>241</v>
      </c>
      <c r="E52" s="170"/>
      <c r="F52" s="170"/>
      <c r="G52" s="122"/>
      <c r="H52" s="122"/>
      <c r="I52" s="122"/>
      <c r="J52" s="122"/>
      <c r="K52" s="122"/>
    </row>
    <row r="53" spans="2:11" ht="14.5" customHeight="1" x14ac:dyDescent="0.2">
      <c r="B53" s="422"/>
      <c r="C53" s="117" t="s">
        <v>368</v>
      </c>
      <c r="D53" s="117" t="s">
        <v>107</v>
      </c>
      <c r="E53" s="170"/>
      <c r="F53" s="170"/>
      <c r="G53" s="122"/>
      <c r="H53" s="122"/>
      <c r="I53" s="122"/>
      <c r="J53" s="122"/>
      <c r="K53" s="122"/>
    </row>
    <row r="54" spans="2:11" ht="14.5" customHeight="1" x14ac:dyDescent="0.2">
      <c r="B54" s="422"/>
      <c r="C54" s="117" t="s">
        <v>369</v>
      </c>
      <c r="D54" s="117" t="s">
        <v>262</v>
      </c>
      <c r="E54" s="170"/>
      <c r="F54" s="170"/>
      <c r="G54" s="122"/>
      <c r="H54" s="122"/>
      <c r="I54" s="122"/>
      <c r="J54" s="122"/>
      <c r="K54" s="122"/>
    </row>
    <row r="55" spans="2:11" s="37" customFormat="1" ht="14.5" customHeight="1" x14ac:dyDescent="0.2">
      <c r="B55" s="422"/>
      <c r="C55" s="120"/>
      <c r="D55" s="120" t="s">
        <v>177</v>
      </c>
      <c r="E55" s="149"/>
      <c r="F55" s="149"/>
      <c r="G55" s="150"/>
      <c r="H55" s="151"/>
      <c r="I55" s="152"/>
      <c r="J55" s="152"/>
      <c r="K55" s="152"/>
    </row>
    <row r="56" spans="2:11" ht="14.5" customHeight="1" x14ac:dyDescent="0.2">
      <c r="B56" s="422"/>
      <c r="C56" s="117" t="s">
        <v>370</v>
      </c>
      <c r="D56" s="117" t="s">
        <v>244</v>
      </c>
      <c r="E56" s="170"/>
      <c r="F56" s="170"/>
      <c r="G56" s="122"/>
      <c r="H56" s="122"/>
      <c r="I56" s="122"/>
      <c r="J56" s="122"/>
      <c r="K56" s="122"/>
    </row>
    <row r="57" spans="2:11" ht="14" customHeight="1" x14ac:dyDescent="0.2">
      <c r="B57" s="422"/>
      <c r="C57" s="117" t="s">
        <v>367</v>
      </c>
      <c r="D57" s="117" t="s">
        <v>242</v>
      </c>
      <c r="E57" s="170"/>
      <c r="F57" s="170"/>
      <c r="G57" s="122"/>
      <c r="H57" s="122"/>
      <c r="I57" s="122"/>
      <c r="J57" s="122"/>
      <c r="K57" s="122"/>
    </row>
    <row r="58" spans="2:11" ht="14.5" customHeight="1" x14ac:dyDescent="0.2">
      <c r="B58" s="422"/>
      <c r="C58" s="117"/>
      <c r="D58" s="117" t="s">
        <v>148</v>
      </c>
      <c r="E58" s="170"/>
      <c r="F58" s="170"/>
      <c r="G58" s="122"/>
      <c r="H58" s="122"/>
      <c r="I58" s="122"/>
      <c r="J58" s="122"/>
      <c r="K58" s="122"/>
    </row>
    <row r="59" spans="2:11" ht="14.5" customHeight="1" x14ac:dyDescent="0.2">
      <c r="B59" s="422"/>
      <c r="C59" s="117" t="s">
        <v>371</v>
      </c>
      <c r="D59" s="117" t="s">
        <v>303</v>
      </c>
      <c r="E59" s="170"/>
      <c r="F59" s="170"/>
      <c r="G59" s="122"/>
      <c r="H59" s="122"/>
      <c r="I59" s="122"/>
      <c r="J59" s="122"/>
      <c r="K59" s="122"/>
    </row>
    <row r="60" spans="2:11" ht="14.5" customHeight="1" x14ac:dyDescent="0.2">
      <c r="B60" s="422"/>
      <c r="C60" s="117" t="s">
        <v>372</v>
      </c>
      <c r="D60" s="117" t="s">
        <v>108</v>
      </c>
      <c r="E60" s="170"/>
      <c r="F60" s="170"/>
      <c r="G60" s="122"/>
      <c r="H60" s="122"/>
      <c r="I60" s="122"/>
      <c r="J60" s="122"/>
      <c r="K60" s="122"/>
    </row>
    <row r="61" spans="2:11" ht="14.5" customHeight="1" x14ac:dyDescent="0.2">
      <c r="B61" s="422"/>
      <c r="C61" s="117" t="s">
        <v>373</v>
      </c>
      <c r="D61" s="117" t="s">
        <v>268</v>
      </c>
      <c r="E61" s="170"/>
      <c r="F61" s="170"/>
      <c r="G61" s="122"/>
      <c r="H61" s="122"/>
      <c r="I61" s="122"/>
      <c r="J61" s="122"/>
      <c r="K61" s="122"/>
    </row>
    <row r="62" spans="2:11" s="37" customFormat="1" ht="14.5" customHeight="1" x14ac:dyDescent="0.2">
      <c r="B62" s="422"/>
      <c r="C62" s="120"/>
      <c r="D62" s="120" t="s">
        <v>177</v>
      </c>
      <c r="E62" s="149"/>
      <c r="F62" s="149"/>
      <c r="G62" s="150"/>
      <c r="H62" s="151"/>
      <c r="I62" s="152"/>
      <c r="J62" s="152"/>
      <c r="K62" s="152"/>
    </row>
    <row r="63" spans="2:11" ht="14.5" customHeight="1" x14ac:dyDescent="0.2">
      <c r="B63" s="422"/>
      <c r="C63" s="117" t="s">
        <v>374</v>
      </c>
      <c r="D63" s="117" t="s">
        <v>249</v>
      </c>
      <c r="E63" s="170"/>
      <c r="F63" s="170"/>
      <c r="G63" s="122"/>
      <c r="H63" s="122"/>
      <c r="I63" s="122"/>
      <c r="J63" s="122"/>
      <c r="K63" s="122"/>
    </row>
    <row r="64" spans="2:11" s="21" customFormat="1" ht="14.5" customHeight="1" x14ac:dyDescent="0.2">
      <c r="B64" s="422"/>
      <c r="C64" s="126"/>
      <c r="D64" s="126" t="s">
        <v>30</v>
      </c>
      <c r="E64" s="153"/>
      <c r="F64" s="153"/>
      <c r="G64" s="153"/>
      <c r="H64" s="154"/>
      <c r="I64" s="148"/>
      <c r="J64" s="148"/>
      <c r="K64" s="148"/>
    </row>
    <row r="65" spans="2:11" ht="14.5" customHeight="1" x14ac:dyDescent="0.2">
      <c r="B65" s="422" t="s">
        <v>59</v>
      </c>
      <c r="C65" s="117" t="s">
        <v>375</v>
      </c>
      <c r="D65" s="117" t="s">
        <v>211</v>
      </c>
      <c r="E65" s="170"/>
      <c r="F65" s="170"/>
      <c r="G65" s="122"/>
      <c r="H65" s="122"/>
      <c r="I65" s="122"/>
      <c r="J65" s="178"/>
      <c r="K65" s="178"/>
    </row>
    <row r="66" spans="2:11" ht="14.5" customHeight="1" x14ac:dyDescent="0.2">
      <c r="B66" s="422"/>
      <c r="C66" s="117" t="s">
        <v>376</v>
      </c>
      <c r="D66" s="117" t="s">
        <v>145</v>
      </c>
      <c r="E66" s="170"/>
      <c r="F66" s="170"/>
      <c r="G66" s="122"/>
      <c r="H66" s="122"/>
      <c r="I66" s="122"/>
      <c r="J66" s="178"/>
      <c r="K66" s="178"/>
    </row>
    <row r="67" spans="2:11" ht="14.5" customHeight="1" x14ac:dyDescent="0.2">
      <c r="B67" s="422"/>
      <c r="C67" s="117" t="s">
        <v>377</v>
      </c>
      <c r="D67" s="117" t="s">
        <v>287</v>
      </c>
      <c r="E67" s="170"/>
      <c r="F67" s="170"/>
      <c r="G67" s="122"/>
      <c r="H67" s="122"/>
      <c r="I67" s="122"/>
      <c r="J67" s="178"/>
      <c r="K67" s="178"/>
    </row>
    <row r="68" spans="2:11" ht="14.5" customHeight="1" x14ac:dyDescent="0.2">
      <c r="B68" s="422"/>
      <c r="C68" s="117" t="s">
        <v>379</v>
      </c>
      <c r="D68" s="117" t="s">
        <v>380</v>
      </c>
      <c r="E68" s="170"/>
      <c r="F68" s="170"/>
      <c r="G68" s="122"/>
      <c r="H68" s="122"/>
      <c r="I68" s="122"/>
      <c r="J68" s="122"/>
      <c r="K68" s="122"/>
    </row>
    <row r="69" spans="2:11" ht="14.5" customHeight="1" x14ac:dyDescent="0.2">
      <c r="B69" s="422"/>
      <c r="C69" s="117" t="s">
        <v>378</v>
      </c>
      <c r="D69" s="117" t="s">
        <v>210</v>
      </c>
      <c r="E69" s="170"/>
      <c r="F69" s="170"/>
      <c r="G69" s="122"/>
      <c r="H69" s="122"/>
      <c r="I69" s="122"/>
      <c r="J69" s="178"/>
      <c r="K69" s="178"/>
    </row>
    <row r="70" spans="2:11" s="37" customFormat="1" ht="14.5" customHeight="1" x14ac:dyDescent="0.2">
      <c r="B70" s="422"/>
      <c r="C70" s="120"/>
      <c r="D70" s="120" t="s">
        <v>74</v>
      </c>
      <c r="E70" s="149"/>
      <c r="F70" s="149"/>
      <c r="G70" s="150"/>
      <c r="H70" s="151"/>
      <c r="I70" s="152"/>
      <c r="J70" s="152"/>
      <c r="K70" s="152"/>
    </row>
    <row r="71" spans="2:11" ht="14.5" customHeight="1" x14ac:dyDescent="0.2">
      <c r="B71" s="422"/>
      <c r="C71" s="121"/>
      <c r="D71" s="121" t="s">
        <v>36</v>
      </c>
      <c r="E71" s="155"/>
      <c r="F71" s="155"/>
      <c r="G71" s="147"/>
      <c r="H71" s="156"/>
      <c r="I71" s="157"/>
      <c r="J71" s="157"/>
      <c r="K71" s="157"/>
    </row>
    <row r="72" spans="2:11" ht="14.5" customHeight="1" x14ac:dyDescent="0.2">
      <c r="B72" s="422" t="s">
        <v>131</v>
      </c>
      <c r="C72" s="118" t="s">
        <v>381</v>
      </c>
      <c r="D72" s="118" t="s">
        <v>132</v>
      </c>
      <c r="E72" s="170"/>
      <c r="F72" s="170"/>
      <c r="G72" s="122"/>
      <c r="H72" s="122"/>
      <c r="I72" s="122"/>
      <c r="J72" s="122"/>
      <c r="K72" s="122"/>
    </row>
    <row r="73" spans="2:11" ht="14.5" customHeight="1" x14ac:dyDescent="0.2">
      <c r="B73" s="422"/>
      <c r="C73" s="117" t="s">
        <v>382</v>
      </c>
      <c r="D73" s="117" t="s">
        <v>667</v>
      </c>
      <c r="E73" s="170"/>
      <c r="F73" s="170"/>
      <c r="G73" s="122"/>
      <c r="H73" s="122"/>
      <c r="I73" s="122"/>
      <c r="J73" s="122"/>
      <c r="K73" s="122"/>
    </row>
    <row r="74" spans="2:11" ht="14.5" customHeight="1" x14ac:dyDescent="0.2">
      <c r="B74" s="422"/>
      <c r="C74" s="117" t="s">
        <v>383</v>
      </c>
      <c r="D74" s="117" t="s">
        <v>613</v>
      </c>
      <c r="E74" s="170"/>
      <c r="F74" s="170"/>
      <c r="G74" s="122"/>
      <c r="H74" s="122"/>
      <c r="I74" s="122"/>
      <c r="J74" s="122"/>
      <c r="K74" s="122"/>
    </row>
    <row r="75" spans="2:11" s="37" customFormat="1" ht="14.5" customHeight="1" x14ac:dyDescent="0.2">
      <c r="B75" s="422"/>
      <c r="C75" s="120"/>
      <c r="D75" s="120" t="s">
        <v>483</v>
      </c>
      <c r="E75" s="189"/>
      <c r="F75" s="189"/>
      <c r="G75" s="123"/>
      <c r="H75" s="123"/>
      <c r="I75" s="123"/>
      <c r="J75" s="123"/>
      <c r="K75" s="123"/>
    </row>
    <row r="76" spans="2:11" ht="14.5" customHeight="1" x14ac:dyDescent="0.2">
      <c r="B76" s="422"/>
      <c r="C76" s="121"/>
      <c r="D76" s="121" t="s">
        <v>133</v>
      </c>
      <c r="E76" s="190"/>
      <c r="F76" s="190"/>
      <c r="G76" s="124"/>
      <c r="H76" s="124"/>
      <c r="I76" s="124"/>
      <c r="J76" s="124"/>
      <c r="K76" s="124"/>
    </row>
    <row r="77" spans="2:11" s="21" customFormat="1" ht="14.5" customHeight="1" x14ac:dyDescent="0.2">
      <c r="B77" s="144"/>
      <c r="C77" s="126"/>
      <c r="D77" s="126" t="s">
        <v>109</v>
      </c>
      <c r="E77" s="148"/>
      <c r="F77" s="148"/>
      <c r="G77" s="147"/>
      <c r="H77" s="154"/>
      <c r="I77" s="148"/>
      <c r="J77" s="148"/>
      <c r="K77" s="148"/>
    </row>
    <row r="78" spans="2:11" ht="14.5" customHeight="1" x14ac:dyDescent="0.2"/>
    <row r="79" spans="2:11" ht="14.5" customHeight="1" x14ac:dyDescent="0.2"/>
    <row r="80" spans="2:11" ht="14.5" customHeight="1" x14ac:dyDescent="0.2"/>
    <row r="81" spans="2:11" ht="14.5" customHeight="1" x14ac:dyDescent="0.2"/>
    <row r="82" spans="2:11" ht="14.5" customHeight="1" x14ac:dyDescent="0.2"/>
    <row r="83" spans="2:11" ht="14.5" customHeight="1" x14ac:dyDescent="0.2">
      <c r="B83" s="4" t="s">
        <v>448</v>
      </c>
      <c r="C83" s="5"/>
      <c r="D83" s="5"/>
      <c r="E83" s="33"/>
      <c r="F83" s="33"/>
      <c r="G83" s="34"/>
    </row>
    <row r="84" spans="2:11" ht="14.5" customHeight="1" x14ac:dyDescent="0.2">
      <c r="B84" s="8"/>
      <c r="C84" s="8"/>
      <c r="D84" s="8"/>
      <c r="E84" s="35"/>
      <c r="F84" s="35"/>
      <c r="G84" s="34"/>
    </row>
    <row r="85" spans="2:11" ht="14.5" customHeight="1" x14ac:dyDescent="0.2">
      <c r="B85" s="388" t="s">
        <v>0</v>
      </c>
      <c r="C85" s="388" t="s">
        <v>270</v>
      </c>
      <c r="D85" s="388" t="s">
        <v>2</v>
      </c>
      <c r="E85" s="385" t="s">
        <v>445</v>
      </c>
      <c r="F85" s="385"/>
      <c r="G85" s="417" t="s">
        <v>56</v>
      </c>
      <c r="H85" s="394" t="s">
        <v>3</v>
      </c>
      <c r="I85" s="398" t="s">
        <v>446</v>
      </c>
      <c r="J85" s="398" t="s">
        <v>8</v>
      </c>
      <c r="K85" s="398" t="s">
        <v>75</v>
      </c>
    </row>
    <row r="86" spans="2:11" ht="14.5" customHeight="1" x14ac:dyDescent="0.2">
      <c r="B86" s="388"/>
      <c r="C86" s="388"/>
      <c r="D86" s="388"/>
      <c r="E86" s="36" t="s">
        <v>77</v>
      </c>
      <c r="F86" s="54" t="s">
        <v>58</v>
      </c>
      <c r="G86" s="417"/>
      <c r="H86" s="394"/>
      <c r="I86" s="398"/>
      <c r="J86" s="398"/>
      <c r="K86" s="398"/>
    </row>
    <row r="87" spans="2:11" ht="14.5" customHeight="1" x14ac:dyDescent="0.2">
      <c r="B87" s="422" t="s">
        <v>37</v>
      </c>
      <c r="C87" s="118" t="s">
        <v>385</v>
      </c>
      <c r="D87" s="118" t="s">
        <v>98</v>
      </c>
      <c r="E87" s="170"/>
      <c r="F87" s="170"/>
      <c r="G87" s="122"/>
      <c r="H87" s="122"/>
      <c r="I87" s="122"/>
      <c r="J87" s="122"/>
      <c r="K87" s="122"/>
    </row>
    <row r="88" spans="2:11" ht="14.5" customHeight="1" x14ac:dyDescent="0.2">
      <c r="B88" s="422"/>
      <c r="C88" s="117" t="s">
        <v>384</v>
      </c>
      <c r="D88" s="117" t="s">
        <v>310</v>
      </c>
      <c r="E88" s="170"/>
      <c r="F88" s="170"/>
      <c r="G88" s="122"/>
      <c r="H88" s="122"/>
      <c r="I88" s="122"/>
      <c r="J88" s="122"/>
      <c r="K88" s="122"/>
    </row>
    <row r="89" spans="2:11" s="37" customFormat="1" ht="14.5" customHeight="1" x14ac:dyDescent="0.2">
      <c r="B89" s="422"/>
      <c r="C89" s="120"/>
      <c r="D89" s="120" t="s">
        <v>230</v>
      </c>
      <c r="E89" s="189"/>
      <c r="F89" s="189"/>
      <c r="G89" s="123"/>
      <c r="H89" s="123"/>
      <c r="I89" s="123"/>
      <c r="J89" s="123"/>
      <c r="K89" s="123"/>
    </row>
    <row r="90" spans="2:11" ht="14.5" customHeight="1" x14ac:dyDescent="0.2">
      <c r="B90" s="422"/>
      <c r="C90" s="121"/>
      <c r="D90" s="121" t="s">
        <v>38</v>
      </c>
      <c r="E90" s="190"/>
      <c r="F90" s="190"/>
      <c r="G90" s="124"/>
      <c r="H90" s="124"/>
      <c r="I90" s="124"/>
      <c r="J90" s="124"/>
      <c r="K90" s="124"/>
    </row>
    <row r="91" spans="2:11" s="21" customFormat="1" ht="14.5" customHeight="1" x14ac:dyDescent="0.2">
      <c r="B91" s="422" t="s">
        <v>614</v>
      </c>
      <c r="C91" s="116" t="s">
        <v>386</v>
      </c>
      <c r="D91" s="116" t="s">
        <v>265</v>
      </c>
      <c r="E91" s="170"/>
      <c r="F91" s="170"/>
      <c r="G91" s="122"/>
      <c r="H91" s="122"/>
      <c r="I91" s="122"/>
      <c r="J91" s="122"/>
      <c r="K91" s="122"/>
    </row>
    <row r="92" spans="2:11" ht="14.5" customHeight="1" x14ac:dyDescent="0.2">
      <c r="B92" s="422"/>
      <c r="C92" s="117" t="s">
        <v>387</v>
      </c>
      <c r="D92" s="117" t="s">
        <v>97</v>
      </c>
      <c r="E92" s="170"/>
      <c r="F92" s="170"/>
      <c r="G92" s="122"/>
      <c r="H92" s="122"/>
      <c r="I92" s="122"/>
      <c r="J92" s="122"/>
      <c r="K92" s="122"/>
    </row>
    <row r="93" spans="2:11" s="37" customFormat="1" ht="14.5" customHeight="1" x14ac:dyDescent="0.2">
      <c r="B93" s="422"/>
      <c r="C93" s="119"/>
      <c r="D93" s="119" t="s">
        <v>497</v>
      </c>
      <c r="E93" s="189"/>
      <c r="F93" s="189"/>
      <c r="G93" s="123"/>
      <c r="H93" s="123"/>
      <c r="I93" s="123"/>
      <c r="J93" s="123"/>
      <c r="K93" s="123"/>
    </row>
    <row r="94" spans="2:11" ht="14.5" customHeight="1" x14ac:dyDescent="0.2">
      <c r="B94" s="422"/>
      <c r="C94" s="121"/>
      <c r="D94" s="121" t="s">
        <v>615</v>
      </c>
      <c r="E94" s="190"/>
      <c r="F94" s="190"/>
      <c r="G94" s="124"/>
      <c r="H94" s="124"/>
      <c r="I94" s="124"/>
      <c r="J94" s="124"/>
      <c r="K94" s="124"/>
    </row>
    <row r="95" spans="2:11" s="21" customFormat="1" ht="14.5" customHeight="1" x14ac:dyDescent="0.2">
      <c r="B95" s="144"/>
      <c r="C95" s="126"/>
      <c r="D95" s="126" t="s">
        <v>219</v>
      </c>
      <c r="E95" s="148"/>
      <c r="F95" s="148"/>
      <c r="G95" s="147"/>
      <c r="H95" s="154"/>
      <c r="I95" s="146"/>
      <c r="J95" s="146"/>
      <c r="K95" s="146"/>
    </row>
    <row r="96" spans="2:11" ht="14.5" customHeight="1" x14ac:dyDescent="0.2"/>
    <row r="97" spans="2:12" ht="14.5" customHeight="1" x14ac:dyDescent="0.2"/>
    <row r="98" spans="2:12" ht="14.5" customHeight="1" x14ac:dyDescent="0.2"/>
    <row r="99" spans="2:12" ht="14.5" customHeight="1" x14ac:dyDescent="0.2"/>
    <row r="100" spans="2:12" ht="14.5" customHeight="1" x14ac:dyDescent="0.2"/>
    <row r="101" spans="2:12" ht="14.5" customHeight="1" x14ac:dyDescent="0.2">
      <c r="B101" s="4" t="s">
        <v>449</v>
      </c>
      <c r="C101" s="5"/>
      <c r="D101" s="5"/>
      <c r="E101" s="33"/>
      <c r="F101" s="33"/>
    </row>
    <row r="102" spans="2:12" ht="14.5" customHeight="1" x14ac:dyDescent="0.2">
      <c r="B102" s="8"/>
      <c r="C102" s="8"/>
      <c r="D102" s="8"/>
      <c r="E102" s="35"/>
      <c r="F102" s="35"/>
    </row>
    <row r="103" spans="2:12" ht="14.5" customHeight="1" x14ac:dyDescent="0.2">
      <c r="B103" s="388" t="s">
        <v>0</v>
      </c>
      <c r="C103" s="388" t="s">
        <v>270</v>
      </c>
      <c r="D103" s="388" t="s">
        <v>2</v>
      </c>
      <c r="E103" s="385" t="s">
        <v>445</v>
      </c>
      <c r="F103" s="385"/>
      <c r="G103" s="417" t="s">
        <v>56</v>
      </c>
      <c r="H103" s="394" t="s">
        <v>3</v>
      </c>
      <c r="I103" s="398" t="s">
        <v>446</v>
      </c>
      <c r="J103" s="398" t="s">
        <v>8</v>
      </c>
      <c r="K103" s="398" t="s">
        <v>75</v>
      </c>
    </row>
    <row r="104" spans="2:12" ht="14.5" customHeight="1" x14ac:dyDescent="0.2">
      <c r="B104" s="388"/>
      <c r="C104" s="388"/>
      <c r="D104" s="388"/>
      <c r="E104" s="36" t="s">
        <v>77</v>
      </c>
      <c r="F104" s="54" t="s">
        <v>58</v>
      </c>
      <c r="G104" s="417"/>
      <c r="H104" s="394"/>
      <c r="I104" s="398"/>
      <c r="J104" s="398"/>
      <c r="K104" s="398"/>
    </row>
    <row r="105" spans="2:12" ht="14.5" customHeight="1" x14ac:dyDescent="0.2">
      <c r="B105" s="422" t="s">
        <v>39</v>
      </c>
      <c r="C105" s="117" t="s">
        <v>388</v>
      </c>
      <c r="D105" s="117" t="s">
        <v>389</v>
      </c>
      <c r="E105" s="170"/>
      <c r="F105" s="170"/>
      <c r="G105" s="122"/>
      <c r="H105" s="122"/>
      <c r="I105" s="122"/>
      <c r="J105" s="122"/>
      <c r="K105" s="122"/>
      <c r="L105" s="2"/>
    </row>
    <row r="106" spans="2:12" ht="14.5" customHeight="1" x14ac:dyDescent="0.2">
      <c r="B106" s="422"/>
      <c r="C106" s="117" t="s">
        <v>390</v>
      </c>
      <c r="D106" s="117" t="s">
        <v>111</v>
      </c>
      <c r="E106" s="170"/>
      <c r="F106" s="170"/>
      <c r="G106" s="122"/>
      <c r="H106" s="122"/>
      <c r="I106" s="122"/>
      <c r="J106" s="122"/>
      <c r="K106" s="122"/>
      <c r="L106" s="2"/>
    </row>
    <row r="107" spans="2:12" ht="14.5" customHeight="1" x14ac:dyDescent="0.2">
      <c r="B107" s="422"/>
      <c r="C107" s="117" t="s">
        <v>391</v>
      </c>
      <c r="D107" s="117" t="s">
        <v>271</v>
      </c>
      <c r="E107" s="170"/>
      <c r="F107" s="170"/>
      <c r="G107" s="122"/>
      <c r="H107" s="122"/>
      <c r="I107" s="122"/>
      <c r="J107" s="122"/>
      <c r="K107" s="122"/>
      <c r="L107" s="2"/>
    </row>
    <row r="108" spans="2:12" ht="14.5" customHeight="1" x14ac:dyDescent="0.2">
      <c r="B108" s="422"/>
      <c r="C108" s="120"/>
      <c r="D108" s="120" t="s">
        <v>891</v>
      </c>
      <c r="E108" s="149"/>
      <c r="F108" s="149"/>
      <c r="G108" s="150"/>
      <c r="H108" s="151"/>
      <c r="I108" s="152"/>
      <c r="J108" s="152"/>
      <c r="K108" s="152"/>
      <c r="L108" s="2"/>
    </row>
    <row r="109" spans="2:12" ht="14.5" customHeight="1" x14ac:dyDescent="0.2">
      <c r="B109" s="422"/>
      <c r="C109" s="127"/>
      <c r="D109" s="127" t="s">
        <v>40</v>
      </c>
      <c r="E109" s="155"/>
      <c r="F109" s="155"/>
      <c r="G109" s="158"/>
      <c r="H109" s="156"/>
      <c r="I109" s="157"/>
      <c r="J109" s="157"/>
      <c r="K109" s="157"/>
      <c r="L109" s="2"/>
    </row>
    <row r="110" spans="2:12" ht="14.5" customHeight="1" x14ac:dyDescent="0.2">
      <c r="B110" s="422" t="s">
        <v>41</v>
      </c>
      <c r="C110" s="117" t="s">
        <v>392</v>
      </c>
      <c r="D110" s="117" t="s">
        <v>112</v>
      </c>
      <c r="E110" s="170"/>
      <c r="F110" s="170"/>
      <c r="G110" s="122"/>
      <c r="H110" s="122"/>
      <c r="I110" s="122"/>
      <c r="J110" s="122"/>
      <c r="K110" s="122"/>
      <c r="L110" s="2"/>
    </row>
    <row r="111" spans="2:12" ht="14.5" customHeight="1" x14ac:dyDescent="0.2">
      <c r="B111" s="422"/>
      <c r="C111" s="117" t="s">
        <v>393</v>
      </c>
      <c r="D111" s="117" t="s">
        <v>394</v>
      </c>
      <c r="E111" s="170"/>
      <c r="F111" s="170"/>
      <c r="G111" s="122"/>
      <c r="H111" s="122"/>
      <c r="I111" s="122"/>
      <c r="J111" s="122"/>
      <c r="K111" s="122"/>
      <c r="L111" s="2"/>
    </row>
    <row r="112" spans="2:12" ht="14.5" customHeight="1" x14ac:dyDescent="0.2">
      <c r="B112" s="422"/>
      <c r="C112" s="117" t="s">
        <v>395</v>
      </c>
      <c r="D112" s="117" t="s">
        <v>113</v>
      </c>
      <c r="E112" s="170"/>
      <c r="F112" s="170"/>
      <c r="G112" s="122"/>
      <c r="H112" s="122"/>
      <c r="I112" s="122"/>
      <c r="J112" s="122"/>
      <c r="K112" s="122"/>
      <c r="L112" s="2"/>
    </row>
    <row r="113" spans="2:12" ht="14.5" customHeight="1" x14ac:dyDescent="0.2">
      <c r="B113" s="422"/>
      <c r="C113" s="117" t="s">
        <v>396</v>
      </c>
      <c r="D113" s="117" t="s">
        <v>253</v>
      </c>
      <c r="E113" s="170"/>
      <c r="F113" s="170"/>
      <c r="G113" s="122"/>
      <c r="H113" s="122"/>
      <c r="I113" s="122"/>
      <c r="J113" s="122"/>
      <c r="K113" s="122"/>
      <c r="L113" s="2"/>
    </row>
    <row r="114" spans="2:12" ht="14.5" customHeight="1" x14ac:dyDescent="0.2">
      <c r="B114" s="422"/>
      <c r="C114" s="120"/>
      <c r="D114" s="120" t="s">
        <v>316</v>
      </c>
      <c r="E114" s="149"/>
      <c r="F114" s="149"/>
      <c r="G114" s="150"/>
      <c r="H114" s="151"/>
      <c r="I114" s="152"/>
      <c r="J114" s="152"/>
      <c r="K114" s="152"/>
      <c r="L114" s="2"/>
    </row>
    <row r="115" spans="2:12" ht="14.5" customHeight="1" x14ac:dyDescent="0.2">
      <c r="B115" s="422"/>
      <c r="C115" s="127"/>
      <c r="D115" s="127" t="s">
        <v>42</v>
      </c>
      <c r="E115" s="155"/>
      <c r="F115" s="155"/>
      <c r="G115" s="158"/>
      <c r="H115" s="156"/>
      <c r="I115" s="157"/>
      <c r="J115" s="157"/>
      <c r="K115" s="157"/>
      <c r="L115" s="2"/>
    </row>
    <row r="116" spans="2:12" ht="14.5" customHeight="1" x14ac:dyDescent="0.2">
      <c r="B116" s="422" t="s">
        <v>43</v>
      </c>
      <c r="C116" s="117" t="s">
        <v>397</v>
      </c>
      <c r="D116" s="117" t="s">
        <v>114</v>
      </c>
      <c r="E116" s="170"/>
      <c r="F116" s="170"/>
      <c r="G116" s="122"/>
      <c r="H116" s="122"/>
      <c r="I116" s="122"/>
      <c r="J116" s="122"/>
      <c r="K116" s="122"/>
      <c r="L116" s="2"/>
    </row>
    <row r="117" spans="2:12" ht="14.5" customHeight="1" x14ac:dyDescent="0.2">
      <c r="B117" s="422"/>
      <c r="C117" s="117" t="s">
        <v>398</v>
      </c>
      <c r="D117" s="117" t="s">
        <v>341</v>
      </c>
      <c r="E117" s="170"/>
      <c r="F117" s="170"/>
      <c r="G117" s="122"/>
      <c r="H117" s="122"/>
      <c r="I117" s="122"/>
      <c r="J117" s="122"/>
      <c r="K117" s="122"/>
      <c r="L117" s="2"/>
    </row>
    <row r="118" spans="2:12" ht="14.5" customHeight="1" x14ac:dyDescent="0.2">
      <c r="B118" s="422"/>
      <c r="C118" s="117" t="s">
        <v>399</v>
      </c>
      <c r="D118" s="117" t="s">
        <v>321</v>
      </c>
      <c r="E118" s="170"/>
      <c r="F118" s="170"/>
      <c r="G118" s="122"/>
      <c r="H118" s="122"/>
      <c r="I118" s="122"/>
      <c r="J118" s="122"/>
      <c r="K118" s="122"/>
      <c r="L118" s="2"/>
    </row>
    <row r="119" spans="2:12" ht="14.5" customHeight="1" x14ac:dyDescent="0.2">
      <c r="B119" s="422"/>
      <c r="C119" s="117" t="s">
        <v>400</v>
      </c>
      <c r="D119" s="117" t="s">
        <v>322</v>
      </c>
      <c r="E119" s="170"/>
      <c r="F119" s="170"/>
      <c r="G119" s="122"/>
      <c r="H119" s="122"/>
      <c r="I119" s="122"/>
      <c r="J119" s="122"/>
      <c r="K119" s="122"/>
      <c r="L119" s="2"/>
    </row>
    <row r="120" spans="2:12" ht="14.5" customHeight="1" x14ac:dyDescent="0.2">
      <c r="B120" s="422"/>
      <c r="C120" s="117"/>
      <c r="D120" s="117" t="s">
        <v>474</v>
      </c>
      <c r="E120" s="174"/>
      <c r="F120" s="174"/>
      <c r="G120" s="163"/>
      <c r="H120" s="122"/>
      <c r="I120" s="122"/>
      <c r="J120" s="122"/>
      <c r="K120" s="122"/>
      <c r="L120" s="2"/>
    </row>
    <row r="121" spans="2:12" s="21" customFormat="1" ht="14.5" customHeight="1" x14ac:dyDescent="0.2">
      <c r="B121" s="421" t="s">
        <v>836</v>
      </c>
      <c r="C121" s="117"/>
      <c r="D121" s="117" t="s">
        <v>837</v>
      </c>
      <c r="E121" s="122"/>
      <c r="F121" s="174"/>
      <c r="G121" s="174"/>
      <c r="H121" s="122"/>
      <c r="I121" s="122"/>
      <c r="J121" s="170"/>
      <c r="K121" s="170"/>
      <c r="L121" s="19"/>
    </row>
    <row r="122" spans="2:12" s="21" customFormat="1" ht="14.5" customHeight="1" x14ac:dyDescent="0.2">
      <c r="B122" s="418"/>
      <c r="C122" s="117"/>
      <c r="D122" s="117" t="s">
        <v>838</v>
      </c>
      <c r="E122" s="122"/>
      <c r="F122" s="174"/>
      <c r="G122" s="174"/>
      <c r="H122" s="122"/>
      <c r="I122" s="122"/>
      <c r="J122" s="170"/>
      <c r="K122" s="170"/>
      <c r="L122" s="19"/>
    </row>
    <row r="123" spans="2:12" s="21" customFormat="1" ht="14.5" customHeight="1" x14ac:dyDescent="0.2">
      <c r="B123" s="418"/>
      <c r="C123" s="117"/>
      <c r="D123" s="117" t="s">
        <v>839</v>
      </c>
      <c r="E123" s="122"/>
      <c r="F123" s="174"/>
      <c r="G123" s="174"/>
      <c r="H123" s="122"/>
      <c r="I123" s="122"/>
      <c r="J123" s="170"/>
      <c r="K123" s="170"/>
      <c r="L123" s="19"/>
    </row>
    <row r="124" spans="2:12" s="21" customFormat="1" ht="14.5" customHeight="1" x14ac:dyDescent="0.2">
      <c r="B124" s="418"/>
      <c r="C124" s="117"/>
      <c r="D124" s="117" t="s">
        <v>893</v>
      </c>
      <c r="E124" s="122"/>
      <c r="F124" s="174"/>
      <c r="G124" s="174"/>
      <c r="H124" s="122"/>
      <c r="I124" s="122"/>
      <c r="J124" s="170"/>
      <c r="K124" s="170"/>
      <c r="L124" s="19"/>
    </row>
    <row r="125" spans="2:12" s="21" customFormat="1" ht="14.5" customHeight="1" x14ac:dyDescent="0.2">
      <c r="B125" s="418"/>
      <c r="C125" s="117"/>
      <c r="D125" s="117" t="s">
        <v>840</v>
      </c>
      <c r="E125" s="122"/>
      <c r="F125" s="174"/>
      <c r="G125" s="174"/>
      <c r="H125" s="122"/>
      <c r="I125" s="122"/>
      <c r="J125" s="170"/>
      <c r="K125" s="170"/>
      <c r="L125" s="19"/>
    </row>
    <row r="126" spans="2:12" s="21" customFormat="1" ht="14.5" customHeight="1" x14ac:dyDescent="0.2">
      <c r="B126" s="418"/>
      <c r="C126" s="117"/>
      <c r="D126" s="117" t="s">
        <v>841</v>
      </c>
      <c r="E126" s="122"/>
      <c r="F126" s="174"/>
      <c r="G126" s="174"/>
      <c r="H126" s="122"/>
      <c r="I126" s="122"/>
      <c r="J126" s="170"/>
      <c r="K126" s="170"/>
      <c r="L126" s="19"/>
    </row>
    <row r="127" spans="2:12" ht="14.5" customHeight="1" x14ac:dyDescent="0.2">
      <c r="B127" s="418"/>
      <c r="C127" s="120"/>
      <c r="D127" s="120" t="s">
        <v>275</v>
      </c>
      <c r="E127" s="149"/>
      <c r="F127" s="149"/>
      <c r="G127" s="150"/>
      <c r="H127" s="151"/>
      <c r="I127" s="152"/>
      <c r="J127" s="152"/>
      <c r="K127" s="152"/>
      <c r="L127" s="2"/>
    </row>
    <row r="128" spans="2:12" s="21" customFormat="1" ht="14.5" customHeight="1" x14ac:dyDescent="0.2">
      <c r="B128" s="419"/>
      <c r="C128" s="127"/>
      <c r="D128" s="127" t="s">
        <v>964</v>
      </c>
      <c r="E128" s="124"/>
      <c r="F128" s="176"/>
      <c r="G128" s="176"/>
      <c r="H128" s="124"/>
      <c r="I128" s="124"/>
      <c r="J128" s="190"/>
      <c r="K128" s="190"/>
      <c r="L128" s="19"/>
    </row>
    <row r="129" spans="2:12" ht="14.5" customHeight="1" x14ac:dyDescent="0.2">
      <c r="B129" s="422" t="s">
        <v>45</v>
      </c>
      <c r="C129" s="117"/>
      <c r="D129" s="117" t="s">
        <v>175</v>
      </c>
      <c r="E129" s="170"/>
      <c r="F129" s="170"/>
      <c r="G129" s="122"/>
      <c r="H129" s="122"/>
      <c r="I129" s="122"/>
      <c r="J129" s="122"/>
      <c r="K129" s="122"/>
      <c r="L129" s="2"/>
    </row>
    <row r="130" spans="2:12" ht="14.5" customHeight="1" x14ac:dyDescent="0.2">
      <c r="B130" s="422"/>
      <c r="C130" s="117" t="s">
        <v>401</v>
      </c>
      <c r="D130" s="117" t="s">
        <v>288</v>
      </c>
      <c r="E130" s="170"/>
      <c r="F130" s="170"/>
      <c r="G130" s="122"/>
      <c r="H130" s="122"/>
      <c r="I130" s="122"/>
      <c r="J130" s="122"/>
      <c r="K130" s="122"/>
      <c r="L130" s="2"/>
    </row>
    <row r="131" spans="2:12" ht="14.5" customHeight="1" x14ac:dyDescent="0.2">
      <c r="B131" s="422"/>
      <c r="C131" s="117" t="s">
        <v>402</v>
      </c>
      <c r="D131" s="117" t="s">
        <v>251</v>
      </c>
      <c r="E131" s="170"/>
      <c r="F131" s="170"/>
      <c r="G131" s="122"/>
      <c r="H131" s="122"/>
      <c r="I131" s="122"/>
      <c r="J131" s="122"/>
      <c r="K131" s="122"/>
      <c r="L131" s="2"/>
    </row>
    <row r="132" spans="2:12" ht="14.5" customHeight="1" x14ac:dyDescent="0.2">
      <c r="B132" s="422"/>
      <c r="C132" s="120"/>
      <c r="D132" s="120" t="s">
        <v>315</v>
      </c>
      <c r="E132" s="189"/>
      <c r="F132" s="189"/>
      <c r="G132" s="123"/>
      <c r="H132" s="123"/>
      <c r="I132" s="123"/>
      <c r="J132" s="123"/>
      <c r="K132" s="123"/>
      <c r="L132" s="2"/>
    </row>
    <row r="133" spans="2:12" ht="14.5" customHeight="1" x14ac:dyDescent="0.2">
      <c r="B133" s="422"/>
      <c r="C133" s="127"/>
      <c r="D133" s="127" t="s">
        <v>46</v>
      </c>
      <c r="E133" s="190"/>
      <c r="F133" s="190"/>
      <c r="G133" s="124"/>
      <c r="H133" s="124"/>
      <c r="I133" s="124"/>
      <c r="J133" s="124"/>
      <c r="K133" s="124"/>
      <c r="L133" s="2"/>
    </row>
    <row r="134" spans="2:12" s="21" customFormat="1" ht="14.5" customHeight="1" x14ac:dyDescent="0.2">
      <c r="B134" s="421" t="s">
        <v>47</v>
      </c>
      <c r="C134" s="117" t="s">
        <v>403</v>
      </c>
      <c r="D134" s="117" t="s">
        <v>668</v>
      </c>
      <c r="E134" s="122"/>
      <c r="F134" s="174"/>
      <c r="G134" s="174"/>
      <c r="H134" s="122"/>
      <c r="I134" s="122"/>
      <c r="J134" s="170"/>
      <c r="K134" s="170"/>
      <c r="L134" s="19"/>
    </row>
    <row r="135" spans="2:12" s="21" customFormat="1" ht="14.5" customHeight="1" x14ac:dyDescent="0.2">
      <c r="B135" s="418"/>
      <c r="C135" s="117"/>
      <c r="D135" s="117" t="s">
        <v>526</v>
      </c>
      <c r="E135" s="122"/>
      <c r="F135" s="174"/>
      <c r="G135" s="174"/>
      <c r="H135" s="122"/>
      <c r="I135" s="122"/>
      <c r="J135" s="170"/>
      <c r="K135" s="170"/>
      <c r="L135" s="19"/>
    </row>
    <row r="136" spans="2:12" s="21" customFormat="1" ht="14.5" customHeight="1" x14ac:dyDescent="0.2">
      <c r="B136" s="418"/>
      <c r="C136" s="117"/>
      <c r="D136" s="117" t="s">
        <v>616</v>
      </c>
      <c r="E136" s="122"/>
      <c r="F136" s="174"/>
      <c r="G136" s="174"/>
      <c r="H136" s="122"/>
      <c r="I136" s="122"/>
      <c r="J136" s="170"/>
      <c r="K136" s="170"/>
      <c r="L136" s="19"/>
    </row>
    <row r="137" spans="2:12" s="21" customFormat="1" ht="14.5" customHeight="1" x14ac:dyDescent="0.2">
      <c r="B137" s="418"/>
      <c r="C137" s="117"/>
      <c r="D137" s="117" t="s">
        <v>499</v>
      </c>
      <c r="E137" s="122"/>
      <c r="F137" s="174"/>
      <c r="G137" s="174"/>
      <c r="H137" s="122"/>
      <c r="I137" s="122"/>
      <c r="J137" s="170"/>
      <c r="K137" s="170"/>
      <c r="L137" s="19"/>
    </row>
    <row r="138" spans="2:12" s="21" customFormat="1" ht="14.5" customHeight="1" x14ac:dyDescent="0.2">
      <c r="B138" s="418"/>
      <c r="C138" s="117"/>
      <c r="D138" s="117" t="s">
        <v>527</v>
      </c>
      <c r="E138" s="122"/>
      <c r="F138" s="174"/>
      <c r="G138" s="174"/>
      <c r="H138" s="122"/>
      <c r="I138" s="122"/>
      <c r="J138" s="170"/>
      <c r="K138" s="170"/>
      <c r="L138" s="19"/>
    </row>
    <row r="139" spans="2:12" s="21" customFormat="1" ht="14.5" customHeight="1" x14ac:dyDescent="0.2">
      <c r="B139" s="418"/>
      <c r="C139" s="117"/>
      <c r="D139" s="117" t="s">
        <v>528</v>
      </c>
      <c r="E139" s="122"/>
      <c r="F139" s="174"/>
      <c r="G139" s="174"/>
      <c r="H139" s="122"/>
      <c r="I139" s="122"/>
      <c r="J139" s="170"/>
      <c r="K139" s="170"/>
      <c r="L139" s="19"/>
    </row>
    <row r="140" spans="2:12" s="21" customFormat="1" ht="14.5" customHeight="1" x14ac:dyDescent="0.2">
      <c r="B140" s="418"/>
      <c r="C140" s="117"/>
      <c r="D140" s="117" t="s">
        <v>789</v>
      </c>
      <c r="E140" s="122"/>
      <c r="F140" s="174"/>
      <c r="G140" s="174"/>
      <c r="H140" s="122"/>
      <c r="I140" s="122"/>
      <c r="J140" s="170"/>
      <c r="K140" s="170"/>
      <c r="L140" s="19"/>
    </row>
    <row r="141" spans="2:12" s="21" customFormat="1" ht="14.5" customHeight="1" x14ac:dyDescent="0.2">
      <c r="B141" s="418"/>
      <c r="C141" s="117"/>
      <c r="D141" s="117" t="s">
        <v>835</v>
      </c>
      <c r="E141" s="122"/>
      <c r="F141" s="174"/>
      <c r="G141" s="174"/>
      <c r="H141" s="122"/>
      <c r="I141" s="122"/>
      <c r="J141" s="170"/>
      <c r="K141" s="170"/>
      <c r="L141" s="19"/>
    </row>
    <row r="142" spans="2:12" s="21" customFormat="1" ht="14.5" customHeight="1" x14ac:dyDescent="0.2">
      <c r="B142" s="418"/>
      <c r="C142" s="117"/>
      <c r="D142" s="117" t="s">
        <v>529</v>
      </c>
      <c r="E142" s="122"/>
      <c r="F142" s="174"/>
      <c r="G142" s="174"/>
      <c r="H142" s="122"/>
      <c r="I142" s="122"/>
      <c r="J142" s="170"/>
      <c r="K142" s="170"/>
      <c r="L142" s="19"/>
    </row>
    <row r="143" spans="2:12" s="21" customFormat="1" ht="14.5" customHeight="1" x14ac:dyDescent="0.2">
      <c r="B143" s="418"/>
      <c r="C143" s="117"/>
      <c r="D143" s="117" t="s">
        <v>530</v>
      </c>
      <c r="E143" s="122"/>
      <c r="F143" s="174"/>
      <c r="G143" s="174"/>
      <c r="H143" s="122"/>
      <c r="I143" s="122"/>
      <c r="J143" s="170"/>
      <c r="K143" s="170"/>
      <c r="L143" s="19"/>
    </row>
    <row r="144" spans="2:12" s="21" customFormat="1" ht="14.5" customHeight="1" x14ac:dyDescent="0.2">
      <c r="B144" s="418"/>
      <c r="C144" s="117"/>
      <c r="D144" s="117" t="s">
        <v>531</v>
      </c>
      <c r="E144" s="122"/>
      <c r="F144" s="174"/>
      <c r="G144" s="174"/>
      <c r="H144" s="122"/>
      <c r="I144" s="122"/>
      <c r="J144" s="170"/>
      <c r="K144" s="170"/>
      <c r="L144" s="19"/>
    </row>
    <row r="145" spans="2:12" s="21" customFormat="1" ht="14.5" customHeight="1" x14ac:dyDescent="0.2">
      <c r="B145" s="418"/>
      <c r="C145" s="119"/>
      <c r="D145" s="119" t="s">
        <v>74</v>
      </c>
      <c r="E145" s="123"/>
      <c r="F145" s="175"/>
      <c r="G145" s="175"/>
      <c r="H145" s="123"/>
      <c r="I145" s="123"/>
      <c r="J145" s="189"/>
      <c r="K145" s="189"/>
      <c r="L145" s="19"/>
    </row>
    <row r="146" spans="2:12" s="21" customFormat="1" ht="14.5" customHeight="1" x14ac:dyDescent="0.2">
      <c r="B146" s="419"/>
      <c r="C146" s="127"/>
      <c r="D146" s="127" t="s">
        <v>48</v>
      </c>
      <c r="E146" s="124"/>
      <c r="F146" s="176"/>
      <c r="G146" s="176"/>
      <c r="H146" s="124"/>
      <c r="I146" s="124"/>
      <c r="J146" s="190"/>
      <c r="K146" s="190"/>
      <c r="L146" s="19"/>
    </row>
    <row r="147" spans="2:12" ht="14.5" customHeight="1" x14ac:dyDescent="0.2">
      <c r="B147" s="127"/>
      <c r="C147" s="121"/>
      <c r="D147" s="121" t="s">
        <v>49</v>
      </c>
      <c r="E147" s="213"/>
      <c r="F147" s="213"/>
      <c r="G147" s="177"/>
      <c r="H147" s="177"/>
      <c r="I147" s="157"/>
      <c r="J147" s="157"/>
      <c r="K147" s="157"/>
      <c r="L147" s="2"/>
    </row>
    <row r="148" spans="2:12" ht="14.5" customHeight="1" x14ac:dyDescent="0.2"/>
    <row r="149" spans="2:12" ht="14.5" customHeight="1" x14ac:dyDescent="0.2"/>
    <row r="150" spans="2:12" ht="14.5" customHeight="1" x14ac:dyDescent="0.2"/>
    <row r="151" spans="2:12" ht="14.5" customHeight="1" x14ac:dyDescent="0.2"/>
    <row r="152" spans="2:12" ht="14.5" customHeight="1" x14ac:dyDescent="0.2"/>
    <row r="153" spans="2:12" ht="14.5" customHeight="1" x14ac:dyDescent="0.2">
      <c r="B153" s="4" t="s">
        <v>450</v>
      </c>
      <c r="C153" s="5"/>
      <c r="D153" s="5"/>
      <c r="E153" s="33"/>
      <c r="F153" s="33"/>
    </row>
    <row r="154" spans="2:12" ht="14.5" customHeight="1" x14ac:dyDescent="0.2">
      <c r="B154" s="8"/>
      <c r="C154" s="8"/>
      <c r="D154" s="8"/>
      <c r="E154" s="35"/>
      <c r="F154" s="35"/>
    </row>
    <row r="155" spans="2:12" ht="14.5" customHeight="1" x14ac:dyDescent="0.2">
      <c r="B155" s="388" t="s">
        <v>0</v>
      </c>
      <c r="C155" s="388" t="s">
        <v>270</v>
      </c>
      <c r="D155" s="388" t="s">
        <v>2</v>
      </c>
      <c r="E155" s="385" t="s">
        <v>445</v>
      </c>
      <c r="F155" s="385"/>
      <c r="G155" s="417" t="s">
        <v>56</v>
      </c>
      <c r="H155" s="394" t="s">
        <v>3</v>
      </c>
      <c r="I155" s="398" t="s">
        <v>446</v>
      </c>
      <c r="J155" s="398" t="s">
        <v>8</v>
      </c>
      <c r="K155" s="398" t="s">
        <v>75</v>
      </c>
    </row>
    <row r="156" spans="2:12" ht="14.5" customHeight="1" x14ac:dyDescent="0.2">
      <c r="B156" s="388"/>
      <c r="C156" s="388"/>
      <c r="D156" s="388"/>
      <c r="E156" s="36" t="s">
        <v>77</v>
      </c>
      <c r="F156" s="54" t="s">
        <v>58</v>
      </c>
      <c r="G156" s="417"/>
      <c r="H156" s="394"/>
      <c r="I156" s="398"/>
      <c r="J156" s="398"/>
      <c r="K156" s="398"/>
    </row>
    <row r="157" spans="2:12" ht="14.5" customHeight="1" x14ac:dyDescent="0.2">
      <c r="B157" s="421" t="s">
        <v>53</v>
      </c>
      <c r="C157" s="117" t="s">
        <v>404</v>
      </c>
      <c r="D157" s="117" t="s">
        <v>115</v>
      </c>
      <c r="E157" s="122"/>
      <c r="F157" s="174"/>
      <c r="G157" s="174"/>
      <c r="H157" s="122"/>
      <c r="I157" s="122"/>
      <c r="J157" s="170"/>
      <c r="K157" s="170"/>
    </row>
    <row r="158" spans="2:12" ht="14.5" customHeight="1" x14ac:dyDescent="0.2">
      <c r="B158" s="418"/>
      <c r="C158" s="117"/>
      <c r="D158" s="117" t="s">
        <v>800</v>
      </c>
      <c r="E158" s="122"/>
      <c r="F158" s="174"/>
      <c r="G158" s="174"/>
      <c r="H158" s="122"/>
      <c r="I158" s="122"/>
      <c r="J158" s="170"/>
      <c r="K158" s="170"/>
    </row>
    <row r="159" spans="2:12" ht="14.5" customHeight="1" x14ac:dyDescent="0.2">
      <c r="B159" s="418"/>
      <c r="C159" s="117"/>
      <c r="D159" s="117" t="s">
        <v>532</v>
      </c>
      <c r="E159" s="122"/>
      <c r="F159" s="174"/>
      <c r="G159" s="174"/>
      <c r="H159" s="122"/>
      <c r="I159" s="122"/>
      <c r="J159" s="170"/>
      <c r="K159" s="170"/>
    </row>
    <row r="160" spans="2:12" ht="14.5" customHeight="1" x14ac:dyDescent="0.2">
      <c r="B160" s="418"/>
      <c r="C160" s="117"/>
      <c r="D160" s="117" t="s">
        <v>535</v>
      </c>
      <c r="E160" s="122"/>
      <c r="F160" s="174"/>
      <c r="G160" s="174"/>
      <c r="H160" s="122"/>
      <c r="I160" s="122"/>
      <c r="J160" s="170"/>
      <c r="K160" s="170"/>
    </row>
    <row r="161" spans="2:11" ht="14.5" customHeight="1" x14ac:dyDescent="0.2">
      <c r="B161" s="418"/>
      <c r="C161" s="117"/>
      <c r="D161" s="117" t="s">
        <v>533</v>
      </c>
      <c r="E161" s="122"/>
      <c r="F161" s="174"/>
      <c r="G161" s="174"/>
      <c r="H161" s="122"/>
      <c r="I161" s="122"/>
      <c r="J161" s="170"/>
      <c r="K161" s="170"/>
    </row>
    <row r="162" spans="2:11" ht="14.5" customHeight="1" x14ac:dyDescent="0.2">
      <c r="B162" s="418"/>
      <c r="C162" s="117"/>
      <c r="D162" s="117" t="s">
        <v>534</v>
      </c>
      <c r="E162" s="122"/>
      <c r="F162" s="174"/>
      <c r="G162" s="174"/>
      <c r="H162" s="122"/>
      <c r="I162" s="122"/>
      <c r="J162" s="170"/>
      <c r="K162" s="170"/>
    </row>
    <row r="163" spans="2:11" ht="14.5" customHeight="1" x14ac:dyDescent="0.2">
      <c r="B163" s="418"/>
      <c r="C163" s="119"/>
      <c r="D163" s="119" t="s">
        <v>894</v>
      </c>
      <c r="E163" s="123"/>
      <c r="F163" s="175"/>
      <c r="G163" s="175"/>
      <c r="H163" s="123"/>
      <c r="I163" s="123"/>
      <c r="J163" s="189"/>
      <c r="K163" s="189"/>
    </row>
    <row r="164" spans="2:11" ht="14.5" customHeight="1" x14ac:dyDescent="0.2">
      <c r="B164" s="418"/>
      <c r="C164" s="119"/>
      <c r="D164" s="119" t="s">
        <v>154</v>
      </c>
      <c r="E164" s="123"/>
      <c r="F164" s="175"/>
      <c r="G164" s="175"/>
      <c r="H164" s="123"/>
      <c r="I164" s="123"/>
      <c r="J164" s="189"/>
      <c r="K164" s="189"/>
    </row>
    <row r="165" spans="2:11" ht="14.5" customHeight="1" x14ac:dyDescent="0.2">
      <c r="B165" s="419"/>
      <c r="C165" s="127"/>
      <c r="D165" s="127" t="s">
        <v>54</v>
      </c>
      <c r="E165" s="124"/>
      <c r="F165" s="176"/>
      <c r="G165" s="176"/>
      <c r="H165" s="124"/>
      <c r="I165" s="124"/>
      <c r="J165" s="190"/>
      <c r="K165" s="190"/>
    </row>
    <row r="166" spans="2:11" ht="14.5" customHeight="1" x14ac:dyDescent="0.2">
      <c r="B166" s="421" t="s">
        <v>536</v>
      </c>
      <c r="C166" s="117" t="s">
        <v>405</v>
      </c>
      <c r="D166" s="117" t="s">
        <v>116</v>
      </c>
      <c r="E166" s="122"/>
      <c r="F166" s="174"/>
      <c r="G166" s="174"/>
      <c r="H166" s="122"/>
      <c r="I166" s="122"/>
      <c r="J166" s="170"/>
      <c r="K166" s="170"/>
    </row>
    <row r="167" spans="2:11" ht="14.5" customHeight="1" x14ac:dyDescent="0.2">
      <c r="B167" s="418"/>
      <c r="C167" s="117"/>
      <c r="D167" s="117" t="s">
        <v>801</v>
      </c>
      <c r="E167" s="122"/>
      <c r="F167" s="174"/>
      <c r="G167" s="174"/>
      <c r="H167" s="122"/>
      <c r="I167" s="122"/>
      <c r="J167" s="170"/>
      <c r="K167" s="170"/>
    </row>
    <row r="168" spans="2:11" ht="14.5" customHeight="1" x14ac:dyDescent="0.2">
      <c r="B168" s="418"/>
      <c r="C168" s="117"/>
      <c r="D168" s="117" t="s">
        <v>541</v>
      </c>
      <c r="E168" s="122"/>
      <c r="F168" s="174"/>
      <c r="G168" s="174"/>
      <c r="H168" s="122"/>
      <c r="I168" s="122"/>
      <c r="J168" s="170"/>
      <c r="K168" s="170"/>
    </row>
    <row r="169" spans="2:11" ht="14.5" customHeight="1" x14ac:dyDescent="0.2">
      <c r="B169" s="418"/>
      <c r="C169" s="117"/>
      <c r="D169" s="117" t="s">
        <v>538</v>
      </c>
      <c r="E169" s="122"/>
      <c r="F169" s="174"/>
      <c r="G169" s="174"/>
      <c r="H169" s="122"/>
      <c r="I169" s="122"/>
      <c r="J169" s="170"/>
      <c r="K169" s="170"/>
    </row>
    <row r="170" spans="2:11" ht="14.5" customHeight="1" x14ac:dyDescent="0.2">
      <c r="B170" s="418"/>
      <c r="C170" s="117"/>
      <c r="D170" s="117" t="s">
        <v>539</v>
      </c>
      <c r="E170" s="122"/>
      <c r="F170" s="174"/>
      <c r="G170" s="174"/>
      <c r="H170" s="122"/>
      <c r="I170" s="122"/>
      <c r="J170" s="170"/>
      <c r="K170" s="170"/>
    </row>
    <row r="171" spans="2:11" ht="14.5" customHeight="1" x14ac:dyDescent="0.2">
      <c r="B171" s="418"/>
      <c r="C171" s="117"/>
      <c r="D171" s="117" t="s">
        <v>537</v>
      </c>
      <c r="E171" s="122"/>
      <c r="F171" s="174"/>
      <c r="G171" s="174"/>
      <c r="H171" s="122"/>
      <c r="I171" s="122"/>
      <c r="J171" s="170"/>
      <c r="K171" s="170"/>
    </row>
    <row r="172" spans="2:11" ht="14.5" customHeight="1" x14ac:dyDescent="0.2">
      <c r="B172" s="418"/>
      <c r="C172" s="117"/>
      <c r="D172" s="117" t="s">
        <v>540</v>
      </c>
      <c r="E172" s="122"/>
      <c r="F172" s="174"/>
      <c r="G172" s="174"/>
      <c r="H172" s="122"/>
      <c r="I172" s="122"/>
      <c r="J172" s="170"/>
      <c r="K172" s="170"/>
    </row>
    <row r="173" spans="2:11" ht="14.5" customHeight="1" x14ac:dyDescent="0.2">
      <c r="B173" s="418"/>
      <c r="C173" s="119"/>
      <c r="D173" s="119" t="s">
        <v>680</v>
      </c>
      <c r="E173" s="123"/>
      <c r="F173" s="175"/>
      <c r="G173" s="175"/>
      <c r="H173" s="123"/>
      <c r="I173" s="123"/>
      <c r="J173" s="189"/>
      <c r="K173" s="189"/>
    </row>
    <row r="174" spans="2:11" ht="14.5" customHeight="1" x14ac:dyDescent="0.2">
      <c r="B174" s="418"/>
      <c r="C174" s="117"/>
      <c r="D174" s="117" t="s">
        <v>617</v>
      </c>
      <c r="E174" s="122"/>
      <c r="F174" s="174"/>
      <c r="G174" s="174"/>
      <c r="H174" s="122"/>
      <c r="I174" s="122"/>
      <c r="J174" s="170"/>
      <c r="K174" s="170"/>
    </row>
    <row r="175" spans="2:11" ht="14.5" customHeight="1" x14ac:dyDescent="0.2">
      <c r="B175" s="418"/>
      <c r="C175" s="117"/>
      <c r="D175" s="117" t="s">
        <v>802</v>
      </c>
      <c r="E175" s="122"/>
      <c r="F175" s="174"/>
      <c r="G175" s="174"/>
      <c r="H175" s="122"/>
      <c r="I175" s="122"/>
      <c r="J175" s="170"/>
      <c r="K175" s="170"/>
    </row>
    <row r="176" spans="2:11" ht="14.5" customHeight="1" x14ac:dyDescent="0.2">
      <c r="B176" s="418"/>
      <c r="C176" s="117"/>
      <c r="D176" s="117" t="s">
        <v>542</v>
      </c>
      <c r="E176" s="122"/>
      <c r="F176" s="174"/>
      <c r="G176" s="174"/>
      <c r="H176" s="122"/>
      <c r="I176" s="122"/>
      <c r="J176" s="170"/>
      <c r="K176" s="170"/>
    </row>
    <row r="177" spans="2:11" ht="14.5" customHeight="1" x14ac:dyDescent="0.2">
      <c r="B177" s="418"/>
      <c r="C177" s="117"/>
      <c r="D177" s="117" t="s">
        <v>543</v>
      </c>
      <c r="E177" s="122"/>
      <c r="F177" s="174"/>
      <c r="G177" s="174"/>
      <c r="H177" s="122"/>
      <c r="I177" s="122"/>
      <c r="J177" s="170"/>
      <c r="K177" s="170"/>
    </row>
    <row r="178" spans="2:11" ht="14.5" customHeight="1" x14ac:dyDescent="0.2">
      <c r="B178" s="418"/>
      <c r="C178" s="117"/>
      <c r="D178" s="117" t="s">
        <v>618</v>
      </c>
      <c r="E178" s="122"/>
      <c r="F178" s="174"/>
      <c r="G178" s="174"/>
      <c r="H178" s="122"/>
      <c r="I178" s="122"/>
      <c r="J178" s="170"/>
      <c r="K178" s="170"/>
    </row>
    <row r="179" spans="2:11" ht="14.5" customHeight="1" x14ac:dyDescent="0.2">
      <c r="B179" s="418"/>
      <c r="C179" s="119"/>
      <c r="D179" s="119" t="s">
        <v>687</v>
      </c>
      <c r="E179" s="123"/>
      <c r="F179" s="175"/>
      <c r="G179" s="175"/>
      <c r="H179" s="123"/>
      <c r="I179" s="123"/>
      <c r="J179" s="189"/>
      <c r="K179" s="189"/>
    </row>
    <row r="180" spans="2:11" ht="14.5" customHeight="1" x14ac:dyDescent="0.2">
      <c r="B180" s="418"/>
      <c r="C180" s="119"/>
      <c r="D180" s="119" t="s">
        <v>95</v>
      </c>
      <c r="E180" s="123"/>
      <c r="F180" s="175"/>
      <c r="G180" s="175"/>
      <c r="H180" s="123"/>
      <c r="I180" s="123"/>
      <c r="J180" s="189"/>
      <c r="K180" s="189"/>
    </row>
    <row r="181" spans="2:11" ht="14.5" customHeight="1" x14ac:dyDescent="0.2">
      <c r="B181" s="419"/>
      <c r="C181" s="127"/>
      <c r="D181" s="127" t="s">
        <v>556</v>
      </c>
      <c r="E181" s="124"/>
      <c r="F181" s="176"/>
      <c r="G181" s="176"/>
      <c r="H181" s="124"/>
      <c r="I181" s="124"/>
      <c r="J181" s="190"/>
      <c r="K181" s="190"/>
    </row>
    <row r="182" spans="2:11" ht="14.5" customHeight="1" x14ac:dyDescent="0.2">
      <c r="B182" s="421" t="s">
        <v>555</v>
      </c>
      <c r="C182" s="117" t="s">
        <v>408</v>
      </c>
      <c r="D182" s="117" t="s">
        <v>330</v>
      </c>
      <c r="E182" s="122"/>
      <c r="F182" s="174"/>
      <c r="G182" s="174"/>
      <c r="H182" s="122"/>
      <c r="I182" s="122"/>
      <c r="J182" s="170"/>
      <c r="K182" s="170"/>
    </row>
    <row r="183" spans="2:11" ht="14.5" customHeight="1" x14ac:dyDescent="0.2">
      <c r="B183" s="418"/>
      <c r="C183" s="117"/>
      <c r="D183" s="117" t="s">
        <v>560</v>
      </c>
      <c r="E183" s="122"/>
      <c r="F183" s="174"/>
      <c r="G183" s="174"/>
      <c r="H183" s="122"/>
      <c r="I183" s="122"/>
      <c r="J183" s="170"/>
      <c r="K183" s="170"/>
    </row>
    <row r="184" spans="2:11" ht="14.5" customHeight="1" x14ac:dyDescent="0.2">
      <c r="B184" s="418"/>
      <c r="C184" s="117"/>
      <c r="D184" s="117" t="s">
        <v>562</v>
      </c>
      <c r="E184" s="122"/>
      <c r="F184" s="174"/>
      <c r="G184" s="174"/>
      <c r="H184" s="122"/>
      <c r="I184" s="122"/>
      <c r="J184" s="170"/>
      <c r="K184" s="170"/>
    </row>
    <row r="185" spans="2:11" ht="14.5" customHeight="1" x14ac:dyDescent="0.2">
      <c r="B185" s="418"/>
      <c r="C185" s="117"/>
      <c r="D185" s="117" t="s">
        <v>561</v>
      </c>
      <c r="E185" s="122"/>
      <c r="F185" s="174"/>
      <c r="G185" s="174"/>
      <c r="H185" s="122"/>
      <c r="I185" s="122"/>
      <c r="J185" s="170"/>
      <c r="K185" s="170"/>
    </row>
    <row r="186" spans="2:11" ht="14.5" customHeight="1" x14ac:dyDescent="0.2">
      <c r="B186" s="418"/>
      <c r="C186" s="117"/>
      <c r="D186" s="117" t="s">
        <v>803</v>
      </c>
      <c r="E186" s="122"/>
      <c r="F186" s="174"/>
      <c r="G186" s="174"/>
      <c r="H186" s="122"/>
      <c r="I186" s="122"/>
      <c r="J186" s="170"/>
      <c r="K186" s="170"/>
    </row>
    <row r="187" spans="2:11" ht="14.5" customHeight="1" x14ac:dyDescent="0.2">
      <c r="B187" s="418"/>
      <c r="C187" s="117"/>
      <c r="D187" s="117" t="s">
        <v>790</v>
      </c>
      <c r="E187" s="122"/>
      <c r="F187" s="174"/>
      <c r="G187" s="174"/>
      <c r="H187" s="122"/>
      <c r="I187" s="122"/>
      <c r="J187" s="170"/>
      <c r="K187" s="170"/>
    </row>
    <row r="188" spans="2:11" ht="14.5" customHeight="1" x14ac:dyDescent="0.2">
      <c r="B188" s="418"/>
      <c r="C188" s="117"/>
      <c r="D188" s="117" t="s">
        <v>559</v>
      </c>
      <c r="E188" s="122"/>
      <c r="F188" s="174"/>
      <c r="G188" s="174"/>
      <c r="H188" s="122"/>
      <c r="I188" s="122"/>
      <c r="J188" s="170"/>
      <c r="K188" s="170"/>
    </row>
    <row r="189" spans="2:11" ht="14.5" customHeight="1" x14ac:dyDescent="0.2">
      <c r="B189" s="419"/>
      <c r="C189" s="119"/>
      <c r="D189" s="119" t="s">
        <v>719</v>
      </c>
      <c r="E189" s="123"/>
      <c r="F189" s="175"/>
      <c r="G189" s="175"/>
      <c r="H189" s="123"/>
      <c r="I189" s="123"/>
      <c r="J189" s="189"/>
      <c r="K189" s="189"/>
    </row>
    <row r="190" spans="2:11" ht="14.5" customHeight="1" x14ac:dyDescent="0.2">
      <c r="B190" s="127"/>
      <c r="C190" s="127"/>
      <c r="D190" s="127" t="s">
        <v>619</v>
      </c>
      <c r="E190" s="124"/>
      <c r="F190" s="176"/>
      <c r="G190" s="176"/>
      <c r="H190" s="124"/>
      <c r="I190" s="124"/>
      <c r="J190" s="190"/>
      <c r="K190" s="190"/>
    </row>
    <row r="191" spans="2:11" ht="14.5" customHeight="1" x14ac:dyDescent="0.2">
      <c r="B191" s="418" t="s">
        <v>555</v>
      </c>
      <c r="C191" s="117"/>
      <c r="D191" s="117" t="s">
        <v>842</v>
      </c>
      <c r="E191" s="122"/>
      <c r="F191" s="174"/>
      <c r="G191" s="174"/>
      <c r="H191" s="122"/>
      <c r="I191" s="122"/>
      <c r="J191" s="170"/>
      <c r="K191" s="170"/>
    </row>
    <row r="192" spans="2:11" ht="14.5" customHeight="1" x14ac:dyDescent="0.2">
      <c r="B192" s="418"/>
      <c r="C192" s="117"/>
      <c r="D192" s="117" t="s">
        <v>563</v>
      </c>
      <c r="E192" s="122"/>
      <c r="F192" s="174"/>
      <c r="G192" s="174"/>
      <c r="H192" s="122"/>
      <c r="I192" s="122"/>
      <c r="J192" s="170"/>
      <c r="K192" s="170"/>
    </row>
    <row r="193" spans="2:11" ht="14.5" customHeight="1" x14ac:dyDescent="0.2">
      <c r="B193" s="418"/>
      <c r="C193" s="117"/>
      <c r="D193" s="117" t="s">
        <v>804</v>
      </c>
      <c r="E193" s="122"/>
      <c r="F193" s="174"/>
      <c r="G193" s="174"/>
      <c r="H193" s="122"/>
      <c r="I193" s="122"/>
      <c r="J193" s="170"/>
      <c r="K193" s="170"/>
    </row>
    <row r="194" spans="2:11" ht="14.5" customHeight="1" x14ac:dyDescent="0.2">
      <c r="B194" s="418"/>
      <c r="C194" s="117"/>
      <c r="D194" s="117" t="s">
        <v>565</v>
      </c>
      <c r="E194" s="122"/>
      <c r="F194" s="174"/>
      <c r="G194" s="174"/>
      <c r="H194" s="122"/>
      <c r="I194" s="122"/>
      <c r="J194" s="170"/>
      <c r="K194" s="170"/>
    </row>
    <row r="195" spans="2:11" ht="14.5" customHeight="1" x14ac:dyDescent="0.2">
      <c r="B195" s="418"/>
      <c r="C195" s="117"/>
      <c r="D195" s="117" t="s">
        <v>843</v>
      </c>
      <c r="E195" s="122"/>
      <c r="F195" s="174"/>
      <c r="G195" s="174"/>
      <c r="H195" s="122"/>
      <c r="I195" s="122"/>
      <c r="J195" s="170"/>
      <c r="K195" s="170"/>
    </row>
    <row r="196" spans="2:11" ht="14.5" customHeight="1" x14ac:dyDescent="0.2">
      <c r="B196" s="418"/>
      <c r="C196" s="117"/>
      <c r="D196" s="117" t="s">
        <v>564</v>
      </c>
      <c r="E196" s="122"/>
      <c r="F196" s="174"/>
      <c r="G196" s="174"/>
      <c r="H196" s="122"/>
      <c r="I196" s="122"/>
      <c r="J196" s="170"/>
      <c r="K196" s="170"/>
    </row>
    <row r="197" spans="2:11" ht="14.5" customHeight="1" x14ac:dyDescent="0.2">
      <c r="B197" s="418"/>
      <c r="C197" s="119"/>
      <c r="D197" s="119" t="s">
        <v>726</v>
      </c>
      <c r="E197" s="123"/>
      <c r="F197" s="175"/>
      <c r="G197" s="175"/>
      <c r="H197" s="123"/>
      <c r="I197" s="123"/>
      <c r="J197" s="189"/>
      <c r="K197" s="189"/>
    </row>
    <row r="198" spans="2:11" ht="14.5" customHeight="1" x14ac:dyDescent="0.2">
      <c r="B198" s="418"/>
      <c r="C198" s="119"/>
      <c r="D198" s="119" t="s">
        <v>155</v>
      </c>
      <c r="E198" s="123"/>
      <c r="F198" s="175"/>
      <c r="G198" s="175"/>
      <c r="H198" s="123"/>
      <c r="I198" s="123"/>
      <c r="J198" s="189"/>
      <c r="K198" s="189"/>
    </row>
    <row r="199" spans="2:11" ht="14.5" customHeight="1" x14ac:dyDescent="0.2">
      <c r="B199" s="419"/>
      <c r="C199" s="127"/>
      <c r="D199" s="127" t="s">
        <v>558</v>
      </c>
      <c r="E199" s="124"/>
      <c r="F199" s="176"/>
      <c r="G199" s="176"/>
      <c r="H199" s="124"/>
      <c r="I199" s="124"/>
      <c r="J199" s="190"/>
      <c r="K199" s="190"/>
    </row>
    <row r="200" spans="2:11" ht="14.5" customHeight="1" x14ac:dyDescent="0.2">
      <c r="B200" s="421" t="s">
        <v>554</v>
      </c>
      <c r="C200" s="117"/>
      <c r="D200" s="117" t="s">
        <v>550</v>
      </c>
      <c r="E200" s="122"/>
      <c r="F200" s="174"/>
      <c r="G200" s="174"/>
      <c r="H200" s="122"/>
      <c r="I200" s="122"/>
      <c r="J200" s="170"/>
      <c r="K200" s="170"/>
    </row>
    <row r="201" spans="2:11" ht="14.5" customHeight="1" x14ac:dyDescent="0.2">
      <c r="B201" s="418"/>
      <c r="C201" s="117"/>
      <c r="D201" s="117" t="s">
        <v>900</v>
      </c>
      <c r="E201" s="122"/>
      <c r="F201" s="174"/>
      <c r="G201" s="174"/>
      <c r="H201" s="122"/>
      <c r="I201" s="122"/>
      <c r="J201" s="170"/>
      <c r="K201" s="170"/>
    </row>
    <row r="202" spans="2:11" ht="14.5" customHeight="1" x14ac:dyDescent="0.2">
      <c r="B202" s="418"/>
      <c r="C202" s="117"/>
      <c r="D202" s="117" t="s">
        <v>551</v>
      </c>
      <c r="E202" s="122"/>
      <c r="F202" s="174"/>
      <c r="G202" s="174"/>
      <c r="H202" s="122"/>
      <c r="I202" s="122"/>
      <c r="J202" s="170"/>
      <c r="K202" s="170"/>
    </row>
    <row r="203" spans="2:11" ht="14.5" customHeight="1" x14ac:dyDescent="0.2">
      <c r="B203" s="418"/>
      <c r="C203" s="117"/>
      <c r="D203" s="117" t="s">
        <v>548</v>
      </c>
      <c r="E203" s="122"/>
      <c r="F203" s="174"/>
      <c r="G203" s="174"/>
      <c r="H203" s="122"/>
      <c r="I203" s="122"/>
      <c r="J203" s="170"/>
      <c r="K203" s="170"/>
    </row>
    <row r="204" spans="2:11" ht="14.5" customHeight="1" x14ac:dyDescent="0.2">
      <c r="B204" s="418"/>
      <c r="C204" s="117"/>
      <c r="D204" s="117" t="s">
        <v>549</v>
      </c>
      <c r="E204" s="122"/>
      <c r="F204" s="174"/>
      <c r="G204" s="174"/>
      <c r="H204" s="122"/>
      <c r="I204" s="122"/>
      <c r="J204" s="170"/>
      <c r="K204" s="170"/>
    </row>
    <row r="205" spans="2:11" ht="14.5" customHeight="1" x14ac:dyDescent="0.2">
      <c r="B205" s="418"/>
      <c r="C205" s="119"/>
      <c r="D205" s="119" t="s">
        <v>708</v>
      </c>
      <c r="E205" s="123"/>
      <c r="F205" s="175"/>
      <c r="G205" s="175"/>
      <c r="H205" s="123"/>
      <c r="I205" s="123"/>
      <c r="J205" s="189"/>
      <c r="K205" s="189"/>
    </row>
    <row r="206" spans="2:11" ht="14.5" customHeight="1" x14ac:dyDescent="0.2">
      <c r="B206" s="418"/>
      <c r="C206" s="117" t="s">
        <v>407</v>
      </c>
      <c r="D206" s="117" t="s">
        <v>326</v>
      </c>
      <c r="E206" s="122"/>
      <c r="F206" s="174"/>
      <c r="G206" s="174"/>
      <c r="H206" s="122"/>
      <c r="I206" s="122"/>
      <c r="J206" s="170"/>
      <c r="K206" s="170"/>
    </row>
    <row r="207" spans="2:11" ht="14.5" customHeight="1" x14ac:dyDescent="0.2">
      <c r="B207" s="418"/>
      <c r="C207" s="117"/>
      <c r="D207" s="117" t="s">
        <v>553</v>
      </c>
      <c r="E207" s="122"/>
      <c r="F207" s="174"/>
      <c r="G207" s="174"/>
      <c r="H207" s="122"/>
      <c r="I207" s="122"/>
      <c r="J207" s="170"/>
      <c r="K207" s="170"/>
    </row>
    <row r="208" spans="2:11" ht="14.5" customHeight="1" x14ac:dyDescent="0.2">
      <c r="B208" s="418"/>
      <c r="C208" s="117"/>
      <c r="D208" s="117" t="s">
        <v>552</v>
      </c>
      <c r="E208" s="122"/>
      <c r="F208" s="174"/>
      <c r="G208" s="174"/>
      <c r="H208" s="122"/>
      <c r="I208" s="122"/>
      <c r="J208" s="170"/>
      <c r="K208" s="170"/>
    </row>
    <row r="209" spans="2:11" ht="14.5" customHeight="1" x14ac:dyDescent="0.2">
      <c r="B209" s="418"/>
      <c r="C209" s="117"/>
      <c r="D209" s="117" t="s">
        <v>620</v>
      </c>
      <c r="E209" s="122"/>
      <c r="F209" s="174"/>
      <c r="G209" s="174"/>
      <c r="H209" s="122"/>
      <c r="I209" s="122"/>
      <c r="J209" s="170"/>
      <c r="K209" s="170"/>
    </row>
    <row r="210" spans="2:11" ht="14.5" customHeight="1" x14ac:dyDescent="0.2">
      <c r="B210" s="418"/>
      <c r="C210" s="117"/>
      <c r="D210" s="117" t="s">
        <v>216</v>
      </c>
      <c r="E210" s="122"/>
      <c r="F210" s="174"/>
      <c r="G210" s="174"/>
      <c r="H210" s="122"/>
      <c r="I210" s="122"/>
      <c r="J210" s="170"/>
      <c r="K210" s="170"/>
    </row>
    <row r="211" spans="2:11" ht="14.5" customHeight="1" x14ac:dyDescent="0.2">
      <c r="B211" s="418"/>
      <c r="C211" s="117"/>
      <c r="D211" s="117" t="s">
        <v>805</v>
      </c>
      <c r="E211" s="122"/>
      <c r="F211" s="174"/>
      <c r="G211" s="174"/>
      <c r="H211" s="122"/>
      <c r="I211" s="122"/>
      <c r="J211" s="170"/>
      <c r="K211" s="170"/>
    </row>
    <row r="212" spans="2:11" ht="14.5" customHeight="1" x14ac:dyDescent="0.2">
      <c r="B212" s="418"/>
      <c r="C212" s="117"/>
      <c r="D212" s="117" t="s">
        <v>844</v>
      </c>
      <c r="E212" s="122"/>
      <c r="F212" s="174"/>
      <c r="G212" s="174"/>
      <c r="H212" s="122"/>
      <c r="I212" s="122"/>
      <c r="J212" s="170"/>
      <c r="K212" s="170"/>
    </row>
    <row r="213" spans="2:11" ht="14.5" customHeight="1" x14ac:dyDescent="0.2">
      <c r="B213" s="418"/>
      <c r="C213" s="119"/>
      <c r="D213" s="119" t="s">
        <v>715</v>
      </c>
      <c r="E213" s="123"/>
      <c r="F213" s="175"/>
      <c r="G213" s="175"/>
      <c r="H213" s="123"/>
      <c r="I213" s="123"/>
      <c r="J213" s="189"/>
      <c r="K213" s="189"/>
    </row>
    <row r="214" spans="2:11" ht="14.5" customHeight="1" x14ac:dyDescent="0.2">
      <c r="B214" s="418"/>
      <c r="C214" s="119"/>
      <c r="D214" s="119" t="s">
        <v>74</v>
      </c>
      <c r="E214" s="123"/>
      <c r="F214" s="175"/>
      <c r="G214" s="175"/>
      <c r="H214" s="123"/>
      <c r="I214" s="123"/>
      <c r="J214" s="189"/>
      <c r="K214" s="189"/>
    </row>
    <row r="215" spans="2:11" ht="14.5" customHeight="1" x14ac:dyDescent="0.2">
      <c r="B215" s="419"/>
      <c r="C215" s="127"/>
      <c r="D215" s="127" t="s">
        <v>557</v>
      </c>
      <c r="E215" s="124"/>
      <c r="F215" s="176"/>
      <c r="G215" s="176"/>
      <c r="H215" s="124"/>
      <c r="I215" s="124"/>
      <c r="J215" s="190"/>
      <c r="K215" s="190"/>
    </row>
    <row r="216" spans="2:11" ht="14.5" customHeight="1" x14ac:dyDescent="0.2">
      <c r="B216" s="421" t="s">
        <v>621</v>
      </c>
      <c r="C216" s="117"/>
      <c r="D216" s="117" t="s">
        <v>623</v>
      </c>
      <c r="E216" s="122"/>
      <c r="F216" s="174"/>
      <c r="G216" s="174"/>
      <c r="H216" s="122"/>
      <c r="I216" s="122"/>
      <c r="J216" s="170"/>
      <c r="K216" s="170"/>
    </row>
    <row r="217" spans="2:11" ht="14.5" customHeight="1" x14ac:dyDescent="0.2">
      <c r="B217" s="418"/>
      <c r="C217" s="117"/>
      <c r="D217" s="117" t="s">
        <v>624</v>
      </c>
      <c r="E217" s="122"/>
      <c r="F217" s="174"/>
      <c r="G217" s="174"/>
      <c r="H217" s="122"/>
      <c r="I217" s="122"/>
      <c r="J217" s="170"/>
      <c r="K217" s="170"/>
    </row>
    <row r="218" spans="2:11" ht="14.5" customHeight="1" x14ac:dyDescent="0.2">
      <c r="B218" s="418"/>
      <c r="C218" s="117"/>
      <c r="D218" s="117" t="s">
        <v>845</v>
      </c>
      <c r="E218" s="122"/>
      <c r="F218" s="174"/>
      <c r="G218" s="174"/>
      <c r="H218" s="122"/>
      <c r="I218" s="122"/>
      <c r="J218" s="170"/>
      <c r="K218" s="170"/>
    </row>
    <row r="219" spans="2:11" ht="14.5" customHeight="1" x14ac:dyDescent="0.2">
      <c r="B219" s="418"/>
      <c r="C219" s="119"/>
      <c r="D219" s="119" t="s">
        <v>730</v>
      </c>
      <c r="E219" s="123"/>
      <c r="F219" s="175"/>
      <c r="G219" s="175"/>
      <c r="H219" s="123"/>
      <c r="I219" s="123"/>
      <c r="J219" s="189"/>
      <c r="K219" s="189"/>
    </row>
    <row r="220" spans="2:11" ht="14.5" customHeight="1" x14ac:dyDescent="0.2">
      <c r="B220" s="419"/>
      <c r="C220" s="127"/>
      <c r="D220" s="127" t="s">
        <v>622</v>
      </c>
      <c r="E220" s="124"/>
      <c r="F220" s="176"/>
      <c r="G220" s="176"/>
      <c r="H220" s="124"/>
      <c r="I220" s="124"/>
      <c r="J220" s="190"/>
      <c r="K220" s="190"/>
    </row>
    <row r="221" spans="2:11" ht="14.5" customHeight="1" x14ac:dyDescent="0.2">
      <c r="B221" s="421" t="s">
        <v>625</v>
      </c>
      <c r="C221" s="117"/>
      <c r="D221" s="117" t="s">
        <v>626</v>
      </c>
      <c r="E221" s="122"/>
      <c r="F221" s="174"/>
      <c r="G221" s="174"/>
      <c r="H221" s="122"/>
      <c r="I221" s="122"/>
      <c r="J221" s="170"/>
      <c r="K221" s="170"/>
    </row>
    <row r="222" spans="2:11" ht="14.5" customHeight="1" x14ac:dyDescent="0.2">
      <c r="B222" s="418"/>
      <c r="C222" s="117"/>
      <c r="D222" s="117" t="s">
        <v>627</v>
      </c>
      <c r="E222" s="122"/>
      <c r="F222" s="174"/>
      <c r="G222" s="174"/>
      <c r="H222" s="122"/>
      <c r="I222" s="122"/>
      <c r="J222" s="170"/>
      <c r="K222" s="170"/>
    </row>
    <row r="223" spans="2:11" ht="14.5" customHeight="1" x14ac:dyDescent="0.2">
      <c r="B223" s="418"/>
      <c r="C223" s="117"/>
      <c r="D223" s="117" t="s">
        <v>846</v>
      </c>
      <c r="E223" s="122"/>
      <c r="F223" s="174"/>
      <c r="G223" s="174"/>
      <c r="H223" s="122"/>
      <c r="I223" s="122"/>
      <c r="J223" s="170"/>
      <c r="K223" s="170"/>
    </row>
    <row r="224" spans="2:11" ht="14.5" customHeight="1" x14ac:dyDescent="0.2">
      <c r="B224" s="418"/>
      <c r="C224" s="119"/>
      <c r="D224" s="119" t="s">
        <v>732</v>
      </c>
      <c r="E224" s="123"/>
      <c r="F224" s="175"/>
      <c r="G224" s="175"/>
      <c r="H224" s="123"/>
      <c r="I224" s="123"/>
      <c r="J224" s="189"/>
      <c r="K224" s="189"/>
    </row>
    <row r="225" spans="2:11" ht="14.5" customHeight="1" x14ac:dyDescent="0.2">
      <c r="B225" s="419"/>
      <c r="C225" s="127"/>
      <c r="D225" s="127" t="s">
        <v>628</v>
      </c>
      <c r="E225" s="124"/>
      <c r="F225" s="176"/>
      <c r="G225" s="176"/>
      <c r="H225" s="124"/>
      <c r="I225" s="124"/>
      <c r="J225" s="190"/>
      <c r="K225" s="190"/>
    </row>
    <row r="226" spans="2:11" ht="14.5" customHeight="1" x14ac:dyDescent="0.2">
      <c r="B226" s="127"/>
      <c r="C226" s="127"/>
      <c r="D226" s="127" t="s">
        <v>629</v>
      </c>
      <c r="E226" s="124"/>
      <c r="F226" s="176"/>
      <c r="G226" s="176"/>
      <c r="H226" s="124"/>
      <c r="I226" s="124"/>
      <c r="J226" s="190"/>
      <c r="K226" s="190"/>
    </row>
    <row r="227" spans="2:11" ht="14.5" customHeight="1" x14ac:dyDescent="0.2">
      <c r="B227" s="421" t="s">
        <v>603</v>
      </c>
      <c r="C227" s="117" t="s">
        <v>406</v>
      </c>
      <c r="D227" s="117" t="s">
        <v>895</v>
      </c>
      <c r="E227" s="122"/>
      <c r="F227" s="174"/>
      <c r="G227" s="174"/>
      <c r="H227" s="122"/>
      <c r="I227" s="122"/>
      <c r="J227" s="170"/>
      <c r="K227" s="170"/>
    </row>
    <row r="228" spans="2:11" ht="14.5" customHeight="1" x14ac:dyDescent="0.2">
      <c r="B228" s="418"/>
      <c r="C228" s="117"/>
      <c r="D228" s="117" t="s">
        <v>544</v>
      </c>
      <c r="E228" s="122"/>
      <c r="F228" s="174"/>
      <c r="G228" s="174"/>
      <c r="H228" s="122"/>
      <c r="I228" s="122"/>
      <c r="J228" s="170"/>
      <c r="K228" s="170"/>
    </row>
    <row r="229" spans="2:11" ht="14.5" customHeight="1" x14ac:dyDescent="0.2">
      <c r="B229" s="418"/>
      <c r="C229" s="117"/>
      <c r="D229" s="117" t="s">
        <v>545</v>
      </c>
      <c r="E229" s="122"/>
      <c r="F229" s="174"/>
      <c r="G229" s="174"/>
      <c r="H229" s="122"/>
      <c r="I229" s="122"/>
      <c r="J229" s="170"/>
      <c r="K229" s="170"/>
    </row>
    <row r="230" spans="2:11" ht="14.5" customHeight="1" x14ac:dyDescent="0.2">
      <c r="B230" s="418"/>
      <c r="C230" s="117"/>
      <c r="D230" s="117" t="s">
        <v>806</v>
      </c>
      <c r="E230" s="122"/>
      <c r="F230" s="174"/>
      <c r="G230" s="174"/>
      <c r="H230" s="122"/>
      <c r="I230" s="122"/>
      <c r="J230" s="170"/>
      <c r="K230" s="170"/>
    </row>
    <row r="231" spans="2:11" ht="14.5" customHeight="1" x14ac:dyDescent="0.2">
      <c r="B231" s="418"/>
      <c r="C231" s="117"/>
      <c r="D231" s="117" t="s">
        <v>630</v>
      </c>
      <c r="E231" s="122"/>
      <c r="F231" s="174"/>
      <c r="G231" s="174"/>
      <c r="H231" s="122"/>
      <c r="I231" s="122"/>
      <c r="J231" s="170"/>
      <c r="K231" s="170"/>
    </row>
    <row r="232" spans="2:11" ht="14.5" customHeight="1" x14ac:dyDescent="0.2">
      <c r="B232" s="418"/>
      <c r="C232" s="117"/>
      <c r="D232" s="117" t="s">
        <v>546</v>
      </c>
      <c r="E232" s="122"/>
      <c r="F232" s="174"/>
      <c r="G232" s="174"/>
      <c r="H232" s="122"/>
      <c r="I232" s="122"/>
      <c r="J232" s="170"/>
      <c r="K232" s="170"/>
    </row>
    <row r="233" spans="2:11" ht="14.5" customHeight="1" x14ac:dyDescent="0.2">
      <c r="B233" s="418"/>
      <c r="C233" s="117"/>
      <c r="D233" s="117" t="s">
        <v>547</v>
      </c>
      <c r="E233" s="122"/>
      <c r="F233" s="174"/>
      <c r="G233" s="174"/>
      <c r="H233" s="122"/>
      <c r="I233" s="122"/>
      <c r="J233" s="170"/>
      <c r="K233" s="170"/>
    </row>
    <row r="234" spans="2:11" ht="14.5" customHeight="1" x14ac:dyDescent="0.2">
      <c r="B234" s="418"/>
      <c r="C234" s="119"/>
      <c r="D234" s="119" t="s">
        <v>694</v>
      </c>
      <c r="E234" s="123"/>
      <c r="F234" s="175"/>
      <c r="G234" s="175"/>
      <c r="H234" s="123"/>
      <c r="I234" s="123"/>
      <c r="J234" s="189"/>
      <c r="K234" s="189"/>
    </row>
    <row r="235" spans="2:11" ht="14.5" customHeight="1" x14ac:dyDescent="0.2">
      <c r="B235" s="418"/>
      <c r="C235" s="117"/>
      <c r="D235" s="117" t="s">
        <v>631</v>
      </c>
      <c r="E235" s="122"/>
      <c r="F235" s="174"/>
      <c r="G235" s="174"/>
      <c r="H235" s="122"/>
      <c r="I235" s="122"/>
      <c r="J235" s="170"/>
      <c r="K235" s="170"/>
    </row>
    <row r="236" spans="2:11" ht="14.5" customHeight="1" x14ac:dyDescent="0.2">
      <c r="B236" s="418"/>
      <c r="C236" s="117"/>
      <c r="D236" s="117" t="s">
        <v>847</v>
      </c>
      <c r="E236" s="122"/>
      <c r="F236" s="174"/>
      <c r="G236" s="174"/>
      <c r="H236" s="122"/>
      <c r="I236" s="122"/>
      <c r="J236" s="170"/>
      <c r="K236" s="170"/>
    </row>
    <row r="237" spans="2:11" ht="14.5" customHeight="1" x14ac:dyDescent="0.2">
      <c r="B237" s="418"/>
      <c r="C237" s="117"/>
      <c r="D237" s="117" t="s">
        <v>848</v>
      </c>
      <c r="E237" s="122"/>
      <c r="F237" s="174"/>
      <c r="G237" s="174"/>
      <c r="H237" s="122"/>
      <c r="I237" s="122"/>
      <c r="J237" s="170"/>
      <c r="K237" s="170"/>
    </row>
    <row r="238" spans="2:11" ht="14.5" customHeight="1" x14ac:dyDescent="0.2">
      <c r="B238" s="418"/>
      <c r="C238" s="117"/>
      <c r="D238" s="117" t="s">
        <v>849</v>
      </c>
      <c r="E238" s="122"/>
      <c r="F238" s="174"/>
      <c r="G238" s="174"/>
      <c r="H238" s="122"/>
      <c r="I238" s="122"/>
      <c r="J238" s="170"/>
      <c r="K238" s="170"/>
    </row>
    <row r="239" spans="2:11" ht="14.5" customHeight="1" x14ac:dyDescent="0.2">
      <c r="B239" s="418"/>
      <c r="C239" s="117"/>
      <c r="D239" s="117" t="s">
        <v>605</v>
      </c>
      <c r="E239" s="122"/>
      <c r="F239" s="174"/>
      <c r="G239" s="174"/>
      <c r="H239" s="122"/>
      <c r="I239" s="122"/>
      <c r="J239" s="170"/>
      <c r="K239" s="170"/>
    </row>
    <row r="240" spans="2:11" ht="14.5" customHeight="1" x14ac:dyDescent="0.2">
      <c r="B240" s="418"/>
      <c r="C240" s="119"/>
      <c r="D240" s="119" t="s">
        <v>896</v>
      </c>
      <c r="E240" s="123"/>
      <c r="F240" s="175"/>
      <c r="G240" s="175"/>
      <c r="H240" s="123"/>
      <c r="I240" s="123"/>
      <c r="J240" s="189"/>
      <c r="K240" s="189"/>
    </row>
    <row r="241" spans="2:11" ht="14.5" customHeight="1" x14ac:dyDescent="0.2">
      <c r="B241" s="418"/>
      <c r="C241" s="119"/>
      <c r="D241" s="119" t="s">
        <v>73</v>
      </c>
      <c r="E241" s="123"/>
      <c r="F241" s="175"/>
      <c r="G241" s="175"/>
      <c r="H241" s="123"/>
      <c r="I241" s="123"/>
      <c r="J241" s="189"/>
      <c r="K241" s="189"/>
    </row>
    <row r="242" spans="2:11" ht="14.5" customHeight="1" x14ac:dyDescent="0.2">
      <c r="B242" s="419"/>
      <c r="C242" s="127"/>
      <c r="D242" s="127" t="s">
        <v>604</v>
      </c>
      <c r="E242" s="124"/>
      <c r="F242" s="176"/>
      <c r="G242" s="176"/>
      <c r="H242" s="124"/>
      <c r="I242" s="124"/>
      <c r="J242" s="190"/>
      <c r="K242" s="190"/>
    </row>
    <row r="243" spans="2:11" ht="14.5" customHeight="1" x14ac:dyDescent="0.2">
      <c r="B243" s="421" t="s">
        <v>632</v>
      </c>
      <c r="C243" s="117"/>
      <c r="D243" s="117" t="s">
        <v>634</v>
      </c>
      <c r="E243" s="122"/>
      <c r="F243" s="174"/>
      <c r="G243" s="174"/>
      <c r="H243" s="122"/>
      <c r="I243" s="122"/>
      <c r="J243" s="170"/>
      <c r="K243" s="170"/>
    </row>
    <row r="244" spans="2:11" ht="14.5" customHeight="1" x14ac:dyDescent="0.2">
      <c r="B244" s="418"/>
      <c r="C244" s="117"/>
      <c r="D244" s="117" t="s">
        <v>635</v>
      </c>
      <c r="E244" s="122"/>
      <c r="F244" s="174"/>
      <c r="G244" s="174"/>
      <c r="H244" s="122"/>
      <c r="I244" s="122"/>
      <c r="J244" s="170"/>
      <c r="K244" s="170"/>
    </row>
    <row r="245" spans="2:11" ht="14.5" customHeight="1" x14ac:dyDescent="0.2">
      <c r="B245" s="418"/>
      <c r="C245" s="117"/>
      <c r="D245" s="117" t="s">
        <v>636</v>
      </c>
      <c r="E245" s="122"/>
      <c r="F245" s="174"/>
      <c r="G245" s="174"/>
      <c r="H245" s="122"/>
      <c r="I245" s="122"/>
      <c r="J245" s="170"/>
      <c r="K245" s="170"/>
    </row>
    <row r="246" spans="2:11" ht="14.5" customHeight="1" x14ac:dyDescent="0.2">
      <c r="B246" s="418"/>
      <c r="C246" s="117"/>
      <c r="D246" s="117" t="s">
        <v>807</v>
      </c>
      <c r="E246" s="122"/>
      <c r="F246" s="174"/>
      <c r="G246" s="174"/>
      <c r="H246" s="122"/>
      <c r="I246" s="122"/>
      <c r="J246" s="170"/>
      <c r="K246" s="170"/>
    </row>
    <row r="247" spans="2:11" ht="14.5" customHeight="1" x14ac:dyDescent="0.2">
      <c r="B247" s="418"/>
      <c r="C247" s="117"/>
      <c r="D247" s="117" t="s">
        <v>637</v>
      </c>
      <c r="E247" s="122"/>
      <c r="F247" s="174"/>
      <c r="G247" s="174"/>
      <c r="H247" s="122"/>
      <c r="I247" s="122"/>
      <c r="J247" s="170"/>
      <c r="K247" s="170"/>
    </row>
    <row r="248" spans="2:11" ht="14.5" customHeight="1" x14ac:dyDescent="0.2">
      <c r="B248" s="418"/>
      <c r="C248" s="119"/>
      <c r="D248" s="119" t="s">
        <v>702</v>
      </c>
      <c r="E248" s="123"/>
      <c r="F248" s="175"/>
      <c r="G248" s="175"/>
      <c r="H248" s="123"/>
      <c r="I248" s="123"/>
      <c r="J248" s="189"/>
      <c r="K248" s="189"/>
    </row>
    <row r="249" spans="2:11" ht="14.5" customHeight="1" x14ac:dyDescent="0.2">
      <c r="B249" s="419"/>
      <c r="C249" s="127"/>
      <c r="D249" s="127" t="s">
        <v>633</v>
      </c>
      <c r="E249" s="124"/>
      <c r="F249" s="176"/>
      <c r="G249" s="176"/>
      <c r="H249" s="124"/>
      <c r="I249" s="124"/>
      <c r="J249" s="190"/>
      <c r="K249" s="190"/>
    </row>
    <row r="250" spans="2:11" ht="14.5" customHeight="1" x14ac:dyDescent="0.2">
      <c r="B250" s="421" t="s">
        <v>787</v>
      </c>
      <c r="C250" s="117" t="s">
        <v>409</v>
      </c>
      <c r="D250" s="117" t="s">
        <v>117</v>
      </c>
      <c r="E250" s="122"/>
      <c r="F250" s="174"/>
      <c r="G250" s="174"/>
      <c r="H250" s="122"/>
      <c r="I250" s="122"/>
      <c r="J250" s="170"/>
      <c r="K250" s="170"/>
    </row>
    <row r="251" spans="2:11" ht="14.5" customHeight="1" x14ac:dyDescent="0.2">
      <c r="B251" s="418"/>
      <c r="C251" s="117"/>
      <c r="D251" s="117" t="s">
        <v>567</v>
      </c>
      <c r="E251" s="122"/>
      <c r="F251" s="174"/>
      <c r="G251" s="174"/>
      <c r="H251" s="122"/>
      <c r="I251" s="122"/>
      <c r="J251" s="170"/>
      <c r="K251" s="170"/>
    </row>
    <row r="252" spans="2:11" ht="14.5" customHeight="1" x14ac:dyDescent="0.2">
      <c r="B252" s="418"/>
      <c r="C252" s="117"/>
      <c r="D252" s="117" t="s">
        <v>569</v>
      </c>
      <c r="E252" s="122"/>
      <c r="F252" s="174"/>
      <c r="G252" s="174"/>
      <c r="H252" s="122"/>
      <c r="I252" s="122"/>
      <c r="J252" s="170"/>
      <c r="K252" s="170"/>
    </row>
    <row r="253" spans="2:11" ht="14.5" customHeight="1" x14ac:dyDescent="0.2">
      <c r="B253" s="418"/>
      <c r="C253" s="117"/>
      <c r="D253" s="117" t="s">
        <v>808</v>
      </c>
      <c r="E253" s="122"/>
      <c r="F253" s="174"/>
      <c r="G253" s="174"/>
      <c r="H253" s="122"/>
      <c r="I253" s="122"/>
      <c r="J253" s="170"/>
      <c r="K253" s="170"/>
    </row>
    <row r="254" spans="2:11" ht="14.5" customHeight="1" x14ac:dyDescent="0.2">
      <c r="B254" s="418"/>
      <c r="C254" s="117"/>
      <c r="D254" s="117" t="s">
        <v>568</v>
      </c>
      <c r="E254" s="122"/>
      <c r="F254" s="174"/>
      <c r="G254" s="174"/>
      <c r="H254" s="122"/>
      <c r="I254" s="122"/>
      <c r="J254" s="170"/>
      <c r="K254" s="170"/>
    </row>
    <row r="255" spans="2:11" ht="14.5" customHeight="1" x14ac:dyDescent="0.2">
      <c r="B255" s="418"/>
      <c r="C255" s="117"/>
      <c r="D255" s="117" t="s">
        <v>566</v>
      </c>
      <c r="E255" s="122"/>
      <c r="F255" s="174"/>
      <c r="G255" s="174"/>
      <c r="H255" s="122"/>
      <c r="I255" s="122"/>
      <c r="J255" s="170"/>
      <c r="K255" s="170"/>
    </row>
    <row r="256" spans="2:11" ht="14.5" customHeight="1" x14ac:dyDescent="0.2">
      <c r="B256" s="418"/>
      <c r="C256" s="117"/>
      <c r="D256" s="117" t="s">
        <v>570</v>
      </c>
      <c r="E256" s="122"/>
      <c r="F256" s="174"/>
      <c r="G256" s="174"/>
      <c r="H256" s="122"/>
      <c r="I256" s="122"/>
      <c r="J256" s="170"/>
      <c r="K256" s="170"/>
    </row>
    <row r="257" spans="2:11" ht="14.5" customHeight="1" x14ac:dyDescent="0.2">
      <c r="B257" s="418"/>
      <c r="C257" s="119"/>
      <c r="D257" s="119" t="s">
        <v>734</v>
      </c>
      <c r="E257" s="123"/>
      <c r="F257" s="175"/>
      <c r="G257" s="175"/>
      <c r="H257" s="123"/>
      <c r="I257" s="123"/>
      <c r="J257" s="189"/>
      <c r="K257" s="189"/>
    </row>
    <row r="258" spans="2:11" ht="14.5" customHeight="1" x14ac:dyDescent="0.2">
      <c r="B258" s="419"/>
      <c r="C258" s="127"/>
      <c r="D258" s="127" t="s">
        <v>51</v>
      </c>
      <c r="E258" s="124"/>
      <c r="F258" s="176"/>
      <c r="G258" s="176"/>
      <c r="H258" s="124"/>
      <c r="I258" s="124"/>
      <c r="J258" s="190"/>
      <c r="K258" s="190"/>
    </row>
    <row r="259" spans="2:11" ht="14.5" customHeight="1" x14ac:dyDescent="0.2">
      <c r="B259" s="127"/>
      <c r="C259" s="127"/>
      <c r="D259" s="127" t="s">
        <v>638</v>
      </c>
      <c r="E259" s="124"/>
      <c r="F259" s="176"/>
      <c r="G259" s="176"/>
      <c r="H259" s="124"/>
      <c r="I259" s="124"/>
      <c r="J259" s="190"/>
      <c r="K259" s="190"/>
    </row>
    <row r="260" spans="2:11" ht="14.5" customHeight="1" x14ac:dyDescent="0.2">
      <c r="B260" s="421" t="s">
        <v>787</v>
      </c>
      <c r="C260" s="117"/>
      <c r="D260" s="117" t="s">
        <v>612</v>
      </c>
      <c r="E260" s="122"/>
      <c r="F260" s="174"/>
      <c r="G260" s="174"/>
      <c r="H260" s="122"/>
      <c r="I260" s="122"/>
      <c r="J260" s="170"/>
      <c r="K260" s="170"/>
    </row>
    <row r="261" spans="2:11" ht="14.5" customHeight="1" x14ac:dyDescent="0.2">
      <c r="B261" s="418"/>
      <c r="C261" s="117"/>
      <c r="D261" s="117" t="s">
        <v>609</v>
      </c>
      <c r="E261" s="122"/>
      <c r="F261" s="174"/>
      <c r="G261" s="174"/>
      <c r="H261" s="122"/>
      <c r="I261" s="122"/>
      <c r="J261" s="170"/>
      <c r="K261" s="170"/>
    </row>
    <row r="262" spans="2:11" ht="14.5" customHeight="1" x14ac:dyDescent="0.2">
      <c r="B262" s="418"/>
      <c r="C262" s="117"/>
      <c r="D262" s="117" t="s">
        <v>610</v>
      </c>
      <c r="E262" s="122"/>
      <c r="F262" s="174"/>
      <c r="G262" s="174"/>
      <c r="H262" s="122"/>
      <c r="I262" s="122"/>
      <c r="J262" s="170"/>
      <c r="K262" s="170"/>
    </row>
    <row r="263" spans="2:11" ht="14.5" customHeight="1" x14ac:dyDescent="0.2">
      <c r="B263" s="418"/>
      <c r="C263" s="117"/>
      <c r="D263" s="117" t="s">
        <v>611</v>
      </c>
      <c r="E263" s="122"/>
      <c r="F263" s="174"/>
      <c r="G263" s="174"/>
      <c r="H263" s="122"/>
      <c r="I263" s="122"/>
      <c r="J263" s="170"/>
      <c r="K263" s="170"/>
    </row>
    <row r="264" spans="2:11" ht="14.5" customHeight="1" x14ac:dyDescent="0.2">
      <c r="B264" s="418"/>
      <c r="C264" s="117"/>
      <c r="D264" s="117" t="s">
        <v>850</v>
      </c>
      <c r="E264" s="122"/>
      <c r="F264" s="174"/>
      <c r="G264" s="174"/>
      <c r="H264" s="122"/>
      <c r="I264" s="122"/>
      <c r="J264" s="170"/>
      <c r="K264" s="170"/>
    </row>
    <row r="265" spans="2:11" ht="14.5" customHeight="1" x14ac:dyDescent="0.2">
      <c r="B265" s="418"/>
      <c r="C265" s="119"/>
      <c r="D265" s="119" t="s">
        <v>743</v>
      </c>
      <c r="E265" s="123"/>
      <c r="F265" s="175"/>
      <c r="G265" s="175"/>
      <c r="H265" s="123"/>
      <c r="I265" s="123"/>
      <c r="J265" s="189"/>
      <c r="K265" s="189"/>
    </row>
    <row r="266" spans="2:11" ht="14.5" customHeight="1" x14ac:dyDescent="0.2">
      <c r="B266" s="418"/>
      <c r="C266" s="117"/>
      <c r="D266" s="117" t="s">
        <v>606</v>
      </c>
      <c r="E266" s="122"/>
      <c r="F266" s="174"/>
      <c r="G266" s="174"/>
      <c r="H266" s="122"/>
      <c r="I266" s="122"/>
      <c r="J266" s="170"/>
      <c r="K266" s="170"/>
    </row>
    <row r="267" spans="2:11" ht="14.5" customHeight="1" x14ac:dyDescent="0.2">
      <c r="B267" s="418"/>
      <c r="C267" s="117"/>
      <c r="D267" s="117" t="s">
        <v>901</v>
      </c>
      <c r="E267" s="122"/>
      <c r="F267" s="174"/>
      <c r="G267" s="174"/>
      <c r="H267" s="122"/>
      <c r="I267" s="122"/>
      <c r="J267" s="170"/>
      <c r="K267" s="170"/>
    </row>
    <row r="268" spans="2:11" ht="14.5" customHeight="1" x14ac:dyDescent="0.2">
      <c r="B268" s="418"/>
      <c r="C268" s="117"/>
      <c r="D268" s="117" t="s">
        <v>607</v>
      </c>
      <c r="E268" s="122"/>
      <c r="F268" s="174"/>
      <c r="G268" s="174"/>
      <c r="H268" s="122"/>
      <c r="I268" s="122"/>
      <c r="J268" s="170"/>
      <c r="K268" s="170"/>
    </row>
    <row r="269" spans="2:11" ht="14.5" customHeight="1" x14ac:dyDescent="0.2">
      <c r="B269" s="418"/>
      <c r="C269" s="117"/>
      <c r="D269" s="117" t="s">
        <v>608</v>
      </c>
      <c r="E269" s="122"/>
      <c r="F269" s="174"/>
      <c r="G269" s="174"/>
      <c r="H269" s="122"/>
      <c r="I269" s="122"/>
      <c r="J269" s="170"/>
      <c r="K269" s="170"/>
    </row>
    <row r="270" spans="2:11" ht="14.5" customHeight="1" x14ac:dyDescent="0.2">
      <c r="B270" s="418"/>
      <c r="C270" s="117"/>
      <c r="D270" s="117" t="s">
        <v>640</v>
      </c>
      <c r="E270" s="122"/>
      <c r="F270" s="174"/>
      <c r="G270" s="174"/>
      <c r="H270" s="122"/>
      <c r="I270" s="122"/>
      <c r="J270" s="170"/>
      <c r="K270" s="170"/>
    </row>
    <row r="271" spans="2:11" ht="14.5" customHeight="1" x14ac:dyDescent="0.2">
      <c r="B271" s="418"/>
      <c r="C271" s="117"/>
      <c r="D271" s="117" t="s">
        <v>851</v>
      </c>
      <c r="E271" s="122"/>
      <c r="F271" s="174"/>
      <c r="G271" s="174"/>
      <c r="H271" s="122"/>
      <c r="I271" s="122"/>
      <c r="J271" s="170"/>
      <c r="K271" s="170"/>
    </row>
    <row r="272" spans="2:11" ht="14.5" customHeight="1" x14ac:dyDescent="0.2">
      <c r="B272" s="418"/>
      <c r="C272" s="119"/>
      <c r="D272" s="119" t="s">
        <v>898</v>
      </c>
      <c r="E272" s="123"/>
      <c r="F272" s="175"/>
      <c r="G272" s="175"/>
      <c r="H272" s="123"/>
      <c r="I272" s="123"/>
      <c r="J272" s="189"/>
      <c r="K272" s="189"/>
    </row>
    <row r="273" spans="2:11" ht="14.5" customHeight="1" x14ac:dyDescent="0.2">
      <c r="B273" s="418"/>
      <c r="C273" s="119"/>
      <c r="D273" s="119" t="s">
        <v>897</v>
      </c>
      <c r="E273" s="123"/>
      <c r="F273" s="175"/>
      <c r="G273" s="175"/>
      <c r="H273" s="123"/>
      <c r="I273" s="123"/>
      <c r="J273" s="189"/>
      <c r="K273" s="189"/>
    </row>
    <row r="274" spans="2:11" ht="14.5" customHeight="1" x14ac:dyDescent="0.2">
      <c r="B274" s="419"/>
      <c r="C274" s="127"/>
      <c r="D274" s="127" t="s">
        <v>639</v>
      </c>
      <c r="E274" s="124"/>
      <c r="F274" s="176"/>
      <c r="G274" s="176"/>
      <c r="H274" s="124"/>
      <c r="I274" s="124"/>
      <c r="J274" s="190"/>
      <c r="K274" s="190"/>
    </row>
    <row r="275" spans="2:11" ht="14.5" customHeight="1" x14ac:dyDescent="0.2">
      <c r="B275" s="421" t="s">
        <v>641</v>
      </c>
      <c r="C275" s="117"/>
      <c r="D275" s="117" t="s">
        <v>902</v>
      </c>
      <c r="E275" s="122"/>
      <c r="F275" s="174"/>
      <c r="G275" s="174"/>
      <c r="H275" s="122"/>
      <c r="I275" s="122"/>
      <c r="J275" s="170"/>
      <c r="K275" s="170"/>
    </row>
    <row r="276" spans="2:11" ht="14.5" customHeight="1" x14ac:dyDescent="0.2">
      <c r="B276" s="418"/>
      <c r="C276" s="117"/>
      <c r="D276" s="117" t="s">
        <v>852</v>
      </c>
      <c r="E276" s="122"/>
      <c r="F276" s="174"/>
      <c r="G276" s="174"/>
      <c r="H276" s="122"/>
      <c r="I276" s="122"/>
      <c r="J276" s="170"/>
      <c r="K276" s="170"/>
    </row>
    <row r="277" spans="2:11" ht="14.5" customHeight="1" x14ac:dyDescent="0.2">
      <c r="B277" s="418"/>
      <c r="C277" s="117"/>
      <c r="D277" s="117" t="s">
        <v>853</v>
      </c>
      <c r="E277" s="122"/>
      <c r="F277" s="174"/>
      <c r="G277" s="174"/>
      <c r="H277" s="122"/>
      <c r="I277" s="122"/>
      <c r="J277" s="170"/>
      <c r="K277" s="170"/>
    </row>
    <row r="278" spans="2:11" ht="14.5" customHeight="1" x14ac:dyDescent="0.2">
      <c r="B278" s="418"/>
      <c r="C278" s="117"/>
      <c r="D278" s="117" t="s">
        <v>854</v>
      </c>
      <c r="E278" s="122"/>
      <c r="F278" s="174"/>
      <c r="G278" s="174"/>
      <c r="H278" s="122"/>
      <c r="I278" s="122"/>
      <c r="J278" s="170"/>
      <c r="K278" s="170"/>
    </row>
    <row r="279" spans="2:11" ht="14.5" customHeight="1" x14ac:dyDescent="0.2">
      <c r="B279" s="418"/>
      <c r="C279" s="119"/>
      <c r="D279" s="119" t="s">
        <v>746</v>
      </c>
      <c r="E279" s="123"/>
      <c r="F279" s="175"/>
      <c r="G279" s="175"/>
      <c r="H279" s="123"/>
      <c r="I279" s="123"/>
      <c r="J279" s="189"/>
      <c r="K279" s="189"/>
    </row>
    <row r="280" spans="2:11" ht="14.5" customHeight="1" x14ac:dyDescent="0.2">
      <c r="B280" s="419"/>
      <c r="C280" s="127"/>
      <c r="D280" s="127" t="s">
        <v>642</v>
      </c>
      <c r="E280" s="124"/>
      <c r="F280" s="176"/>
      <c r="G280" s="176"/>
      <c r="H280" s="124"/>
      <c r="I280" s="124"/>
      <c r="J280" s="190"/>
      <c r="K280" s="190"/>
    </row>
    <row r="281" spans="2:11" ht="14.5" customHeight="1" x14ac:dyDescent="0.2">
      <c r="B281" s="127"/>
      <c r="C281" s="127"/>
      <c r="D281" s="127" t="s">
        <v>643</v>
      </c>
      <c r="E281" s="124"/>
      <c r="F281" s="176"/>
      <c r="G281" s="176"/>
      <c r="H281" s="124"/>
      <c r="I281" s="124"/>
      <c r="J281" s="190"/>
      <c r="K281" s="190"/>
    </row>
    <row r="282" spans="2:11" ht="14.5" customHeight="1" x14ac:dyDescent="0.2">
      <c r="B282" s="421" t="s">
        <v>644</v>
      </c>
      <c r="C282" s="117"/>
      <c r="D282" s="117" t="s">
        <v>646</v>
      </c>
      <c r="E282" s="122"/>
      <c r="F282" s="174"/>
      <c r="G282" s="174"/>
      <c r="H282" s="122"/>
      <c r="I282" s="122"/>
      <c r="J282" s="170"/>
      <c r="K282" s="170"/>
    </row>
    <row r="283" spans="2:11" ht="14.5" customHeight="1" x14ac:dyDescent="0.2">
      <c r="B283" s="418"/>
      <c r="C283" s="117"/>
      <c r="D283" s="117" t="s">
        <v>791</v>
      </c>
      <c r="E283" s="122"/>
      <c r="F283" s="174"/>
      <c r="G283" s="174"/>
      <c r="H283" s="122"/>
      <c r="I283" s="122"/>
      <c r="J283" s="170"/>
      <c r="K283" s="170"/>
    </row>
    <row r="284" spans="2:11" ht="14.5" customHeight="1" x14ac:dyDescent="0.2">
      <c r="B284" s="418"/>
      <c r="C284" s="117"/>
      <c r="D284" s="117" t="s">
        <v>647</v>
      </c>
      <c r="E284" s="122"/>
      <c r="F284" s="174"/>
      <c r="G284" s="174"/>
      <c r="H284" s="122"/>
      <c r="I284" s="122"/>
      <c r="J284" s="170"/>
      <c r="K284" s="170"/>
    </row>
    <row r="285" spans="2:11" ht="14.5" customHeight="1" x14ac:dyDescent="0.2">
      <c r="B285" s="418"/>
      <c r="C285" s="117"/>
      <c r="D285" s="117" t="s">
        <v>857</v>
      </c>
      <c r="E285" s="122"/>
      <c r="F285" s="174"/>
      <c r="G285" s="174"/>
      <c r="H285" s="122"/>
      <c r="I285" s="122"/>
      <c r="J285" s="170"/>
      <c r="K285" s="170"/>
    </row>
    <row r="286" spans="2:11" ht="14.5" customHeight="1" x14ac:dyDescent="0.2">
      <c r="B286" s="418"/>
      <c r="C286" s="117"/>
      <c r="D286" s="117" t="s">
        <v>648</v>
      </c>
      <c r="E286" s="122"/>
      <c r="F286" s="174"/>
      <c r="G286" s="174"/>
      <c r="H286" s="122"/>
      <c r="I286" s="122"/>
      <c r="J286" s="170"/>
      <c r="K286" s="170"/>
    </row>
    <row r="287" spans="2:11" ht="14.5" customHeight="1" x14ac:dyDescent="0.2">
      <c r="B287" s="418"/>
      <c r="C287" s="119"/>
      <c r="D287" s="119" t="s">
        <v>747</v>
      </c>
      <c r="E287" s="123"/>
      <c r="F287" s="175"/>
      <c r="G287" s="175"/>
      <c r="H287" s="123"/>
      <c r="I287" s="123"/>
      <c r="J287" s="189"/>
      <c r="K287" s="189"/>
    </row>
    <row r="288" spans="2:11" ht="14.5" customHeight="1" x14ac:dyDescent="0.2">
      <c r="B288" s="419"/>
      <c r="C288" s="127"/>
      <c r="D288" s="127" t="s">
        <v>645</v>
      </c>
      <c r="E288" s="124"/>
      <c r="F288" s="176"/>
      <c r="G288" s="176"/>
      <c r="H288" s="124"/>
      <c r="I288" s="124"/>
      <c r="J288" s="190"/>
      <c r="K288" s="190"/>
    </row>
    <row r="289" spans="2:11" ht="14.5" customHeight="1" x14ac:dyDescent="0.2">
      <c r="B289" s="421" t="s">
        <v>858</v>
      </c>
      <c r="C289" s="117"/>
      <c r="D289" s="117" t="s">
        <v>855</v>
      </c>
      <c r="E289" s="122"/>
      <c r="F289" s="174"/>
      <c r="G289" s="174"/>
      <c r="H289" s="122"/>
      <c r="I289" s="122"/>
      <c r="J289" s="170"/>
      <c r="K289" s="170"/>
    </row>
    <row r="290" spans="2:11" ht="14.5" customHeight="1" x14ac:dyDescent="0.2">
      <c r="B290" s="418"/>
      <c r="C290" s="117"/>
      <c r="D290" s="117" t="s">
        <v>856</v>
      </c>
      <c r="E290" s="122"/>
      <c r="F290" s="174"/>
      <c r="G290" s="174"/>
      <c r="H290" s="122"/>
      <c r="I290" s="122"/>
      <c r="J290" s="170"/>
      <c r="K290" s="170"/>
    </row>
    <row r="291" spans="2:11" ht="14.5" customHeight="1" x14ac:dyDescent="0.2">
      <c r="B291" s="418"/>
      <c r="C291" s="119"/>
      <c r="D291" s="119" t="s">
        <v>899</v>
      </c>
      <c r="E291" s="123"/>
      <c r="F291" s="175"/>
      <c r="G291" s="175"/>
      <c r="H291" s="123"/>
      <c r="I291" s="123"/>
      <c r="J291" s="189"/>
      <c r="K291" s="189"/>
    </row>
    <row r="292" spans="2:11" ht="14.5" customHeight="1" x14ac:dyDescent="0.2">
      <c r="B292" s="419"/>
      <c r="C292" s="127"/>
      <c r="D292" s="127" t="s">
        <v>860</v>
      </c>
      <c r="E292" s="124"/>
      <c r="F292" s="176"/>
      <c r="G292" s="176"/>
      <c r="H292" s="124"/>
      <c r="I292" s="124"/>
      <c r="J292" s="190"/>
      <c r="K292" s="190"/>
    </row>
    <row r="293" spans="2:11" ht="14.5" customHeight="1" x14ac:dyDescent="0.2">
      <c r="B293" s="421" t="s">
        <v>649</v>
      </c>
      <c r="C293" s="117"/>
      <c r="D293" s="117" t="s">
        <v>650</v>
      </c>
      <c r="E293" s="122"/>
      <c r="F293" s="174"/>
      <c r="G293" s="174"/>
      <c r="H293" s="122"/>
      <c r="I293" s="122"/>
      <c r="J293" s="170"/>
      <c r="K293" s="170"/>
    </row>
    <row r="294" spans="2:11" ht="14.5" customHeight="1" x14ac:dyDescent="0.2">
      <c r="B294" s="418"/>
      <c r="C294" s="117"/>
      <c r="D294" s="117" t="s">
        <v>861</v>
      </c>
      <c r="E294" s="122"/>
      <c r="F294" s="174"/>
      <c r="G294" s="174"/>
      <c r="H294" s="122"/>
      <c r="I294" s="122"/>
      <c r="J294" s="170"/>
      <c r="K294" s="170"/>
    </row>
    <row r="295" spans="2:11" ht="14.5" customHeight="1" x14ac:dyDescent="0.2">
      <c r="B295" s="418"/>
      <c r="C295" s="117"/>
      <c r="D295" s="117" t="s">
        <v>651</v>
      </c>
      <c r="E295" s="122"/>
      <c r="F295" s="174"/>
      <c r="G295" s="174"/>
      <c r="H295" s="122"/>
      <c r="I295" s="122"/>
      <c r="J295" s="170"/>
      <c r="K295" s="170"/>
    </row>
    <row r="296" spans="2:11" ht="14.5" customHeight="1" x14ac:dyDescent="0.2">
      <c r="B296" s="418"/>
      <c r="C296" s="117"/>
      <c r="D296" s="117" t="s">
        <v>652</v>
      </c>
      <c r="E296" s="122"/>
      <c r="F296" s="174"/>
      <c r="G296" s="174"/>
      <c r="H296" s="122"/>
      <c r="I296" s="122"/>
      <c r="J296" s="170"/>
      <c r="K296" s="170"/>
    </row>
    <row r="297" spans="2:11" ht="14.5" customHeight="1" x14ac:dyDescent="0.2">
      <c r="B297" s="418"/>
      <c r="C297" s="117"/>
      <c r="D297" s="117" t="s">
        <v>653</v>
      </c>
      <c r="E297" s="122"/>
      <c r="F297" s="174"/>
      <c r="G297" s="174"/>
      <c r="H297" s="122"/>
      <c r="I297" s="122"/>
      <c r="J297" s="170"/>
      <c r="K297" s="170"/>
    </row>
    <row r="298" spans="2:11" ht="14.5" customHeight="1" x14ac:dyDescent="0.2">
      <c r="B298" s="418"/>
      <c r="C298" s="119"/>
      <c r="D298" s="119" t="s">
        <v>754</v>
      </c>
      <c r="E298" s="123"/>
      <c r="F298" s="175"/>
      <c r="G298" s="175"/>
      <c r="H298" s="123"/>
      <c r="I298" s="123"/>
      <c r="J298" s="189"/>
      <c r="K298" s="189"/>
    </row>
    <row r="299" spans="2:11" ht="14.5" customHeight="1" x14ac:dyDescent="0.2">
      <c r="B299" s="419"/>
      <c r="C299" s="127"/>
      <c r="D299" s="127" t="s">
        <v>654</v>
      </c>
      <c r="E299" s="124"/>
      <c r="F299" s="176"/>
      <c r="G299" s="176"/>
      <c r="H299" s="124"/>
      <c r="I299" s="124"/>
      <c r="J299" s="190"/>
      <c r="K299" s="190"/>
    </row>
    <row r="300" spans="2:11" ht="14.5" customHeight="1" x14ac:dyDescent="0.2">
      <c r="B300" s="421" t="s">
        <v>655</v>
      </c>
      <c r="C300" s="117"/>
      <c r="D300" s="117" t="s">
        <v>792</v>
      </c>
      <c r="E300" s="122"/>
      <c r="F300" s="174"/>
      <c r="G300" s="174"/>
      <c r="H300" s="122"/>
      <c r="I300" s="122"/>
      <c r="J300" s="170"/>
      <c r="K300" s="170"/>
    </row>
    <row r="301" spans="2:11" ht="14.5" customHeight="1" x14ac:dyDescent="0.2">
      <c r="B301" s="418"/>
      <c r="C301" s="117"/>
      <c r="D301" s="117" t="s">
        <v>657</v>
      </c>
      <c r="E301" s="122"/>
      <c r="F301" s="174"/>
      <c r="G301" s="174"/>
      <c r="H301" s="122"/>
      <c r="I301" s="122"/>
      <c r="J301" s="170"/>
      <c r="K301" s="170"/>
    </row>
    <row r="302" spans="2:11" ht="14.5" customHeight="1" x14ac:dyDescent="0.2">
      <c r="B302" s="418"/>
      <c r="C302" s="117"/>
      <c r="D302" s="117" t="s">
        <v>793</v>
      </c>
      <c r="E302" s="122"/>
      <c r="F302" s="174"/>
      <c r="G302" s="174"/>
      <c r="H302" s="122"/>
      <c r="I302" s="122"/>
      <c r="J302" s="170"/>
      <c r="K302" s="170"/>
    </row>
    <row r="303" spans="2:11" ht="14.5" customHeight="1" x14ac:dyDescent="0.2">
      <c r="B303" s="418"/>
      <c r="C303" s="117"/>
      <c r="D303" s="117" t="s">
        <v>862</v>
      </c>
      <c r="E303" s="122"/>
      <c r="F303" s="174"/>
      <c r="G303" s="174"/>
      <c r="H303" s="122"/>
      <c r="I303" s="122"/>
      <c r="J303" s="170"/>
      <c r="K303" s="170"/>
    </row>
    <row r="304" spans="2:11" ht="14.5" customHeight="1" x14ac:dyDescent="0.2">
      <c r="B304" s="418"/>
      <c r="C304" s="117"/>
      <c r="D304" s="117" t="s">
        <v>809</v>
      </c>
      <c r="E304" s="122"/>
      <c r="F304" s="174"/>
      <c r="G304" s="174"/>
      <c r="H304" s="122"/>
      <c r="I304" s="122"/>
      <c r="J304" s="170"/>
      <c r="K304" s="170"/>
    </row>
    <row r="305" spans="2:11" ht="14.5" customHeight="1" x14ac:dyDescent="0.2">
      <c r="B305" s="418"/>
      <c r="C305" s="117"/>
      <c r="D305" s="117" t="s">
        <v>794</v>
      </c>
      <c r="E305" s="122"/>
      <c r="F305" s="174"/>
      <c r="G305" s="174"/>
      <c r="H305" s="122"/>
      <c r="I305" s="122"/>
      <c r="J305" s="170"/>
      <c r="K305" s="170"/>
    </row>
    <row r="306" spans="2:11" ht="14.5" customHeight="1" x14ac:dyDescent="0.2">
      <c r="B306" s="418"/>
      <c r="C306" s="119"/>
      <c r="D306" s="119" t="s">
        <v>752</v>
      </c>
      <c r="E306" s="123"/>
      <c r="F306" s="175"/>
      <c r="G306" s="175"/>
      <c r="H306" s="123"/>
      <c r="I306" s="123"/>
      <c r="J306" s="189"/>
      <c r="K306" s="189"/>
    </row>
    <row r="307" spans="2:11" ht="14.5" customHeight="1" x14ac:dyDescent="0.2">
      <c r="B307" s="419"/>
      <c r="C307" s="127"/>
      <c r="D307" s="127" t="s">
        <v>656</v>
      </c>
      <c r="E307" s="124"/>
      <c r="F307" s="176"/>
      <c r="G307" s="176"/>
      <c r="H307" s="124"/>
      <c r="I307" s="124"/>
      <c r="J307" s="190"/>
      <c r="K307" s="190"/>
    </row>
    <row r="308" spans="2:11" ht="14.5" customHeight="1" x14ac:dyDescent="0.2">
      <c r="B308" s="418" t="s">
        <v>658</v>
      </c>
      <c r="C308" s="117"/>
      <c r="D308" s="117" t="s">
        <v>660</v>
      </c>
      <c r="E308" s="122"/>
      <c r="F308" s="174"/>
      <c r="G308" s="174"/>
      <c r="H308" s="122"/>
      <c r="I308" s="122"/>
      <c r="J308" s="170"/>
      <c r="K308" s="170"/>
    </row>
    <row r="309" spans="2:11" ht="14.5" customHeight="1" x14ac:dyDescent="0.2">
      <c r="B309" s="418"/>
      <c r="C309" s="117"/>
      <c r="D309" s="117" t="s">
        <v>795</v>
      </c>
      <c r="E309" s="122"/>
      <c r="F309" s="174"/>
      <c r="G309" s="174"/>
      <c r="H309" s="122"/>
      <c r="I309" s="122"/>
      <c r="J309" s="170"/>
      <c r="K309" s="170"/>
    </row>
    <row r="310" spans="2:11" ht="14.5" customHeight="1" x14ac:dyDescent="0.2">
      <c r="B310" s="418"/>
      <c r="C310" s="117"/>
      <c r="D310" s="117" t="s">
        <v>661</v>
      </c>
      <c r="E310" s="122"/>
      <c r="F310" s="174"/>
      <c r="G310" s="174"/>
      <c r="H310" s="122"/>
      <c r="I310" s="122"/>
      <c r="J310" s="170"/>
      <c r="K310" s="170"/>
    </row>
    <row r="311" spans="2:11" ht="14.5" customHeight="1" x14ac:dyDescent="0.2">
      <c r="B311" s="418"/>
      <c r="C311" s="117"/>
      <c r="D311" s="117" t="s">
        <v>662</v>
      </c>
      <c r="E311" s="122"/>
      <c r="F311" s="174"/>
      <c r="G311" s="174"/>
      <c r="H311" s="122"/>
      <c r="I311" s="122"/>
      <c r="J311" s="170"/>
      <c r="K311" s="170"/>
    </row>
    <row r="312" spans="2:11" ht="14.5" customHeight="1" x14ac:dyDescent="0.2">
      <c r="B312" s="418"/>
      <c r="C312" s="119"/>
      <c r="D312" s="119" t="s">
        <v>759</v>
      </c>
      <c r="E312" s="123"/>
      <c r="F312" s="175"/>
      <c r="G312" s="175"/>
      <c r="H312" s="123"/>
      <c r="I312" s="123"/>
      <c r="J312" s="189"/>
      <c r="K312" s="189"/>
    </row>
    <row r="313" spans="2:11" ht="14.5" customHeight="1" x14ac:dyDescent="0.2">
      <c r="B313" s="419"/>
      <c r="C313" s="127"/>
      <c r="D313" s="127" t="s">
        <v>659</v>
      </c>
      <c r="E313" s="124"/>
      <c r="F313" s="176"/>
      <c r="G313" s="176"/>
      <c r="H313" s="124"/>
      <c r="I313" s="124"/>
      <c r="J313" s="190"/>
      <c r="K313" s="190"/>
    </row>
    <row r="314" spans="2:11" ht="14.5" customHeight="1" x14ac:dyDescent="0.2">
      <c r="B314" s="127"/>
      <c r="C314" s="127"/>
      <c r="D314" s="127" t="s">
        <v>863</v>
      </c>
      <c r="E314" s="124"/>
      <c r="F314" s="176"/>
      <c r="G314" s="176"/>
      <c r="H314" s="124"/>
      <c r="I314" s="124"/>
      <c r="J314" s="190"/>
      <c r="K314" s="190"/>
    </row>
    <row r="315" spans="2:11" ht="14.5" customHeight="1" x14ac:dyDescent="0.2">
      <c r="B315" s="127"/>
      <c r="C315" s="127"/>
      <c r="D315" s="127" t="s">
        <v>55</v>
      </c>
      <c r="E315" s="124"/>
      <c r="F315" s="176"/>
      <c r="G315" s="176"/>
      <c r="H315" s="124"/>
      <c r="I315" s="124"/>
      <c r="J315" s="190"/>
      <c r="K315" s="190"/>
    </row>
    <row r="316" spans="2:11" ht="14.5" customHeight="1" x14ac:dyDescent="0.2"/>
    <row r="317" spans="2:11" ht="14.5" customHeight="1" x14ac:dyDescent="0.2"/>
    <row r="318" spans="2:11" ht="14.5" customHeight="1" x14ac:dyDescent="0.2"/>
    <row r="319" spans="2:11" ht="14.5" customHeight="1" x14ac:dyDescent="0.2"/>
    <row r="320" spans="2:11" ht="14.5" customHeight="1" x14ac:dyDescent="0.2">
      <c r="B320" s="4" t="s">
        <v>886</v>
      </c>
      <c r="C320" s="5"/>
      <c r="D320" s="5"/>
      <c r="E320" s="33"/>
      <c r="F320" s="33"/>
      <c r="G320" s="34"/>
    </row>
    <row r="321" spans="2:11" ht="14.5" customHeight="1" x14ac:dyDescent="0.2">
      <c r="B321" s="8"/>
      <c r="C321" s="8"/>
      <c r="D321" s="8"/>
      <c r="E321" s="35"/>
      <c r="F321" s="35"/>
      <c r="G321" s="34"/>
    </row>
    <row r="322" spans="2:11" ht="14.5" customHeight="1" x14ac:dyDescent="0.2">
      <c r="B322" s="388" t="s">
        <v>0</v>
      </c>
      <c r="C322" s="388" t="s">
        <v>270</v>
      </c>
      <c r="D322" s="388" t="s">
        <v>2</v>
      </c>
      <c r="E322" s="385" t="s">
        <v>445</v>
      </c>
      <c r="F322" s="385"/>
      <c r="G322" s="417" t="s">
        <v>56</v>
      </c>
      <c r="H322" s="394" t="s">
        <v>3</v>
      </c>
      <c r="I322" s="398" t="s">
        <v>446</v>
      </c>
      <c r="J322" s="398" t="s">
        <v>8</v>
      </c>
      <c r="K322" s="398" t="s">
        <v>75</v>
      </c>
    </row>
    <row r="323" spans="2:11" ht="14.5" customHeight="1" x14ac:dyDescent="0.2">
      <c r="B323" s="388"/>
      <c r="C323" s="388"/>
      <c r="D323" s="388"/>
      <c r="E323" s="36" t="s">
        <v>77</v>
      </c>
      <c r="F323" s="54" t="s">
        <v>58</v>
      </c>
      <c r="G323" s="417"/>
      <c r="H323" s="394"/>
      <c r="I323" s="398"/>
      <c r="J323" s="398"/>
      <c r="K323" s="398"/>
    </row>
    <row r="324" spans="2:11" ht="14.5" customHeight="1" x14ac:dyDescent="0.2">
      <c r="B324" s="418" t="s">
        <v>865</v>
      </c>
      <c r="C324" s="117"/>
      <c r="D324" s="117" t="s">
        <v>868</v>
      </c>
      <c r="E324" s="122"/>
      <c r="F324" s="174"/>
      <c r="G324" s="174"/>
      <c r="H324" s="122"/>
      <c r="I324" s="122"/>
      <c r="J324" s="170"/>
      <c r="K324" s="170"/>
    </row>
    <row r="325" spans="2:11" ht="14.5" customHeight="1" x14ac:dyDescent="0.2">
      <c r="B325" s="418"/>
      <c r="C325" s="117"/>
      <c r="D325" s="117" t="s">
        <v>869</v>
      </c>
      <c r="E325" s="122"/>
      <c r="F325" s="174"/>
      <c r="G325" s="174"/>
      <c r="H325" s="122"/>
      <c r="I325" s="122"/>
      <c r="J325" s="170"/>
      <c r="K325" s="170"/>
    </row>
    <row r="326" spans="2:11" ht="14.5" customHeight="1" x14ac:dyDescent="0.2">
      <c r="B326" s="418"/>
      <c r="C326" s="117"/>
      <c r="D326" s="117" t="s">
        <v>870</v>
      </c>
      <c r="E326" s="122"/>
      <c r="F326" s="174"/>
      <c r="G326" s="174"/>
      <c r="H326" s="122"/>
      <c r="I326" s="122"/>
      <c r="J326" s="170"/>
      <c r="K326" s="170"/>
    </row>
    <row r="327" spans="2:11" ht="14.5" customHeight="1" x14ac:dyDescent="0.2">
      <c r="B327" s="418"/>
      <c r="C327" s="117"/>
      <c r="D327" s="117" t="s">
        <v>871</v>
      </c>
      <c r="E327" s="122"/>
      <c r="F327" s="174"/>
      <c r="G327" s="174"/>
      <c r="H327" s="122"/>
      <c r="I327" s="122"/>
      <c r="J327" s="170"/>
      <c r="K327" s="170"/>
    </row>
    <row r="328" spans="2:11" ht="14.5" customHeight="1" x14ac:dyDescent="0.2">
      <c r="B328" s="418"/>
      <c r="C328" s="117"/>
      <c r="D328" s="117" t="s">
        <v>872</v>
      </c>
      <c r="E328" s="122"/>
      <c r="F328" s="174"/>
      <c r="G328" s="174"/>
      <c r="H328" s="122"/>
      <c r="I328" s="122"/>
      <c r="J328" s="170"/>
      <c r="K328" s="170"/>
    </row>
    <row r="329" spans="2:11" ht="14.5" customHeight="1" x14ac:dyDescent="0.2">
      <c r="B329" s="418"/>
      <c r="C329" s="117"/>
      <c r="D329" s="117" t="s">
        <v>873</v>
      </c>
      <c r="E329" s="122"/>
      <c r="F329" s="174"/>
      <c r="G329" s="174"/>
      <c r="H329" s="122"/>
      <c r="I329" s="122"/>
      <c r="J329" s="170"/>
      <c r="K329" s="170"/>
    </row>
    <row r="330" spans="2:11" ht="14.5" customHeight="1" x14ac:dyDescent="0.2">
      <c r="B330" s="418"/>
      <c r="C330" s="117"/>
      <c r="D330" s="117" t="s">
        <v>874</v>
      </c>
      <c r="E330" s="122"/>
      <c r="F330" s="174"/>
      <c r="G330" s="174"/>
      <c r="H330" s="122"/>
      <c r="I330" s="122"/>
      <c r="J330" s="170"/>
      <c r="K330" s="170"/>
    </row>
    <row r="331" spans="2:11" ht="14.5" customHeight="1" x14ac:dyDescent="0.2">
      <c r="B331" s="418"/>
      <c r="C331" s="117"/>
      <c r="D331" s="117" t="s">
        <v>875</v>
      </c>
      <c r="E331" s="122"/>
      <c r="F331" s="174"/>
      <c r="G331" s="174"/>
      <c r="H331" s="122"/>
      <c r="I331" s="122"/>
      <c r="J331" s="170"/>
      <c r="K331" s="170"/>
    </row>
    <row r="332" spans="2:11" ht="14.5" customHeight="1" x14ac:dyDescent="0.2">
      <c r="B332" s="418"/>
      <c r="C332" s="117"/>
      <c r="D332" s="117" t="s">
        <v>876</v>
      </c>
      <c r="E332" s="122"/>
      <c r="F332" s="174"/>
      <c r="G332" s="174"/>
      <c r="H332" s="122"/>
      <c r="I332" s="122"/>
      <c r="J332" s="170"/>
      <c r="K332" s="170"/>
    </row>
    <row r="333" spans="2:11" ht="14.5" customHeight="1" x14ac:dyDescent="0.2">
      <c r="B333" s="418"/>
      <c r="C333" s="117"/>
      <c r="D333" s="117" t="s">
        <v>877</v>
      </c>
      <c r="E333" s="122"/>
      <c r="F333" s="174"/>
      <c r="G333" s="174"/>
      <c r="H333" s="122"/>
      <c r="I333" s="122"/>
      <c r="J333" s="170"/>
      <c r="K333" s="170"/>
    </row>
    <row r="334" spans="2:11" ht="14.5" customHeight="1" x14ac:dyDescent="0.2">
      <c r="B334" s="418"/>
      <c r="C334" s="119"/>
      <c r="D334" s="119" t="s">
        <v>892</v>
      </c>
      <c r="E334" s="123"/>
      <c r="F334" s="175"/>
      <c r="G334" s="175"/>
      <c r="H334" s="123"/>
      <c r="I334" s="123"/>
      <c r="J334" s="189"/>
      <c r="K334" s="189"/>
    </row>
    <row r="335" spans="2:11" ht="14.5" customHeight="1" x14ac:dyDescent="0.2">
      <c r="B335" s="418"/>
      <c r="C335" s="119"/>
      <c r="D335" s="119" t="s">
        <v>74</v>
      </c>
      <c r="E335" s="123"/>
      <c r="F335" s="175"/>
      <c r="G335" s="175"/>
      <c r="H335" s="123"/>
      <c r="I335" s="123"/>
      <c r="J335" s="189"/>
      <c r="K335" s="189"/>
    </row>
    <row r="336" spans="2:11" ht="14.5" customHeight="1" x14ac:dyDescent="0.2">
      <c r="B336" s="419"/>
      <c r="C336" s="127"/>
      <c r="D336" s="127" t="s">
        <v>866</v>
      </c>
      <c r="E336" s="124"/>
      <c r="F336" s="176"/>
      <c r="G336" s="176"/>
      <c r="H336" s="124"/>
      <c r="I336" s="124"/>
      <c r="J336" s="190"/>
      <c r="K336" s="190"/>
    </row>
    <row r="337" spans="2:11" ht="14.5" customHeight="1" x14ac:dyDescent="0.2">
      <c r="B337" s="127"/>
      <c r="C337" s="127"/>
      <c r="D337" s="127" t="s">
        <v>867</v>
      </c>
      <c r="E337" s="124"/>
      <c r="F337" s="176"/>
      <c r="G337" s="176"/>
      <c r="H337" s="124"/>
      <c r="I337" s="124"/>
      <c r="J337" s="190"/>
      <c r="K337" s="190"/>
    </row>
    <row r="338" spans="2:11" ht="14.5" customHeight="1" x14ac:dyDescent="0.2"/>
    <row r="339" spans="2:11" s="45" customFormat="1" ht="14.5" customHeight="1" x14ac:dyDescent="0.2">
      <c r="E339" s="46"/>
      <c r="F339" s="46"/>
      <c r="G339" s="228" t="s">
        <v>78</v>
      </c>
      <c r="H339" s="48"/>
      <c r="I339" s="128">
        <f>'Pencapaian Sales Value'!I340</f>
        <v>18617500</v>
      </c>
      <c r="J339" s="46"/>
      <c r="K339" s="46"/>
    </row>
    <row r="340" spans="2:11" s="45" customFormat="1" ht="14.5" customHeight="1" x14ac:dyDescent="0.2">
      <c r="E340" s="46"/>
      <c r="F340" s="46"/>
      <c r="G340" s="228" t="s">
        <v>80</v>
      </c>
      <c r="H340" s="48"/>
      <c r="I340" s="128">
        <f>'Pencapaian Product Focus'!N340</f>
        <v>5062000</v>
      </c>
      <c r="J340" s="46"/>
      <c r="K340" s="46"/>
    </row>
    <row r="341" spans="2:11" s="45" customFormat="1" ht="14.5" customHeight="1" x14ac:dyDescent="0.2">
      <c r="E341" s="46"/>
      <c r="F341" s="46"/>
      <c r="G341" s="228" t="s">
        <v>138</v>
      </c>
      <c r="H341" s="48"/>
      <c r="I341" s="128">
        <f>'Pencapaian Effective Call'!I341</f>
        <v>4324500</v>
      </c>
      <c r="J341" s="46"/>
      <c r="K341" s="46"/>
    </row>
    <row r="342" spans="2:11" s="45" customFormat="1" ht="14.5" customHeight="1" x14ac:dyDescent="0.2">
      <c r="E342" s="46"/>
      <c r="F342" s="46"/>
      <c r="G342" s="228" t="s">
        <v>153</v>
      </c>
      <c r="H342" s="48"/>
      <c r="I342" s="128">
        <f>'Pencapaian New Open Outlet'!I342</f>
        <v>1949250</v>
      </c>
      <c r="J342" s="46"/>
      <c r="K342" s="46"/>
    </row>
    <row r="343" spans="2:11" s="45" customFormat="1" ht="14.5" customHeight="1" x14ac:dyDescent="0.2">
      <c r="E343" s="46"/>
      <c r="F343" s="46"/>
      <c r="G343" s="228" t="s">
        <v>79</v>
      </c>
      <c r="H343" s="48"/>
      <c r="I343" s="128">
        <f>'Pencapaian Active Outlet'!I343</f>
        <v>7007500</v>
      </c>
      <c r="J343" s="46"/>
      <c r="K343" s="46"/>
    </row>
    <row r="344" spans="2:11" s="45" customFormat="1" ht="14.5" customHeight="1" x14ac:dyDescent="0.2">
      <c r="E344" s="46"/>
      <c r="F344" s="46"/>
      <c r="G344" s="228" t="s">
        <v>136</v>
      </c>
      <c r="H344" s="48"/>
      <c r="I344" s="128">
        <f>'Pencapaian Item per Outlet'!I344</f>
        <v>1646000</v>
      </c>
      <c r="J344" s="46"/>
      <c r="K344" s="46"/>
    </row>
    <row r="345" spans="2:11" s="45" customFormat="1" ht="14.5" customHeight="1" x14ac:dyDescent="0.2">
      <c r="E345" s="46"/>
      <c r="F345" s="46"/>
      <c r="G345" s="228" t="s">
        <v>414</v>
      </c>
      <c r="I345" s="128">
        <f>'Pencapaian Product Display'!I345</f>
        <v>40000</v>
      </c>
      <c r="J345" s="46"/>
      <c r="K345" s="46"/>
    </row>
    <row r="346" spans="2:11" s="45" customFormat="1" ht="14.5" customHeight="1" x14ac:dyDescent="0.2">
      <c r="E346" s="46"/>
      <c r="F346" s="46"/>
      <c r="G346" s="228" t="s">
        <v>415</v>
      </c>
      <c r="I346" s="128">
        <f>'Pencapaian Sales Contract'!I346</f>
        <v>0</v>
      </c>
      <c r="J346" s="46"/>
      <c r="K346" s="46"/>
    </row>
    <row r="347" spans="2:11" ht="14.5" customHeight="1" x14ac:dyDescent="0.2">
      <c r="G347" s="228" t="s">
        <v>416</v>
      </c>
      <c r="H347" s="45"/>
      <c r="I347" s="128">
        <f>'Pencapaian Co-Branding'!I347</f>
        <v>0</v>
      </c>
      <c r="J347" s="46"/>
      <c r="K347" s="46"/>
    </row>
    <row r="348" spans="2:11" ht="14.5" customHeight="1" x14ac:dyDescent="0.2">
      <c r="G348" s="228" t="s">
        <v>417</v>
      </c>
      <c r="H348" s="45"/>
      <c r="I348" s="128">
        <f>SUM(I315,I147,I95,I77,I40,I337)</f>
        <v>50000</v>
      </c>
      <c r="J348" s="46"/>
      <c r="K348" s="46"/>
    </row>
    <row r="349" spans="2:11" ht="14.5" customHeight="1" x14ac:dyDescent="0.2">
      <c r="G349" s="228" t="s">
        <v>418</v>
      </c>
      <c r="H349" s="45"/>
      <c r="I349" s="128">
        <f>'Pencapaian Loading &amp; Drop Point'!J164</f>
        <v>220000</v>
      </c>
      <c r="J349" s="46"/>
      <c r="K349" s="46"/>
    </row>
    <row r="350" spans="2:11" ht="14.5" customHeight="1" x14ac:dyDescent="0.2">
      <c r="G350" s="47"/>
      <c r="I350" s="229"/>
      <c r="J350" s="46"/>
      <c r="K350" s="46"/>
    </row>
    <row r="351" spans="2:11" ht="14.5" customHeight="1" x14ac:dyDescent="0.2">
      <c r="G351" s="50" t="s">
        <v>62</v>
      </c>
      <c r="I351" s="235">
        <f>SUM(I339:I349)</f>
        <v>38916750</v>
      </c>
    </row>
    <row r="352" spans="2:11" ht="14.5" customHeight="1" x14ac:dyDescent="0.2"/>
    <row r="353" ht="14.5" customHeight="1" x14ac:dyDescent="0.2"/>
    <row r="354" ht="14.5" customHeight="1" x14ac:dyDescent="0.2"/>
    <row r="355" ht="14.5" customHeight="1" x14ac:dyDescent="0.2"/>
    <row r="356" ht="14.5" customHeight="1" x14ac:dyDescent="0.2"/>
    <row r="357" ht="14.5" customHeight="1" x14ac:dyDescent="0.2"/>
    <row r="358" ht="14.5" customHeight="1" x14ac:dyDescent="0.2"/>
    <row r="359" ht="14.5" customHeight="1" x14ac:dyDescent="0.2"/>
    <row r="360" ht="14.5" customHeight="1" x14ac:dyDescent="0.2"/>
  </sheetData>
  <mergeCells count="86">
    <mergeCell ref="K155:K156"/>
    <mergeCell ref="H155:H156"/>
    <mergeCell ref="I155:I156"/>
    <mergeCell ref="C155:C156"/>
    <mergeCell ref="D155:D156"/>
    <mergeCell ref="E155:F155"/>
    <mergeCell ref="G155:G156"/>
    <mergeCell ref="J155:J156"/>
    <mergeCell ref="H103:H104"/>
    <mergeCell ref="I103:I104"/>
    <mergeCell ref="J103:J104"/>
    <mergeCell ref="K103:K104"/>
    <mergeCell ref="B105:B109"/>
    <mergeCell ref="B110:B115"/>
    <mergeCell ref="I85:I86"/>
    <mergeCell ref="J85:J86"/>
    <mergeCell ref="K85:K86"/>
    <mergeCell ref="B87:B90"/>
    <mergeCell ref="B91:B94"/>
    <mergeCell ref="B103:B104"/>
    <mergeCell ref="C103:C104"/>
    <mergeCell ref="D103:D104"/>
    <mergeCell ref="E103:F103"/>
    <mergeCell ref="G103:G104"/>
    <mergeCell ref="B85:B86"/>
    <mergeCell ref="C85:C86"/>
    <mergeCell ref="D85:D86"/>
    <mergeCell ref="E85:F85"/>
    <mergeCell ref="G85:G86"/>
    <mergeCell ref="H85:H86"/>
    <mergeCell ref="I48:I49"/>
    <mergeCell ref="J48:J49"/>
    <mergeCell ref="K48:K49"/>
    <mergeCell ref="B50:B64"/>
    <mergeCell ref="B65:B71"/>
    <mergeCell ref="B72:B76"/>
    <mergeCell ref="B48:B49"/>
    <mergeCell ref="C48:C49"/>
    <mergeCell ref="D48:D49"/>
    <mergeCell ref="E48:F48"/>
    <mergeCell ref="G48:G49"/>
    <mergeCell ref="H48:H49"/>
    <mergeCell ref="E3:F3"/>
    <mergeCell ref="I3:I4"/>
    <mergeCell ref="J3:J4"/>
    <mergeCell ref="K3:K4"/>
    <mergeCell ref="B5:B28"/>
    <mergeCell ref="G3:G4"/>
    <mergeCell ref="H3:H4"/>
    <mergeCell ref="B35:B39"/>
    <mergeCell ref="B3:B4"/>
    <mergeCell ref="C3:C4"/>
    <mergeCell ref="D3:D4"/>
    <mergeCell ref="B29:B34"/>
    <mergeCell ref="B300:B307"/>
    <mergeCell ref="B308:B313"/>
    <mergeCell ref="B116:B120"/>
    <mergeCell ref="B129:B133"/>
    <mergeCell ref="B155:B156"/>
    <mergeCell ref="B121:B128"/>
    <mergeCell ref="B157:B165"/>
    <mergeCell ref="B166:B181"/>
    <mergeCell ref="B182:B189"/>
    <mergeCell ref="B191:B199"/>
    <mergeCell ref="B200:B215"/>
    <mergeCell ref="B216:B220"/>
    <mergeCell ref="B221:B225"/>
    <mergeCell ref="B227:B242"/>
    <mergeCell ref="B243:B249"/>
    <mergeCell ref="B250:B258"/>
    <mergeCell ref="B260:B274"/>
    <mergeCell ref="B275:B280"/>
    <mergeCell ref="B282:B288"/>
    <mergeCell ref="B293:B299"/>
    <mergeCell ref="B134:B146"/>
    <mergeCell ref="B289:B292"/>
    <mergeCell ref="H322:H323"/>
    <mergeCell ref="I322:I323"/>
    <mergeCell ref="J322:J323"/>
    <mergeCell ref="K322:K323"/>
    <mergeCell ref="B324:B336"/>
    <mergeCell ref="B322:B323"/>
    <mergeCell ref="C322:C323"/>
    <mergeCell ref="D322:D323"/>
    <mergeCell ref="E322:F322"/>
    <mergeCell ref="G322:G3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D809-A68F-4AA4-9AEE-EA9DEA51C4D2}">
  <dimension ref="B1:L167"/>
  <sheetViews>
    <sheetView showGridLines="0" zoomScale="70" zoomScaleNormal="70" workbookViewId="0">
      <pane xSplit="4" ySplit="4" topLeftCell="E5" activePane="bottomRight" state="frozen"/>
      <selection activeCell="P11" sqref="P11"/>
      <selection pane="topRight" activeCell="P11" sqref="P11"/>
      <selection pane="bottomLeft" activeCell="P11" sqref="P11"/>
      <selection pane="bottomRight" activeCell="K64" sqref="K64"/>
    </sheetView>
  </sheetViews>
  <sheetFormatPr baseColWidth="10" defaultColWidth="8.83203125" defaultRowHeight="15" x14ac:dyDescent="0.2"/>
  <cols>
    <col min="1" max="1" width="3.83203125" customWidth="1"/>
    <col min="2" max="2" width="21" customWidth="1"/>
    <col min="3" max="3" width="7.6640625" bestFit="1" customWidth="1"/>
    <col min="4" max="4" width="33.33203125" customWidth="1"/>
    <col min="5" max="8" width="10.6640625" style="2" customWidth="1"/>
    <col min="9" max="9" width="10.83203125" customWidth="1"/>
    <col min="10" max="12" width="12.6640625" style="2" customWidth="1"/>
  </cols>
  <sheetData>
    <row r="1" spans="2:12" ht="14.5" customHeight="1" x14ac:dyDescent="0.2">
      <c r="B1" s="4" t="s">
        <v>451</v>
      </c>
      <c r="C1" s="5"/>
      <c r="D1" s="5"/>
      <c r="E1" s="33"/>
      <c r="F1" s="33"/>
      <c r="G1" s="33"/>
      <c r="H1" s="33"/>
    </row>
    <row r="2" spans="2:12" ht="14.5" customHeight="1" x14ac:dyDescent="0.2">
      <c r="B2" s="8"/>
      <c r="C2" s="8"/>
      <c r="D2" s="8"/>
      <c r="E2" s="35"/>
      <c r="F2" s="35"/>
      <c r="G2" s="35"/>
      <c r="H2" s="35"/>
    </row>
    <row r="3" spans="2:12" ht="14.5" customHeight="1" x14ac:dyDescent="0.2">
      <c r="B3" s="388" t="s">
        <v>0</v>
      </c>
      <c r="C3" s="388" t="s">
        <v>270</v>
      </c>
      <c r="D3" s="388" t="s">
        <v>452</v>
      </c>
      <c r="E3" s="385" t="s">
        <v>453</v>
      </c>
      <c r="F3" s="385"/>
      <c r="G3" s="385" t="s">
        <v>454</v>
      </c>
      <c r="H3" s="385"/>
      <c r="I3" s="394" t="s">
        <v>455</v>
      </c>
      <c r="J3" s="398" t="s">
        <v>456</v>
      </c>
      <c r="K3" s="398" t="s">
        <v>457</v>
      </c>
      <c r="L3" s="398" t="s">
        <v>458</v>
      </c>
    </row>
    <row r="4" spans="2:12" ht="14.5" customHeight="1" x14ac:dyDescent="0.2">
      <c r="B4" s="388"/>
      <c r="C4" s="388"/>
      <c r="D4" s="388"/>
      <c r="E4" s="36" t="s">
        <v>459</v>
      </c>
      <c r="F4" s="54" t="s">
        <v>460</v>
      </c>
      <c r="G4" s="36" t="s">
        <v>459</v>
      </c>
      <c r="H4" s="54" t="s">
        <v>460</v>
      </c>
      <c r="I4" s="394"/>
      <c r="J4" s="398"/>
      <c r="K4" s="398"/>
      <c r="L4" s="398"/>
    </row>
    <row r="5" spans="2:12" ht="14.5" customHeight="1" x14ac:dyDescent="0.2">
      <c r="B5" s="397" t="s">
        <v>13</v>
      </c>
      <c r="C5" s="52"/>
      <c r="D5" s="52" t="s">
        <v>338</v>
      </c>
      <c r="E5" s="214">
        <v>815</v>
      </c>
      <c r="F5" s="214">
        <v>0</v>
      </c>
      <c r="G5" s="214">
        <v>227</v>
      </c>
      <c r="H5" s="214">
        <v>25000</v>
      </c>
      <c r="I5" s="183" t="s">
        <v>461</v>
      </c>
      <c r="J5" s="183">
        <f>SUM(H5,F5)</f>
        <v>25000</v>
      </c>
      <c r="K5" s="183">
        <f>J5</f>
        <v>25000</v>
      </c>
      <c r="L5" s="183">
        <v>0</v>
      </c>
    </row>
    <row r="6" spans="2:12" ht="14.5" customHeight="1" x14ac:dyDescent="0.2">
      <c r="B6" s="397"/>
      <c r="C6" s="52"/>
      <c r="D6" s="52" t="s">
        <v>962</v>
      </c>
      <c r="E6" s="214">
        <v>1055</v>
      </c>
      <c r="F6" s="214">
        <v>0</v>
      </c>
      <c r="G6" s="214">
        <v>10</v>
      </c>
      <c r="H6" s="214">
        <v>0</v>
      </c>
      <c r="I6" s="183" t="s">
        <v>461</v>
      </c>
      <c r="J6" s="183">
        <f>SUM(H6,F6)</f>
        <v>0</v>
      </c>
      <c r="K6" s="183">
        <f>J6</f>
        <v>0</v>
      </c>
      <c r="L6" s="183">
        <v>0</v>
      </c>
    </row>
    <row r="7" spans="2:12" s="21" customFormat="1" ht="14.5" customHeight="1" x14ac:dyDescent="0.2">
      <c r="B7" s="397"/>
      <c r="C7" s="77"/>
      <c r="D7" s="77" t="s">
        <v>24</v>
      </c>
      <c r="E7" s="24">
        <f>SUM(E5:E6)</f>
        <v>1870</v>
      </c>
      <c r="F7" s="24">
        <f>SUM(F5:F6)</f>
        <v>0</v>
      </c>
      <c r="G7" s="24">
        <f>SUM(G5:G6)</f>
        <v>237</v>
      </c>
      <c r="H7" s="24">
        <f>SUM(H5:H6)</f>
        <v>25000</v>
      </c>
      <c r="I7" s="42"/>
      <c r="J7" s="24">
        <f>SUM(J5:J6)</f>
        <v>25000</v>
      </c>
      <c r="K7" s="24">
        <f>SUM(K5:K6)</f>
        <v>25000</v>
      </c>
      <c r="L7" s="24">
        <f>SUM(L5:L6)</f>
        <v>0</v>
      </c>
    </row>
    <row r="8" spans="2:12" ht="14.5" customHeight="1" x14ac:dyDescent="0.2">
      <c r="B8" s="422" t="s">
        <v>32</v>
      </c>
      <c r="C8" s="117"/>
      <c r="D8" s="117"/>
      <c r="E8" s="170"/>
      <c r="F8" s="170"/>
      <c r="G8" s="170"/>
      <c r="H8" s="170"/>
      <c r="I8" s="122"/>
      <c r="J8" s="122"/>
      <c r="K8" s="122"/>
      <c r="L8" s="122"/>
    </row>
    <row r="9" spans="2:12" ht="14.5" customHeight="1" x14ac:dyDescent="0.2">
      <c r="B9" s="422"/>
      <c r="C9" s="121"/>
      <c r="D9" s="121" t="s">
        <v>34</v>
      </c>
      <c r="E9" s="155"/>
      <c r="F9" s="155"/>
      <c r="G9" s="155"/>
      <c r="H9" s="155"/>
      <c r="I9" s="156"/>
      <c r="J9" s="157"/>
      <c r="K9" s="157"/>
      <c r="L9" s="157"/>
    </row>
    <row r="10" spans="2:12" ht="14.5" customHeight="1" x14ac:dyDescent="0.2">
      <c r="B10" s="422" t="s">
        <v>256</v>
      </c>
      <c r="C10" s="118"/>
      <c r="D10" s="118"/>
      <c r="E10" s="170"/>
      <c r="F10" s="170"/>
      <c r="G10" s="170"/>
      <c r="H10" s="170"/>
      <c r="I10" s="122"/>
      <c r="J10" s="122"/>
      <c r="K10" s="122"/>
      <c r="L10" s="122"/>
    </row>
    <row r="11" spans="2:12" ht="14.5" customHeight="1" x14ac:dyDescent="0.2">
      <c r="B11" s="422"/>
      <c r="C11" s="121"/>
      <c r="D11" s="121" t="s">
        <v>257</v>
      </c>
      <c r="E11" s="190"/>
      <c r="F11" s="190"/>
      <c r="G11" s="190"/>
      <c r="H11" s="190"/>
      <c r="I11" s="124"/>
      <c r="J11" s="124"/>
      <c r="K11" s="124"/>
      <c r="L11" s="124"/>
    </row>
    <row r="12" spans="2:12" s="21" customFormat="1" ht="14.5" customHeight="1" x14ac:dyDescent="0.2">
      <c r="B12" s="144"/>
      <c r="C12" s="126"/>
      <c r="D12" s="126" t="s">
        <v>110</v>
      </c>
      <c r="E12" s="148">
        <f>SUM(E11,E9,E7)</f>
        <v>1870</v>
      </c>
      <c r="F12" s="148">
        <f t="shared" ref="F12:H12" si="0">SUM(F11,F9,F7)</f>
        <v>0</v>
      </c>
      <c r="G12" s="148">
        <f t="shared" si="0"/>
        <v>237</v>
      </c>
      <c r="H12" s="148">
        <f t="shared" si="0"/>
        <v>25000</v>
      </c>
      <c r="I12" s="154"/>
      <c r="J12" s="148">
        <f t="shared" ref="J12:L12" si="1">SUM(J11,J9,J7)</f>
        <v>25000</v>
      </c>
      <c r="K12" s="148">
        <f t="shared" si="1"/>
        <v>25000</v>
      </c>
      <c r="L12" s="148">
        <f t="shared" si="1"/>
        <v>0</v>
      </c>
    </row>
    <row r="14" spans="2:12" x14ac:dyDescent="0.2">
      <c r="G14"/>
      <c r="I14" s="2"/>
      <c r="K14"/>
      <c r="L14"/>
    </row>
    <row r="15" spans="2:12" x14ac:dyDescent="0.2">
      <c r="G15"/>
      <c r="I15" s="2"/>
      <c r="K15"/>
      <c r="L15"/>
    </row>
    <row r="18" spans="2:12" ht="14.5" customHeight="1" x14ac:dyDescent="0.2">
      <c r="B18" s="4" t="s">
        <v>462</v>
      </c>
      <c r="C18" s="5"/>
      <c r="D18" s="5"/>
      <c r="E18" s="33"/>
      <c r="F18" s="33"/>
      <c r="G18" s="33"/>
      <c r="H18" s="33"/>
    </row>
    <row r="19" spans="2:12" ht="14.5" customHeight="1" x14ac:dyDescent="0.2">
      <c r="B19" s="8"/>
      <c r="C19" s="8"/>
      <c r="D19" s="8"/>
      <c r="E19" s="35"/>
      <c r="F19" s="35"/>
      <c r="G19" s="35"/>
      <c r="H19" s="35"/>
    </row>
    <row r="20" spans="2:12" ht="14.5" customHeight="1" x14ac:dyDescent="0.2">
      <c r="B20" s="388" t="s">
        <v>0</v>
      </c>
      <c r="C20" s="388" t="s">
        <v>270</v>
      </c>
      <c r="D20" s="388" t="s">
        <v>452</v>
      </c>
      <c r="E20" s="385" t="s">
        <v>453</v>
      </c>
      <c r="F20" s="385"/>
      <c r="G20" s="385" t="s">
        <v>454</v>
      </c>
      <c r="H20" s="385"/>
      <c r="I20" s="394" t="s">
        <v>455</v>
      </c>
      <c r="J20" s="398" t="s">
        <v>456</v>
      </c>
      <c r="K20" s="398" t="s">
        <v>457</v>
      </c>
      <c r="L20" s="398" t="s">
        <v>458</v>
      </c>
    </row>
    <row r="21" spans="2:12" ht="14.5" customHeight="1" x14ac:dyDescent="0.2">
      <c r="B21" s="388"/>
      <c r="C21" s="388"/>
      <c r="D21" s="388"/>
      <c r="E21" s="36" t="s">
        <v>459</v>
      </c>
      <c r="F21" s="54" t="s">
        <v>460</v>
      </c>
      <c r="G21" s="36" t="s">
        <v>459</v>
      </c>
      <c r="H21" s="54" t="s">
        <v>460</v>
      </c>
      <c r="I21" s="394"/>
      <c r="J21" s="398"/>
      <c r="K21" s="398"/>
      <c r="L21" s="398"/>
    </row>
    <row r="22" spans="2:12" s="21" customFormat="1" ht="14.5" customHeight="1" x14ac:dyDescent="0.2">
      <c r="B22" s="396" t="s">
        <v>25</v>
      </c>
      <c r="C22" s="52"/>
      <c r="D22" s="52" t="s">
        <v>306</v>
      </c>
      <c r="E22" s="214">
        <v>1480</v>
      </c>
      <c r="F22" s="214">
        <v>0</v>
      </c>
      <c r="G22" s="214">
        <v>75</v>
      </c>
      <c r="H22" s="214">
        <v>0</v>
      </c>
      <c r="I22" s="183" t="s">
        <v>461</v>
      </c>
      <c r="J22" s="183">
        <f>SUM(H22,F22)</f>
        <v>0</v>
      </c>
      <c r="K22" s="183">
        <f>J22</f>
        <v>0</v>
      </c>
      <c r="L22" s="183">
        <v>0</v>
      </c>
    </row>
    <row r="23" spans="2:12" s="21" customFormat="1" ht="14.5" customHeight="1" x14ac:dyDescent="0.2">
      <c r="B23" s="386"/>
      <c r="C23" s="52"/>
      <c r="D23" s="52" t="s">
        <v>205</v>
      </c>
      <c r="E23" s="214">
        <v>1242</v>
      </c>
      <c r="F23" s="214">
        <v>0</v>
      </c>
      <c r="G23" s="214">
        <v>55</v>
      </c>
      <c r="H23" s="214">
        <v>0</v>
      </c>
      <c r="I23" s="183" t="s">
        <v>461</v>
      </c>
      <c r="J23" s="183">
        <f>SUM(H23,F23)</f>
        <v>0</v>
      </c>
      <c r="K23" s="183">
        <f>J23</f>
        <v>0</v>
      </c>
      <c r="L23" s="183">
        <v>0</v>
      </c>
    </row>
    <row r="24" spans="2:12" s="21" customFormat="1" ht="14.5" customHeight="1" x14ac:dyDescent="0.2">
      <c r="B24" s="387"/>
      <c r="C24" s="77"/>
      <c r="D24" s="77" t="s">
        <v>30</v>
      </c>
      <c r="E24" s="24">
        <f>SUM(E22:E23)</f>
        <v>2722</v>
      </c>
      <c r="F24" s="24">
        <f t="shared" ref="F24:L24" si="2">SUM(F22:F23)</f>
        <v>0</v>
      </c>
      <c r="G24" s="24">
        <f t="shared" si="2"/>
        <v>130</v>
      </c>
      <c r="H24" s="24">
        <f t="shared" si="2"/>
        <v>0</v>
      </c>
      <c r="I24" s="24"/>
      <c r="J24" s="24">
        <f t="shared" si="2"/>
        <v>0</v>
      </c>
      <c r="K24" s="24">
        <f t="shared" si="2"/>
        <v>0</v>
      </c>
      <c r="L24" s="24">
        <f t="shared" si="2"/>
        <v>0</v>
      </c>
    </row>
    <row r="25" spans="2:12" ht="14.5" customHeight="1" x14ac:dyDescent="0.2">
      <c r="B25" s="397" t="s">
        <v>59</v>
      </c>
      <c r="C25" s="52"/>
      <c r="D25" s="52" t="s">
        <v>307</v>
      </c>
      <c r="E25" s="214">
        <v>1948</v>
      </c>
      <c r="F25" s="214">
        <v>0</v>
      </c>
      <c r="G25" s="214">
        <v>374</v>
      </c>
      <c r="H25" s="214">
        <v>25000</v>
      </c>
      <c r="I25" s="183" t="s">
        <v>799</v>
      </c>
      <c r="J25" s="183">
        <f>SUM(H25,F25)</f>
        <v>25000</v>
      </c>
      <c r="K25" s="183">
        <f>J25*55%</f>
        <v>13750.000000000002</v>
      </c>
      <c r="L25" s="183">
        <f>J25*45%</f>
        <v>11250</v>
      </c>
    </row>
    <row r="26" spans="2:12" ht="14.5" customHeight="1" x14ac:dyDescent="0.2">
      <c r="B26" s="397"/>
      <c r="C26" s="77"/>
      <c r="D26" s="77" t="s">
        <v>36</v>
      </c>
      <c r="E26" s="24">
        <f>SUM(E25)</f>
        <v>1948</v>
      </c>
      <c r="F26" s="24">
        <f t="shared" ref="F26:H26" si="3">SUM(F25)</f>
        <v>0</v>
      </c>
      <c r="G26" s="24">
        <f t="shared" si="3"/>
        <v>374</v>
      </c>
      <c r="H26" s="24">
        <f t="shared" si="3"/>
        <v>25000</v>
      </c>
      <c r="I26" s="42"/>
      <c r="J26" s="24">
        <f t="shared" ref="J26:L26" si="4">SUM(J25)</f>
        <v>25000</v>
      </c>
      <c r="K26" s="24">
        <f t="shared" si="4"/>
        <v>13750.000000000002</v>
      </c>
      <c r="L26" s="24">
        <f t="shared" si="4"/>
        <v>11250</v>
      </c>
    </row>
    <row r="27" spans="2:12" ht="14.5" customHeight="1" x14ac:dyDescent="0.2">
      <c r="B27" s="422" t="s">
        <v>131</v>
      </c>
      <c r="C27" s="118"/>
      <c r="D27" s="118"/>
      <c r="E27" s="170"/>
      <c r="F27" s="170"/>
      <c r="G27" s="170"/>
      <c r="H27" s="170"/>
      <c r="I27" s="122"/>
      <c r="J27" s="122"/>
      <c r="K27" s="122"/>
      <c r="L27" s="122"/>
    </row>
    <row r="28" spans="2:12" ht="14.5" customHeight="1" x14ac:dyDescent="0.2">
      <c r="B28" s="422"/>
      <c r="C28" s="121"/>
      <c r="D28" s="121" t="s">
        <v>133</v>
      </c>
      <c r="E28" s="190"/>
      <c r="F28" s="190"/>
      <c r="G28" s="190"/>
      <c r="H28" s="190"/>
      <c r="I28" s="124"/>
      <c r="J28" s="124"/>
      <c r="K28" s="124"/>
      <c r="L28" s="124"/>
    </row>
    <row r="29" spans="2:12" s="21" customFormat="1" ht="14.5" customHeight="1" x14ac:dyDescent="0.2">
      <c r="B29" s="144"/>
      <c r="C29" s="126"/>
      <c r="D29" s="126" t="s">
        <v>109</v>
      </c>
      <c r="E29" s="148">
        <f>SUM(E28,E26,E24)</f>
        <v>4670</v>
      </c>
      <c r="F29" s="148">
        <f t="shared" ref="F29" si="5">SUM(F28,F26,F24)</f>
        <v>0</v>
      </c>
      <c r="G29" s="148">
        <f t="shared" ref="G29" si="6">SUM(G28,G26,G24)</f>
        <v>504</v>
      </c>
      <c r="H29" s="148">
        <f t="shared" ref="H29" si="7">SUM(H28,H26,H24)</f>
        <v>25000</v>
      </c>
      <c r="I29" s="154"/>
      <c r="J29" s="148">
        <f t="shared" ref="J29:L29" si="8">SUM(J28,J26,J24)</f>
        <v>25000</v>
      </c>
      <c r="K29" s="148">
        <f t="shared" si="8"/>
        <v>13750.000000000002</v>
      </c>
      <c r="L29" s="148">
        <f t="shared" si="8"/>
        <v>11250</v>
      </c>
    </row>
    <row r="35" spans="2:12" ht="14.5" customHeight="1" x14ac:dyDescent="0.2">
      <c r="B35" s="4" t="s">
        <v>463</v>
      </c>
      <c r="C35" s="5"/>
      <c r="D35" s="5"/>
      <c r="E35" s="33"/>
      <c r="F35" s="33"/>
      <c r="G35" s="33"/>
      <c r="H35" s="33"/>
    </row>
    <row r="36" spans="2:12" ht="14.5" customHeight="1" x14ac:dyDescent="0.2">
      <c r="B36" s="8"/>
      <c r="C36" s="8"/>
      <c r="D36" s="8"/>
      <c r="E36" s="35"/>
      <c r="F36" s="35"/>
      <c r="G36" s="35"/>
      <c r="H36" s="35"/>
    </row>
    <row r="37" spans="2:12" ht="14.5" customHeight="1" x14ac:dyDescent="0.2">
      <c r="B37" s="388" t="s">
        <v>0</v>
      </c>
      <c r="C37" s="388" t="s">
        <v>270</v>
      </c>
      <c r="D37" s="388" t="s">
        <v>452</v>
      </c>
      <c r="E37" s="385" t="s">
        <v>453</v>
      </c>
      <c r="F37" s="385"/>
      <c r="G37" s="385" t="s">
        <v>454</v>
      </c>
      <c r="H37" s="385"/>
      <c r="I37" s="394" t="s">
        <v>455</v>
      </c>
      <c r="J37" s="398" t="s">
        <v>456</v>
      </c>
      <c r="K37" s="398" t="s">
        <v>457</v>
      </c>
      <c r="L37" s="398" t="s">
        <v>458</v>
      </c>
    </row>
    <row r="38" spans="2:12" ht="14.5" customHeight="1" x14ac:dyDescent="0.2">
      <c r="B38" s="388"/>
      <c r="C38" s="388"/>
      <c r="D38" s="388"/>
      <c r="E38" s="36" t="s">
        <v>459</v>
      </c>
      <c r="F38" s="54" t="s">
        <v>460</v>
      </c>
      <c r="G38" s="36" t="s">
        <v>459</v>
      </c>
      <c r="H38" s="54" t="s">
        <v>460</v>
      </c>
      <c r="I38" s="394"/>
      <c r="J38" s="398"/>
      <c r="K38" s="398"/>
      <c r="L38" s="398"/>
    </row>
    <row r="39" spans="2:12" ht="14.5" customHeight="1" x14ac:dyDescent="0.2">
      <c r="B39" s="422" t="s">
        <v>37</v>
      </c>
      <c r="C39" s="118"/>
      <c r="D39" s="118"/>
      <c r="E39" s="170"/>
      <c r="F39" s="170"/>
      <c r="G39" s="170"/>
      <c r="H39" s="170"/>
      <c r="I39" s="122"/>
      <c r="J39" s="122"/>
      <c r="K39" s="122"/>
      <c r="L39" s="122"/>
    </row>
    <row r="40" spans="2:12" ht="14.5" customHeight="1" x14ac:dyDescent="0.2">
      <c r="B40" s="422"/>
      <c r="C40" s="121"/>
      <c r="D40" s="121" t="s">
        <v>38</v>
      </c>
      <c r="E40" s="190"/>
      <c r="F40" s="190"/>
      <c r="G40" s="190"/>
      <c r="H40" s="190"/>
      <c r="I40" s="124"/>
      <c r="J40" s="124"/>
      <c r="K40" s="124"/>
      <c r="L40" s="124"/>
    </row>
    <row r="41" spans="2:12" s="21" customFormat="1" ht="14.5" customHeight="1" x14ac:dyDescent="0.2">
      <c r="B41" s="422" t="s">
        <v>614</v>
      </c>
      <c r="C41" s="116"/>
      <c r="D41" s="116"/>
      <c r="E41" s="170"/>
      <c r="F41" s="170"/>
      <c r="G41" s="170"/>
      <c r="H41" s="170"/>
      <c r="I41" s="122"/>
      <c r="J41" s="122"/>
      <c r="K41" s="122"/>
      <c r="L41" s="122"/>
    </row>
    <row r="42" spans="2:12" ht="14.5" customHeight="1" x14ac:dyDescent="0.2">
      <c r="B42" s="422"/>
      <c r="C42" s="121"/>
      <c r="D42" s="121" t="s">
        <v>35</v>
      </c>
      <c r="E42" s="190"/>
      <c r="F42" s="190"/>
      <c r="G42" s="190"/>
      <c r="H42" s="190"/>
      <c r="I42" s="124"/>
      <c r="J42" s="124"/>
      <c r="K42" s="124"/>
      <c r="L42" s="124"/>
    </row>
    <row r="43" spans="2:12" s="21" customFormat="1" ht="14.5" customHeight="1" x14ac:dyDescent="0.2">
      <c r="B43" s="144"/>
      <c r="C43" s="126"/>
      <c r="D43" s="126" t="s">
        <v>219</v>
      </c>
      <c r="E43" s="148"/>
      <c r="F43" s="148"/>
      <c r="G43" s="148"/>
      <c r="H43" s="148"/>
      <c r="I43" s="154"/>
      <c r="J43" s="146"/>
      <c r="K43" s="146"/>
      <c r="L43" s="146"/>
    </row>
    <row r="49" spans="2:12" ht="14.5" customHeight="1" x14ac:dyDescent="0.2">
      <c r="B49" s="4" t="s">
        <v>464</v>
      </c>
      <c r="C49" s="5"/>
      <c r="D49" s="5"/>
      <c r="E49" s="33"/>
      <c r="F49" s="33"/>
      <c r="G49" s="33"/>
      <c r="H49" s="33"/>
    </row>
    <row r="50" spans="2:12" ht="14.5" customHeight="1" x14ac:dyDescent="0.2">
      <c r="B50" s="8"/>
      <c r="C50" s="8"/>
      <c r="D50" s="8"/>
      <c r="E50" s="35"/>
      <c r="F50" s="35"/>
      <c r="G50" s="35"/>
      <c r="H50" s="35"/>
    </row>
    <row r="51" spans="2:12" ht="14.5" customHeight="1" x14ac:dyDescent="0.2">
      <c r="B51" s="388" t="s">
        <v>0</v>
      </c>
      <c r="C51" s="388" t="s">
        <v>270</v>
      </c>
      <c r="D51" s="388" t="s">
        <v>452</v>
      </c>
      <c r="E51" s="385" t="s">
        <v>453</v>
      </c>
      <c r="F51" s="385"/>
      <c r="G51" s="385" t="s">
        <v>454</v>
      </c>
      <c r="H51" s="385"/>
      <c r="I51" s="394" t="s">
        <v>455</v>
      </c>
      <c r="J51" s="398" t="s">
        <v>456</v>
      </c>
      <c r="K51" s="398" t="s">
        <v>457</v>
      </c>
      <c r="L51" s="398" t="s">
        <v>458</v>
      </c>
    </row>
    <row r="52" spans="2:12" ht="14.5" customHeight="1" x14ac:dyDescent="0.2">
      <c r="B52" s="388"/>
      <c r="C52" s="388"/>
      <c r="D52" s="388"/>
      <c r="E52" s="36" t="s">
        <v>459</v>
      </c>
      <c r="F52" s="54" t="s">
        <v>460</v>
      </c>
      <c r="G52" s="36" t="s">
        <v>459</v>
      </c>
      <c r="H52" s="54" t="s">
        <v>460</v>
      </c>
      <c r="I52" s="394"/>
      <c r="J52" s="398"/>
      <c r="K52" s="398"/>
      <c r="L52" s="398"/>
    </row>
    <row r="53" spans="2:12" ht="14.5" customHeight="1" x14ac:dyDescent="0.2">
      <c r="B53" s="422" t="s">
        <v>39</v>
      </c>
      <c r="C53" s="117"/>
      <c r="D53" s="117"/>
      <c r="E53" s="170"/>
      <c r="F53" s="170"/>
      <c r="G53" s="170"/>
      <c r="H53" s="170"/>
      <c r="I53" s="122"/>
      <c r="J53" s="122"/>
      <c r="K53" s="122"/>
      <c r="L53" s="122"/>
    </row>
    <row r="54" spans="2:12" ht="14.5" customHeight="1" x14ac:dyDescent="0.2">
      <c r="B54" s="422"/>
      <c r="C54" s="127"/>
      <c r="D54" s="127" t="s">
        <v>40</v>
      </c>
      <c r="E54" s="155"/>
      <c r="F54" s="155"/>
      <c r="G54" s="155"/>
      <c r="H54" s="155"/>
      <c r="I54" s="156"/>
      <c r="J54" s="157"/>
      <c r="K54" s="157"/>
      <c r="L54" s="157"/>
    </row>
    <row r="55" spans="2:12" ht="14.5" customHeight="1" x14ac:dyDescent="0.2">
      <c r="B55" s="397" t="s">
        <v>41</v>
      </c>
      <c r="C55" s="52"/>
      <c r="D55" s="52" t="s">
        <v>215</v>
      </c>
      <c r="E55" s="214">
        <v>893</v>
      </c>
      <c r="F55" s="214">
        <v>0</v>
      </c>
      <c r="G55" s="214">
        <v>255</v>
      </c>
      <c r="H55" s="214">
        <v>25000</v>
      </c>
      <c r="I55" s="183" t="s">
        <v>461</v>
      </c>
      <c r="J55" s="183">
        <f t="shared" ref="J55:J57" si="9">SUM(H55,F55)</f>
        <v>25000</v>
      </c>
      <c r="K55" s="183">
        <f>J55</f>
        <v>25000</v>
      </c>
      <c r="L55" s="183">
        <v>0</v>
      </c>
    </row>
    <row r="56" spans="2:12" ht="14.5" customHeight="1" x14ac:dyDescent="0.2">
      <c r="B56" s="397"/>
      <c r="C56" s="52"/>
      <c r="D56" s="52" t="s">
        <v>318</v>
      </c>
      <c r="E56" s="214">
        <v>1255</v>
      </c>
      <c r="F56" s="214">
        <v>0</v>
      </c>
      <c r="G56" s="214">
        <v>246</v>
      </c>
      <c r="H56" s="214">
        <v>25000</v>
      </c>
      <c r="I56" s="183" t="s">
        <v>461</v>
      </c>
      <c r="J56" s="183">
        <f t="shared" ref="J56" si="10">SUM(H56,F56)</f>
        <v>25000</v>
      </c>
      <c r="K56" s="183">
        <f t="shared" ref="K56:K57" si="11">J56</f>
        <v>25000</v>
      </c>
      <c r="L56" s="183">
        <v>0</v>
      </c>
    </row>
    <row r="57" spans="2:12" ht="14.5" customHeight="1" x14ac:dyDescent="0.2">
      <c r="B57" s="397"/>
      <c r="C57" s="52"/>
      <c r="D57" s="52" t="s">
        <v>472</v>
      </c>
      <c r="E57" s="214">
        <v>2334</v>
      </c>
      <c r="F57" s="214">
        <v>40000</v>
      </c>
      <c r="G57" s="214">
        <v>498</v>
      </c>
      <c r="H57" s="214">
        <v>40000</v>
      </c>
      <c r="I57" s="183" t="s">
        <v>461</v>
      </c>
      <c r="J57" s="183">
        <f t="shared" si="9"/>
        <v>80000</v>
      </c>
      <c r="K57" s="183">
        <f t="shared" si="11"/>
        <v>80000</v>
      </c>
      <c r="L57" s="183">
        <v>0</v>
      </c>
    </row>
    <row r="58" spans="2:12" ht="14.5" customHeight="1" x14ac:dyDescent="0.2">
      <c r="B58" s="397"/>
      <c r="C58" s="77"/>
      <c r="D58" s="77" t="s">
        <v>42</v>
      </c>
      <c r="E58" s="24">
        <f>SUM(E55:E57)</f>
        <v>4482</v>
      </c>
      <c r="F58" s="24">
        <f t="shared" ref="F58:H58" si="12">SUM(F55:F57)</f>
        <v>40000</v>
      </c>
      <c r="G58" s="24">
        <f t="shared" si="12"/>
        <v>999</v>
      </c>
      <c r="H58" s="24">
        <f t="shared" si="12"/>
        <v>90000</v>
      </c>
      <c r="I58" s="42"/>
      <c r="J58" s="24">
        <f t="shared" ref="J58:L58" si="13">SUM(J55:J57)</f>
        <v>130000</v>
      </c>
      <c r="K58" s="24">
        <f t="shared" si="13"/>
        <v>130000</v>
      </c>
      <c r="L58" s="24">
        <f t="shared" si="13"/>
        <v>0</v>
      </c>
    </row>
    <row r="59" spans="2:12" ht="14.5" customHeight="1" x14ac:dyDescent="0.2">
      <c r="B59" s="396" t="s">
        <v>43</v>
      </c>
      <c r="C59" s="52"/>
      <c r="D59" s="52" t="s">
        <v>216</v>
      </c>
      <c r="E59" s="214">
        <v>789</v>
      </c>
      <c r="F59" s="214">
        <v>0</v>
      </c>
      <c r="G59" s="214">
        <v>600</v>
      </c>
      <c r="H59" s="214">
        <v>40000</v>
      </c>
      <c r="I59" s="183" t="s">
        <v>461</v>
      </c>
      <c r="J59" s="183">
        <f>SUM(H59,F59)</f>
        <v>40000</v>
      </c>
      <c r="K59" s="183">
        <f t="shared" ref="K59" si="14">J59</f>
        <v>40000</v>
      </c>
      <c r="L59" s="183">
        <v>0</v>
      </c>
    </row>
    <row r="60" spans="2:12" ht="14.5" customHeight="1" x14ac:dyDescent="0.2">
      <c r="B60" s="386"/>
      <c r="C60" s="52"/>
      <c r="D60" s="52" t="s">
        <v>671</v>
      </c>
      <c r="E60" s="214">
        <v>0</v>
      </c>
      <c r="F60" s="214">
        <v>0</v>
      </c>
      <c r="G60" s="214">
        <v>0</v>
      </c>
      <c r="H60" s="214"/>
      <c r="I60" s="183" t="s">
        <v>461</v>
      </c>
      <c r="J60" s="183">
        <f>SUM(H60,F60)</f>
        <v>0</v>
      </c>
      <c r="K60" s="183">
        <f t="shared" ref="K60" si="15">J60</f>
        <v>0</v>
      </c>
      <c r="L60" s="183">
        <v>0</v>
      </c>
    </row>
    <row r="61" spans="2:12" ht="14.5" customHeight="1" x14ac:dyDescent="0.2">
      <c r="B61" s="387"/>
      <c r="C61" s="77"/>
      <c r="D61" s="77" t="s">
        <v>44</v>
      </c>
      <c r="E61" s="24">
        <f>SUM(E59:E60)</f>
        <v>789</v>
      </c>
      <c r="F61" s="24">
        <f t="shared" ref="F61:L61" si="16">SUM(F59:F60)</f>
        <v>0</v>
      </c>
      <c r="G61" s="24">
        <f t="shared" si="16"/>
        <v>600</v>
      </c>
      <c r="H61" s="24">
        <f t="shared" si="16"/>
        <v>40000</v>
      </c>
      <c r="I61" s="24"/>
      <c r="J61" s="24">
        <f t="shared" si="16"/>
        <v>40000</v>
      </c>
      <c r="K61" s="24">
        <f t="shared" si="16"/>
        <v>40000</v>
      </c>
      <c r="L61" s="24">
        <f t="shared" si="16"/>
        <v>0</v>
      </c>
    </row>
    <row r="62" spans="2:12" s="21" customFormat="1" ht="14.5" customHeight="1" x14ac:dyDescent="0.2">
      <c r="B62" s="422" t="s">
        <v>836</v>
      </c>
      <c r="C62" s="116"/>
      <c r="D62" s="116"/>
      <c r="E62" s="170"/>
      <c r="F62" s="170"/>
      <c r="G62" s="170"/>
      <c r="H62" s="170"/>
      <c r="I62" s="122"/>
      <c r="J62" s="122"/>
      <c r="K62" s="122"/>
      <c r="L62" s="122"/>
    </row>
    <row r="63" spans="2:12" ht="14.5" customHeight="1" x14ac:dyDescent="0.2">
      <c r="B63" s="422"/>
      <c r="C63" s="121"/>
      <c r="D63" s="121" t="s">
        <v>859</v>
      </c>
      <c r="E63" s="190"/>
      <c r="F63" s="190"/>
      <c r="G63" s="190"/>
      <c r="H63" s="190"/>
      <c r="I63" s="124"/>
      <c r="J63" s="124"/>
      <c r="K63" s="124"/>
      <c r="L63" s="124"/>
    </row>
    <row r="64" spans="2:12" ht="14.5" customHeight="1" x14ac:dyDescent="0.2">
      <c r="B64" s="422" t="s">
        <v>45</v>
      </c>
      <c r="C64" s="117"/>
      <c r="D64" s="117"/>
      <c r="E64" s="170"/>
      <c r="F64" s="170"/>
      <c r="G64" s="170"/>
      <c r="H64" s="170"/>
      <c r="I64" s="122"/>
      <c r="J64" s="122"/>
      <c r="K64" s="122"/>
      <c r="L64" s="122"/>
    </row>
    <row r="65" spans="2:12" ht="14.5" customHeight="1" x14ac:dyDescent="0.2">
      <c r="B65" s="422"/>
      <c r="C65" s="127"/>
      <c r="D65" s="127" t="s">
        <v>46</v>
      </c>
      <c r="E65" s="190"/>
      <c r="F65" s="190"/>
      <c r="G65" s="190"/>
      <c r="H65" s="190"/>
      <c r="I65" s="124"/>
      <c r="J65" s="124"/>
      <c r="K65" s="124"/>
      <c r="L65" s="124"/>
    </row>
    <row r="66" spans="2:12" s="21" customFormat="1" ht="14.5" customHeight="1" x14ac:dyDescent="0.2">
      <c r="B66" s="422" t="s">
        <v>47</v>
      </c>
      <c r="C66" s="116"/>
      <c r="D66" s="116"/>
      <c r="E66" s="170"/>
      <c r="F66" s="170"/>
      <c r="G66" s="170"/>
      <c r="H66" s="170"/>
      <c r="I66" s="122"/>
      <c r="J66" s="122"/>
      <c r="K66" s="122"/>
      <c r="L66" s="122"/>
    </row>
    <row r="67" spans="2:12" ht="14.5" customHeight="1" x14ac:dyDescent="0.2">
      <c r="B67" s="422"/>
      <c r="C67" s="121"/>
      <c r="D67" s="121" t="s">
        <v>48</v>
      </c>
      <c r="E67" s="190"/>
      <c r="F67" s="190"/>
      <c r="G67" s="190"/>
      <c r="H67" s="190"/>
      <c r="I67" s="124"/>
      <c r="J67" s="124"/>
      <c r="K67" s="124"/>
      <c r="L67" s="124"/>
    </row>
    <row r="68" spans="2:12" ht="14.5" customHeight="1" x14ac:dyDescent="0.2">
      <c r="B68" s="127"/>
      <c r="C68" s="121"/>
      <c r="D68" s="121" t="s">
        <v>49</v>
      </c>
      <c r="E68" s="213">
        <f>SUM(E63,E65,E61,E58,E54)</f>
        <v>5271</v>
      </c>
      <c r="F68" s="213">
        <f>SUM(F63,F65,F61,F58,F54)</f>
        <v>40000</v>
      </c>
      <c r="G68" s="213">
        <f>SUM(G63,G65,G61,G58,G54)</f>
        <v>1599</v>
      </c>
      <c r="H68" s="213">
        <f>SUM(H63,H65,H61,H58,H54)</f>
        <v>130000</v>
      </c>
      <c r="I68" s="177"/>
      <c r="J68" s="213">
        <f>SUM(J63,J65,J61,J58,J54)</f>
        <v>170000</v>
      </c>
      <c r="K68" s="213">
        <f>SUM(K63,K65,K61,K58,K54)</f>
        <v>170000</v>
      </c>
      <c r="L68" s="213">
        <f>SUM(L63,L65,L61,L58,L54)</f>
        <v>0</v>
      </c>
    </row>
    <row r="74" spans="2:12" ht="14.5" customHeight="1" x14ac:dyDescent="0.2">
      <c r="B74" s="4" t="s">
        <v>465</v>
      </c>
      <c r="C74" s="5"/>
      <c r="D74" s="5"/>
      <c r="E74" s="33"/>
      <c r="F74" s="33"/>
      <c r="G74" s="33"/>
      <c r="H74" s="33"/>
    </row>
    <row r="75" spans="2:12" ht="14.5" customHeight="1" x14ac:dyDescent="0.2">
      <c r="B75" s="8"/>
      <c r="C75" s="8"/>
      <c r="D75" s="8"/>
      <c r="E75" s="35"/>
      <c r="F75" s="35"/>
      <c r="G75" s="35"/>
      <c r="H75" s="35"/>
    </row>
    <row r="76" spans="2:12" ht="14.5" customHeight="1" x14ac:dyDescent="0.2">
      <c r="B76" s="388" t="s">
        <v>0</v>
      </c>
      <c r="C76" s="388" t="s">
        <v>270</v>
      </c>
      <c r="D76" s="388" t="s">
        <v>452</v>
      </c>
      <c r="E76" s="385" t="s">
        <v>453</v>
      </c>
      <c r="F76" s="385"/>
      <c r="G76" s="385" t="s">
        <v>454</v>
      </c>
      <c r="H76" s="385"/>
      <c r="I76" s="394" t="s">
        <v>455</v>
      </c>
      <c r="J76" s="398" t="s">
        <v>456</v>
      </c>
      <c r="K76" s="398" t="s">
        <v>457</v>
      </c>
      <c r="L76" s="398" t="s">
        <v>458</v>
      </c>
    </row>
    <row r="77" spans="2:12" ht="14.5" customHeight="1" x14ac:dyDescent="0.2">
      <c r="B77" s="388"/>
      <c r="C77" s="388"/>
      <c r="D77" s="388"/>
      <c r="E77" s="36" t="s">
        <v>459</v>
      </c>
      <c r="F77" s="54" t="s">
        <v>460</v>
      </c>
      <c r="G77" s="36" t="s">
        <v>459</v>
      </c>
      <c r="H77" s="54" t="s">
        <v>460</v>
      </c>
      <c r="I77" s="394"/>
      <c r="J77" s="398"/>
      <c r="K77" s="398"/>
      <c r="L77" s="398"/>
    </row>
    <row r="78" spans="2:12" ht="14.5" customHeight="1" x14ac:dyDescent="0.2">
      <c r="B78" s="421" t="s">
        <v>53</v>
      </c>
      <c r="C78" s="117"/>
      <c r="D78" s="117"/>
      <c r="E78" s="122"/>
      <c r="F78" s="174"/>
      <c r="G78" s="174"/>
      <c r="H78" s="122"/>
      <c r="I78" s="122"/>
      <c r="J78" s="170"/>
      <c r="K78" s="170"/>
      <c r="L78" s="170"/>
    </row>
    <row r="79" spans="2:12" ht="14.5" customHeight="1" x14ac:dyDescent="0.2">
      <c r="B79" s="418"/>
      <c r="C79" s="119"/>
      <c r="D79" s="119"/>
      <c r="E79" s="123"/>
      <c r="F79" s="175"/>
      <c r="G79" s="175"/>
      <c r="H79" s="123"/>
      <c r="I79" s="123"/>
      <c r="J79" s="189"/>
      <c r="K79" s="189"/>
      <c r="L79" s="189"/>
    </row>
    <row r="80" spans="2:12" ht="14.5" customHeight="1" x14ac:dyDescent="0.2">
      <c r="B80" s="419"/>
      <c r="C80" s="127"/>
      <c r="D80" s="127" t="s">
        <v>54</v>
      </c>
      <c r="E80" s="124"/>
      <c r="F80" s="176"/>
      <c r="G80" s="176"/>
      <c r="H80" s="124"/>
      <c r="I80" s="124"/>
      <c r="J80" s="190"/>
      <c r="K80" s="190"/>
      <c r="L80" s="190"/>
    </row>
    <row r="81" spans="2:12" ht="14.5" customHeight="1" x14ac:dyDescent="0.2">
      <c r="B81" s="421" t="s">
        <v>536</v>
      </c>
      <c r="C81" s="117"/>
      <c r="D81" s="117"/>
      <c r="E81" s="122"/>
      <c r="F81" s="174"/>
      <c r="G81" s="174"/>
      <c r="H81" s="122"/>
      <c r="I81" s="122"/>
      <c r="J81" s="170"/>
      <c r="K81" s="170"/>
      <c r="L81" s="170"/>
    </row>
    <row r="82" spans="2:12" ht="14.5" customHeight="1" x14ac:dyDescent="0.2">
      <c r="B82" s="418"/>
      <c r="C82" s="119"/>
      <c r="D82" s="119"/>
      <c r="E82" s="123"/>
      <c r="F82" s="175"/>
      <c r="G82" s="175"/>
      <c r="H82" s="123"/>
      <c r="I82" s="123"/>
      <c r="J82" s="189"/>
      <c r="K82" s="189"/>
      <c r="L82" s="189"/>
    </row>
    <row r="83" spans="2:12" ht="14.5" customHeight="1" x14ac:dyDescent="0.2">
      <c r="B83" s="418"/>
      <c r="C83" s="117"/>
      <c r="D83" s="117"/>
      <c r="E83" s="122"/>
      <c r="F83" s="174"/>
      <c r="G83" s="174"/>
      <c r="H83" s="122"/>
      <c r="I83" s="122"/>
      <c r="J83" s="170"/>
      <c r="K83" s="170"/>
      <c r="L83" s="170"/>
    </row>
    <row r="84" spans="2:12" ht="14.5" customHeight="1" x14ac:dyDescent="0.2">
      <c r="B84" s="418"/>
      <c r="C84" s="119"/>
      <c r="D84" s="119"/>
      <c r="E84" s="123"/>
      <c r="F84" s="175"/>
      <c r="G84" s="175"/>
      <c r="H84" s="123"/>
      <c r="I84" s="123"/>
      <c r="J84" s="189"/>
      <c r="K84" s="189"/>
      <c r="L84" s="189"/>
    </row>
    <row r="85" spans="2:12" ht="14.5" customHeight="1" x14ac:dyDescent="0.2">
      <c r="B85" s="419"/>
      <c r="C85" s="127"/>
      <c r="D85" s="127" t="s">
        <v>556</v>
      </c>
      <c r="E85" s="124"/>
      <c r="F85" s="176"/>
      <c r="G85" s="176"/>
      <c r="H85" s="124"/>
      <c r="I85" s="124"/>
      <c r="J85" s="190"/>
      <c r="K85" s="190"/>
      <c r="L85" s="190"/>
    </row>
    <row r="86" spans="2:12" ht="14.5" customHeight="1" x14ac:dyDescent="0.2">
      <c r="B86" s="421" t="s">
        <v>555</v>
      </c>
      <c r="C86" s="117"/>
      <c r="D86" s="117"/>
      <c r="E86" s="122"/>
      <c r="F86" s="174"/>
      <c r="G86" s="174"/>
      <c r="H86" s="122"/>
      <c r="I86" s="122"/>
      <c r="J86" s="170"/>
      <c r="K86" s="170"/>
      <c r="L86" s="170"/>
    </row>
    <row r="87" spans="2:12" ht="14.5" customHeight="1" x14ac:dyDescent="0.2">
      <c r="B87" s="419"/>
      <c r="C87" s="119"/>
      <c r="D87" s="119"/>
      <c r="E87" s="123"/>
      <c r="F87" s="175"/>
      <c r="G87" s="175"/>
      <c r="H87" s="123"/>
      <c r="I87" s="123"/>
      <c r="J87" s="189"/>
      <c r="K87" s="189"/>
      <c r="L87" s="189"/>
    </row>
    <row r="88" spans="2:12" ht="14.5" customHeight="1" x14ac:dyDescent="0.2">
      <c r="B88" s="127"/>
      <c r="C88" s="127"/>
      <c r="D88" s="127" t="s">
        <v>619</v>
      </c>
      <c r="E88" s="124"/>
      <c r="F88" s="176"/>
      <c r="G88" s="176"/>
      <c r="H88" s="124"/>
      <c r="I88" s="124"/>
      <c r="J88" s="190"/>
      <c r="K88" s="190"/>
      <c r="L88" s="190"/>
    </row>
    <row r="89" spans="2:12" ht="14.5" customHeight="1" x14ac:dyDescent="0.2">
      <c r="B89" s="421" t="s">
        <v>555</v>
      </c>
      <c r="C89" s="117"/>
      <c r="D89" s="117"/>
      <c r="E89" s="122"/>
      <c r="F89" s="174"/>
      <c r="G89" s="174"/>
      <c r="H89" s="122"/>
      <c r="I89" s="122"/>
      <c r="J89" s="170"/>
      <c r="K89" s="170"/>
      <c r="L89" s="170"/>
    </row>
    <row r="90" spans="2:12" ht="14.5" customHeight="1" x14ac:dyDescent="0.2">
      <c r="B90" s="418"/>
      <c r="C90" s="119"/>
      <c r="D90" s="119"/>
      <c r="E90" s="123"/>
      <c r="F90" s="175"/>
      <c r="G90" s="175"/>
      <c r="H90" s="123"/>
      <c r="I90" s="123"/>
      <c r="J90" s="189"/>
      <c r="K90" s="189"/>
      <c r="L90" s="189"/>
    </row>
    <row r="91" spans="2:12" ht="14.5" customHeight="1" x14ac:dyDescent="0.2">
      <c r="B91" s="419"/>
      <c r="C91" s="127"/>
      <c r="D91" s="127" t="s">
        <v>558</v>
      </c>
      <c r="E91" s="124"/>
      <c r="F91" s="176"/>
      <c r="G91" s="176"/>
      <c r="H91" s="124"/>
      <c r="I91" s="124"/>
      <c r="J91" s="190"/>
      <c r="K91" s="190"/>
      <c r="L91" s="190"/>
    </row>
    <row r="92" spans="2:12" ht="14.5" customHeight="1" x14ac:dyDescent="0.2">
      <c r="B92" s="421" t="s">
        <v>554</v>
      </c>
      <c r="C92" s="117"/>
      <c r="D92" s="117"/>
      <c r="E92" s="122"/>
      <c r="F92" s="174"/>
      <c r="G92" s="174"/>
      <c r="H92" s="122"/>
      <c r="I92" s="122"/>
      <c r="J92" s="170"/>
      <c r="K92" s="170"/>
      <c r="L92" s="170"/>
    </row>
    <row r="93" spans="2:12" ht="14.5" customHeight="1" x14ac:dyDescent="0.2">
      <c r="B93" s="418"/>
      <c r="C93" s="119"/>
      <c r="D93" s="119"/>
      <c r="E93" s="123"/>
      <c r="F93" s="175"/>
      <c r="G93" s="175"/>
      <c r="H93" s="123"/>
      <c r="I93" s="123"/>
      <c r="J93" s="189"/>
      <c r="K93" s="189"/>
      <c r="L93" s="189"/>
    </row>
    <row r="94" spans="2:12" ht="14.5" customHeight="1" x14ac:dyDescent="0.2">
      <c r="B94" s="418"/>
      <c r="C94" s="117"/>
      <c r="D94" s="117"/>
      <c r="E94" s="122"/>
      <c r="F94" s="174"/>
      <c r="G94" s="174"/>
      <c r="H94" s="122"/>
      <c r="I94" s="122"/>
      <c r="J94" s="170"/>
      <c r="K94" s="170"/>
      <c r="L94" s="170"/>
    </row>
    <row r="95" spans="2:12" ht="14.5" customHeight="1" x14ac:dyDescent="0.2">
      <c r="B95" s="418"/>
      <c r="C95" s="119"/>
      <c r="D95" s="119"/>
      <c r="E95" s="123"/>
      <c r="F95" s="175"/>
      <c r="G95" s="175"/>
      <c r="H95" s="123"/>
      <c r="I95" s="123"/>
      <c r="J95" s="189"/>
      <c r="K95" s="189"/>
      <c r="L95" s="189"/>
    </row>
    <row r="96" spans="2:12" ht="14.5" customHeight="1" x14ac:dyDescent="0.2">
      <c r="B96" s="419"/>
      <c r="C96" s="127"/>
      <c r="D96" s="127" t="s">
        <v>557</v>
      </c>
      <c r="E96" s="124"/>
      <c r="F96" s="176"/>
      <c r="G96" s="176"/>
      <c r="H96" s="124"/>
      <c r="I96" s="124"/>
      <c r="J96" s="190"/>
      <c r="K96" s="190"/>
      <c r="L96" s="190"/>
    </row>
    <row r="97" spans="2:12" ht="14.5" customHeight="1" x14ac:dyDescent="0.2">
      <c r="B97" s="421" t="s">
        <v>621</v>
      </c>
      <c r="C97" s="117"/>
      <c r="D97" s="117"/>
      <c r="E97" s="122"/>
      <c r="F97" s="174"/>
      <c r="G97" s="174"/>
      <c r="H97" s="122"/>
      <c r="I97" s="122"/>
      <c r="J97" s="170"/>
      <c r="K97" s="170"/>
      <c r="L97" s="170"/>
    </row>
    <row r="98" spans="2:12" ht="14.5" customHeight="1" x14ac:dyDescent="0.2">
      <c r="B98" s="418"/>
      <c r="C98" s="119"/>
      <c r="D98" s="119"/>
      <c r="E98" s="123"/>
      <c r="F98" s="175"/>
      <c r="G98" s="175"/>
      <c r="H98" s="123"/>
      <c r="I98" s="123"/>
      <c r="J98" s="189"/>
      <c r="K98" s="189"/>
      <c r="L98" s="189"/>
    </row>
    <row r="99" spans="2:12" ht="14.5" customHeight="1" x14ac:dyDescent="0.2">
      <c r="B99" s="419"/>
      <c r="C99" s="127"/>
      <c r="D99" s="127" t="s">
        <v>622</v>
      </c>
      <c r="E99" s="124"/>
      <c r="F99" s="176"/>
      <c r="G99" s="176"/>
      <c r="H99" s="124"/>
      <c r="I99" s="124"/>
      <c r="J99" s="190"/>
      <c r="K99" s="190"/>
      <c r="L99" s="190"/>
    </row>
    <row r="100" spans="2:12" ht="14.5" customHeight="1" x14ac:dyDescent="0.2">
      <c r="B100" s="421" t="s">
        <v>625</v>
      </c>
      <c r="C100" s="117"/>
      <c r="D100" s="117"/>
      <c r="E100" s="122"/>
      <c r="F100" s="174"/>
      <c r="G100" s="174"/>
      <c r="H100" s="122"/>
      <c r="I100" s="122"/>
      <c r="J100" s="170"/>
      <c r="K100" s="170"/>
      <c r="L100" s="170"/>
    </row>
    <row r="101" spans="2:12" ht="14.5" customHeight="1" x14ac:dyDescent="0.2">
      <c r="B101" s="418"/>
      <c r="C101" s="119"/>
      <c r="D101" s="119"/>
      <c r="E101" s="123"/>
      <c r="F101" s="175"/>
      <c r="G101" s="175"/>
      <c r="H101" s="123"/>
      <c r="I101" s="123"/>
      <c r="J101" s="189"/>
      <c r="K101" s="189"/>
      <c r="L101" s="189"/>
    </row>
    <row r="102" spans="2:12" ht="14.5" customHeight="1" x14ac:dyDescent="0.2">
      <c r="B102" s="419"/>
      <c r="C102" s="127"/>
      <c r="D102" s="127" t="s">
        <v>628</v>
      </c>
      <c r="E102" s="124"/>
      <c r="F102" s="176"/>
      <c r="G102" s="176"/>
      <c r="H102" s="124"/>
      <c r="I102" s="124"/>
      <c r="J102" s="190"/>
      <c r="K102" s="190"/>
      <c r="L102" s="190"/>
    </row>
    <row r="103" spans="2:12" ht="14.5" customHeight="1" x14ac:dyDescent="0.2">
      <c r="B103" s="127"/>
      <c r="C103" s="127"/>
      <c r="D103" s="127" t="s">
        <v>629</v>
      </c>
      <c r="E103" s="124"/>
      <c r="F103" s="176"/>
      <c r="G103" s="176"/>
      <c r="H103" s="124"/>
      <c r="I103" s="124"/>
      <c r="J103" s="190"/>
      <c r="K103" s="190"/>
      <c r="L103" s="190"/>
    </row>
    <row r="104" spans="2:12" ht="14.5" customHeight="1" x14ac:dyDescent="0.2">
      <c r="B104" s="421" t="s">
        <v>603</v>
      </c>
      <c r="C104" s="117"/>
      <c r="D104" s="117"/>
      <c r="E104" s="122"/>
      <c r="F104" s="174"/>
      <c r="G104" s="174"/>
      <c r="H104" s="122"/>
      <c r="I104" s="122"/>
      <c r="J104" s="170"/>
      <c r="K104" s="170"/>
      <c r="L104" s="170"/>
    </row>
    <row r="105" spans="2:12" ht="14.5" customHeight="1" x14ac:dyDescent="0.2">
      <c r="B105" s="418"/>
      <c r="C105" s="119"/>
      <c r="D105" s="119"/>
      <c r="E105" s="123"/>
      <c r="F105" s="175"/>
      <c r="G105" s="175"/>
      <c r="H105" s="123"/>
      <c r="I105" s="123"/>
      <c r="J105" s="189"/>
      <c r="K105" s="189"/>
      <c r="L105" s="189"/>
    </row>
    <row r="106" spans="2:12" ht="14.5" customHeight="1" x14ac:dyDescent="0.2">
      <c r="B106" s="418"/>
      <c r="C106" s="117"/>
      <c r="D106" s="117"/>
      <c r="E106" s="122"/>
      <c r="F106" s="174"/>
      <c r="G106" s="174"/>
      <c r="H106" s="122"/>
      <c r="I106" s="122"/>
      <c r="J106" s="170"/>
      <c r="K106" s="170"/>
      <c r="L106" s="170"/>
    </row>
    <row r="107" spans="2:12" ht="15" customHeight="1" x14ac:dyDescent="0.2">
      <c r="B107" s="418"/>
      <c r="C107" s="119"/>
      <c r="D107" s="119"/>
      <c r="E107" s="123"/>
      <c r="F107" s="175"/>
      <c r="G107" s="175"/>
      <c r="H107" s="123"/>
      <c r="I107" s="123"/>
      <c r="J107" s="189"/>
      <c r="K107" s="189"/>
      <c r="L107" s="189"/>
    </row>
    <row r="108" spans="2:12" ht="15" customHeight="1" x14ac:dyDescent="0.2">
      <c r="B108" s="419"/>
      <c r="C108" s="127"/>
      <c r="D108" s="127" t="s">
        <v>604</v>
      </c>
      <c r="E108" s="124"/>
      <c r="F108" s="176"/>
      <c r="G108" s="176"/>
      <c r="H108" s="124"/>
      <c r="I108" s="124"/>
      <c r="J108" s="190"/>
      <c r="K108" s="190"/>
      <c r="L108" s="190"/>
    </row>
    <row r="109" spans="2:12" ht="15" customHeight="1" x14ac:dyDescent="0.2">
      <c r="B109" s="421" t="s">
        <v>632</v>
      </c>
      <c r="C109" s="117"/>
      <c r="D109" s="117"/>
      <c r="E109" s="122"/>
      <c r="F109" s="174"/>
      <c r="G109" s="174"/>
      <c r="H109" s="122"/>
      <c r="I109" s="122"/>
      <c r="J109" s="170"/>
      <c r="K109" s="170"/>
      <c r="L109" s="170"/>
    </row>
    <row r="110" spans="2:12" ht="14.5" customHeight="1" x14ac:dyDescent="0.2">
      <c r="B110" s="418"/>
      <c r="C110" s="119"/>
      <c r="D110" s="119"/>
      <c r="E110" s="123"/>
      <c r="F110" s="175"/>
      <c r="G110" s="175"/>
      <c r="H110" s="123"/>
      <c r="I110" s="123"/>
      <c r="J110" s="189"/>
      <c r="K110" s="189"/>
      <c r="L110" s="189"/>
    </row>
    <row r="111" spans="2:12" ht="14.5" customHeight="1" x14ac:dyDescent="0.2">
      <c r="B111" s="419"/>
      <c r="C111" s="127"/>
      <c r="D111" s="127" t="s">
        <v>633</v>
      </c>
      <c r="E111" s="124"/>
      <c r="F111" s="176"/>
      <c r="G111" s="176"/>
      <c r="H111" s="124"/>
      <c r="I111" s="124"/>
      <c r="J111" s="190"/>
      <c r="K111" s="190"/>
      <c r="L111" s="190"/>
    </row>
    <row r="112" spans="2:12" ht="14.5" customHeight="1" x14ac:dyDescent="0.2">
      <c r="B112" s="421" t="s">
        <v>787</v>
      </c>
      <c r="C112" s="117"/>
      <c r="D112" s="117"/>
      <c r="E112" s="122"/>
      <c r="F112" s="174"/>
      <c r="G112" s="174"/>
      <c r="H112" s="122"/>
      <c r="I112" s="122"/>
      <c r="J112" s="170"/>
      <c r="K112" s="170"/>
      <c r="L112" s="170"/>
    </row>
    <row r="113" spans="2:12" ht="14.5" customHeight="1" x14ac:dyDescent="0.2">
      <c r="B113" s="418"/>
      <c r="C113" s="119"/>
      <c r="D113" s="119"/>
      <c r="E113" s="123"/>
      <c r="F113" s="175"/>
      <c r="G113" s="175"/>
      <c r="H113" s="123"/>
      <c r="I113" s="123"/>
      <c r="J113" s="189"/>
      <c r="K113" s="189"/>
      <c r="L113" s="189"/>
    </row>
    <row r="114" spans="2:12" ht="14.5" customHeight="1" x14ac:dyDescent="0.2">
      <c r="B114" s="127"/>
      <c r="C114" s="127"/>
      <c r="D114" s="127" t="s">
        <v>638</v>
      </c>
      <c r="E114" s="124"/>
      <c r="F114" s="176"/>
      <c r="G114" s="176"/>
      <c r="H114" s="124"/>
      <c r="I114" s="124"/>
      <c r="J114" s="190"/>
      <c r="K114" s="190"/>
      <c r="L114" s="190"/>
    </row>
    <row r="115" spans="2:12" ht="14.5" customHeight="1" x14ac:dyDescent="0.2">
      <c r="B115" s="421" t="s">
        <v>786</v>
      </c>
      <c r="C115" s="117"/>
      <c r="D115" s="117"/>
      <c r="E115" s="122"/>
      <c r="F115" s="174"/>
      <c r="G115" s="174"/>
      <c r="H115" s="122"/>
      <c r="I115" s="122"/>
      <c r="J115" s="170"/>
      <c r="K115" s="170"/>
      <c r="L115" s="170"/>
    </row>
    <row r="116" spans="2:12" ht="14.5" customHeight="1" x14ac:dyDescent="0.2">
      <c r="B116" s="418"/>
      <c r="C116" s="119"/>
      <c r="D116" s="119"/>
      <c r="E116" s="123"/>
      <c r="F116" s="175"/>
      <c r="G116" s="175"/>
      <c r="H116" s="123"/>
      <c r="I116" s="123"/>
      <c r="J116" s="189"/>
      <c r="K116" s="189"/>
      <c r="L116" s="189"/>
    </row>
    <row r="117" spans="2:12" ht="14.5" customHeight="1" x14ac:dyDescent="0.2">
      <c r="B117" s="418"/>
      <c r="C117" s="117"/>
      <c r="D117" s="117"/>
      <c r="E117" s="122"/>
      <c r="F117" s="174"/>
      <c r="G117" s="174"/>
      <c r="H117" s="122"/>
      <c r="I117" s="122"/>
      <c r="J117" s="170"/>
      <c r="K117" s="170"/>
      <c r="L117" s="170"/>
    </row>
    <row r="118" spans="2:12" ht="14.5" customHeight="1" x14ac:dyDescent="0.2">
      <c r="B118" s="418"/>
      <c r="C118" s="119"/>
      <c r="D118" s="119"/>
      <c r="E118" s="123"/>
      <c r="F118" s="175"/>
      <c r="G118" s="175"/>
      <c r="H118" s="123"/>
      <c r="I118" s="123"/>
      <c r="J118" s="189"/>
      <c r="K118" s="189"/>
      <c r="L118" s="189"/>
    </row>
    <row r="119" spans="2:12" ht="14.5" customHeight="1" x14ac:dyDescent="0.2">
      <c r="B119" s="419"/>
      <c r="C119" s="127"/>
      <c r="D119" s="127" t="s">
        <v>639</v>
      </c>
      <c r="E119" s="124"/>
      <c r="F119" s="176"/>
      <c r="G119" s="176"/>
      <c r="H119" s="124"/>
      <c r="I119" s="124"/>
      <c r="J119" s="190"/>
      <c r="K119" s="190"/>
      <c r="L119" s="190"/>
    </row>
    <row r="120" spans="2:12" ht="14.5" customHeight="1" x14ac:dyDescent="0.2">
      <c r="B120" s="421" t="s">
        <v>641</v>
      </c>
      <c r="C120" s="117"/>
      <c r="D120" s="117"/>
      <c r="E120" s="122"/>
      <c r="F120" s="174"/>
      <c r="G120" s="174"/>
      <c r="H120" s="122"/>
      <c r="I120" s="122"/>
      <c r="J120" s="170"/>
      <c r="K120" s="170"/>
      <c r="L120" s="170"/>
    </row>
    <row r="121" spans="2:12" ht="14.5" customHeight="1" x14ac:dyDescent="0.2">
      <c r="B121" s="418"/>
      <c r="C121" s="119"/>
      <c r="D121" s="119"/>
      <c r="E121" s="123"/>
      <c r="F121" s="175"/>
      <c r="G121" s="175"/>
      <c r="H121" s="123"/>
      <c r="I121" s="123"/>
      <c r="J121" s="189"/>
      <c r="K121" s="189"/>
      <c r="L121" s="189"/>
    </row>
    <row r="122" spans="2:12" ht="14.5" customHeight="1" x14ac:dyDescent="0.2">
      <c r="B122" s="419"/>
      <c r="C122" s="127"/>
      <c r="D122" s="127" t="s">
        <v>642</v>
      </c>
      <c r="E122" s="124"/>
      <c r="F122" s="176"/>
      <c r="G122" s="176"/>
      <c r="H122" s="124"/>
      <c r="I122" s="124"/>
      <c r="J122" s="190"/>
      <c r="K122" s="190"/>
      <c r="L122" s="190"/>
    </row>
    <row r="123" spans="2:12" ht="14.5" customHeight="1" x14ac:dyDescent="0.2">
      <c r="B123" s="127"/>
      <c r="C123" s="127"/>
      <c r="D123" s="127" t="s">
        <v>643</v>
      </c>
      <c r="E123" s="124"/>
      <c r="F123" s="176"/>
      <c r="G123" s="176"/>
      <c r="H123" s="124"/>
      <c r="I123" s="124"/>
      <c r="J123" s="190"/>
      <c r="K123" s="190"/>
      <c r="L123" s="190"/>
    </row>
    <row r="124" spans="2:12" ht="14.5" customHeight="1" x14ac:dyDescent="0.2">
      <c r="B124" s="421" t="s">
        <v>644</v>
      </c>
      <c r="C124" s="117"/>
      <c r="D124" s="117"/>
      <c r="E124" s="122"/>
      <c r="F124" s="174"/>
      <c r="G124" s="174"/>
      <c r="H124" s="122"/>
      <c r="I124" s="122"/>
      <c r="J124" s="170"/>
      <c r="K124" s="170"/>
      <c r="L124" s="170"/>
    </row>
    <row r="125" spans="2:12" ht="14.5" customHeight="1" x14ac:dyDescent="0.2">
      <c r="B125" s="418"/>
      <c r="C125" s="119"/>
      <c r="D125" s="119"/>
      <c r="E125" s="123"/>
      <c r="F125" s="175"/>
      <c r="G125" s="175"/>
      <c r="H125" s="123"/>
      <c r="I125" s="123"/>
      <c r="J125" s="189"/>
      <c r="K125" s="189"/>
      <c r="L125" s="189"/>
    </row>
    <row r="126" spans="2:12" ht="14.5" customHeight="1" x14ac:dyDescent="0.2">
      <c r="B126" s="419"/>
      <c r="C126" s="127"/>
      <c r="D126" s="127" t="s">
        <v>645</v>
      </c>
      <c r="E126" s="124"/>
      <c r="F126" s="176"/>
      <c r="G126" s="176"/>
      <c r="H126" s="124"/>
      <c r="I126" s="124"/>
      <c r="J126" s="190"/>
      <c r="K126" s="190"/>
      <c r="L126" s="190"/>
    </row>
    <row r="127" spans="2:12" ht="14.5" customHeight="1" x14ac:dyDescent="0.2">
      <c r="B127" s="421" t="s">
        <v>858</v>
      </c>
      <c r="C127" s="117"/>
      <c r="D127" s="117"/>
      <c r="E127" s="122"/>
      <c r="F127" s="174"/>
      <c r="G127" s="174"/>
      <c r="H127" s="122"/>
      <c r="I127" s="122"/>
      <c r="J127" s="170"/>
      <c r="K127" s="170"/>
      <c r="L127" s="170"/>
    </row>
    <row r="128" spans="2:12" ht="14.5" customHeight="1" x14ac:dyDescent="0.2">
      <c r="B128" s="418"/>
      <c r="C128" s="119"/>
      <c r="D128" s="119"/>
      <c r="E128" s="123"/>
      <c r="F128" s="175"/>
      <c r="G128" s="175"/>
      <c r="H128" s="123"/>
      <c r="I128" s="123"/>
      <c r="J128" s="189"/>
      <c r="K128" s="189"/>
      <c r="L128" s="189"/>
    </row>
    <row r="129" spans="2:12" ht="14.5" customHeight="1" x14ac:dyDescent="0.2">
      <c r="B129" s="419"/>
      <c r="C129" s="127"/>
      <c r="D129" s="127" t="s">
        <v>860</v>
      </c>
      <c r="E129" s="124"/>
      <c r="F129" s="176"/>
      <c r="G129" s="176"/>
      <c r="H129" s="124"/>
      <c r="I129" s="124"/>
      <c r="J129" s="190"/>
      <c r="K129" s="190"/>
      <c r="L129" s="190"/>
    </row>
    <row r="130" spans="2:12" ht="14.5" customHeight="1" x14ac:dyDescent="0.2">
      <c r="B130" s="421" t="s">
        <v>649</v>
      </c>
      <c r="C130" s="117"/>
      <c r="D130" s="117"/>
      <c r="E130" s="122"/>
      <c r="F130" s="174"/>
      <c r="G130" s="174"/>
      <c r="H130" s="122"/>
      <c r="I130" s="122"/>
      <c r="J130" s="170"/>
      <c r="K130" s="170"/>
      <c r="L130" s="170"/>
    </row>
    <row r="131" spans="2:12" ht="14.5" customHeight="1" x14ac:dyDescent="0.2">
      <c r="B131" s="418"/>
      <c r="C131" s="119"/>
      <c r="D131" s="119"/>
      <c r="E131" s="123"/>
      <c r="F131" s="175"/>
      <c r="G131" s="175"/>
      <c r="H131" s="123"/>
      <c r="I131" s="123"/>
      <c r="J131" s="189"/>
      <c r="K131" s="189"/>
      <c r="L131" s="189"/>
    </row>
    <row r="132" spans="2:12" ht="14.5" customHeight="1" x14ac:dyDescent="0.2">
      <c r="B132" s="419"/>
      <c r="C132" s="127"/>
      <c r="D132" s="127" t="s">
        <v>654</v>
      </c>
      <c r="E132" s="124"/>
      <c r="F132" s="176"/>
      <c r="G132" s="176"/>
      <c r="H132" s="124"/>
      <c r="I132" s="124"/>
      <c r="J132" s="190"/>
      <c r="K132" s="190"/>
      <c r="L132" s="190"/>
    </row>
    <row r="133" spans="2:12" ht="14.5" customHeight="1" x14ac:dyDescent="0.2">
      <c r="B133" s="421" t="s">
        <v>655</v>
      </c>
      <c r="C133" s="117"/>
      <c r="D133" s="117"/>
      <c r="E133" s="122"/>
      <c r="F133" s="174"/>
      <c r="G133" s="174"/>
      <c r="H133" s="122"/>
      <c r="I133" s="122"/>
      <c r="J133" s="170"/>
      <c r="K133" s="170"/>
      <c r="L133" s="170"/>
    </row>
    <row r="134" spans="2:12" ht="14.5" customHeight="1" x14ac:dyDescent="0.2">
      <c r="B134" s="418"/>
      <c r="C134" s="119"/>
      <c r="D134" s="119"/>
      <c r="E134" s="123"/>
      <c r="F134" s="175"/>
      <c r="G134" s="175"/>
      <c r="H134" s="123"/>
      <c r="I134" s="123"/>
      <c r="J134" s="189"/>
      <c r="K134" s="189"/>
      <c r="L134" s="189"/>
    </row>
    <row r="135" spans="2:12" ht="14.5" customHeight="1" x14ac:dyDescent="0.2">
      <c r="B135" s="419"/>
      <c r="C135" s="127"/>
      <c r="D135" s="127" t="s">
        <v>656</v>
      </c>
      <c r="E135" s="124"/>
      <c r="F135" s="176"/>
      <c r="G135" s="176"/>
      <c r="H135" s="124"/>
      <c r="I135" s="124"/>
      <c r="J135" s="190"/>
      <c r="K135" s="190"/>
      <c r="L135" s="190"/>
    </row>
    <row r="136" spans="2:12" ht="14.5" customHeight="1" x14ac:dyDescent="0.2">
      <c r="B136" s="421" t="s">
        <v>658</v>
      </c>
      <c r="C136" s="117"/>
      <c r="D136" s="117"/>
      <c r="E136" s="122"/>
      <c r="F136" s="174"/>
      <c r="G136" s="174"/>
      <c r="H136" s="122"/>
      <c r="I136" s="122"/>
      <c r="J136" s="170"/>
      <c r="K136" s="170"/>
      <c r="L136" s="170"/>
    </row>
    <row r="137" spans="2:12" ht="14.5" customHeight="1" x14ac:dyDescent="0.2">
      <c r="B137" s="418"/>
      <c r="C137" s="119"/>
      <c r="D137" s="119"/>
      <c r="E137" s="123"/>
      <c r="F137" s="175"/>
      <c r="G137" s="175"/>
      <c r="H137" s="123"/>
      <c r="I137" s="123"/>
      <c r="J137" s="189"/>
      <c r="K137" s="189"/>
      <c r="L137" s="189"/>
    </row>
    <row r="138" spans="2:12" ht="14.5" customHeight="1" x14ac:dyDescent="0.2">
      <c r="B138" s="419"/>
      <c r="C138" s="127"/>
      <c r="D138" s="127" t="s">
        <v>659</v>
      </c>
      <c r="E138" s="124"/>
      <c r="F138" s="176"/>
      <c r="G138" s="176"/>
      <c r="H138" s="124"/>
      <c r="I138" s="124"/>
      <c r="J138" s="190"/>
      <c r="K138" s="190"/>
      <c r="L138" s="190"/>
    </row>
    <row r="139" spans="2:12" ht="14.5" customHeight="1" x14ac:dyDescent="0.2">
      <c r="B139" s="127"/>
      <c r="C139" s="127"/>
      <c r="D139" s="127" t="s">
        <v>663</v>
      </c>
      <c r="E139" s="124"/>
      <c r="F139" s="176"/>
      <c r="G139" s="176"/>
      <c r="H139" s="124"/>
      <c r="I139" s="124"/>
      <c r="J139" s="190"/>
      <c r="K139" s="190"/>
      <c r="L139" s="190"/>
    </row>
    <row r="140" spans="2:12" ht="14.5" customHeight="1" x14ac:dyDescent="0.2">
      <c r="B140" s="127"/>
      <c r="C140" s="127"/>
      <c r="D140" s="127" t="s">
        <v>55</v>
      </c>
      <c r="E140" s="213"/>
      <c r="F140" s="213"/>
      <c r="G140" s="213"/>
      <c r="H140" s="213"/>
      <c r="I140" s="156"/>
      <c r="J140" s="157"/>
      <c r="K140" s="157"/>
      <c r="L140" s="157"/>
    </row>
    <row r="145" spans="2:12" ht="14.5" customHeight="1" x14ac:dyDescent="0.2">
      <c r="B145" s="4" t="s">
        <v>888</v>
      </c>
      <c r="C145" s="5"/>
      <c r="D145" s="5"/>
      <c r="E145" s="33"/>
      <c r="F145" s="33"/>
      <c r="G145" s="33"/>
      <c r="H145" s="33"/>
    </row>
    <row r="146" spans="2:12" ht="14.5" customHeight="1" x14ac:dyDescent="0.2">
      <c r="B146" s="8"/>
      <c r="C146" s="8"/>
      <c r="D146" s="8"/>
      <c r="E146" s="35"/>
      <c r="F146" s="35"/>
      <c r="G146" s="35"/>
      <c r="H146" s="35"/>
    </row>
    <row r="147" spans="2:12" ht="14.5" customHeight="1" x14ac:dyDescent="0.2">
      <c r="B147" s="388" t="s">
        <v>0</v>
      </c>
      <c r="C147" s="388" t="s">
        <v>270</v>
      </c>
      <c r="D147" s="388" t="s">
        <v>452</v>
      </c>
      <c r="E147" s="385" t="s">
        <v>453</v>
      </c>
      <c r="F147" s="385"/>
      <c r="G147" s="385" t="s">
        <v>454</v>
      </c>
      <c r="H147" s="385"/>
      <c r="I147" s="394" t="s">
        <v>455</v>
      </c>
      <c r="J147" s="398" t="s">
        <v>456</v>
      </c>
      <c r="K147" s="398" t="s">
        <v>457</v>
      </c>
      <c r="L147" s="398" t="s">
        <v>458</v>
      </c>
    </row>
    <row r="148" spans="2:12" ht="14.5" customHeight="1" x14ac:dyDescent="0.2">
      <c r="B148" s="388"/>
      <c r="C148" s="388"/>
      <c r="D148" s="388"/>
      <c r="E148" s="36" t="s">
        <v>459</v>
      </c>
      <c r="F148" s="54" t="s">
        <v>460</v>
      </c>
      <c r="G148" s="36" t="s">
        <v>459</v>
      </c>
      <c r="H148" s="54" t="s">
        <v>460</v>
      </c>
      <c r="I148" s="394"/>
      <c r="J148" s="398"/>
      <c r="K148" s="398"/>
      <c r="L148" s="398"/>
    </row>
    <row r="149" spans="2:12" ht="14.5" customHeight="1" x14ac:dyDescent="0.2">
      <c r="B149" s="421" t="s">
        <v>865</v>
      </c>
      <c r="C149" s="117"/>
      <c r="D149" s="117"/>
      <c r="E149" s="122"/>
      <c r="F149" s="174"/>
      <c r="G149" s="174"/>
      <c r="H149" s="122"/>
      <c r="I149" s="122"/>
      <c r="J149" s="170"/>
      <c r="K149" s="170"/>
      <c r="L149" s="170"/>
    </row>
    <row r="150" spans="2:12" ht="14.5" customHeight="1" x14ac:dyDescent="0.2">
      <c r="B150" s="418"/>
      <c r="C150" s="119"/>
      <c r="D150" s="119"/>
      <c r="E150" s="123"/>
      <c r="F150" s="175"/>
      <c r="G150" s="175"/>
      <c r="H150" s="123"/>
      <c r="I150" s="123"/>
      <c r="J150" s="189"/>
      <c r="K150" s="189"/>
      <c r="L150" s="189"/>
    </row>
    <row r="151" spans="2:12" ht="14.5" customHeight="1" x14ac:dyDescent="0.2">
      <c r="B151" s="419"/>
      <c r="C151" s="127"/>
      <c r="D151" s="127" t="s">
        <v>866</v>
      </c>
      <c r="E151" s="124"/>
      <c r="F151" s="176"/>
      <c r="G151" s="176"/>
      <c r="H151" s="124"/>
      <c r="I151" s="124"/>
      <c r="J151" s="190"/>
      <c r="K151" s="190"/>
      <c r="L151" s="190"/>
    </row>
    <row r="152" spans="2:12" ht="14.5" customHeight="1" x14ac:dyDescent="0.2">
      <c r="B152" s="127"/>
      <c r="C152" s="127"/>
      <c r="D152" s="127" t="s">
        <v>889</v>
      </c>
      <c r="E152" s="124"/>
      <c r="F152" s="176"/>
      <c r="G152" s="176"/>
      <c r="H152" s="124"/>
      <c r="I152" s="124"/>
      <c r="J152" s="190"/>
      <c r="K152" s="190"/>
      <c r="L152" s="190"/>
    </row>
    <row r="154" spans="2:12" s="45" customFormat="1" ht="14.5" customHeight="1" x14ac:dyDescent="0.2">
      <c r="E154" s="46"/>
      <c r="F154" s="46"/>
      <c r="G154" s="46"/>
      <c r="H154" s="47" t="s">
        <v>78</v>
      </c>
      <c r="I154" s="47"/>
      <c r="J154" s="128">
        <f>'Pencapaian Sales Value'!I340</f>
        <v>18617500</v>
      </c>
      <c r="K154" s="128"/>
      <c r="L154" s="128"/>
    </row>
    <row r="155" spans="2:12" s="45" customFormat="1" ht="14.5" customHeight="1" x14ac:dyDescent="0.2">
      <c r="E155" s="46"/>
      <c r="F155" s="46"/>
      <c r="G155" s="46"/>
      <c r="H155" s="47" t="s">
        <v>80</v>
      </c>
      <c r="I155" s="47"/>
      <c r="J155" s="128">
        <f>'Pencapaian Product Focus'!N340</f>
        <v>5062000</v>
      </c>
      <c r="K155" s="128"/>
      <c r="L155" s="128"/>
    </row>
    <row r="156" spans="2:12" s="45" customFormat="1" ht="14.5" customHeight="1" x14ac:dyDescent="0.2">
      <c r="E156" s="46"/>
      <c r="F156" s="46"/>
      <c r="G156" s="46"/>
      <c r="H156" s="47" t="s">
        <v>138</v>
      </c>
      <c r="I156" s="47"/>
      <c r="J156" s="128">
        <f>'Pencapaian Effective Call'!I341</f>
        <v>4324500</v>
      </c>
      <c r="K156" s="128"/>
      <c r="L156" s="128"/>
    </row>
    <row r="157" spans="2:12" s="45" customFormat="1" ht="14.5" customHeight="1" x14ac:dyDescent="0.2">
      <c r="E157" s="46"/>
      <c r="F157" s="46"/>
      <c r="G157" s="46"/>
      <c r="H157" s="47" t="s">
        <v>153</v>
      </c>
      <c r="I157" s="47"/>
      <c r="J157" s="128">
        <f>'Pencapaian New Open Outlet'!I342</f>
        <v>1949250</v>
      </c>
      <c r="K157" s="128"/>
      <c r="L157" s="128"/>
    </row>
    <row r="158" spans="2:12" s="45" customFormat="1" ht="14.5" customHeight="1" x14ac:dyDescent="0.2">
      <c r="E158" s="46"/>
      <c r="F158" s="46"/>
      <c r="G158" s="46"/>
      <c r="H158" s="47" t="s">
        <v>79</v>
      </c>
      <c r="I158" s="47"/>
      <c r="J158" s="128">
        <f>'Pencapaian Active Outlet'!I343</f>
        <v>7007500</v>
      </c>
      <c r="K158" s="128"/>
      <c r="L158" s="128"/>
    </row>
    <row r="159" spans="2:12" s="45" customFormat="1" ht="14.5" customHeight="1" x14ac:dyDescent="0.2">
      <c r="E159" s="46"/>
      <c r="F159" s="46"/>
      <c r="G159" s="46"/>
      <c r="H159" s="47" t="s">
        <v>136</v>
      </c>
      <c r="I159" s="47"/>
      <c r="J159" s="128">
        <f>'Pencapaian Item per Outlet'!I344</f>
        <v>1646000</v>
      </c>
      <c r="K159" s="128"/>
      <c r="L159" s="128"/>
    </row>
    <row r="160" spans="2:12" s="45" customFormat="1" ht="14.5" customHeight="1" x14ac:dyDescent="0.2">
      <c r="E160" s="46"/>
      <c r="F160" s="46"/>
      <c r="G160" s="46"/>
      <c r="H160" s="47" t="s">
        <v>414</v>
      </c>
      <c r="I160" s="47"/>
      <c r="J160" s="128">
        <f>'Pencapaian Product Display'!I345</f>
        <v>40000</v>
      </c>
      <c r="K160" s="128"/>
      <c r="L160" s="128"/>
    </row>
    <row r="161" spans="5:12" s="45" customFormat="1" ht="14.5" customHeight="1" x14ac:dyDescent="0.2">
      <c r="E161" s="46"/>
      <c r="F161" s="46"/>
      <c r="G161" s="46"/>
      <c r="H161" s="47" t="s">
        <v>415</v>
      </c>
      <c r="I161" s="47"/>
      <c r="J161" s="128">
        <f>'Pencapaian Sales Contract'!I346</f>
        <v>0</v>
      </c>
      <c r="K161" s="128"/>
      <c r="L161" s="128"/>
    </row>
    <row r="162" spans="5:12" ht="14.5" customHeight="1" x14ac:dyDescent="0.2">
      <c r="H162" s="47" t="s">
        <v>416</v>
      </c>
      <c r="I162" s="47"/>
      <c r="J162" s="128">
        <f>'Pencapaian Co-Branding'!I347</f>
        <v>0</v>
      </c>
      <c r="K162" s="128"/>
      <c r="L162" s="128"/>
    </row>
    <row r="163" spans="5:12" ht="14.5" customHeight="1" x14ac:dyDescent="0.2">
      <c r="H163" s="47" t="s">
        <v>417</v>
      </c>
      <c r="I163" s="47"/>
      <c r="J163" s="128">
        <f>'Pencapaian Join Event Activity'!I348</f>
        <v>50000</v>
      </c>
      <c r="K163" s="128"/>
      <c r="L163" s="128"/>
    </row>
    <row r="164" spans="5:12" ht="14.5" customHeight="1" x14ac:dyDescent="0.2">
      <c r="H164" s="47" t="s">
        <v>418</v>
      </c>
      <c r="I164" s="47"/>
      <c r="J164" s="128">
        <f>SUM(J140,J68,J43,J29,J12)</f>
        <v>220000</v>
      </c>
      <c r="K164" s="128"/>
      <c r="L164" s="128"/>
    </row>
    <row r="165" spans="5:12" ht="14.5" customHeight="1" x14ac:dyDescent="0.2">
      <c r="H165" s="47"/>
      <c r="I165" s="47"/>
      <c r="J165" s="229"/>
      <c r="K165" s="238"/>
      <c r="L165" s="238"/>
    </row>
    <row r="166" spans="5:12" x14ac:dyDescent="0.2">
      <c r="H166" s="50" t="s">
        <v>62</v>
      </c>
      <c r="I166" s="50"/>
      <c r="J166" s="235">
        <f>SUM(J154:J164)</f>
        <v>38916750</v>
      </c>
      <c r="K166" s="239"/>
      <c r="L166" s="239"/>
    </row>
    <row r="167" spans="5:12" x14ac:dyDescent="0.2">
      <c r="K167" s="238"/>
      <c r="L167" s="238"/>
    </row>
  </sheetData>
  <mergeCells count="86">
    <mergeCell ref="K76:K77"/>
    <mergeCell ref="L76:L77"/>
    <mergeCell ref="B64:B65"/>
    <mergeCell ref="B62:B63"/>
    <mergeCell ref="B76:B77"/>
    <mergeCell ref="C76:C77"/>
    <mergeCell ref="D76:D77"/>
    <mergeCell ref="E76:F76"/>
    <mergeCell ref="G76:H76"/>
    <mergeCell ref="I76:I77"/>
    <mergeCell ref="J76:J77"/>
    <mergeCell ref="I51:I52"/>
    <mergeCell ref="J51:J52"/>
    <mergeCell ref="K51:K52"/>
    <mergeCell ref="L51:L52"/>
    <mergeCell ref="B53:B54"/>
    <mergeCell ref="B55:B58"/>
    <mergeCell ref="J37:J38"/>
    <mergeCell ref="K37:K38"/>
    <mergeCell ref="L37:L38"/>
    <mergeCell ref="B39:B40"/>
    <mergeCell ref="B41:B42"/>
    <mergeCell ref="B51:B52"/>
    <mergeCell ref="C51:C52"/>
    <mergeCell ref="D51:D52"/>
    <mergeCell ref="E51:F51"/>
    <mergeCell ref="G51:H51"/>
    <mergeCell ref="B37:B38"/>
    <mergeCell ref="C37:C38"/>
    <mergeCell ref="D37:D38"/>
    <mergeCell ref="E37:F37"/>
    <mergeCell ref="G37:H37"/>
    <mergeCell ref="I37:I38"/>
    <mergeCell ref="J20:J21"/>
    <mergeCell ref="K20:K21"/>
    <mergeCell ref="L20:L21"/>
    <mergeCell ref="B25:B26"/>
    <mergeCell ref="B27:B28"/>
    <mergeCell ref="B20:B21"/>
    <mergeCell ref="C20:C21"/>
    <mergeCell ref="D20:D21"/>
    <mergeCell ref="E20:F20"/>
    <mergeCell ref="G20:H20"/>
    <mergeCell ref="I20:I21"/>
    <mergeCell ref="B22:B24"/>
    <mergeCell ref="J3:J4"/>
    <mergeCell ref="K3:K4"/>
    <mergeCell ref="L3:L4"/>
    <mergeCell ref="B8:B9"/>
    <mergeCell ref="G3:H3"/>
    <mergeCell ref="I3:I4"/>
    <mergeCell ref="B5:B7"/>
    <mergeCell ref="B10:B11"/>
    <mergeCell ref="B3:B4"/>
    <mergeCell ref="C3:C4"/>
    <mergeCell ref="D3:D4"/>
    <mergeCell ref="E3:F3"/>
    <mergeCell ref="B136:B138"/>
    <mergeCell ref="B100:B102"/>
    <mergeCell ref="B112:B113"/>
    <mergeCell ref="B104:B108"/>
    <mergeCell ref="B109:B111"/>
    <mergeCell ref="B115:B119"/>
    <mergeCell ref="B59:B61"/>
    <mergeCell ref="B120:B122"/>
    <mergeCell ref="B124:B126"/>
    <mergeCell ref="B130:B132"/>
    <mergeCell ref="B133:B135"/>
    <mergeCell ref="B78:B80"/>
    <mergeCell ref="B81:B85"/>
    <mergeCell ref="B86:B87"/>
    <mergeCell ref="B89:B91"/>
    <mergeCell ref="B92:B96"/>
    <mergeCell ref="B97:B99"/>
    <mergeCell ref="B127:B129"/>
    <mergeCell ref="B66:B67"/>
    <mergeCell ref="I147:I148"/>
    <mergeCell ref="J147:J148"/>
    <mergeCell ref="K147:K148"/>
    <mergeCell ref="L147:L148"/>
    <mergeCell ref="B149:B151"/>
    <mergeCell ref="B147:B148"/>
    <mergeCell ref="C147:C148"/>
    <mergeCell ref="D147:D148"/>
    <mergeCell ref="E147:F147"/>
    <mergeCell ref="G147:H14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9787-9031-4C2E-AC5B-4CCC6E968EC2}">
  <dimension ref="A1:O111"/>
  <sheetViews>
    <sheetView showGridLines="0" topLeftCell="A68" zoomScale="90" zoomScaleNormal="90" workbookViewId="0">
      <selection activeCell="G8" sqref="G8:G13"/>
    </sheetView>
  </sheetViews>
  <sheetFormatPr baseColWidth="10" defaultColWidth="8.83203125" defaultRowHeight="15" x14ac:dyDescent="0.2"/>
  <cols>
    <col min="1" max="1" width="15.6640625" style="58" customWidth="1"/>
    <col min="2" max="2" width="30.6640625" customWidth="1"/>
    <col min="3" max="4" width="12.6640625" style="62" customWidth="1"/>
    <col min="5" max="5" width="12.6640625" style="115" customWidth="1"/>
    <col min="6" max="6" width="30.6640625" customWidth="1"/>
    <col min="7" max="7" width="10.1640625" bestFit="1" customWidth="1"/>
    <col min="10" max="10" width="15.6640625" style="58" customWidth="1"/>
    <col min="11" max="11" width="30.6640625" customWidth="1"/>
    <col min="12" max="13" width="12.6640625" style="62" customWidth="1"/>
    <col min="14" max="14" width="12.6640625" style="115" customWidth="1"/>
    <col min="15" max="15" width="30.6640625" customWidth="1"/>
  </cols>
  <sheetData>
    <row r="1" spans="1:15" s="56" customFormat="1" ht="19" x14ac:dyDescent="0.25">
      <c r="A1" s="435" t="s">
        <v>63</v>
      </c>
      <c r="B1" s="435"/>
      <c r="C1" s="435"/>
      <c r="D1" s="435"/>
      <c r="E1" s="435"/>
      <c r="F1" s="435"/>
      <c r="J1" s="435" t="s">
        <v>63</v>
      </c>
      <c r="K1" s="435"/>
      <c r="L1" s="435"/>
      <c r="M1" s="435"/>
      <c r="N1" s="435"/>
      <c r="O1" s="435"/>
    </row>
    <row r="2" spans="1:15" s="56" customFormat="1" ht="19" x14ac:dyDescent="0.25">
      <c r="A2" s="436" t="s">
        <v>955</v>
      </c>
      <c r="B2" s="436"/>
      <c r="C2" s="436"/>
      <c r="D2" s="436"/>
      <c r="E2" s="436"/>
      <c r="F2" s="436"/>
      <c r="J2" s="436" t="s">
        <v>810</v>
      </c>
      <c r="K2" s="436"/>
      <c r="L2" s="436"/>
      <c r="M2" s="436"/>
      <c r="N2" s="436"/>
      <c r="O2" s="436"/>
    </row>
    <row r="3" spans="1:15" x14ac:dyDescent="0.2">
      <c r="A3" s="57"/>
      <c r="B3" s="113"/>
      <c r="C3" s="114"/>
      <c r="D3" s="114"/>
      <c r="E3" s="113"/>
      <c r="F3" s="113"/>
    </row>
    <row r="4" spans="1:15" ht="18" x14ac:dyDescent="0.35">
      <c r="A4" s="60" t="s">
        <v>128</v>
      </c>
      <c r="B4" s="113"/>
      <c r="C4" s="114"/>
      <c r="D4" s="114"/>
      <c r="E4" s="113"/>
      <c r="F4" s="113"/>
      <c r="J4" s="60" t="s">
        <v>128</v>
      </c>
    </row>
    <row r="5" spans="1:15" ht="27" x14ac:dyDescent="0.45">
      <c r="A5" s="437" t="s">
        <v>972</v>
      </c>
      <c r="B5" s="437"/>
      <c r="C5" s="437"/>
      <c r="D5" s="437"/>
      <c r="E5" s="437"/>
      <c r="F5" s="437"/>
    </row>
    <row r="6" spans="1:15" s="58" customFormat="1" x14ac:dyDescent="0.2">
      <c r="A6" s="432" t="s">
        <v>0</v>
      </c>
      <c r="B6" s="432" t="s">
        <v>2</v>
      </c>
      <c r="C6" s="432" t="s">
        <v>70</v>
      </c>
      <c r="D6" s="432" t="s">
        <v>3</v>
      </c>
      <c r="E6" s="433" t="s">
        <v>10</v>
      </c>
      <c r="F6" s="434" t="s">
        <v>178</v>
      </c>
      <c r="J6" s="275" t="s">
        <v>328</v>
      </c>
    </row>
    <row r="7" spans="1:15" s="58" customFormat="1" ht="14" customHeight="1" x14ac:dyDescent="0.2">
      <c r="A7" s="432"/>
      <c r="B7" s="432"/>
      <c r="C7" s="432"/>
      <c r="D7" s="432"/>
      <c r="E7" s="433"/>
      <c r="F7" s="434"/>
    </row>
    <row r="8" spans="1:15" x14ac:dyDescent="0.2">
      <c r="A8" s="425" t="s">
        <v>13</v>
      </c>
      <c r="B8" s="12" t="s">
        <v>233</v>
      </c>
      <c r="C8" s="186" t="s">
        <v>179</v>
      </c>
      <c r="D8" s="186" t="s">
        <v>14</v>
      </c>
      <c r="E8" s="92">
        <v>556875</v>
      </c>
      <c r="F8" s="428" t="s">
        <v>180</v>
      </c>
    </row>
    <row r="9" spans="1:15" x14ac:dyDescent="0.2">
      <c r="A9" s="426"/>
      <c r="B9" s="12" t="s">
        <v>182</v>
      </c>
      <c r="C9" s="186" t="s">
        <v>181</v>
      </c>
      <c r="D9" s="186"/>
      <c r="E9" s="92">
        <v>227812.5</v>
      </c>
      <c r="F9" s="429"/>
      <c r="G9" s="384"/>
    </row>
    <row r="10" spans="1:15" x14ac:dyDescent="0.2">
      <c r="A10" s="426"/>
      <c r="B10" s="12" t="s">
        <v>183</v>
      </c>
      <c r="C10" s="186" t="s">
        <v>184</v>
      </c>
      <c r="D10" s="186"/>
      <c r="E10" s="92">
        <v>227812.5</v>
      </c>
      <c r="F10" s="429"/>
    </row>
    <row r="11" spans="1:15" x14ac:dyDescent="0.2">
      <c r="A11" s="426"/>
      <c r="B11" s="12"/>
      <c r="C11" s="186"/>
      <c r="D11" s="186"/>
      <c r="E11" s="92"/>
      <c r="F11" s="429"/>
    </row>
    <row r="12" spans="1:15" x14ac:dyDescent="0.2">
      <c r="A12" s="426"/>
      <c r="B12" s="12" t="s">
        <v>234</v>
      </c>
      <c r="C12" s="186" t="s">
        <v>179</v>
      </c>
      <c r="D12" s="186" t="s">
        <v>14</v>
      </c>
      <c r="E12" s="92">
        <v>602250</v>
      </c>
      <c r="F12" s="429"/>
    </row>
    <row r="13" spans="1:15" x14ac:dyDescent="0.2">
      <c r="A13" s="426"/>
      <c r="B13" s="12" t="s">
        <v>290</v>
      </c>
      <c r="C13" s="186" t="s">
        <v>181</v>
      </c>
      <c r="D13" s="186"/>
      <c r="E13" s="92">
        <v>246375</v>
      </c>
      <c r="F13" s="429"/>
    </row>
    <row r="14" spans="1:15" x14ac:dyDescent="0.2">
      <c r="A14" s="426"/>
      <c r="B14" s="12" t="s">
        <v>272</v>
      </c>
      <c r="C14" s="186" t="s">
        <v>184</v>
      </c>
      <c r="D14" s="186"/>
      <c r="E14" s="92">
        <v>246375</v>
      </c>
      <c r="F14" s="429"/>
    </row>
    <row r="15" spans="1:15" x14ac:dyDescent="0.2">
      <c r="A15" s="426"/>
      <c r="B15" s="12"/>
      <c r="C15" s="186"/>
      <c r="D15" s="186"/>
      <c r="E15" s="92"/>
      <c r="F15" s="429"/>
    </row>
    <row r="16" spans="1:15" x14ac:dyDescent="0.2">
      <c r="A16" s="426"/>
      <c r="B16" s="12" t="s">
        <v>235</v>
      </c>
      <c r="C16" s="186" t="s">
        <v>179</v>
      </c>
      <c r="D16" s="186" t="s">
        <v>14</v>
      </c>
      <c r="E16" s="92">
        <v>429000.00000000006</v>
      </c>
      <c r="F16" s="429"/>
    </row>
    <row r="17" spans="1:6" x14ac:dyDescent="0.2">
      <c r="A17" s="426"/>
      <c r="B17" s="12" t="s">
        <v>291</v>
      </c>
      <c r="C17" s="186" t="s">
        <v>181</v>
      </c>
      <c r="D17" s="186"/>
      <c r="E17" s="92">
        <v>175500</v>
      </c>
      <c r="F17" s="429"/>
    </row>
    <row r="18" spans="1:6" x14ac:dyDescent="0.2">
      <c r="A18" s="426"/>
      <c r="B18" s="12" t="s">
        <v>186</v>
      </c>
      <c r="C18" s="186" t="s">
        <v>184</v>
      </c>
      <c r="D18" s="186"/>
      <c r="E18" s="92">
        <v>175500</v>
      </c>
      <c r="F18" s="429"/>
    </row>
    <row r="19" spans="1:6" x14ac:dyDescent="0.2">
      <c r="A19" s="426"/>
      <c r="B19" s="12"/>
      <c r="C19" s="186"/>
      <c r="D19" s="186"/>
      <c r="E19" s="92"/>
      <c r="F19" s="429"/>
    </row>
    <row r="20" spans="1:6" x14ac:dyDescent="0.2">
      <c r="A20" s="426"/>
      <c r="B20" s="12" t="s">
        <v>236</v>
      </c>
      <c r="C20" s="186" t="s">
        <v>179</v>
      </c>
      <c r="D20" s="186" t="s">
        <v>14</v>
      </c>
      <c r="E20" s="92">
        <v>437250.00000000006</v>
      </c>
      <c r="F20" s="429"/>
    </row>
    <row r="21" spans="1:6" x14ac:dyDescent="0.2">
      <c r="A21" s="426"/>
      <c r="B21" s="12" t="s">
        <v>187</v>
      </c>
      <c r="C21" s="186" t="s">
        <v>181</v>
      </c>
      <c r="D21" s="186"/>
      <c r="E21" s="92">
        <v>178875</v>
      </c>
      <c r="F21" s="429"/>
    </row>
    <row r="22" spans="1:6" x14ac:dyDescent="0.2">
      <c r="A22" s="426"/>
      <c r="B22" s="12" t="s">
        <v>232</v>
      </c>
      <c r="C22" s="186" t="s">
        <v>184</v>
      </c>
      <c r="D22" s="186"/>
      <c r="E22" s="92">
        <v>178875</v>
      </c>
      <c r="F22" s="429"/>
    </row>
    <row r="23" spans="1:6" x14ac:dyDescent="0.2">
      <c r="A23" s="426"/>
      <c r="B23" s="12"/>
      <c r="C23" s="186"/>
      <c r="D23" s="186"/>
      <c r="E23" s="92"/>
      <c r="F23" s="429"/>
    </row>
    <row r="24" spans="1:6" x14ac:dyDescent="0.2">
      <c r="A24" s="426"/>
      <c r="B24" s="12" t="s">
        <v>237</v>
      </c>
      <c r="C24" s="186" t="s">
        <v>179</v>
      </c>
      <c r="D24" s="186" t="s">
        <v>18</v>
      </c>
      <c r="E24" s="92">
        <v>370125</v>
      </c>
      <c r="F24" s="429"/>
    </row>
    <row r="25" spans="1:6" x14ac:dyDescent="0.2">
      <c r="A25" s="426"/>
      <c r="B25" s="12" t="s">
        <v>292</v>
      </c>
      <c r="C25" s="186" t="s">
        <v>181</v>
      </c>
      <c r="D25" s="186"/>
      <c r="E25" s="92">
        <v>158625</v>
      </c>
      <c r="F25" s="429"/>
    </row>
    <row r="26" spans="1:6" x14ac:dyDescent="0.2">
      <c r="A26" s="426"/>
      <c r="B26" s="12"/>
      <c r="C26" s="186"/>
      <c r="D26" s="186"/>
      <c r="E26" s="92"/>
      <c r="F26" s="429"/>
    </row>
    <row r="27" spans="1:6" x14ac:dyDescent="0.2">
      <c r="A27" s="426"/>
      <c r="B27" s="12" t="s">
        <v>101</v>
      </c>
      <c r="C27" s="186" t="s">
        <v>179</v>
      </c>
      <c r="D27" s="186" t="s">
        <v>18</v>
      </c>
      <c r="E27" s="92">
        <v>322875</v>
      </c>
      <c r="F27" s="429"/>
    </row>
    <row r="28" spans="1:6" x14ac:dyDescent="0.2">
      <c r="A28" s="426"/>
      <c r="B28" s="12" t="s">
        <v>905</v>
      </c>
      <c r="C28" s="186" t="s">
        <v>181</v>
      </c>
      <c r="D28" s="186"/>
      <c r="E28" s="92">
        <v>138375</v>
      </c>
      <c r="F28" s="429"/>
    </row>
    <row r="29" spans="1:6" x14ac:dyDescent="0.2">
      <c r="A29" s="426"/>
      <c r="B29" s="12"/>
      <c r="C29" s="186"/>
      <c r="D29" s="186"/>
      <c r="E29" s="92"/>
      <c r="F29" s="429"/>
    </row>
    <row r="30" spans="1:6" x14ac:dyDescent="0.2">
      <c r="A30" s="426"/>
      <c r="B30" s="12" t="s">
        <v>157</v>
      </c>
      <c r="C30" s="186" t="s">
        <v>467</v>
      </c>
      <c r="D30" s="186" t="s">
        <v>467</v>
      </c>
      <c r="E30" s="92">
        <v>525000</v>
      </c>
      <c r="F30" s="429"/>
    </row>
    <row r="31" spans="1:6" x14ac:dyDescent="0.2">
      <c r="A31" s="426"/>
      <c r="B31" s="12"/>
      <c r="C31" s="186"/>
      <c r="D31" s="186"/>
      <c r="E31" s="92"/>
      <c r="F31" s="429"/>
    </row>
    <row r="32" spans="1:6" x14ac:dyDescent="0.2">
      <c r="A32" s="426"/>
      <c r="B32" s="12" t="s">
        <v>522</v>
      </c>
      <c r="C32" s="186" t="s">
        <v>20</v>
      </c>
      <c r="D32" s="186" t="s">
        <v>20</v>
      </c>
      <c r="E32" s="92">
        <v>756000</v>
      </c>
      <c r="F32" s="429"/>
    </row>
    <row r="33" spans="1:6" x14ac:dyDescent="0.2">
      <c r="A33" s="426"/>
      <c r="B33" s="12"/>
      <c r="C33" s="186"/>
      <c r="D33" s="186"/>
      <c r="E33" s="92"/>
      <c r="F33" s="429"/>
    </row>
    <row r="34" spans="1:6" x14ac:dyDescent="0.2">
      <c r="A34" s="426"/>
      <c r="B34" s="12" t="s">
        <v>99</v>
      </c>
      <c r="C34" s="186" t="s">
        <v>179</v>
      </c>
      <c r="D34" s="186" t="s">
        <v>14</v>
      </c>
      <c r="E34" s="92">
        <v>470250.00000000006</v>
      </c>
      <c r="F34" s="429"/>
    </row>
    <row r="35" spans="1:6" x14ac:dyDescent="0.2">
      <c r="A35" s="426"/>
      <c r="B35" s="12" t="s">
        <v>188</v>
      </c>
      <c r="C35" s="186" t="s">
        <v>181</v>
      </c>
      <c r="D35" s="186"/>
      <c r="E35" s="92">
        <v>192375</v>
      </c>
      <c r="F35" s="429"/>
    </row>
    <row r="36" spans="1:6" x14ac:dyDescent="0.2">
      <c r="A36" s="426"/>
      <c r="B36" s="12" t="s">
        <v>189</v>
      </c>
      <c r="C36" s="186" t="s">
        <v>184</v>
      </c>
      <c r="D36" s="186"/>
      <c r="E36" s="92">
        <v>192375</v>
      </c>
      <c r="F36" s="429"/>
    </row>
    <row r="37" spans="1:6" x14ac:dyDescent="0.2">
      <c r="A37" s="426"/>
      <c r="B37" s="12"/>
      <c r="C37" s="186"/>
      <c r="D37" s="186"/>
      <c r="E37" s="92"/>
      <c r="F37" s="429"/>
    </row>
    <row r="38" spans="1:6" x14ac:dyDescent="0.2">
      <c r="A38" s="426"/>
      <c r="B38" s="12" t="s">
        <v>100</v>
      </c>
      <c r="C38" s="186" t="s">
        <v>179</v>
      </c>
      <c r="D38" s="186" t="s">
        <v>14</v>
      </c>
      <c r="E38" s="92">
        <v>363000.00000000006</v>
      </c>
      <c r="F38" s="429"/>
    </row>
    <row r="39" spans="1:6" x14ac:dyDescent="0.2">
      <c r="A39" s="426"/>
      <c r="B39" s="12" t="s">
        <v>190</v>
      </c>
      <c r="C39" s="186" t="s">
        <v>181</v>
      </c>
      <c r="D39" s="186"/>
      <c r="E39" s="92">
        <v>148500</v>
      </c>
      <c r="F39" s="429"/>
    </row>
    <row r="40" spans="1:6" x14ac:dyDescent="0.2">
      <c r="A40" s="426"/>
      <c r="B40" s="12" t="s">
        <v>191</v>
      </c>
      <c r="C40" s="186" t="s">
        <v>184</v>
      </c>
      <c r="D40" s="186"/>
      <c r="E40" s="92">
        <v>148500</v>
      </c>
      <c r="F40" s="429"/>
    </row>
    <row r="41" spans="1:6" x14ac:dyDescent="0.2">
      <c r="A41" s="426"/>
      <c r="B41" s="12"/>
      <c r="C41" s="186"/>
      <c r="D41" s="186"/>
      <c r="E41" s="92"/>
      <c r="F41" s="429"/>
    </row>
    <row r="42" spans="1:6" x14ac:dyDescent="0.2">
      <c r="A42" s="426"/>
      <c r="B42" s="12" t="s">
        <v>238</v>
      </c>
      <c r="C42" s="186" t="s">
        <v>179</v>
      </c>
      <c r="D42" s="186" t="s">
        <v>14</v>
      </c>
      <c r="E42" s="92">
        <v>363000.00000000006</v>
      </c>
      <c r="F42" s="429"/>
    </row>
    <row r="43" spans="1:6" x14ac:dyDescent="0.2">
      <c r="A43" s="426"/>
      <c r="B43" s="12" t="s">
        <v>192</v>
      </c>
      <c r="C43" s="186" t="s">
        <v>181</v>
      </c>
      <c r="D43" s="186"/>
      <c r="E43" s="92">
        <v>148500</v>
      </c>
      <c r="F43" s="429"/>
    </row>
    <row r="44" spans="1:6" x14ac:dyDescent="0.2">
      <c r="A44" s="426"/>
      <c r="B44" s="12" t="s">
        <v>193</v>
      </c>
      <c r="C44" s="186" t="s">
        <v>184</v>
      </c>
      <c r="D44" s="186"/>
      <c r="E44" s="92">
        <v>148500</v>
      </c>
      <c r="F44" s="429"/>
    </row>
    <row r="45" spans="1:6" x14ac:dyDescent="0.2">
      <c r="A45" s="426"/>
      <c r="B45" s="12"/>
      <c r="C45" s="186"/>
      <c r="D45" s="186"/>
      <c r="E45" s="92"/>
      <c r="F45" s="429"/>
    </row>
    <row r="46" spans="1:6" x14ac:dyDescent="0.2">
      <c r="A46" s="426"/>
      <c r="B46" s="12" t="s">
        <v>239</v>
      </c>
      <c r="C46" s="186" t="s">
        <v>179</v>
      </c>
      <c r="D46" s="186" t="s">
        <v>14</v>
      </c>
      <c r="E46" s="92">
        <v>495000.00000000006</v>
      </c>
      <c r="F46" s="429"/>
    </row>
    <row r="47" spans="1:6" x14ac:dyDescent="0.2">
      <c r="A47" s="426"/>
      <c r="B47" s="12" t="s">
        <v>194</v>
      </c>
      <c r="C47" s="186" t="s">
        <v>181</v>
      </c>
      <c r="D47" s="186"/>
      <c r="E47" s="92">
        <v>202500</v>
      </c>
      <c r="F47" s="429"/>
    </row>
    <row r="48" spans="1:6" x14ac:dyDescent="0.2">
      <c r="A48" s="426"/>
      <c r="B48" s="12" t="s">
        <v>195</v>
      </c>
      <c r="C48" s="186" t="s">
        <v>184</v>
      </c>
      <c r="D48" s="186"/>
      <c r="E48" s="92">
        <v>202500</v>
      </c>
      <c r="F48" s="429"/>
    </row>
    <row r="49" spans="1:7" x14ac:dyDescent="0.2">
      <c r="A49" s="426"/>
      <c r="B49" s="12"/>
      <c r="C49" s="186"/>
      <c r="D49" s="186"/>
      <c r="E49" s="92"/>
      <c r="F49" s="429"/>
    </row>
    <row r="50" spans="1:7" x14ac:dyDescent="0.2">
      <c r="A50" s="426"/>
      <c r="B50" s="12" t="s">
        <v>294</v>
      </c>
      <c r="C50" s="186" t="s">
        <v>179</v>
      </c>
      <c r="D50" s="186" t="s">
        <v>14</v>
      </c>
      <c r="E50" s="92">
        <v>338250</v>
      </c>
      <c r="F50" s="429"/>
    </row>
    <row r="51" spans="1:7" x14ac:dyDescent="0.2">
      <c r="A51" s="426"/>
      <c r="B51" s="12" t="s">
        <v>176</v>
      </c>
      <c r="C51" s="186" t="s">
        <v>181</v>
      </c>
      <c r="D51" s="186"/>
      <c r="E51" s="92">
        <v>138375</v>
      </c>
      <c r="F51" s="429"/>
    </row>
    <row r="52" spans="1:7" x14ac:dyDescent="0.2">
      <c r="A52" s="426"/>
      <c r="B52" s="12" t="s">
        <v>261</v>
      </c>
      <c r="C52" s="186" t="s">
        <v>184</v>
      </c>
      <c r="D52" s="186"/>
      <c r="E52" s="92">
        <v>138375</v>
      </c>
      <c r="F52" s="429"/>
    </row>
    <row r="53" spans="1:7" x14ac:dyDescent="0.2">
      <c r="A53" s="426"/>
      <c r="B53" s="12"/>
      <c r="C53" s="186"/>
      <c r="D53" s="186"/>
      <c r="E53" s="92"/>
      <c r="F53" s="429"/>
    </row>
    <row r="54" spans="1:7" x14ac:dyDescent="0.2">
      <c r="A54" s="426"/>
      <c r="B54" s="12" t="s">
        <v>273</v>
      </c>
      <c r="C54" s="186" t="s">
        <v>179</v>
      </c>
      <c r="D54" s="186" t="s">
        <v>18</v>
      </c>
      <c r="E54" s="92">
        <v>346500</v>
      </c>
      <c r="F54" s="429"/>
      <c r="G54" t="s">
        <v>812</v>
      </c>
    </row>
    <row r="55" spans="1:7" x14ac:dyDescent="0.2">
      <c r="A55" s="426"/>
      <c r="B55" s="12" t="s">
        <v>185</v>
      </c>
      <c r="C55" s="186" t="s">
        <v>181</v>
      </c>
      <c r="D55" s="186"/>
      <c r="E55" s="92">
        <v>148500</v>
      </c>
      <c r="F55" s="429"/>
      <c r="G55" t="s">
        <v>812</v>
      </c>
    </row>
    <row r="56" spans="1:7" x14ac:dyDescent="0.2">
      <c r="A56" s="426"/>
      <c r="B56" s="12"/>
      <c r="C56" s="186"/>
      <c r="D56" s="186"/>
      <c r="E56" s="92"/>
      <c r="F56" s="429"/>
    </row>
    <row r="57" spans="1:7" x14ac:dyDescent="0.2">
      <c r="A57" s="426"/>
      <c r="B57" s="12" t="s">
        <v>243</v>
      </c>
      <c r="C57" s="186" t="s">
        <v>179</v>
      </c>
      <c r="D57" s="186" t="s">
        <v>14</v>
      </c>
      <c r="E57" s="92">
        <v>429000.00000000006</v>
      </c>
      <c r="F57" s="429"/>
    </row>
    <row r="58" spans="1:7" x14ac:dyDescent="0.2">
      <c r="A58" s="426"/>
      <c r="B58" s="12" t="s">
        <v>577</v>
      </c>
      <c r="C58" s="186" t="s">
        <v>181</v>
      </c>
      <c r="D58" s="186"/>
      <c r="E58" s="92">
        <v>175500</v>
      </c>
      <c r="F58" s="429"/>
    </row>
    <row r="59" spans="1:7" x14ac:dyDescent="0.2">
      <c r="A59" s="426"/>
      <c r="B59" s="12" t="s">
        <v>206</v>
      </c>
      <c r="C59" s="186" t="s">
        <v>184</v>
      </c>
      <c r="D59" s="186"/>
      <c r="E59" s="92">
        <v>175500</v>
      </c>
      <c r="F59" s="429"/>
    </row>
    <row r="60" spans="1:7" x14ac:dyDescent="0.2">
      <c r="A60" s="426"/>
      <c r="B60" s="12"/>
      <c r="C60" s="186"/>
      <c r="D60" s="186"/>
      <c r="E60" s="92"/>
      <c r="F60" s="429"/>
    </row>
    <row r="61" spans="1:7" x14ac:dyDescent="0.2">
      <c r="A61" s="426"/>
      <c r="B61" s="12" t="s">
        <v>521</v>
      </c>
      <c r="C61" s="186" t="s">
        <v>20</v>
      </c>
      <c r="D61" s="186" t="s">
        <v>20</v>
      </c>
      <c r="E61" s="92">
        <v>696000</v>
      </c>
      <c r="F61" s="429"/>
      <c r="G61" t="s">
        <v>812</v>
      </c>
    </row>
    <row r="62" spans="1:7" x14ac:dyDescent="0.2">
      <c r="A62" s="426"/>
      <c r="B62" s="12"/>
      <c r="C62" s="186"/>
      <c r="D62" s="186"/>
      <c r="E62" s="92"/>
      <c r="F62" s="429"/>
    </row>
    <row r="63" spans="1:7" x14ac:dyDescent="0.2">
      <c r="A63" s="426"/>
      <c r="B63" s="12" t="s">
        <v>813</v>
      </c>
      <c r="C63" s="186" t="s">
        <v>468</v>
      </c>
      <c r="D63" s="186" t="s">
        <v>468</v>
      </c>
      <c r="E63" s="92">
        <v>205200</v>
      </c>
      <c r="F63" s="429"/>
    </row>
    <row r="64" spans="1:7" x14ac:dyDescent="0.2">
      <c r="A64" s="426"/>
      <c r="B64" s="12"/>
      <c r="C64" s="186"/>
      <c r="D64" s="186"/>
      <c r="E64" s="92"/>
      <c r="F64" s="429"/>
    </row>
    <row r="65" spans="1:7" x14ac:dyDescent="0.2">
      <c r="A65" s="426"/>
      <c r="B65" s="12" t="s">
        <v>269</v>
      </c>
      <c r="C65" s="186" t="s">
        <v>20</v>
      </c>
      <c r="D65" s="186" t="s">
        <v>20</v>
      </c>
      <c r="E65" s="92">
        <v>144000</v>
      </c>
      <c r="F65" s="429"/>
    </row>
    <row r="66" spans="1:7" x14ac:dyDescent="0.2">
      <c r="A66" s="426"/>
      <c r="B66" s="12"/>
      <c r="C66" s="186"/>
      <c r="D66" s="186"/>
      <c r="E66" s="92"/>
      <c r="F66" s="429"/>
    </row>
    <row r="67" spans="1:7" x14ac:dyDescent="0.2">
      <c r="A67" s="426"/>
      <c r="B67" s="12" t="s">
        <v>258</v>
      </c>
      <c r="C67" s="186" t="s">
        <v>469</v>
      </c>
      <c r="D67" s="186" t="s">
        <v>469</v>
      </c>
      <c r="E67" s="92">
        <v>64500</v>
      </c>
      <c r="F67" s="429"/>
      <c r="G67" t="s">
        <v>811</v>
      </c>
    </row>
    <row r="68" spans="1:7" x14ac:dyDescent="0.2">
      <c r="A68" s="426"/>
      <c r="B68" s="12"/>
      <c r="C68" s="186"/>
      <c r="D68" s="186"/>
      <c r="E68" s="92"/>
      <c r="F68" s="429"/>
    </row>
    <row r="69" spans="1:7" x14ac:dyDescent="0.2">
      <c r="A69" s="426"/>
      <c r="B69" s="12" t="s">
        <v>578</v>
      </c>
      <c r="C69" s="186" t="s">
        <v>469</v>
      </c>
      <c r="D69" s="186" t="s">
        <v>469</v>
      </c>
      <c r="E69" s="92">
        <v>260000</v>
      </c>
      <c r="F69" s="429"/>
      <c r="G69" t="s">
        <v>811</v>
      </c>
    </row>
    <row r="70" spans="1:7" x14ac:dyDescent="0.2">
      <c r="A70" s="426"/>
      <c r="B70" s="12"/>
      <c r="C70" s="186"/>
      <c r="D70" s="186"/>
      <c r="E70" s="92"/>
      <c r="F70" s="429"/>
    </row>
    <row r="71" spans="1:7" x14ac:dyDescent="0.2">
      <c r="A71" s="426"/>
      <c r="B71" s="12" t="s">
        <v>966</v>
      </c>
      <c r="C71" s="186" t="s">
        <v>20</v>
      </c>
      <c r="D71" s="186" t="s">
        <v>20</v>
      </c>
      <c r="E71" s="92">
        <v>200000</v>
      </c>
      <c r="F71" s="429"/>
      <c r="G71" t="s">
        <v>811</v>
      </c>
    </row>
    <row r="72" spans="1:7" x14ac:dyDescent="0.2">
      <c r="A72" s="426"/>
      <c r="B72" s="12"/>
      <c r="C72" s="186"/>
      <c r="D72" s="186"/>
      <c r="E72" s="92"/>
      <c r="F72" s="429"/>
    </row>
    <row r="73" spans="1:7" x14ac:dyDescent="0.2">
      <c r="A73" s="426"/>
      <c r="B73" s="12" t="s">
        <v>338</v>
      </c>
      <c r="C73" s="186" t="s">
        <v>781</v>
      </c>
      <c r="D73" s="186" t="s">
        <v>781</v>
      </c>
      <c r="E73" s="92">
        <v>25000</v>
      </c>
      <c r="F73" s="429"/>
    </row>
    <row r="74" spans="1:7" x14ac:dyDescent="0.2">
      <c r="A74" s="426"/>
      <c r="B74" s="12"/>
      <c r="C74" s="186"/>
      <c r="D74" s="186"/>
      <c r="E74" s="92"/>
      <c r="F74" s="429"/>
    </row>
    <row r="75" spans="1:7" x14ac:dyDescent="0.2">
      <c r="A75" s="427"/>
      <c r="B75" s="431" t="s">
        <v>130</v>
      </c>
      <c r="C75" s="431"/>
      <c r="D75" s="431"/>
      <c r="E75" s="187">
        <f>SUM(E8:E74)</f>
        <v>12513200</v>
      </c>
      <c r="F75" s="430"/>
    </row>
    <row r="79" spans="1:7" x14ac:dyDescent="0.2">
      <c r="A79" s="432" t="s">
        <v>0</v>
      </c>
      <c r="B79" s="432" t="s">
        <v>2</v>
      </c>
      <c r="C79" s="432" t="s">
        <v>70</v>
      </c>
      <c r="D79" s="432" t="s">
        <v>3</v>
      </c>
      <c r="E79" s="433" t="s">
        <v>10</v>
      </c>
      <c r="F79" s="434" t="s">
        <v>178</v>
      </c>
    </row>
    <row r="80" spans="1:7" x14ac:dyDescent="0.2">
      <c r="A80" s="432"/>
      <c r="B80" s="432"/>
      <c r="C80" s="432"/>
      <c r="D80" s="432"/>
      <c r="E80" s="433"/>
      <c r="F80" s="434"/>
    </row>
    <row r="81" spans="1:6" x14ac:dyDescent="0.2">
      <c r="A81" s="425" t="s">
        <v>32</v>
      </c>
      <c r="B81" s="12" t="s">
        <v>103</v>
      </c>
      <c r="C81" s="186" t="s">
        <v>179</v>
      </c>
      <c r="D81" s="186" t="s">
        <v>14</v>
      </c>
      <c r="E81" s="92">
        <v>684750</v>
      </c>
      <c r="F81" s="428" t="s">
        <v>180</v>
      </c>
    </row>
    <row r="82" spans="1:6" x14ac:dyDescent="0.2">
      <c r="A82" s="426"/>
      <c r="B82" s="12" t="s">
        <v>196</v>
      </c>
      <c r="C82" s="186" t="s">
        <v>184</v>
      </c>
      <c r="D82" s="186"/>
      <c r="E82" s="92">
        <v>280125</v>
      </c>
      <c r="F82" s="429"/>
    </row>
    <row r="83" spans="1:6" x14ac:dyDescent="0.2">
      <c r="A83" s="426"/>
      <c r="B83" s="12" t="s">
        <v>240</v>
      </c>
      <c r="C83" s="186" t="s">
        <v>184</v>
      </c>
      <c r="D83" s="186"/>
      <c r="E83" s="92">
        <v>280125</v>
      </c>
      <c r="F83" s="429"/>
    </row>
    <row r="84" spans="1:6" x14ac:dyDescent="0.2">
      <c r="A84" s="426"/>
      <c r="B84" s="12"/>
      <c r="C84" s="186"/>
      <c r="D84" s="186"/>
      <c r="E84" s="92"/>
      <c r="F84" s="429"/>
    </row>
    <row r="85" spans="1:6" x14ac:dyDescent="0.2">
      <c r="A85" s="426"/>
      <c r="B85" s="12" t="s">
        <v>104</v>
      </c>
      <c r="C85" s="186" t="s">
        <v>179</v>
      </c>
      <c r="D85" s="186" t="s">
        <v>18</v>
      </c>
      <c r="E85" s="92">
        <v>614250</v>
      </c>
      <c r="F85" s="429"/>
    </row>
    <row r="86" spans="1:6" x14ac:dyDescent="0.2">
      <c r="A86" s="426"/>
      <c r="B86" s="12" t="s">
        <v>197</v>
      </c>
      <c r="C86" s="186" t="s">
        <v>181</v>
      </c>
      <c r="D86" s="186"/>
      <c r="E86" s="92">
        <v>263250</v>
      </c>
      <c r="F86" s="429"/>
    </row>
    <row r="87" spans="1:6" x14ac:dyDescent="0.2">
      <c r="A87" s="426"/>
      <c r="B87" s="12"/>
      <c r="C87" s="186"/>
      <c r="D87" s="186"/>
      <c r="E87" s="92"/>
      <c r="F87" s="429"/>
    </row>
    <row r="88" spans="1:6" x14ac:dyDescent="0.2">
      <c r="A88" s="426"/>
      <c r="B88" s="12" t="s">
        <v>295</v>
      </c>
      <c r="C88" s="186" t="s">
        <v>179</v>
      </c>
      <c r="D88" s="186" t="s">
        <v>18</v>
      </c>
      <c r="E88" s="92">
        <v>385875</v>
      </c>
      <c r="F88" s="429"/>
    </row>
    <row r="89" spans="1:6" x14ac:dyDescent="0.2">
      <c r="A89" s="426"/>
      <c r="B89" s="12" t="s">
        <v>299</v>
      </c>
      <c r="C89" s="186" t="s">
        <v>181</v>
      </c>
      <c r="D89" s="186"/>
      <c r="E89" s="92">
        <v>165375</v>
      </c>
      <c r="F89" s="429"/>
    </row>
    <row r="90" spans="1:6" x14ac:dyDescent="0.2">
      <c r="A90" s="426"/>
      <c r="B90" s="12"/>
      <c r="C90" s="186"/>
      <c r="D90" s="186"/>
      <c r="E90" s="92"/>
      <c r="F90" s="429"/>
    </row>
    <row r="91" spans="1:6" x14ac:dyDescent="0.2">
      <c r="A91" s="426"/>
      <c r="B91" s="12" t="s">
        <v>198</v>
      </c>
      <c r="C91" s="186" t="s">
        <v>20</v>
      </c>
      <c r="D91" s="186" t="s">
        <v>20</v>
      </c>
      <c r="E91" s="92">
        <v>1260000</v>
      </c>
      <c r="F91" s="429"/>
    </row>
    <row r="92" spans="1:6" x14ac:dyDescent="0.2">
      <c r="A92" s="426"/>
      <c r="B92" s="12"/>
      <c r="C92" s="186"/>
      <c r="D92" s="186"/>
      <c r="E92" s="92"/>
      <c r="F92" s="429"/>
    </row>
    <row r="93" spans="1:6" x14ac:dyDescent="0.2">
      <c r="A93" s="427"/>
      <c r="B93" s="431" t="s">
        <v>130</v>
      </c>
      <c r="C93" s="431"/>
      <c r="D93" s="431"/>
      <c r="E93" s="187">
        <f>SUM(E81:E92)</f>
        <v>3933750</v>
      </c>
      <c r="F93" s="430"/>
    </row>
    <row r="97" spans="1:6" x14ac:dyDescent="0.2">
      <c r="A97" s="432" t="s">
        <v>0</v>
      </c>
      <c r="B97" s="432" t="s">
        <v>2</v>
      </c>
      <c r="C97" s="432" t="s">
        <v>70</v>
      </c>
      <c r="D97" s="432" t="s">
        <v>3</v>
      </c>
      <c r="E97" s="433" t="s">
        <v>10</v>
      </c>
      <c r="F97" s="434" t="s">
        <v>178</v>
      </c>
    </row>
    <row r="98" spans="1:6" x14ac:dyDescent="0.2">
      <c r="A98" s="432"/>
      <c r="B98" s="432"/>
      <c r="C98" s="432"/>
      <c r="D98" s="432"/>
      <c r="E98" s="433"/>
      <c r="F98" s="434"/>
    </row>
    <row r="99" spans="1:6" x14ac:dyDescent="0.2">
      <c r="A99" s="425" t="s">
        <v>256</v>
      </c>
      <c r="B99" s="12" t="s">
        <v>106</v>
      </c>
      <c r="C99" s="186" t="s">
        <v>179</v>
      </c>
      <c r="D99" s="186" t="s">
        <v>14</v>
      </c>
      <c r="E99" s="92">
        <v>412500.00000000006</v>
      </c>
      <c r="F99" s="428" t="s">
        <v>180</v>
      </c>
    </row>
    <row r="100" spans="1:6" x14ac:dyDescent="0.2">
      <c r="A100" s="426"/>
      <c r="B100" s="12" t="s">
        <v>200</v>
      </c>
      <c r="C100" s="186" t="s">
        <v>181</v>
      </c>
      <c r="D100" s="186"/>
      <c r="E100" s="92">
        <v>168750</v>
      </c>
      <c r="F100" s="429"/>
    </row>
    <row r="101" spans="1:6" x14ac:dyDescent="0.2">
      <c r="A101" s="426"/>
      <c r="B101" s="12" t="s">
        <v>201</v>
      </c>
      <c r="C101" s="186" t="s">
        <v>184</v>
      </c>
      <c r="D101" s="186"/>
      <c r="E101" s="92">
        <v>168750</v>
      </c>
      <c r="F101" s="429"/>
    </row>
    <row r="102" spans="1:6" x14ac:dyDescent="0.2">
      <c r="A102" s="426"/>
      <c r="B102" s="12"/>
      <c r="C102" s="186"/>
      <c r="D102" s="186"/>
      <c r="E102" s="92"/>
      <c r="F102" s="429"/>
    </row>
    <row r="103" spans="1:6" x14ac:dyDescent="0.2">
      <c r="A103" s="426"/>
      <c r="B103" s="12" t="s">
        <v>298</v>
      </c>
      <c r="C103" s="186" t="s">
        <v>179</v>
      </c>
      <c r="D103" s="186" t="s">
        <v>18</v>
      </c>
      <c r="E103" s="92">
        <v>441000</v>
      </c>
      <c r="F103" s="429"/>
    </row>
    <row r="104" spans="1:6" x14ac:dyDescent="0.2">
      <c r="A104" s="426"/>
      <c r="B104" s="12" t="s">
        <v>208</v>
      </c>
      <c r="C104" s="186" t="s">
        <v>181</v>
      </c>
      <c r="D104" s="186"/>
      <c r="E104" s="92">
        <v>189000</v>
      </c>
      <c r="F104" s="429"/>
    </row>
    <row r="105" spans="1:6" x14ac:dyDescent="0.2">
      <c r="A105" s="426"/>
      <c r="B105" s="12"/>
      <c r="C105" s="186"/>
      <c r="D105" s="186"/>
      <c r="E105" s="92"/>
      <c r="F105" s="429"/>
    </row>
    <row r="106" spans="1:6" x14ac:dyDescent="0.2">
      <c r="A106" s="426"/>
      <c r="B106" s="12" t="s">
        <v>274</v>
      </c>
      <c r="C106" s="186" t="s">
        <v>179</v>
      </c>
      <c r="D106" s="186" t="s">
        <v>18</v>
      </c>
      <c r="E106" s="92">
        <v>267750</v>
      </c>
      <c r="F106" s="429"/>
    </row>
    <row r="107" spans="1:6" x14ac:dyDescent="0.2">
      <c r="A107" s="426"/>
      <c r="B107" s="12" t="s">
        <v>818</v>
      </c>
      <c r="C107" s="186" t="s">
        <v>181</v>
      </c>
      <c r="D107" s="186"/>
      <c r="E107" s="92">
        <v>114750</v>
      </c>
      <c r="F107" s="429"/>
    </row>
    <row r="108" spans="1:6" x14ac:dyDescent="0.2">
      <c r="A108" s="426"/>
      <c r="B108" s="12"/>
      <c r="C108" s="186"/>
      <c r="D108" s="186"/>
      <c r="E108" s="92"/>
      <c r="F108" s="429"/>
    </row>
    <row r="109" spans="1:6" x14ac:dyDescent="0.2">
      <c r="A109" s="426"/>
      <c r="B109" s="12" t="s">
        <v>263</v>
      </c>
      <c r="C109" s="186" t="s">
        <v>20</v>
      </c>
      <c r="D109" s="186" t="s">
        <v>20</v>
      </c>
      <c r="E109" s="92">
        <v>840000</v>
      </c>
      <c r="F109" s="429"/>
    </row>
    <row r="110" spans="1:6" x14ac:dyDescent="0.2">
      <c r="A110" s="426"/>
      <c r="B110" s="12"/>
      <c r="C110" s="186"/>
      <c r="D110" s="186"/>
      <c r="E110" s="92"/>
      <c r="F110" s="429"/>
    </row>
    <row r="111" spans="1:6" x14ac:dyDescent="0.2">
      <c r="A111" s="427"/>
      <c r="B111" s="431" t="s">
        <v>130</v>
      </c>
      <c r="C111" s="431"/>
      <c r="D111" s="431"/>
      <c r="E111" s="187">
        <f>SUM(E99:E110)</f>
        <v>2602500</v>
      </c>
      <c r="F111" s="430"/>
    </row>
  </sheetData>
  <mergeCells count="32">
    <mergeCell ref="A1:F1"/>
    <mergeCell ref="J1:O1"/>
    <mergeCell ref="A2:F2"/>
    <mergeCell ref="J2:O2"/>
    <mergeCell ref="A6:A7"/>
    <mergeCell ref="B6:B7"/>
    <mergeCell ref="C6:C7"/>
    <mergeCell ref="D6:D7"/>
    <mergeCell ref="E6:E7"/>
    <mergeCell ref="F6:F7"/>
    <mergeCell ref="A5:F5"/>
    <mergeCell ref="A8:A75"/>
    <mergeCell ref="F8:F75"/>
    <mergeCell ref="B75:D75"/>
    <mergeCell ref="A79:A80"/>
    <mergeCell ref="B79:B80"/>
    <mergeCell ref="C79:C80"/>
    <mergeCell ref="D79:D80"/>
    <mergeCell ref="E79:E80"/>
    <mergeCell ref="F79:F80"/>
    <mergeCell ref="A81:A93"/>
    <mergeCell ref="F81:F93"/>
    <mergeCell ref="B93:D93"/>
    <mergeCell ref="E97:E98"/>
    <mergeCell ref="F97:F98"/>
    <mergeCell ref="A99:A111"/>
    <mergeCell ref="F99:F111"/>
    <mergeCell ref="B111:D111"/>
    <mergeCell ref="A97:A98"/>
    <mergeCell ref="B97:B98"/>
    <mergeCell ref="C97:C98"/>
    <mergeCell ref="D97:D9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5E5F-4DE9-4969-B845-244542ED5B24}">
  <dimension ref="A1:O64"/>
  <sheetViews>
    <sheetView showGridLines="0" zoomScale="70" zoomScaleNormal="70" workbookViewId="0">
      <selection activeCell="C5" sqref="C5"/>
    </sheetView>
  </sheetViews>
  <sheetFormatPr baseColWidth="10" defaultColWidth="8.83203125" defaultRowHeight="15" x14ac:dyDescent="0.2"/>
  <cols>
    <col min="1" max="1" width="15.6640625" style="58" customWidth="1"/>
    <col min="2" max="2" width="30.6640625" customWidth="1"/>
    <col min="3" max="4" width="12.6640625" style="62" customWidth="1"/>
    <col min="5" max="5" width="12.6640625" style="115" customWidth="1"/>
    <col min="6" max="6" width="30.6640625" customWidth="1"/>
    <col min="10" max="10" width="15.6640625" style="58" customWidth="1"/>
    <col min="11" max="11" width="30.6640625" customWidth="1"/>
    <col min="12" max="13" width="12.6640625" style="62" customWidth="1"/>
    <col min="14" max="14" width="12.6640625" style="115" customWidth="1"/>
    <col min="15" max="15" width="30.6640625" customWidth="1"/>
  </cols>
  <sheetData>
    <row r="1" spans="1:15" s="56" customFormat="1" ht="19" x14ac:dyDescent="0.25">
      <c r="A1" s="435" t="s">
        <v>63</v>
      </c>
      <c r="B1" s="435"/>
      <c r="C1" s="435"/>
      <c r="D1" s="435"/>
      <c r="E1" s="435"/>
      <c r="F1" s="435"/>
      <c r="J1" s="435" t="s">
        <v>63</v>
      </c>
      <c r="K1" s="435"/>
      <c r="L1" s="435"/>
      <c r="M1" s="435"/>
      <c r="N1" s="435"/>
      <c r="O1" s="435"/>
    </row>
    <row r="2" spans="1:15" s="56" customFormat="1" ht="19" x14ac:dyDescent="0.25">
      <c r="A2" s="436" t="s">
        <v>955</v>
      </c>
      <c r="B2" s="436"/>
      <c r="C2" s="436"/>
      <c r="D2" s="436"/>
      <c r="E2" s="436"/>
      <c r="F2" s="436"/>
      <c r="J2" s="436" t="s">
        <v>810</v>
      </c>
      <c r="K2" s="436"/>
      <c r="L2" s="436"/>
      <c r="M2" s="436"/>
      <c r="N2" s="436"/>
      <c r="O2" s="436"/>
    </row>
    <row r="3" spans="1:15" x14ac:dyDescent="0.2">
      <c r="A3" s="57"/>
      <c r="B3" s="113"/>
      <c r="C3" s="114"/>
      <c r="D3" s="114"/>
      <c r="E3" s="113"/>
      <c r="F3" s="113"/>
    </row>
    <row r="4" spans="1:15" ht="18" x14ac:dyDescent="0.35">
      <c r="A4" s="60" t="s">
        <v>129</v>
      </c>
      <c r="B4" s="113"/>
      <c r="C4" s="114"/>
      <c r="D4" s="114"/>
      <c r="E4" s="113"/>
      <c r="F4" s="113"/>
      <c r="J4" s="60" t="s">
        <v>129</v>
      </c>
    </row>
    <row r="5" spans="1:15" ht="18" x14ac:dyDescent="0.35">
      <c r="A5" s="60"/>
      <c r="B5" s="113"/>
      <c r="C5" s="114"/>
      <c r="D5" s="114"/>
      <c r="E5" s="113"/>
      <c r="F5" s="113"/>
    </row>
    <row r="6" spans="1:15" s="58" customFormat="1" x14ac:dyDescent="0.2">
      <c r="A6" s="432" t="s">
        <v>0</v>
      </c>
      <c r="B6" s="432" t="s">
        <v>2</v>
      </c>
      <c r="C6" s="432" t="s">
        <v>70</v>
      </c>
      <c r="D6" s="432" t="s">
        <v>3</v>
      </c>
      <c r="E6" s="433" t="s">
        <v>10</v>
      </c>
      <c r="F6" s="434" t="s">
        <v>178</v>
      </c>
      <c r="J6" s="432" t="s">
        <v>0</v>
      </c>
      <c r="K6" s="432" t="s">
        <v>2</v>
      </c>
      <c r="L6" s="432" t="s">
        <v>70</v>
      </c>
      <c r="M6" s="432" t="s">
        <v>3</v>
      </c>
      <c r="N6" s="433" t="s">
        <v>10</v>
      </c>
      <c r="O6" s="434" t="s">
        <v>178</v>
      </c>
    </row>
    <row r="7" spans="1:15" s="58" customFormat="1" ht="14" customHeight="1" x14ac:dyDescent="0.2">
      <c r="A7" s="432"/>
      <c r="B7" s="432"/>
      <c r="C7" s="432"/>
      <c r="D7" s="432"/>
      <c r="E7" s="433"/>
      <c r="F7" s="434"/>
      <c r="J7" s="432"/>
      <c r="K7" s="432"/>
      <c r="L7" s="432"/>
      <c r="M7" s="432"/>
      <c r="N7" s="433"/>
      <c r="O7" s="434"/>
    </row>
    <row r="8" spans="1:15" x14ac:dyDescent="0.2">
      <c r="A8" s="425" t="s">
        <v>25</v>
      </c>
      <c r="B8" s="12" t="s">
        <v>151</v>
      </c>
      <c r="C8" s="186" t="s">
        <v>179</v>
      </c>
      <c r="D8" s="186" t="s">
        <v>18</v>
      </c>
      <c r="E8" s="92">
        <v>228375</v>
      </c>
      <c r="F8" s="428" t="s">
        <v>180</v>
      </c>
      <c r="J8" s="438" t="s">
        <v>131</v>
      </c>
      <c r="K8" s="12" t="s">
        <v>296</v>
      </c>
      <c r="L8" s="186" t="s">
        <v>181</v>
      </c>
      <c r="M8" s="186"/>
      <c r="N8" s="92">
        <v>6075</v>
      </c>
      <c r="O8" s="439" t="s">
        <v>180</v>
      </c>
    </row>
    <row r="9" spans="1:15" x14ac:dyDescent="0.2">
      <c r="A9" s="426"/>
      <c r="B9" s="12" t="s">
        <v>301</v>
      </c>
      <c r="C9" s="186" t="s">
        <v>181</v>
      </c>
      <c r="D9" s="186"/>
      <c r="E9" s="92">
        <v>97875</v>
      </c>
      <c r="F9" s="429"/>
      <c r="J9" s="438"/>
      <c r="K9" s="12"/>
      <c r="L9" s="186"/>
      <c r="M9" s="186"/>
      <c r="N9" s="92"/>
      <c r="O9" s="439"/>
    </row>
    <row r="10" spans="1:15" x14ac:dyDescent="0.2">
      <c r="A10" s="426"/>
      <c r="B10" s="12"/>
      <c r="C10" s="186"/>
      <c r="D10" s="186"/>
      <c r="E10" s="92"/>
      <c r="F10" s="429"/>
      <c r="J10" s="438"/>
      <c r="K10" s="329" t="s">
        <v>130</v>
      </c>
      <c r="L10" s="329"/>
      <c r="M10" s="329"/>
      <c r="N10" s="187">
        <f>SUM(N8:N9)</f>
        <v>6075</v>
      </c>
      <c r="O10" s="439"/>
    </row>
    <row r="11" spans="1:15" x14ac:dyDescent="0.2">
      <c r="A11" s="426"/>
      <c r="B11" s="12" t="s">
        <v>241</v>
      </c>
      <c r="C11" s="186" t="s">
        <v>179</v>
      </c>
      <c r="D11" s="186" t="s">
        <v>18</v>
      </c>
      <c r="E11" s="92">
        <v>165375</v>
      </c>
      <c r="F11" s="429"/>
      <c r="J11"/>
      <c r="L11"/>
      <c r="M11"/>
      <c r="N11"/>
    </row>
    <row r="12" spans="1:15" x14ac:dyDescent="0.2">
      <c r="A12" s="426"/>
      <c r="B12" s="12" t="s">
        <v>202</v>
      </c>
      <c r="C12" s="186" t="s">
        <v>181</v>
      </c>
      <c r="D12" s="186"/>
      <c r="E12" s="92">
        <v>70875</v>
      </c>
      <c r="F12" s="429"/>
      <c r="J12"/>
      <c r="L12"/>
      <c r="M12"/>
      <c r="N12"/>
    </row>
    <row r="13" spans="1:15" x14ac:dyDescent="0.2">
      <c r="A13" s="426"/>
      <c r="B13" s="12"/>
      <c r="C13" s="186"/>
      <c r="D13" s="186"/>
      <c r="E13" s="92"/>
      <c r="F13" s="429"/>
      <c r="J13"/>
      <c r="L13"/>
      <c r="M13"/>
      <c r="N13"/>
    </row>
    <row r="14" spans="1:15" x14ac:dyDescent="0.2">
      <c r="A14" s="426"/>
      <c r="B14" s="12" t="s">
        <v>107</v>
      </c>
      <c r="C14" s="186" t="s">
        <v>179</v>
      </c>
      <c r="D14" s="186" t="s">
        <v>18</v>
      </c>
      <c r="E14" s="92">
        <v>228375</v>
      </c>
      <c r="F14" s="429"/>
    </row>
    <row r="15" spans="1:15" x14ac:dyDescent="0.2">
      <c r="A15" s="426"/>
      <c r="B15" s="12" t="s">
        <v>204</v>
      </c>
      <c r="C15" s="186" t="s">
        <v>181</v>
      </c>
      <c r="D15" s="186"/>
      <c r="E15" s="92">
        <v>97875</v>
      </c>
      <c r="F15" s="429"/>
    </row>
    <row r="16" spans="1:15" x14ac:dyDescent="0.2">
      <c r="A16" s="426"/>
      <c r="B16" s="12"/>
      <c r="C16" s="186"/>
      <c r="D16" s="186"/>
      <c r="E16" s="92"/>
      <c r="F16" s="429"/>
    </row>
    <row r="17" spans="1:6" x14ac:dyDescent="0.2">
      <c r="A17" s="426"/>
      <c r="B17" s="12" t="s">
        <v>262</v>
      </c>
      <c r="C17" s="186" t="s">
        <v>179</v>
      </c>
      <c r="D17" s="186" t="s">
        <v>18</v>
      </c>
      <c r="E17" s="92">
        <v>181125</v>
      </c>
      <c r="F17" s="429"/>
    </row>
    <row r="18" spans="1:6" x14ac:dyDescent="0.2">
      <c r="A18" s="426"/>
      <c r="B18" s="12" t="s">
        <v>302</v>
      </c>
      <c r="C18" s="186" t="s">
        <v>181</v>
      </c>
      <c r="D18" s="186"/>
      <c r="E18" s="92">
        <v>77625</v>
      </c>
      <c r="F18" s="429"/>
    </row>
    <row r="19" spans="1:6" x14ac:dyDescent="0.2">
      <c r="A19" s="426"/>
      <c r="B19" s="12"/>
      <c r="C19" s="186"/>
      <c r="D19" s="186"/>
      <c r="E19" s="92"/>
      <c r="F19" s="429"/>
    </row>
    <row r="20" spans="1:6" x14ac:dyDescent="0.2">
      <c r="A20" s="426"/>
      <c r="B20" s="12" t="s">
        <v>782</v>
      </c>
      <c r="C20" s="186" t="s">
        <v>20</v>
      </c>
      <c r="D20" s="186" t="s">
        <v>20</v>
      </c>
      <c r="E20" s="92">
        <v>1086000</v>
      </c>
      <c r="F20" s="429"/>
    </row>
    <row r="21" spans="1:6" x14ac:dyDescent="0.2">
      <c r="A21" s="426"/>
      <c r="B21" s="12"/>
      <c r="C21" s="186"/>
      <c r="D21" s="186"/>
      <c r="E21" s="92"/>
      <c r="F21" s="429"/>
    </row>
    <row r="22" spans="1:6" x14ac:dyDescent="0.2">
      <c r="A22" s="426"/>
      <c r="B22" s="12" t="s">
        <v>244</v>
      </c>
      <c r="C22" s="186" t="s">
        <v>179</v>
      </c>
      <c r="D22" s="186" t="s">
        <v>18</v>
      </c>
      <c r="E22" s="92">
        <v>330750</v>
      </c>
      <c r="F22" s="429"/>
    </row>
    <row r="23" spans="1:6" x14ac:dyDescent="0.2">
      <c r="A23" s="426"/>
      <c r="B23" s="12" t="s">
        <v>207</v>
      </c>
      <c r="C23" s="186" t="s">
        <v>184</v>
      </c>
      <c r="D23" s="186"/>
      <c r="E23" s="92">
        <v>141750</v>
      </c>
      <c r="F23" s="429"/>
    </row>
    <row r="24" spans="1:6" x14ac:dyDescent="0.2">
      <c r="A24" s="426"/>
      <c r="B24" s="12"/>
      <c r="C24" s="186"/>
      <c r="D24" s="186"/>
      <c r="E24" s="92"/>
      <c r="F24" s="429"/>
    </row>
    <row r="25" spans="1:6" x14ac:dyDescent="0.2">
      <c r="A25" s="426"/>
      <c r="B25" s="12" t="s">
        <v>242</v>
      </c>
      <c r="C25" s="186" t="s">
        <v>179</v>
      </c>
      <c r="D25" s="186" t="s">
        <v>18</v>
      </c>
      <c r="E25" s="92">
        <v>173250</v>
      </c>
      <c r="F25" s="429"/>
    </row>
    <row r="26" spans="1:6" x14ac:dyDescent="0.2">
      <c r="A26" s="426"/>
      <c r="B26" s="12" t="s">
        <v>203</v>
      </c>
      <c r="C26" s="186" t="s">
        <v>181</v>
      </c>
      <c r="D26" s="186"/>
      <c r="E26" s="92">
        <v>74250</v>
      </c>
      <c r="F26" s="429"/>
    </row>
    <row r="27" spans="1:6" x14ac:dyDescent="0.2">
      <c r="A27" s="426"/>
      <c r="B27" s="12"/>
      <c r="C27" s="186"/>
      <c r="D27" s="186"/>
      <c r="E27" s="92"/>
      <c r="F27" s="429"/>
    </row>
    <row r="28" spans="1:6" x14ac:dyDescent="0.2">
      <c r="A28" s="426"/>
      <c r="B28" s="12" t="s">
        <v>303</v>
      </c>
      <c r="C28" s="186" t="s">
        <v>471</v>
      </c>
      <c r="D28" s="186" t="s">
        <v>471</v>
      </c>
      <c r="E28" s="92">
        <v>725000</v>
      </c>
      <c r="F28" s="429"/>
    </row>
    <row r="29" spans="1:6" x14ac:dyDescent="0.2">
      <c r="A29" s="426"/>
      <c r="B29" s="12"/>
      <c r="C29" s="186"/>
      <c r="D29" s="186"/>
      <c r="E29" s="92"/>
      <c r="F29" s="429"/>
    </row>
    <row r="30" spans="1:6" x14ac:dyDescent="0.2">
      <c r="A30" s="426"/>
      <c r="B30" s="12" t="s">
        <v>108</v>
      </c>
      <c r="C30" s="186" t="s">
        <v>471</v>
      </c>
      <c r="D30" s="186" t="s">
        <v>471</v>
      </c>
      <c r="E30" s="92">
        <v>945000</v>
      </c>
      <c r="F30" s="429"/>
    </row>
    <row r="31" spans="1:6" x14ac:dyDescent="0.2">
      <c r="A31" s="426"/>
      <c r="B31" s="12"/>
      <c r="C31" s="186"/>
      <c r="D31" s="186"/>
      <c r="E31" s="92"/>
      <c r="F31" s="429"/>
    </row>
    <row r="32" spans="1:6" x14ac:dyDescent="0.2">
      <c r="A32" s="426"/>
      <c r="B32" s="12" t="s">
        <v>268</v>
      </c>
      <c r="C32" s="186" t="s">
        <v>468</v>
      </c>
      <c r="D32" s="186" t="s">
        <v>468</v>
      </c>
      <c r="E32" s="92">
        <v>98000</v>
      </c>
      <c r="F32" s="429"/>
    </row>
    <row r="33" spans="1:7" x14ac:dyDescent="0.2">
      <c r="A33" s="426"/>
      <c r="B33" s="12"/>
      <c r="C33" s="186"/>
      <c r="D33" s="186"/>
      <c r="E33" s="92"/>
      <c r="F33" s="429"/>
    </row>
    <row r="34" spans="1:7" x14ac:dyDescent="0.2">
      <c r="A34" s="426"/>
      <c r="B34" s="12" t="s">
        <v>249</v>
      </c>
      <c r="C34" s="186" t="s">
        <v>471</v>
      </c>
      <c r="D34" s="186" t="s">
        <v>471</v>
      </c>
      <c r="E34" s="92">
        <v>125999.99999999999</v>
      </c>
      <c r="F34" s="429"/>
    </row>
    <row r="35" spans="1:7" x14ac:dyDescent="0.2">
      <c r="A35" s="426"/>
      <c r="B35" s="12"/>
      <c r="C35" s="186"/>
      <c r="D35" s="186"/>
      <c r="E35" s="92"/>
      <c r="F35" s="429"/>
    </row>
    <row r="36" spans="1:7" x14ac:dyDescent="0.2">
      <c r="A36" s="427"/>
      <c r="B36" s="431" t="s">
        <v>130</v>
      </c>
      <c r="C36" s="431"/>
      <c r="D36" s="431"/>
      <c r="E36" s="187">
        <f>SUM(E8:E35)</f>
        <v>4847500</v>
      </c>
      <c r="F36" s="430"/>
    </row>
    <row r="40" spans="1:7" x14ac:dyDescent="0.2">
      <c r="A40" s="432" t="s">
        <v>0</v>
      </c>
      <c r="B40" s="432" t="s">
        <v>2</v>
      </c>
      <c r="C40" s="432" t="s">
        <v>70</v>
      </c>
      <c r="D40" s="432" t="s">
        <v>3</v>
      </c>
      <c r="E40" s="433" t="s">
        <v>10</v>
      </c>
      <c r="F40" s="434" t="s">
        <v>178</v>
      </c>
    </row>
    <row r="41" spans="1:7" x14ac:dyDescent="0.2">
      <c r="A41" s="432"/>
      <c r="B41" s="432"/>
      <c r="C41" s="432"/>
      <c r="D41" s="432"/>
      <c r="E41" s="433"/>
      <c r="F41" s="434"/>
    </row>
    <row r="42" spans="1:7" x14ac:dyDescent="0.2">
      <c r="A42" s="425" t="s">
        <v>59</v>
      </c>
      <c r="B42" s="12" t="s">
        <v>211</v>
      </c>
      <c r="C42" s="186" t="s">
        <v>470</v>
      </c>
      <c r="D42" s="186" t="s">
        <v>470</v>
      </c>
      <c r="E42" s="92">
        <v>173250</v>
      </c>
      <c r="F42" s="428" t="s">
        <v>180</v>
      </c>
    </row>
    <row r="43" spans="1:7" x14ac:dyDescent="0.2">
      <c r="A43" s="426"/>
      <c r="B43" s="12"/>
      <c r="C43" s="186"/>
      <c r="D43" s="186"/>
      <c r="E43" s="92"/>
      <c r="F43" s="429"/>
    </row>
    <row r="44" spans="1:7" x14ac:dyDescent="0.2">
      <c r="A44" s="426"/>
      <c r="B44" s="12" t="s">
        <v>145</v>
      </c>
      <c r="C44" s="186" t="s">
        <v>179</v>
      </c>
      <c r="D44" s="186" t="s">
        <v>18</v>
      </c>
      <c r="E44" s="92">
        <v>330750</v>
      </c>
      <c r="F44" s="429"/>
    </row>
    <row r="45" spans="1:7" x14ac:dyDescent="0.2">
      <c r="A45" s="426"/>
      <c r="B45" s="12" t="s">
        <v>209</v>
      </c>
      <c r="C45" s="186" t="s">
        <v>181</v>
      </c>
      <c r="D45" s="186"/>
      <c r="E45" s="92">
        <v>141750</v>
      </c>
      <c r="F45" s="429"/>
    </row>
    <row r="46" spans="1:7" x14ac:dyDescent="0.2">
      <c r="A46" s="426"/>
      <c r="B46" s="12"/>
      <c r="C46" s="186"/>
      <c r="D46" s="186"/>
      <c r="E46" s="92"/>
      <c r="F46" s="429"/>
    </row>
    <row r="47" spans="1:7" x14ac:dyDescent="0.2">
      <c r="A47" s="426"/>
      <c r="B47" s="12" t="s">
        <v>287</v>
      </c>
      <c r="C47" s="186" t="s">
        <v>179</v>
      </c>
      <c r="D47" s="186" t="s">
        <v>18</v>
      </c>
      <c r="E47" s="92">
        <v>125999.99999999999</v>
      </c>
      <c r="F47" s="429"/>
      <c r="G47" t="s">
        <v>811</v>
      </c>
    </row>
    <row r="48" spans="1:7" x14ac:dyDescent="0.2">
      <c r="A48" s="426"/>
      <c r="B48" s="12" t="s">
        <v>212</v>
      </c>
      <c r="C48" s="186" t="s">
        <v>181</v>
      </c>
      <c r="D48" s="186"/>
      <c r="E48" s="92">
        <v>54000</v>
      </c>
      <c r="F48" s="429"/>
      <c r="G48" t="s">
        <v>811</v>
      </c>
    </row>
    <row r="49" spans="1:7" x14ac:dyDescent="0.2">
      <c r="A49" s="426"/>
      <c r="B49" s="12"/>
      <c r="C49" s="186"/>
      <c r="D49" s="186"/>
      <c r="E49" s="92"/>
      <c r="F49" s="429"/>
    </row>
    <row r="50" spans="1:7" x14ac:dyDescent="0.2">
      <c r="A50" s="426"/>
      <c r="B50" s="188" t="s">
        <v>148</v>
      </c>
      <c r="C50" s="186" t="s">
        <v>20</v>
      </c>
      <c r="D50" s="186" t="s">
        <v>20</v>
      </c>
      <c r="E50" s="92">
        <v>312000</v>
      </c>
      <c r="F50" s="429"/>
      <c r="G50" t="s">
        <v>811</v>
      </c>
    </row>
    <row r="51" spans="1:7" x14ac:dyDescent="0.2">
      <c r="A51" s="426"/>
      <c r="B51" s="12"/>
      <c r="C51" s="186"/>
      <c r="D51" s="186"/>
      <c r="E51" s="92"/>
      <c r="F51" s="429"/>
    </row>
    <row r="52" spans="1:7" x14ac:dyDescent="0.2">
      <c r="A52" s="426"/>
      <c r="B52" s="12" t="s">
        <v>307</v>
      </c>
      <c r="C52" s="186" t="s">
        <v>339</v>
      </c>
      <c r="D52" s="186" t="s">
        <v>339</v>
      </c>
      <c r="E52" s="92">
        <v>13750.000000000002</v>
      </c>
      <c r="F52" s="429"/>
    </row>
    <row r="53" spans="1:7" x14ac:dyDescent="0.2">
      <c r="A53" s="426"/>
      <c r="B53" s="12" t="s">
        <v>308</v>
      </c>
      <c r="C53" s="186" t="s">
        <v>340</v>
      </c>
      <c r="D53" s="186" t="s">
        <v>340</v>
      </c>
      <c r="E53" s="92">
        <v>11250</v>
      </c>
      <c r="F53" s="429"/>
    </row>
    <row r="54" spans="1:7" x14ac:dyDescent="0.2">
      <c r="A54" s="426"/>
      <c r="B54" s="12"/>
      <c r="C54" s="186"/>
      <c r="D54" s="186"/>
      <c r="E54" s="92"/>
      <c r="F54" s="429"/>
    </row>
    <row r="55" spans="1:7" x14ac:dyDescent="0.2">
      <c r="A55" s="427"/>
      <c r="B55" s="431" t="s">
        <v>130</v>
      </c>
      <c r="C55" s="431"/>
      <c r="D55" s="431"/>
      <c r="E55" s="187">
        <f>SUM(E42:E54)</f>
        <v>1162750</v>
      </c>
      <c r="F55" s="430"/>
    </row>
    <row r="59" spans="1:7" x14ac:dyDescent="0.2">
      <c r="A59" s="432" t="s">
        <v>0</v>
      </c>
      <c r="B59" s="432" t="s">
        <v>2</v>
      </c>
      <c r="C59" s="432" t="s">
        <v>70</v>
      </c>
      <c r="D59" s="432" t="s">
        <v>3</v>
      </c>
      <c r="E59" s="433" t="s">
        <v>10</v>
      </c>
      <c r="F59" s="434" t="s">
        <v>178</v>
      </c>
    </row>
    <row r="60" spans="1:7" x14ac:dyDescent="0.2">
      <c r="A60" s="432"/>
      <c r="B60" s="432"/>
      <c r="C60" s="432"/>
      <c r="D60" s="432"/>
      <c r="E60" s="433"/>
      <c r="F60" s="434"/>
    </row>
    <row r="61" spans="1:7" x14ac:dyDescent="0.2">
      <c r="A61" s="426" t="s">
        <v>131</v>
      </c>
      <c r="B61" s="12" t="s">
        <v>613</v>
      </c>
      <c r="C61" s="186" t="s">
        <v>179</v>
      </c>
      <c r="D61" s="186" t="s">
        <v>18</v>
      </c>
      <c r="E61" s="15">
        <v>56700</v>
      </c>
      <c r="F61" s="429" t="s">
        <v>180</v>
      </c>
    </row>
    <row r="62" spans="1:7" x14ac:dyDescent="0.2">
      <c r="A62" s="426"/>
      <c r="B62" s="12" t="s">
        <v>156</v>
      </c>
      <c r="C62" s="186" t="s">
        <v>181</v>
      </c>
      <c r="D62" s="186"/>
      <c r="E62" s="92">
        <v>24300</v>
      </c>
      <c r="F62" s="429"/>
    </row>
    <row r="63" spans="1:7" x14ac:dyDescent="0.2">
      <c r="A63" s="426"/>
      <c r="B63" s="12"/>
      <c r="C63" s="186"/>
      <c r="D63" s="186"/>
      <c r="E63" s="92"/>
      <c r="F63" s="429"/>
    </row>
    <row r="64" spans="1:7" x14ac:dyDescent="0.2">
      <c r="A64" s="427"/>
      <c r="B64" s="431" t="s">
        <v>130</v>
      </c>
      <c r="C64" s="431"/>
      <c r="D64" s="431"/>
      <c r="E64" s="187">
        <f>SUM(E61:E63)</f>
        <v>81000</v>
      </c>
      <c r="F64" s="430"/>
    </row>
  </sheetData>
  <mergeCells count="39">
    <mergeCell ref="A1:F1"/>
    <mergeCell ref="J1:O1"/>
    <mergeCell ref="A2:F2"/>
    <mergeCell ref="J2:O2"/>
    <mergeCell ref="A6:A7"/>
    <mergeCell ref="B6:B7"/>
    <mergeCell ref="C6:C7"/>
    <mergeCell ref="D6:D7"/>
    <mergeCell ref="E6:E7"/>
    <mergeCell ref="F6:F7"/>
    <mergeCell ref="J6:J7"/>
    <mergeCell ref="K6:K7"/>
    <mergeCell ref="L6:L7"/>
    <mergeCell ref="A40:A41"/>
    <mergeCell ref="O6:O7"/>
    <mergeCell ref="N6:N7"/>
    <mergeCell ref="M6:M7"/>
    <mergeCell ref="A8:A36"/>
    <mergeCell ref="F8:F36"/>
    <mergeCell ref="J8:J10"/>
    <mergeCell ref="O8:O10"/>
    <mergeCell ref="B36:D36"/>
    <mergeCell ref="B40:B41"/>
    <mergeCell ref="C40:C41"/>
    <mergeCell ref="D40:D41"/>
    <mergeCell ref="E40:E41"/>
    <mergeCell ref="F40:F41"/>
    <mergeCell ref="A61:A64"/>
    <mergeCell ref="F61:F64"/>
    <mergeCell ref="B64:D64"/>
    <mergeCell ref="A42:A55"/>
    <mergeCell ref="F42:F55"/>
    <mergeCell ref="B55:D55"/>
    <mergeCell ref="A59:A60"/>
    <mergeCell ref="B59:B60"/>
    <mergeCell ref="C59:C60"/>
    <mergeCell ref="D59:D60"/>
    <mergeCell ref="E59:E60"/>
    <mergeCell ref="F59:F6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0077-D5B4-4C07-9064-02D1A39577C5}">
  <dimension ref="A1:O30"/>
  <sheetViews>
    <sheetView showGridLines="0" zoomScale="70" zoomScaleNormal="70" workbookViewId="0">
      <selection activeCell="D3" sqref="D3"/>
    </sheetView>
  </sheetViews>
  <sheetFormatPr baseColWidth="10" defaultColWidth="8.83203125" defaultRowHeight="15" x14ac:dyDescent="0.2"/>
  <cols>
    <col min="1" max="1" width="15.6640625" style="58" customWidth="1"/>
    <col min="2" max="2" width="30.6640625" customWidth="1"/>
    <col min="3" max="4" width="12.6640625" style="62" customWidth="1"/>
    <col min="5" max="5" width="12.6640625" style="115" customWidth="1"/>
    <col min="6" max="6" width="30.6640625" customWidth="1"/>
    <col min="10" max="10" width="15.6640625" style="58" customWidth="1"/>
    <col min="11" max="11" width="30.6640625" customWidth="1"/>
    <col min="12" max="13" width="12.6640625" style="62" customWidth="1"/>
    <col min="14" max="14" width="12.6640625" style="115" customWidth="1"/>
    <col min="15" max="15" width="30.6640625" customWidth="1"/>
  </cols>
  <sheetData>
    <row r="1" spans="1:15" s="56" customFormat="1" ht="19" x14ac:dyDescent="0.25">
      <c r="A1" s="435" t="s">
        <v>63</v>
      </c>
      <c r="B1" s="435"/>
      <c r="C1" s="435"/>
      <c r="D1" s="435"/>
      <c r="E1" s="435"/>
      <c r="F1" s="435"/>
      <c r="J1" s="435" t="s">
        <v>63</v>
      </c>
      <c r="K1" s="435"/>
      <c r="L1" s="435"/>
      <c r="M1" s="435"/>
      <c r="N1" s="435"/>
      <c r="O1" s="435"/>
    </row>
    <row r="2" spans="1:15" s="56" customFormat="1" ht="19" x14ac:dyDescent="0.25">
      <c r="A2" s="436" t="s">
        <v>955</v>
      </c>
      <c r="B2" s="436"/>
      <c r="C2" s="436"/>
      <c r="D2" s="436"/>
      <c r="E2" s="436"/>
      <c r="F2" s="436"/>
      <c r="J2" s="436" t="s">
        <v>810</v>
      </c>
      <c r="K2" s="436"/>
      <c r="L2" s="436"/>
      <c r="M2" s="436"/>
      <c r="N2" s="436"/>
      <c r="O2" s="436"/>
    </row>
    <row r="3" spans="1:15" x14ac:dyDescent="0.2">
      <c r="A3" s="57"/>
      <c r="B3" s="113"/>
      <c r="C3" s="114"/>
      <c r="D3" s="114"/>
      <c r="E3" s="113"/>
      <c r="F3" s="113"/>
    </row>
    <row r="4" spans="1:15" ht="18" x14ac:dyDescent="0.35">
      <c r="A4" s="60" t="s">
        <v>229</v>
      </c>
      <c r="B4" s="113"/>
      <c r="C4" s="114"/>
      <c r="D4" s="114"/>
      <c r="E4" s="113"/>
      <c r="F4" s="113"/>
      <c r="J4" s="60" t="s">
        <v>229</v>
      </c>
    </row>
    <row r="5" spans="1:15" ht="18" x14ac:dyDescent="0.35">
      <c r="A5" s="60"/>
      <c r="B5" s="113"/>
      <c r="C5" s="114"/>
      <c r="D5" s="114"/>
      <c r="E5" s="113"/>
      <c r="F5" s="113"/>
    </row>
    <row r="6" spans="1:15" s="58" customFormat="1" x14ac:dyDescent="0.2">
      <c r="A6" s="432" t="s">
        <v>0</v>
      </c>
      <c r="B6" s="432" t="s">
        <v>2</v>
      </c>
      <c r="C6" s="432" t="s">
        <v>70</v>
      </c>
      <c r="D6" s="432" t="s">
        <v>3</v>
      </c>
      <c r="E6" s="433" t="s">
        <v>10</v>
      </c>
      <c r="F6" s="434" t="s">
        <v>178</v>
      </c>
      <c r="J6" s="432" t="s">
        <v>0</v>
      </c>
      <c r="K6" s="432" t="s">
        <v>2</v>
      </c>
      <c r="L6" s="432" t="s">
        <v>70</v>
      </c>
      <c r="M6" s="432" t="s">
        <v>3</v>
      </c>
      <c r="N6" s="433" t="s">
        <v>10</v>
      </c>
      <c r="O6" s="434" t="s">
        <v>178</v>
      </c>
    </row>
    <row r="7" spans="1:15" s="58" customFormat="1" x14ac:dyDescent="0.2">
      <c r="A7" s="432"/>
      <c r="B7" s="432"/>
      <c r="C7" s="432"/>
      <c r="D7" s="432"/>
      <c r="E7" s="433"/>
      <c r="F7" s="434"/>
      <c r="J7" s="432"/>
      <c r="K7" s="432"/>
      <c r="L7" s="432"/>
      <c r="M7" s="432"/>
      <c r="N7" s="433"/>
      <c r="O7" s="434"/>
    </row>
    <row r="8" spans="1:15" x14ac:dyDescent="0.2">
      <c r="A8" s="425" t="s">
        <v>37</v>
      </c>
      <c r="B8" s="12" t="s">
        <v>98</v>
      </c>
      <c r="C8" s="186" t="s">
        <v>179</v>
      </c>
      <c r="D8" s="186" t="s">
        <v>18</v>
      </c>
      <c r="E8" s="92">
        <v>189000</v>
      </c>
      <c r="F8" s="428" t="s">
        <v>180</v>
      </c>
      <c r="J8" s="438" t="s">
        <v>614</v>
      </c>
      <c r="K8" s="12" t="s">
        <v>498</v>
      </c>
      <c r="L8" s="186" t="s">
        <v>181</v>
      </c>
      <c r="M8" s="186"/>
      <c r="N8" s="92">
        <v>6750</v>
      </c>
      <c r="O8" s="439" t="s">
        <v>180</v>
      </c>
    </row>
    <row r="9" spans="1:15" x14ac:dyDescent="0.2">
      <c r="A9" s="426"/>
      <c r="B9" s="12" t="s">
        <v>309</v>
      </c>
      <c r="C9" s="186" t="s">
        <v>181</v>
      </c>
      <c r="D9" s="186"/>
      <c r="E9" s="92">
        <v>81000</v>
      </c>
      <c r="F9" s="429"/>
      <c r="J9" s="438"/>
      <c r="K9" s="12"/>
      <c r="L9" s="186"/>
      <c r="M9" s="186"/>
      <c r="N9" s="92"/>
      <c r="O9" s="439"/>
    </row>
    <row r="10" spans="1:15" x14ac:dyDescent="0.2">
      <c r="A10" s="426"/>
      <c r="B10" s="12"/>
      <c r="C10" s="186"/>
      <c r="D10" s="186"/>
      <c r="E10" s="92"/>
      <c r="F10" s="429"/>
      <c r="J10" s="438"/>
      <c r="K10" s="329" t="s">
        <v>130</v>
      </c>
      <c r="L10" s="329"/>
      <c r="M10" s="329"/>
      <c r="N10" s="187">
        <f>SUM(N8:N9)</f>
        <v>6750</v>
      </c>
      <c r="O10" s="439"/>
    </row>
    <row r="11" spans="1:15" x14ac:dyDescent="0.2">
      <c r="A11" s="426"/>
      <c r="B11" s="12" t="s">
        <v>310</v>
      </c>
      <c r="C11" s="186" t="s">
        <v>179</v>
      </c>
      <c r="D11" s="186" t="s">
        <v>18</v>
      </c>
      <c r="E11" s="92">
        <v>519749.99999999994</v>
      </c>
      <c r="F11" s="429"/>
    </row>
    <row r="12" spans="1:15" x14ac:dyDescent="0.2">
      <c r="A12" s="426"/>
      <c r="B12" s="12" t="s">
        <v>199</v>
      </c>
      <c r="C12" s="186" t="s">
        <v>181</v>
      </c>
      <c r="D12" s="186"/>
      <c r="E12" s="92">
        <v>222750</v>
      </c>
      <c r="F12" s="429"/>
    </row>
    <row r="13" spans="1:15" x14ac:dyDescent="0.2">
      <c r="A13" s="426"/>
      <c r="B13" s="12"/>
      <c r="C13" s="186"/>
      <c r="D13" s="186"/>
      <c r="E13" s="92"/>
      <c r="F13" s="429"/>
    </row>
    <row r="14" spans="1:15" x14ac:dyDescent="0.2">
      <c r="A14" s="426"/>
      <c r="B14" s="12" t="s">
        <v>231</v>
      </c>
      <c r="C14" s="186" t="s">
        <v>20</v>
      </c>
      <c r="D14" s="186" t="s">
        <v>20</v>
      </c>
      <c r="E14" s="92">
        <v>636000</v>
      </c>
      <c r="F14" s="429"/>
    </row>
    <row r="15" spans="1:15" x14ac:dyDescent="0.2">
      <c r="A15" s="426"/>
      <c r="B15" s="12"/>
      <c r="C15" s="186"/>
      <c r="D15" s="186"/>
      <c r="E15" s="92"/>
      <c r="F15" s="429"/>
    </row>
    <row r="16" spans="1:15" x14ac:dyDescent="0.2">
      <c r="A16" s="427"/>
      <c r="B16" s="431" t="s">
        <v>130</v>
      </c>
      <c r="C16" s="431"/>
      <c r="D16" s="431"/>
      <c r="E16" s="187">
        <f>SUM(E8:E15)</f>
        <v>1648500</v>
      </c>
      <c r="F16" s="430"/>
    </row>
    <row r="20" spans="1:6" x14ac:dyDescent="0.2">
      <c r="A20" s="432" t="s">
        <v>0</v>
      </c>
      <c r="B20" s="432" t="s">
        <v>2</v>
      </c>
      <c r="C20" s="432" t="s">
        <v>70</v>
      </c>
      <c r="D20" s="432" t="s">
        <v>3</v>
      </c>
      <c r="E20" s="433" t="s">
        <v>10</v>
      </c>
      <c r="F20" s="434" t="s">
        <v>178</v>
      </c>
    </row>
    <row r="21" spans="1:6" x14ac:dyDescent="0.2">
      <c r="A21" s="432"/>
      <c r="B21" s="432"/>
      <c r="C21" s="432"/>
      <c r="D21" s="432"/>
      <c r="E21" s="433"/>
      <c r="F21" s="434"/>
    </row>
    <row r="22" spans="1:6" x14ac:dyDescent="0.2">
      <c r="A22" s="425" t="s">
        <v>614</v>
      </c>
      <c r="B22" s="12" t="s">
        <v>265</v>
      </c>
      <c r="C22" s="186" t="s">
        <v>179</v>
      </c>
      <c r="D22" s="186" t="s">
        <v>18</v>
      </c>
      <c r="E22" s="92">
        <v>189000</v>
      </c>
      <c r="F22" s="428" t="s">
        <v>180</v>
      </c>
    </row>
    <row r="23" spans="1:6" x14ac:dyDescent="0.2">
      <c r="A23" s="426"/>
      <c r="B23" s="12" t="s">
        <v>313</v>
      </c>
      <c r="C23" s="186" t="s">
        <v>181</v>
      </c>
      <c r="D23" s="186"/>
      <c r="E23" s="92">
        <v>81000</v>
      </c>
      <c r="F23" s="429"/>
    </row>
    <row r="24" spans="1:6" x14ac:dyDescent="0.2">
      <c r="A24" s="426"/>
      <c r="B24" s="12"/>
      <c r="C24" s="186"/>
      <c r="D24" s="186"/>
      <c r="E24" s="92"/>
      <c r="F24" s="429"/>
    </row>
    <row r="25" spans="1:6" x14ac:dyDescent="0.2">
      <c r="A25" s="426"/>
      <c r="B25" s="12" t="s">
        <v>97</v>
      </c>
      <c r="C25" s="186" t="s">
        <v>179</v>
      </c>
      <c r="D25" s="186" t="s">
        <v>18</v>
      </c>
      <c r="E25" s="92">
        <v>28350</v>
      </c>
      <c r="F25" s="429"/>
    </row>
    <row r="26" spans="1:6" x14ac:dyDescent="0.2">
      <c r="A26" s="426"/>
      <c r="B26" s="12" t="s">
        <v>498</v>
      </c>
      <c r="C26" s="186" t="s">
        <v>181</v>
      </c>
      <c r="D26" s="186"/>
      <c r="E26" s="92">
        <v>12150</v>
      </c>
      <c r="F26" s="429"/>
    </row>
    <row r="27" spans="1:6" x14ac:dyDescent="0.2">
      <c r="A27" s="426"/>
      <c r="B27" s="12"/>
      <c r="C27" s="186"/>
      <c r="D27" s="186"/>
      <c r="E27" s="92"/>
      <c r="F27" s="429"/>
    </row>
    <row r="28" spans="1:6" x14ac:dyDescent="0.2">
      <c r="A28" s="426"/>
      <c r="B28" s="12" t="s">
        <v>956</v>
      </c>
      <c r="C28" s="186" t="s">
        <v>20</v>
      </c>
      <c r="D28" s="186" t="s">
        <v>20</v>
      </c>
      <c r="E28" s="92">
        <v>120000</v>
      </c>
      <c r="F28" s="429"/>
    </row>
    <row r="29" spans="1:6" x14ac:dyDescent="0.2">
      <c r="A29" s="426"/>
      <c r="B29" s="12"/>
      <c r="C29" s="186"/>
      <c r="D29" s="186"/>
      <c r="E29" s="92"/>
      <c r="F29" s="429"/>
    </row>
    <row r="30" spans="1:6" x14ac:dyDescent="0.2">
      <c r="A30" s="427"/>
      <c r="B30" s="431" t="s">
        <v>130</v>
      </c>
      <c r="C30" s="431"/>
      <c r="D30" s="431"/>
      <c r="E30" s="187">
        <f>SUM(E22:E29)</f>
        <v>430500</v>
      </c>
      <c r="F30" s="430"/>
    </row>
  </sheetData>
  <mergeCells count="30">
    <mergeCell ref="O6:O7"/>
    <mergeCell ref="J8:J10"/>
    <mergeCell ref="J1:O1"/>
    <mergeCell ref="A2:F2"/>
    <mergeCell ref="J2:O2"/>
    <mergeCell ref="A6:A7"/>
    <mergeCell ref="B6:B7"/>
    <mergeCell ref="C6:C7"/>
    <mergeCell ref="D6:D7"/>
    <mergeCell ref="E6:E7"/>
    <mergeCell ref="F6:F7"/>
    <mergeCell ref="A1:F1"/>
    <mergeCell ref="O8:O10"/>
    <mergeCell ref="L6:L7"/>
    <mergeCell ref="M6:M7"/>
    <mergeCell ref="N6:N7"/>
    <mergeCell ref="A22:A30"/>
    <mergeCell ref="F22:F30"/>
    <mergeCell ref="B30:D30"/>
    <mergeCell ref="J6:J7"/>
    <mergeCell ref="K6:K7"/>
    <mergeCell ref="F8:F16"/>
    <mergeCell ref="B16:D16"/>
    <mergeCell ref="F20:F21"/>
    <mergeCell ref="A20:A21"/>
    <mergeCell ref="B20:B21"/>
    <mergeCell ref="C20:C21"/>
    <mergeCell ref="D20:D21"/>
    <mergeCell ref="E20:E21"/>
    <mergeCell ref="A8:A1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AE3A-C87A-4958-8306-AD51B961C0C3}">
  <dimension ref="A1:O84"/>
  <sheetViews>
    <sheetView showGridLines="0" zoomScale="70" zoomScaleNormal="70" workbookViewId="0">
      <selection activeCell="A4" sqref="A4"/>
    </sheetView>
  </sheetViews>
  <sheetFormatPr baseColWidth="10" defaultColWidth="8.83203125" defaultRowHeight="15" x14ac:dyDescent="0.2"/>
  <cols>
    <col min="1" max="1" width="15.6640625" style="58" customWidth="1"/>
    <col min="2" max="2" width="30.6640625" customWidth="1"/>
    <col min="3" max="4" width="12.6640625" style="62" customWidth="1"/>
    <col min="5" max="5" width="12.6640625" style="115" customWidth="1"/>
    <col min="6" max="6" width="30.6640625" customWidth="1"/>
    <col min="10" max="10" width="15.6640625" style="58" customWidth="1"/>
    <col min="11" max="11" width="30.6640625" customWidth="1"/>
    <col min="12" max="13" width="12.6640625" style="62" customWidth="1"/>
    <col min="14" max="14" width="12.6640625" style="115" customWidth="1"/>
    <col min="15" max="15" width="30.6640625" customWidth="1"/>
  </cols>
  <sheetData>
    <row r="1" spans="1:15" s="56" customFormat="1" ht="19" x14ac:dyDescent="0.25">
      <c r="A1" s="435" t="s">
        <v>63</v>
      </c>
      <c r="B1" s="435"/>
      <c r="C1" s="435"/>
      <c r="D1" s="435"/>
      <c r="E1" s="435"/>
      <c r="F1" s="435"/>
      <c r="J1" s="435" t="s">
        <v>63</v>
      </c>
      <c r="K1" s="435"/>
      <c r="L1" s="435"/>
      <c r="M1" s="435"/>
      <c r="N1" s="435"/>
      <c r="O1" s="435"/>
    </row>
    <row r="2" spans="1:15" s="56" customFormat="1" ht="19" x14ac:dyDescent="0.25">
      <c r="A2" s="436" t="s">
        <v>955</v>
      </c>
      <c r="B2" s="436"/>
      <c r="C2" s="436"/>
      <c r="D2" s="436"/>
      <c r="E2" s="436"/>
      <c r="F2" s="436"/>
      <c r="J2" s="436" t="s">
        <v>810</v>
      </c>
      <c r="K2" s="436"/>
      <c r="L2" s="436"/>
      <c r="M2" s="436"/>
      <c r="N2" s="436"/>
      <c r="O2" s="436"/>
    </row>
    <row r="3" spans="1:15" x14ac:dyDescent="0.2">
      <c r="A3" s="57"/>
      <c r="B3" s="113"/>
      <c r="C3" s="114"/>
      <c r="D3" s="114"/>
      <c r="E3" s="113"/>
      <c r="F3" s="113"/>
    </row>
    <row r="4" spans="1:15" ht="18" x14ac:dyDescent="0.35">
      <c r="A4" s="60" t="s">
        <v>64</v>
      </c>
      <c r="B4" s="113"/>
      <c r="C4" s="114"/>
      <c r="D4" s="114"/>
      <c r="E4" s="113"/>
      <c r="F4" s="113"/>
      <c r="J4" s="60" t="s">
        <v>64</v>
      </c>
    </row>
    <row r="5" spans="1:15" ht="18" x14ac:dyDescent="0.35">
      <c r="A5" s="60"/>
      <c r="B5" s="113"/>
      <c r="C5" s="114"/>
      <c r="D5" s="114"/>
      <c r="E5" s="113"/>
      <c r="F5" s="113"/>
    </row>
    <row r="6" spans="1:15" s="58" customFormat="1" x14ac:dyDescent="0.2">
      <c r="A6" s="432" t="s">
        <v>0</v>
      </c>
      <c r="B6" s="432" t="s">
        <v>2</v>
      </c>
      <c r="C6" s="432" t="s">
        <v>70</v>
      </c>
      <c r="D6" s="432" t="s">
        <v>3</v>
      </c>
      <c r="E6" s="433" t="s">
        <v>10</v>
      </c>
      <c r="F6" s="434" t="s">
        <v>178</v>
      </c>
      <c r="J6" s="275" t="s">
        <v>328</v>
      </c>
    </row>
    <row r="7" spans="1:15" s="58" customFormat="1" ht="14" customHeight="1" x14ac:dyDescent="0.2">
      <c r="A7" s="432"/>
      <c r="B7" s="432"/>
      <c r="C7" s="432"/>
      <c r="D7" s="432"/>
      <c r="E7" s="433"/>
      <c r="F7" s="434"/>
    </row>
    <row r="8" spans="1:15" x14ac:dyDescent="0.2">
      <c r="A8" s="425" t="s">
        <v>39</v>
      </c>
      <c r="B8" s="12" t="s">
        <v>389</v>
      </c>
      <c r="C8" s="186" t="s">
        <v>179</v>
      </c>
      <c r="D8" s="186" t="s">
        <v>18</v>
      </c>
      <c r="E8" s="92">
        <v>14175</v>
      </c>
      <c r="F8" s="428" t="s">
        <v>180</v>
      </c>
      <c r="G8" t="s">
        <v>812</v>
      </c>
      <c r="J8"/>
      <c r="L8"/>
      <c r="M8"/>
      <c r="N8"/>
    </row>
    <row r="9" spans="1:15" x14ac:dyDescent="0.2">
      <c r="A9" s="426"/>
      <c r="B9" s="12" t="s">
        <v>267</v>
      </c>
      <c r="C9" s="186" t="s">
        <v>181</v>
      </c>
      <c r="D9" s="186"/>
      <c r="E9" s="92">
        <v>6075</v>
      </c>
      <c r="F9" s="429"/>
      <c r="G9" t="s">
        <v>812</v>
      </c>
      <c r="J9"/>
      <c r="L9"/>
      <c r="M9"/>
      <c r="N9"/>
    </row>
    <row r="10" spans="1:15" x14ac:dyDescent="0.2">
      <c r="A10" s="426"/>
      <c r="B10" s="12"/>
      <c r="C10" s="186"/>
      <c r="D10" s="186"/>
      <c r="E10" s="92"/>
      <c r="F10" s="429"/>
      <c r="J10"/>
      <c r="L10"/>
      <c r="M10"/>
      <c r="N10"/>
    </row>
    <row r="11" spans="1:15" x14ac:dyDescent="0.2">
      <c r="A11" s="426"/>
      <c r="B11" s="12" t="s">
        <v>111</v>
      </c>
      <c r="C11" s="186" t="s">
        <v>179</v>
      </c>
      <c r="D11" s="186" t="s">
        <v>18</v>
      </c>
      <c r="E11" s="92">
        <v>346500</v>
      </c>
      <c r="F11" s="429"/>
      <c r="J11"/>
      <c r="L11"/>
      <c r="M11"/>
      <c r="N11"/>
    </row>
    <row r="12" spans="1:15" x14ac:dyDescent="0.2">
      <c r="A12" s="426"/>
      <c r="B12" s="12" t="s">
        <v>500</v>
      </c>
      <c r="C12" s="186" t="s">
        <v>181</v>
      </c>
      <c r="D12" s="186"/>
      <c r="E12" s="92">
        <v>148500</v>
      </c>
      <c r="F12" s="429"/>
      <c r="J12"/>
      <c r="L12"/>
      <c r="M12"/>
      <c r="N12"/>
    </row>
    <row r="13" spans="1:15" x14ac:dyDescent="0.2">
      <c r="A13" s="426"/>
      <c r="B13" s="12"/>
      <c r="C13" s="186"/>
      <c r="D13" s="186"/>
      <c r="E13" s="92"/>
      <c r="F13" s="429"/>
      <c r="J13"/>
      <c r="L13"/>
      <c r="M13"/>
      <c r="N13"/>
    </row>
    <row r="14" spans="1:15" x14ac:dyDescent="0.2">
      <c r="A14" s="426"/>
      <c r="B14" s="12" t="s">
        <v>957</v>
      </c>
      <c r="C14" s="186" t="s">
        <v>20</v>
      </c>
      <c r="D14" s="186" t="s">
        <v>20</v>
      </c>
      <c r="E14" s="92">
        <v>280800</v>
      </c>
      <c r="F14" s="429"/>
      <c r="G14" t="s">
        <v>812</v>
      </c>
      <c r="J14"/>
      <c r="K14" s="62"/>
      <c r="M14" s="115"/>
      <c r="N14"/>
    </row>
    <row r="15" spans="1:15" x14ac:dyDescent="0.2">
      <c r="A15" s="426"/>
      <c r="B15" s="12"/>
      <c r="C15" s="186"/>
      <c r="D15" s="186"/>
      <c r="E15" s="92"/>
      <c r="F15" s="429"/>
      <c r="J15"/>
      <c r="K15" s="62"/>
      <c r="M15" s="115"/>
      <c r="N15"/>
    </row>
    <row r="16" spans="1:15" x14ac:dyDescent="0.2">
      <c r="A16" s="427"/>
      <c r="B16" s="431" t="s">
        <v>130</v>
      </c>
      <c r="C16" s="431"/>
      <c r="D16" s="431"/>
      <c r="E16" s="187">
        <f>SUM(E8:E15)</f>
        <v>796050</v>
      </c>
      <c r="F16" s="430"/>
      <c r="J16"/>
      <c r="K16" s="62"/>
      <c r="M16" s="115"/>
      <c r="N16"/>
    </row>
    <row r="20" spans="1:6" x14ac:dyDescent="0.2">
      <c r="A20" s="432" t="s">
        <v>0</v>
      </c>
      <c r="B20" s="432" t="s">
        <v>2</v>
      </c>
      <c r="C20" s="432" t="s">
        <v>70</v>
      </c>
      <c r="D20" s="432" t="s">
        <v>3</v>
      </c>
      <c r="E20" s="433" t="s">
        <v>10</v>
      </c>
      <c r="F20" s="434" t="s">
        <v>178</v>
      </c>
    </row>
    <row r="21" spans="1:6" x14ac:dyDescent="0.2">
      <c r="A21" s="432"/>
      <c r="B21" s="432"/>
      <c r="C21" s="432"/>
      <c r="D21" s="432"/>
      <c r="E21" s="433"/>
      <c r="F21" s="434"/>
    </row>
    <row r="22" spans="1:6" x14ac:dyDescent="0.2">
      <c r="A22" s="425" t="s">
        <v>41</v>
      </c>
      <c r="B22" s="12" t="s">
        <v>112</v>
      </c>
      <c r="C22" s="186" t="s">
        <v>470</v>
      </c>
      <c r="D22" s="186" t="s">
        <v>470</v>
      </c>
      <c r="E22" s="92">
        <v>123750</v>
      </c>
      <c r="F22" s="428" t="s">
        <v>180</v>
      </c>
    </row>
    <row r="23" spans="1:6" x14ac:dyDescent="0.2">
      <c r="A23" s="426"/>
      <c r="B23" s="12"/>
      <c r="C23" s="186"/>
      <c r="D23" s="186"/>
      <c r="E23" s="92"/>
      <c r="F23" s="429"/>
    </row>
    <row r="24" spans="1:6" x14ac:dyDescent="0.2">
      <c r="A24" s="426"/>
      <c r="B24" s="12" t="s">
        <v>394</v>
      </c>
      <c r="C24" s="186" t="s">
        <v>470</v>
      </c>
      <c r="D24" s="186" t="s">
        <v>470</v>
      </c>
      <c r="E24" s="92">
        <v>49500</v>
      </c>
      <c r="F24" s="429"/>
    </row>
    <row r="25" spans="1:6" x14ac:dyDescent="0.2">
      <c r="A25" s="426"/>
      <c r="B25" s="12"/>
      <c r="C25" s="186"/>
      <c r="D25" s="186"/>
      <c r="E25" s="92"/>
      <c r="F25" s="429"/>
    </row>
    <row r="26" spans="1:6" x14ac:dyDescent="0.2">
      <c r="A26" s="426"/>
      <c r="B26" s="12" t="s">
        <v>113</v>
      </c>
      <c r="C26" s="186" t="s">
        <v>470</v>
      </c>
      <c r="D26" s="186" t="s">
        <v>470</v>
      </c>
      <c r="E26" s="92">
        <v>470250</v>
      </c>
      <c r="F26" s="429"/>
    </row>
    <row r="27" spans="1:6" x14ac:dyDescent="0.2">
      <c r="A27" s="426"/>
      <c r="B27" s="12"/>
      <c r="C27" s="186"/>
      <c r="D27" s="186"/>
      <c r="E27" s="92"/>
      <c r="F27" s="429"/>
    </row>
    <row r="28" spans="1:6" x14ac:dyDescent="0.2">
      <c r="A28" s="426"/>
      <c r="B28" s="12" t="s">
        <v>253</v>
      </c>
      <c r="C28" s="186" t="s">
        <v>470</v>
      </c>
      <c r="D28" s="186" t="s">
        <v>470</v>
      </c>
      <c r="E28" s="92">
        <v>132000</v>
      </c>
      <c r="F28" s="429"/>
    </row>
    <row r="29" spans="1:6" x14ac:dyDescent="0.2">
      <c r="A29" s="426"/>
      <c r="B29" s="12"/>
      <c r="C29" s="186"/>
      <c r="D29" s="186"/>
      <c r="E29" s="92"/>
      <c r="F29" s="429"/>
    </row>
    <row r="30" spans="1:6" x14ac:dyDescent="0.2">
      <c r="A30" s="426"/>
      <c r="B30" s="12" t="s">
        <v>329</v>
      </c>
      <c r="C30" s="186" t="s">
        <v>20</v>
      </c>
      <c r="D30" s="186" t="s">
        <v>20</v>
      </c>
      <c r="E30" s="92">
        <v>258000</v>
      </c>
      <c r="F30" s="429"/>
    </row>
    <row r="31" spans="1:6" x14ac:dyDescent="0.2">
      <c r="A31" s="426"/>
      <c r="B31" s="12"/>
      <c r="C31" s="186"/>
      <c r="D31" s="186"/>
      <c r="E31" s="92"/>
      <c r="F31" s="429"/>
    </row>
    <row r="32" spans="1:6" x14ac:dyDescent="0.2">
      <c r="A32" s="426"/>
      <c r="B32" s="12" t="s">
        <v>215</v>
      </c>
      <c r="C32" s="186" t="s">
        <v>339</v>
      </c>
      <c r="D32" s="186" t="s">
        <v>339</v>
      </c>
      <c r="E32" s="92">
        <v>25000</v>
      </c>
      <c r="F32" s="429"/>
    </row>
    <row r="33" spans="1:6" x14ac:dyDescent="0.2">
      <c r="A33" s="426"/>
      <c r="B33" s="12" t="s">
        <v>319</v>
      </c>
      <c r="C33" s="186" t="s">
        <v>340</v>
      </c>
      <c r="D33" s="186" t="s">
        <v>340</v>
      </c>
      <c r="E33" s="92"/>
      <c r="F33" s="429"/>
    </row>
    <row r="34" spans="1:6" x14ac:dyDescent="0.2">
      <c r="A34" s="426"/>
      <c r="B34" s="12"/>
      <c r="C34" s="186"/>
      <c r="D34" s="186"/>
      <c r="E34" s="92"/>
      <c r="F34" s="429"/>
    </row>
    <row r="35" spans="1:6" x14ac:dyDescent="0.2">
      <c r="A35" s="426"/>
      <c r="B35" s="12" t="s">
        <v>318</v>
      </c>
      <c r="C35" s="186" t="s">
        <v>339</v>
      </c>
      <c r="D35" s="186" t="s">
        <v>339</v>
      </c>
      <c r="E35" s="92">
        <v>25000</v>
      </c>
      <c r="F35" s="429"/>
    </row>
    <row r="36" spans="1:6" x14ac:dyDescent="0.2">
      <c r="A36" s="426"/>
      <c r="B36" s="12" t="s">
        <v>214</v>
      </c>
      <c r="C36" s="186" t="s">
        <v>340</v>
      </c>
      <c r="D36" s="186" t="s">
        <v>340</v>
      </c>
      <c r="E36" s="92"/>
      <c r="F36" s="429"/>
    </row>
    <row r="37" spans="1:6" x14ac:dyDescent="0.2">
      <c r="A37" s="426"/>
      <c r="B37" s="12"/>
      <c r="C37" s="186"/>
      <c r="D37" s="186"/>
      <c r="E37" s="92"/>
      <c r="F37" s="429"/>
    </row>
    <row r="38" spans="1:6" x14ac:dyDescent="0.2">
      <c r="A38" s="426"/>
      <c r="B38" s="12" t="s">
        <v>472</v>
      </c>
      <c r="C38" s="186" t="s">
        <v>339</v>
      </c>
      <c r="D38" s="186" t="s">
        <v>339</v>
      </c>
      <c r="E38" s="92">
        <v>80000</v>
      </c>
      <c r="F38" s="429"/>
    </row>
    <row r="39" spans="1:6" x14ac:dyDescent="0.2">
      <c r="A39" s="426"/>
      <c r="B39" s="12" t="s">
        <v>252</v>
      </c>
      <c r="C39" s="186" t="s">
        <v>340</v>
      </c>
      <c r="D39" s="186" t="s">
        <v>340</v>
      </c>
      <c r="E39" s="92"/>
      <c r="F39" s="429"/>
    </row>
    <row r="40" spans="1:6" x14ac:dyDescent="0.2">
      <c r="A40" s="426"/>
      <c r="B40" s="12"/>
      <c r="C40" s="186"/>
      <c r="D40" s="186"/>
      <c r="E40" s="92"/>
      <c r="F40" s="429"/>
    </row>
    <row r="41" spans="1:6" x14ac:dyDescent="0.2">
      <c r="A41" s="427"/>
      <c r="B41" s="431" t="s">
        <v>130</v>
      </c>
      <c r="C41" s="431"/>
      <c r="D41" s="431"/>
      <c r="E41" s="187">
        <f>SUM(E22:E40)</f>
        <v>1163500</v>
      </c>
      <c r="F41" s="430"/>
    </row>
    <row r="45" spans="1:6" x14ac:dyDescent="0.2">
      <c r="A45" s="432" t="s">
        <v>0</v>
      </c>
      <c r="B45" s="432" t="s">
        <v>2</v>
      </c>
      <c r="C45" s="432" t="s">
        <v>70</v>
      </c>
      <c r="D45" s="432" t="s">
        <v>3</v>
      </c>
      <c r="E45" s="433" t="s">
        <v>10</v>
      </c>
      <c r="F45" s="434" t="s">
        <v>178</v>
      </c>
    </row>
    <row r="46" spans="1:6" x14ac:dyDescent="0.2">
      <c r="A46" s="432"/>
      <c r="B46" s="432"/>
      <c r="C46" s="432"/>
      <c r="D46" s="432"/>
      <c r="E46" s="433"/>
      <c r="F46" s="434"/>
    </row>
    <row r="47" spans="1:6" x14ac:dyDescent="0.2">
      <c r="A47" s="440" t="s">
        <v>967</v>
      </c>
      <c r="B47" s="12" t="s">
        <v>114</v>
      </c>
      <c r="C47" s="186" t="s">
        <v>470</v>
      </c>
      <c r="D47" s="186" t="s">
        <v>470</v>
      </c>
      <c r="E47" s="92">
        <v>57750</v>
      </c>
      <c r="F47" s="428" t="s">
        <v>180</v>
      </c>
    </row>
    <row r="48" spans="1:6" x14ac:dyDescent="0.2">
      <c r="A48" s="441"/>
      <c r="B48" s="12"/>
      <c r="C48" s="186"/>
      <c r="D48" s="186"/>
      <c r="E48" s="92"/>
      <c r="F48" s="429"/>
    </row>
    <row r="49" spans="1:6" x14ac:dyDescent="0.2">
      <c r="A49" s="441"/>
      <c r="B49" s="12" t="s">
        <v>341</v>
      </c>
      <c r="C49" s="186" t="s">
        <v>470</v>
      </c>
      <c r="D49" s="186" t="s">
        <v>470</v>
      </c>
      <c r="E49" s="92">
        <v>363000</v>
      </c>
      <c r="F49" s="429"/>
    </row>
    <row r="50" spans="1:6" x14ac:dyDescent="0.2">
      <c r="A50" s="441"/>
      <c r="B50" s="12"/>
      <c r="C50" s="186"/>
      <c r="D50" s="186"/>
      <c r="E50" s="92"/>
      <c r="F50" s="429"/>
    </row>
    <row r="51" spans="1:6" x14ac:dyDescent="0.2">
      <c r="A51" s="441"/>
      <c r="B51" s="12" t="s">
        <v>321</v>
      </c>
      <c r="C51" s="186" t="s">
        <v>179</v>
      </c>
      <c r="D51" s="186" t="s">
        <v>18</v>
      </c>
      <c r="E51" s="92">
        <v>78750</v>
      </c>
      <c r="F51" s="429"/>
    </row>
    <row r="52" spans="1:6" x14ac:dyDescent="0.2">
      <c r="A52" s="441"/>
      <c r="B52" s="12" t="s">
        <v>505</v>
      </c>
      <c r="C52" s="186" t="s">
        <v>181</v>
      </c>
      <c r="D52" s="186"/>
      <c r="E52" s="92">
        <v>33750</v>
      </c>
      <c r="F52" s="429"/>
    </row>
    <row r="53" spans="1:6" x14ac:dyDescent="0.2">
      <c r="A53" s="441"/>
      <c r="B53" s="12"/>
      <c r="C53" s="186"/>
      <c r="D53" s="186"/>
      <c r="E53" s="92"/>
      <c r="F53" s="429"/>
    </row>
    <row r="54" spans="1:6" x14ac:dyDescent="0.2">
      <c r="A54" s="441"/>
      <c r="B54" s="12" t="s">
        <v>322</v>
      </c>
      <c r="C54" s="186" t="s">
        <v>179</v>
      </c>
      <c r="D54" s="186" t="s">
        <v>18</v>
      </c>
      <c r="E54" s="92">
        <v>189000</v>
      </c>
      <c r="F54" s="429"/>
    </row>
    <row r="55" spans="1:6" x14ac:dyDescent="0.2">
      <c r="A55" s="441"/>
      <c r="B55" s="12" t="s">
        <v>914</v>
      </c>
      <c r="C55" s="186" t="s">
        <v>181</v>
      </c>
      <c r="D55" s="186"/>
      <c r="E55" s="92">
        <v>81000</v>
      </c>
      <c r="F55" s="429"/>
    </row>
    <row r="56" spans="1:6" x14ac:dyDescent="0.2">
      <c r="A56" s="441"/>
      <c r="B56" s="12"/>
      <c r="C56" s="186"/>
      <c r="D56" s="186"/>
      <c r="E56" s="92"/>
      <c r="F56" s="429"/>
    </row>
    <row r="57" spans="1:6" x14ac:dyDescent="0.2">
      <c r="A57" s="441"/>
      <c r="B57" s="12" t="s">
        <v>276</v>
      </c>
      <c r="C57" s="186" t="s">
        <v>20</v>
      </c>
      <c r="D57" s="186" t="s">
        <v>20</v>
      </c>
      <c r="E57" s="92">
        <v>240000</v>
      </c>
      <c r="F57" s="429"/>
    </row>
    <row r="58" spans="1:6" x14ac:dyDescent="0.2">
      <c r="A58" s="441"/>
      <c r="B58" s="12"/>
      <c r="C58" s="186"/>
      <c r="D58" s="186"/>
      <c r="E58" s="92"/>
      <c r="F58" s="429"/>
    </row>
    <row r="59" spans="1:6" x14ac:dyDescent="0.2">
      <c r="A59" s="441"/>
      <c r="B59" s="12" t="s">
        <v>216</v>
      </c>
      <c r="C59" s="186" t="s">
        <v>339</v>
      </c>
      <c r="D59" s="186" t="s">
        <v>339</v>
      </c>
      <c r="E59" s="92">
        <v>40000</v>
      </c>
      <c r="F59" s="429"/>
    </row>
    <row r="60" spans="1:6" x14ac:dyDescent="0.2">
      <c r="A60" s="441"/>
      <c r="B60" s="12" t="s">
        <v>323</v>
      </c>
      <c r="C60" s="186" t="s">
        <v>340</v>
      </c>
      <c r="D60" s="186" t="s">
        <v>340</v>
      </c>
      <c r="E60" s="92"/>
      <c r="F60" s="429"/>
    </row>
    <row r="61" spans="1:6" x14ac:dyDescent="0.2">
      <c r="A61" s="441"/>
      <c r="B61" s="12"/>
      <c r="C61" s="186"/>
      <c r="D61" s="186"/>
      <c r="E61" s="92"/>
      <c r="F61" s="429"/>
    </row>
    <row r="62" spans="1:6" x14ac:dyDescent="0.2">
      <c r="A62" s="442"/>
      <c r="B62" s="431" t="s">
        <v>130</v>
      </c>
      <c r="C62" s="431"/>
      <c r="D62" s="431"/>
      <c r="E62" s="187">
        <f>SUM(E47:E61)</f>
        <v>1083250</v>
      </c>
      <c r="F62" s="430"/>
    </row>
    <row r="66" spans="1:6" x14ac:dyDescent="0.2">
      <c r="A66" s="432" t="s">
        <v>0</v>
      </c>
      <c r="B66" s="432" t="s">
        <v>2</v>
      </c>
      <c r="C66" s="432" t="s">
        <v>70</v>
      </c>
      <c r="D66" s="432" t="s">
        <v>3</v>
      </c>
      <c r="E66" s="433" t="s">
        <v>10</v>
      </c>
      <c r="F66" s="434" t="s">
        <v>178</v>
      </c>
    </row>
    <row r="67" spans="1:6" x14ac:dyDescent="0.2">
      <c r="A67" s="432"/>
      <c r="B67" s="432"/>
      <c r="C67" s="432"/>
      <c r="D67" s="432"/>
      <c r="E67" s="433"/>
      <c r="F67" s="434"/>
    </row>
    <row r="68" spans="1:6" x14ac:dyDescent="0.2">
      <c r="A68" s="425" t="s">
        <v>45</v>
      </c>
      <c r="B68" s="12" t="s">
        <v>288</v>
      </c>
      <c r="C68" s="186" t="s">
        <v>179</v>
      </c>
      <c r="D68" s="186" t="s">
        <v>18</v>
      </c>
      <c r="E68" s="92">
        <v>155925</v>
      </c>
      <c r="F68" s="428" t="s">
        <v>180</v>
      </c>
    </row>
    <row r="69" spans="1:6" x14ac:dyDescent="0.2">
      <c r="A69" s="426"/>
      <c r="B69" s="12" t="s">
        <v>250</v>
      </c>
      <c r="C69" s="186" t="s">
        <v>181</v>
      </c>
      <c r="D69" s="186"/>
      <c r="E69" s="92">
        <v>66825</v>
      </c>
      <c r="F69" s="429"/>
    </row>
    <row r="70" spans="1:6" x14ac:dyDescent="0.2">
      <c r="A70" s="426"/>
      <c r="B70" s="12"/>
      <c r="C70" s="186"/>
      <c r="D70" s="186"/>
      <c r="E70" s="92"/>
      <c r="F70" s="429"/>
    </row>
    <row r="71" spans="1:6" x14ac:dyDescent="0.2">
      <c r="A71" s="426"/>
      <c r="B71" s="12" t="s">
        <v>251</v>
      </c>
      <c r="C71" s="186" t="s">
        <v>179</v>
      </c>
      <c r="D71" s="186" t="s">
        <v>18</v>
      </c>
      <c r="E71" s="92">
        <v>78750</v>
      </c>
      <c r="F71" s="429"/>
    </row>
    <row r="72" spans="1:6" x14ac:dyDescent="0.2">
      <c r="A72" s="426"/>
      <c r="B72" s="12" t="s">
        <v>217</v>
      </c>
      <c r="C72" s="186" t="s">
        <v>181</v>
      </c>
      <c r="D72" s="186"/>
      <c r="E72" s="92">
        <v>33750</v>
      </c>
      <c r="F72" s="429"/>
    </row>
    <row r="73" spans="1:6" x14ac:dyDescent="0.2">
      <c r="A73" s="426"/>
      <c r="B73" s="12"/>
      <c r="C73" s="186"/>
      <c r="D73" s="186"/>
      <c r="E73" s="92"/>
      <c r="F73" s="429"/>
    </row>
    <row r="74" spans="1:6" x14ac:dyDescent="0.2">
      <c r="A74" s="426"/>
      <c r="B74" s="12" t="s">
        <v>524</v>
      </c>
      <c r="C74" s="186" t="s">
        <v>20</v>
      </c>
      <c r="D74" s="186" t="s">
        <v>20</v>
      </c>
      <c r="E74" s="92">
        <v>97200</v>
      </c>
      <c r="F74" s="429"/>
    </row>
    <row r="75" spans="1:6" x14ac:dyDescent="0.2">
      <c r="A75" s="426"/>
      <c r="B75" s="12"/>
      <c r="C75" s="186"/>
      <c r="D75" s="186"/>
      <c r="E75" s="92"/>
      <c r="F75" s="429"/>
    </row>
    <row r="76" spans="1:6" x14ac:dyDescent="0.2">
      <c r="A76" s="427"/>
      <c r="B76" s="431" t="s">
        <v>130</v>
      </c>
      <c r="C76" s="431"/>
      <c r="D76" s="431"/>
      <c r="E76" s="187">
        <f>SUM(E68:E75)</f>
        <v>432450</v>
      </c>
      <c r="F76" s="430"/>
    </row>
    <row r="80" spans="1:6" x14ac:dyDescent="0.2">
      <c r="A80" s="432" t="s">
        <v>0</v>
      </c>
      <c r="B80" s="432" t="s">
        <v>2</v>
      </c>
      <c r="C80" s="432" t="s">
        <v>70</v>
      </c>
      <c r="D80" s="432" t="s">
        <v>3</v>
      </c>
      <c r="E80" s="433" t="s">
        <v>10</v>
      </c>
      <c r="F80" s="434" t="s">
        <v>178</v>
      </c>
    </row>
    <row r="81" spans="1:6" x14ac:dyDescent="0.2">
      <c r="A81" s="432"/>
      <c r="B81" s="432"/>
      <c r="C81" s="432"/>
      <c r="D81" s="432"/>
      <c r="E81" s="433"/>
      <c r="F81" s="434"/>
    </row>
    <row r="82" spans="1:6" x14ac:dyDescent="0.2">
      <c r="A82" s="425" t="s">
        <v>47</v>
      </c>
      <c r="B82" s="12" t="s">
        <v>668</v>
      </c>
      <c r="C82" s="186" t="s">
        <v>571</v>
      </c>
      <c r="D82" s="186" t="s">
        <v>571</v>
      </c>
      <c r="E82" s="92">
        <v>198000</v>
      </c>
      <c r="F82" s="428" t="s">
        <v>180</v>
      </c>
    </row>
    <row r="83" spans="1:6" x14ac:dyDescent="0.2">
      <c r="A83" s="426"/>
      <c r="B83" s="12"/>
      <c r="C83" s="186"/>
      <c r="D83" s="186"/>
      <c r="E83" s="92"/>
      <c r="F83" s="429"/>
    </row>
    <row r="84" spans="1:6" x14ac:dyDescent="0.2">
      <c r="A84" s="427"/>
      <c r="B84" s="431" t="s">
        <v>130</v>
      </c>
      <c r="C84" s="431"/>
      <c r="D84" s="431"/>
      <c r="E84" s="187">
        <f>SUM(E82:E83)</f>
        <v>198000</v>
      </c>
      <c r="F84" s="430"/>
    </row>
  </sheetData>
  <mergeCells count="49">
    <mergeCell ref="F66:F67"/>
    <mergeCell ref="A66:A67"/>
    <mergeCell ref="B66:B67"/>
    <mergeCell ref="C66:C67"/>
    <mergeCell ref="D66:D67"/>
    <mergeCell ref="E66:E67"/>
    <mergeCell ref="E45:E46"/>
    <mergeCell ref="F45:F46"/>
    <mergeCell ref="A47:A62"/>
    <mergeCell ref="F47:F62"/>
    <mergeCell ref="B62:D62"/>
    <mergeCell ref="A8:A16"/>
    <mergeCell ref="F8:F16"/>
    <mergeCell ref="B16:D16"/>
    <mergeCell ref="J1:O1"/>
    <mergeCell ref="A2:F2"/>
    <mergeCell ref="J2:O2"/>
    <mergeCell ref="A6:A7"/>
    <mergeCell ref="B6:B7"/>
    <mergeCell ref="C6:C7"/>
    <mergeCell ref="D6:D7"/>
    <mergeCell ref="E6:E7"/>
    <mergeCell ref="F6:F7"/>
    <mergeCell ref="A1:F1"/>
    <mergeCell ref="F20:F21"/>
    <mergeCell ref="A68:A76"/>
    <mergeCell ref="F68:F76"/>
    <mergeCell ref="B76:D76"/>
    <mergeCell ref="A20:A21"/>
    <mergeCell ref="B20:B21"/>
    <mergeCell ref="C20:C21"/>
    <mergeCell ref="D20:D21"/>
    <mergeCell ref="E20:E21"/>
    <mergeCell ref="A22:A41"/>
    <mergeCell ref="F22:F41"/>
    <mergeCell ref="B41:D41"/>
    <mergeCell ref="A45:A46"/>
    <mergeCell ref="B45:B46"/>
    <mergeCell ref="C45:C46"/>
    <mergeCell ref="D45:D46"/>
    <mergeCell ref="F80:F81"/>
    <mergeCell ref="A82:A84"/>
    <mergeCell ref="F82:F84"/>
    <mergeCell ref="B84:D84"/>
    <mergeCell ref="A80:A81"/>
    <mergeCell ref="B80:B81"/>
    <mergeCell ref="C80:C81"/>
    <mergeCell ref="D80:D81"/>
    <mergeCell ref="E80:E81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5BC5-BA38-47CB-AAD1-006633775162}">
  <dimension ref="A1:O105"/>
  <sheetViews>
    <sheetView showGridLines="0" zoomScale="70" zoomScaleNormal="70" workbookViewId="0">
      <selection sqref="A1:F100"/>
    </sheetView>
  </sheetViews>
  <sheetFormatPr baseColWidth="10" defaultColWidth="8.83203125" defaultRowHeight="15" x14ac:dyDescent="0.2"/>
  <cols>
    <col min="1" max="1" width="15.6640625" style="58" customWidth="1"/>
    <col min="2" max="2" width="30.6640625" customWidth="1"/>
    <col min="3" max="4" width="12.6640625" style="62" customWidth="1"/>
    <col min="5" max="5" width="12.6640625" style="115" customWidth="1"/>
    <col min="6" max="6" width="30.6640625" customWidth="1"/>
    <col min="10" max="10" width="15.6640625" style="58" customWidth="1"/>
    <col min="11" max="11" width="30.6640625" customWidth="1"/>
    <col min="12" max="13" width="12.6640625" style="62" customWidth="1"/>
    <col min="14" max="14" width="12.6640625" style="115" customWidth="1"/>
    <col min="15" max="15" width="30.6640625" customWidth="1"/>
  </cols>
  <sheetData>
    <row r="1" spans="1:15" s="56" customFormat="1" ht="19" x14ac:dyDescent="0.25">
      <c r="A1" s="435" t="s">
        <v>63</v>
      </c>
      <c r="B1" s="435"/>
      <c r="C1" s="435"/>
      <c r="D1" s="435"/>
      <c r="E1" s="435"/>
      <c r="F1" s="435"/>
      <c r="J1" s="435" t="s">
        <v>63</v>
      </c>
      <c r="K1" s="435"/>
      <c r="L1" s="435"/>
      <c r="M1" s="435"/>
      <c r="N1" s="435"/>
      <c r="O1" s="435"/>
    </row>
    <row r="2" spans="1:15" s="56" customFormat="1" ht="19" x14ac:dyDescent="0.25">
      <c r="A2" s="436" t="s">
        <v>955</v>
      </c>
      <c r="B2" s="436"/>
      <c r="C2" s="436"/>
      <c r="D2" s="436"/>
      <c r="E2" s="436"/>
      <c r="F2" s="436"/>
      <c r="J2" s="436" t="s">
        <v>810</v>
      </c>
      <c r="K2" s="436"/>
      <c r="L2" s="436"/>
      <c r="M2" s="436"/>
      <c r="N2" s="436"/>
      <c r="O2" s="436"/>
    </row>
    <row r="3" spans="1:15" x14ac:dyDescent="0.2">
      <c r="A3" s="57"/>
      <c r="B3" s="113"/>
      <c r="C3" s="114"/>
      <c r="D3" s="114"/>
      <c r="E3" s="113"/>
      <c r="F3" s="113"/>
    </row>
    <row r="4" spans="1:15" ht="18" x14ac:dyDescent="0.35">
      <c r="A4" s="60" t="s">
        <v>65</v>
      </c>
      <c r="B4" s="113"/>
      <c r="C4" s="114"/>
      <c r="D4" s="114"/>
      <c r="E4" s="113"/>
      <c r="F4" s="113"/>
      <c r="J4" s="60" t="s">
        <v>65</v>
      </c>
    </row>
    <row r="5" spans="1:15" ht="18" x14ac:dyDescent="0.35">
      <c r="A5" s="60"/>
      <c r="B5" s="113"/>
      <c r="C5" s="114"/>
      <c r="D5" s="114"/>
      <c r="E5" s="113"/>
      <c r="F5" s="113"/>
    </row>
    <row r="6" spans="1:15" s="58" customFormat="1" x14ac:dyDescent="0.2">
      <c r="A6" s="451" t="s">
        <v>0</v>
      </c>
      <c r="B6" s="451" t="s">
        <v>2</v>
      </c>
      <c r="C6" s="451" t="s">
        <v>70</v>
      </c>
      <c r="D6" s="451" t="s">
        <v>3</v>
      </c>
      <c r="E6" s="453" t="s">
        <v>10</v>
      </c>
      <c r="F6" s="443" t="s">
        <v>178</v>
      </c>
      <c r="J6" s="275" t="s">
        <v>328</v>
      </c>
    </row>
    <row r="7" spans="1:15" s="58" customFormat="1" ht="14" customHeight="1" x14ac:dyDescent="0.2">
      <c r="A7" s="452"/>
      <c r="B7" s="452"/>
      <c r="C7" s="452"/>
      <c r="D7" s="452"/>
      <c r="E7" s="454"/>
      <c r="F7" s="444"/>
    </row>
    <row r="8" spans="1:15" x14ac:dyDescent="0.2">
      <c r="A8" s="425" t="s">
        <v>53</v>
      </c>
      <c r="B8" s="12" t="s">
        <v>115</v>
      </c>
      <c r="C8" s="186" t="s">
        <v>571</v>
      </c>
      <c r="D8" s="186" t="s">
        <v>571</v>
      </c>
      <c r="E8" s="92">
        <v>825000</v>
      </c>
      <c r="F8" s="428" t="s">
        <v>180</v>
      </c>
    </row>
    <row r="9" spans="1:15" x14ac:dyDescent="0.2">
      <c r="A9" s="426"/>
      <c r="B9" s="12"/>
      <c r="C9" s="186"/>
      <c r="D9" s="186"/>
      <c r="E9" s="92"/>
      <c r="F9" s="429"/>
    </row>
    <row r="10" spans="1:15" x14ac:dyDescent="0.2">
      <c r="A10" s="426"/>
      <c r="B10" s="12" t="s">
        <v>532</v>
      </c>
      <c r="C10" s="186" t="s">
        <v>675</v>
      </c>
      <c r="D10" s="186" t="s">
        <v>675</v>
      </c>
      <c r="E10" s="92">
        <v>120000</v>
      </c>
      <c r="F10" s="429"/>
    </row>
    <row r="11" spans="1:15" x14ac:dyDescent="0.2">
      <c r="A11" s="426"/>
      <c r="B11" s="12"/>
      <c r="C11" s="186"/>
      <c r="D11" s="186"/>
      <c r="E11" s="92"/>
      <c r="F11" s="429"/>
    </row>
    <row r="12" spans="1:15" x14ac:dyDescent="0.2">
      <c r="A12" s="426"/>
      <c r="B12" s="12" t="s">
        <v>535</v>
      </c>
      <c r="C12" s="186" t="s">
        <v>675</v>
      </c>
      <c r="D12" s="186" t="s">
        <v>675</v>
      </c>
      <c r="E12" s="92">
        <v>135000</v>
      </c>
      <c r="F12" s="429"/>
    </row>
    <row r="13" spans="1:15" x14ac:dyDescent="0.2">
      <c r="A13" s="426"/>
      <c r="B13" s="12"/>
      <c r="C13" s="186"/>
      <c r="D13" s="186"/>
      <c r="E13" s="92"/>
      <c r="F13" s="429"/>
    </row>
    <row r="14" spans="1:15" x14ac:dyDescent="0.2">
      <c r="A14" s="426"/>
      <c r="B14" s="12" t="s">
        <v>533</v>
      </c>
      <c r="C14" s="186" t="s">
        <v>675</v>
      </c>
      <c r="D14" s="186" t="s">
        <v>675</v>
      </c>
      <c r="E14" s="92">
        <v>135000</v>
      </c>
      <c r="F14" s="429"/>
    </row>
    <row r="15" spans="1:15" x14ac:dyDescent="0.2">
      <c r="A15" s="426"/>
      <c r="B15" s="12"/>
      <c r="C15" s="186"/>
      <c r="D15" s="186"/>
      <c r="E15" s="92"/>
      <c r="F15" s="429"/>
    </row>
    <row r="16" spans="1:15" x14ac:dyDescent="0.2">
      <c r="A16" s="426"/>
      <c r="B16" s="12" t="s">
        <v>958</v>
      </c>
      <c r="C16" s="186" t="s">
        <v>673</v>
      </c>
      <c r="D16" s="186" t="s">
        <v>673</v>
      </c>
      <c r="E16" s="92">
        <v>410000</v>
      </c>
      <c r="F16" s="429"/>
    </row>
    <row r="17" spans="1:6" x14ac:dyDescent="0.2">
      <c r="A17" s="426"/>
      <c r="B17" s="12"/>
      <c r="C17" s="186"/>
      <c r="D17" s="186"/>
      <c r="E17" s="92"/>
      <c r="F17" s="429"/>
    </row>
    <row r="18" spans="1:6" x14ac:dyDescent="0.2">
      <c r="A18" s="426"/>
      <c r="B18" s="12" t="s">
        <v>783</v>
      </c>
      <c r="C18" s="186" t="s">
        <v>20</v>
      </c>
      <c r="D18" s="186" t="s">
        <v>20</v>
      </c>
      <c r="E18" s="92">
        <v>1344000</v>
      </c>
      <c r="F18" s="429"/>
    </row>
    <row r="19" spans="1:6" x14ac:dyDescent="0.2">
      <c r="A19" s="426"/>
      <c r="B19" s="12"/>
      <c r="C19" s="186"/>
      <c r="D19" s="186"/>
      <c r="E19" s="92"/>
      <c r="F19" s="429"/>
    </row>
    <row r="20" spans="1:6" x14ac:dyDescent="0.2">
      <c r="A20" s="427"/>
      <c r="B20" s="448" t="s">
        <v>130</v>
      </c>
      <c r="C20" s="449"/>
      <c r="D20" s="450"/>
      <c r="E20" s="187">
        <f>SUM(E8:E19)</f>
        <v>2969000</v>
      </c>
      <c r="F20" s="430"/>
    </row>
    <row r="24" spans="1:6" x14ac:dyDescent="0.2">
      <c r="A24" s="451" t="s">
        <v>0</v>
      </c>
      <c r="B24" s="451" t="s">
        <v>2</v>
      </c>
      <c r="C24" s="451" t="s">
        <v>70</v>
      </c>
      <c r="D24" s="451" t="s">
        <v>3</v>
      </c>
      <c r="E24" s="453" t="s">
        <v>10</v>
      </c>
      <c r="F24" s="443" t="s">
        <v>178</v>
      </c>
    </row>
    <row r="25" spans="1:6" x14ac:dyDescent="0.2">
      <c r="A25" s="452"/>
      <c r="B25" s="452"/>
      <c r="C25" s="452"/>
      <c r="D25" s="452"/>
      <c r="E25" s="454"/>
      <c r="F25" s="444"/>
    </row>
    <row r="26" spans="1:6" ht="14.5" customHeight="1" x14ac:dyDescent="0.2">
      <c r="A26" s="440" t="s">
        <v>536</v>
      </c>
      <c r="B26" s="12" t="s">
        <v>541</v>
      </c>
      <c r="C26" s="186" t="s">
        <v>675</v>
      </c>
      <c r="D26" s="186" t="s">
        <v>675</v>
      </c>
      <c r="E26" s="92">
        <v>90000</v>
      </c>
      <c r="F26" s="445" t="s">
        <v>180</v>
      </c>
    </row>
    <row r="27" spans="1:6" x14ac:dyDescent="0.2">
      <c r="A27" s="441"/>
      <c r="B27" s="12"/>
      <c r="C27" s="186"/>
      <c r="D27" s="186"/>
      <c r="E27" s="92"/>
      <c r="F27" s="446"/>
    </row>
    <row r="28" spans="1:6" x14ac:dyDescent="0.2">
      <c r="A28" s="441"/>
      <c r="B28" s="12" t="s">
        <v>539</v>
      </c>
      <c r="C28" s="186" t="s">
        <v>675</v>
      </c>
      <c r="D28" s="186" t="s">
        <v>675</v>
      </c>
      <c r="E28" s="92">
        <v>90000</v>
      </c>
      <c r="F28" s="446"/>
    </row>
    <row r="29" spans="1:6" x14ac:dyDescent="0.2">
      <c r="A29" s="441"/>
      <c r="B29" s="12"/>
      <c r="C29" s="186"/>
      <c r="D29" s="186"/>
      <c r="E29" s="92"/>
      <c r="F29" s="446"/>
    </row>
    <row r="30" spans="1:6" x14ac:dyDescent="0.2">
      <c r="A30" s="441"/>
      <c r="B30" s="12" t="s">
        <v>537</v>
      </c>
      <c r="C30" s="186" t="s">
        <v>675</v>
      </c>
      <c r="D30" s="186" t="s">
        <v>675</v>
      </c>
      <c r="E30" s="92">
        <v>60000</v>
      </c>
      <c r="F30" s="446"/>
    </row>
    <row r="31" spans="1:6" x14ac:dyDescent="0.2">
      <c r="A31" s="441"/>
      <c r="B31" s="12"/>
      <c r="C31" s="186"/>
      <c r="D31" s="186"/>
      <c r="E31" s="92"/>
      <c r="F31" s="446"/>
    </row>
    <row r="32" spans="1:6" x14ac:dyDescent="0.2">
      <c r="A32" s="441"/>
      <c r="B32" s="12" t="s">
        <v>617</v>
      </c>
      <c r="C32" s="186" t="s">
        <v>675</v>
      </c>
      <c r="D32" s="186" t="s">
        <v>675</v>
      </c>
      <c r="E32" s="92">
        <v>90000</v>
      </c>
      <c r="F32" s="446"/>
    </row>
    <row r="33" spans="1:6" x14ac:dyDescent="0.2">
      <c r="A33" s="441"/>
      <c r="B33" s="12"/>
      <c r="C33" s="186"/>
      <c r="D33" s="186"/>
      <c r="E33" s="92"/>
      <c r="F33" s="446"/>
    </row>
    <row r="34" spans="1:6" x14ac:dyDescent="0.2">
      <c r="A34" s="441"/>
      <c r="B34" s="12" t="s">
        <v>784</v>
      </c>
      <c r="C34" s="186" t="s">
        <v>20</v>
      </c>
      <c r="D34" s="186" t="s">
        <v>20</v>
      </c>
      <c r="E34" s="92">
        <v>120000</v>
      </c>
      <c r="F34" s="446"/>
    </row>
    <row r="35" spans="1:6" x14ac:dyDescent="0.2">
      <c r="A35" s="441"/>
      <c r="B35" s="12"/>
      <c r="C35" s="186"/>
      <c r="D35" s="186"/>
      <c r="E35" s="92"/>
      <c r="F35" s="446"/>
    </row>
    <row r="36" spans="1:6" x14ac:dyDescent="0.2">
      <c r="A36" s="442"/>
      <c r="B36" s="448" t="s">
        <v>130</v>
      </c>
      <c r="C36" s="449"/>
      <c r="D36" s="450"/>
      <c r="E36" s="187">
        <f>SUM(E26:E35)</f>
        <v>450000</v>
      </c>
      <c r="F36" s="447"/>
    </row>
    <row r="40" spans="1:6" x14ac:dyDescent="0.2">
      <c r="A40" s="451" t="s">
        <v>0</v>
      </c>
      <c r="B40" s="451" t="s">
        <v>2</v>
      </c>
      <c r="C40" s="451" t="s">
        <v>70</v>
      </c>
      <c r="D40" s="451" t="s">
        <v>3</v>
      </c>
      <c r="E40" s="453" t="s">
        <v>10</v>
      </c>
      <c r="F40" s="443" t="s">
        <v>178</v>
      </c>
    </row>
    <row r="41" spans="1:6" x14ac:dyDescent="0.2">
      <c r="A41" s="452"/>
      <c r="B41" s="452"/>
      <c r="C41" s="452"/>
      <c r="D41" s="452"/>
      <c r="E41" s="454"/>
      <c r="F41" s="444"/>
    </row>
    <row r="42" spans="1:6" ht="14.5" customHeight="1" x14ac:dyDescent="0.2">
      <c r="A42" s="440" t="s">
        <v>555</v>
      </c>
      <c r="B42" s="12" t="s">
        <v>330</v>
      </c>
      <c r="C42" s="186" t="s">
        <v>571</v>
      </c>
      <c r="D42" s="186" t="s">
        <v>571</v>
      </c>
      <c r="E42" s="92">
        <v>528000</v>
      </c>
      <c r="F42" s="445" t="s">
        <v>180</v>
      </c>
    </row>
    <row r="43" spans="1:6" x14ac:dyDescent="0.2">
      <c r="A43" s="441"/>
      <c r="B43" s="12"/>
      <c r="C43" s="186"/>
      <c r="D43" s="186"/>
      <c r="E43" s="92"/>
      <c r="F43" s="446"/>
    </row>
    <row r="44" spans="1:6" x14ac:dyDescent="0.2">
      <c r="A44" s="441"/>
      <c r="B44" s="12" t="s">
        <v>560</v>
      </c>
      <c r="C44" s="186" t="s">
        <v>675</v>
      </c>
      <c r="D44" s="186" t="s">
        <v>675</v>
      </c>
      <c r="E44" s="92">
        <v>90000</v>
      </c>
      <c r="F44" s="446"/>
    </row>
    <row r="45" spans="1:6" x14ac:dyDescent="0.2">
      <c r="A45" s="441"/>
      <c r="B45" s="12"/>
      <c r="C45" s="186"/>
      <c r="D45" s="186"/>
      <c r="E45" s="92"/>
      <c r="F45" s="446"/>
    </row>
    <row r="46" spans="1:6" x14ac:dyDescent="0.2">
      <c r="A46" s="441"/>
      <c r="B46" s="12" t="s">
        <v>790</v>
      </c>
      <c r="C46" s="186" t="s">
        <v>675</v>
      </c>
      <c r="D46" s="186" t="s">
        <v>675</v>
      </c>
      <c r="E46" s="92">
        <v>135000</v>
      </c>
      <c r="F46" s="446"/>
    </row>
    <row r="47" spans="1:6" x14ac:dyDescent="0.2">
      <c r="A47" s="441"/>
      <c r="B47" s="12"/>
      <c r="C47" s="186"/>
      <c r="D47" s="186"/>
      <c r="E47" s="92"/>
      <c r="F47" s="446"/>
    </row>
    <row r="48" spans="1:6" x14ac:dyDescent="0.2">
      <c r="A48" s="441"/>
      <c r="B48" s="12" t="s">
        <v>968</v>
      </c>
      <c r="C48" s="186" t="s">
        <v>673</v>
      </c>
      <c r="D48" s="186" t="s">
        <v>673</v>
      </c>
      <c r="E48" s="92">
        <v>210000</v>
      </c>
      <c r="F48" s="446"/>
    </row>
    <row r="49" spans="1:6" x14ac:dyDescent="0.2">
      <c r="A49" s="441"/>
      <c r="B49" s="12"/>
      <c r="C49" s="186"/>
      <c r="D49" s="186"/>
      <c r="E49" s="92"/>
      <c r="F49" s="446"/>
    </row>
    <row r="50" spans="1:6" x14ac:dyDescent="0.2">
      <c r="A50" s="441"/>
      <c r="B50" s="12" t="s">
        <v>565</v>
      </c>
      <c r="C50" s="186" t="s">
        <v>675</v>
      </c>
      <c r="D50" s="186" t="s">
        <v>675</v>
      </c>
      <c r="E50" s="92">
        <v>90000</v>
      </c>
      <c r="F50" s="446"/>
    </row>
    <row r="51" spans="1:6" x14ac:dyDescent="0.2">
      <c r="A51" s="441"/>
      <c r="B51" s="12"/>
      <c r="C51" s="186"/>
      <c r="D51" s="186"/>
      <c r="E51" s="92"/>
      <c r="F51" s="446"/>
    </row>
    <row r="52" spans="1:6" x14ac:dyDescent="0.2">
      <c r="A52" s="441"/>
      <c r="B52" s="12" t="s">
        <v>843</v>
      </c>
      <c r="C52" s="186" t="s">
        <v>675</v>
      </c>
      <c r="D52" s="186" t="s">
        <v>675</v>
      </c>
      <c r="E52" s="92">
        <v>60000</v>
      </c>
      <c r="F52" s="446"/>
    </row>
    <row r="53" spans="1:6" x14ac:dyDescent="0.2">
      <c r="A53" s="441"/>
      <c r="B53" s="12"/>
      <c r="C53" s="186"/>
      <c r="D53" s="186"/>
      <c r="E53" s="92"/>
      <c r="F53" s="446"/>
    </row>
    <row r="54" spans="1:6" x14ac:dyDescent="0.2">
      <c r="A54" s="441"/>
      <c r="B54" s="12" t="s">
        <v>959</v>
      </c>
      <c r="C54" s="186" t="s">
        <v>20</v>
      </c>
      <c r="D54" s="186" t="s">
        <v>20</v>
      </c>
      <c r="E54" s="92">
        <v>120000</v>
      </c>
      <c r="F54" s="446"/>
    </row>
    <row r="55" spans="1:6" x14ac:dyDescent="0.2">
      <c r="A55" s="441"/>
      <c r="B55" s="12"/>
      <c r="C55" s="186"/>
      <c r="D55" s="186"/>
      <c r="E55" s="92"/>
      <c r="F55" s="446"/>
    </row>
    <row r="56" spans="1:6" x14ac:dyDescent="0.2">
      <c r="A56" s="442"/>
      <c r="B56" s="448" t="s">
        <v>130</v>
      </c>
      <c r="C56" s="449"/>
      <c r="D56" s="450"/>
      <c r="E56" s="187">
        <f>SUM(E42:E55)</f>
        <v>1233000</v>
      </c>
      <c r="F56" s="447"/>
    </row>
    <row r="60" spans="1:6" x14ac:dyDescent="0.2">
      <c r="A60" s="451" t="s">
        <v>0</v>
      </c>
      <c r="B60" s="451" t="s">
        <v>2</v>
      </c>
      <c r="C60" s="451" t="s">
        <v>70</v>
      </c>
      <c r="D60" s="451" t="s">
        <v>3</v>
      </c>
      <c r="E60" s="453" t="s">
        <v>10</v>
      </c>
      <c r="F60" s="443" t="s">
        <v>178</v>
      </c>
    </row>
    <row r="61" spans="1:6" x14ac:dyDescent="0.2">
      <c r="A61" s="452"/>
      <c r="B61" s="452"/>
      <c r="C61" s="452"/>
      <c r="D61" s="452"/>
      <c r="E61" s="454"/>
      <c r="F61" s="444"/>
    </row>
    <row r="62" spans="1:6" ht="14.5" customHeight="1" x14ac:dyDescent="0.2">
      <c r="A62" s="440" t="s">
        <v>554</v>
      </c>
      <c r="B62" s="12" t="s">
        <v>549</v>
      </c>
      <c r="C62" s="186" t="s">
        <v>675</v>
      </c>
      <c r="D62" s="186" t="s">
        <v>675</v>
      </c>
      <c r="E62" s="92">
        <v>60000</v>
      </c>
      <c r="F62" s="445" t="s">
        <v>180</v>
      </c>
    </row>
    <row r="63" spans="1:6" x14ac:dyDescent="0.2">
      <c r="A63" s="441"/>
      <c r="B63" s="12"/>
      <c r="C63" s="186"/>
      <c r="D63" s="186"/>
      <c r="E63" s="92"/>
      <c r="F63" s="446"/>
    </row>
    <row r="64" spans="1:6" ht="14.5" customHeight="1" x14ac:dyDescent="0.2">
      <c r="A64" s="441"/>
      <c r="B64" s="12" t="s">
        <v>326</v>
      </c>
      <c r="C64" s="186" t="s">
        <v>571</v>
      </c>
      <c r="D64" s="186" t="s">
        <v>571</v>
      </c>
      <c r="E64" s="92">
        <v>330000</v>
      </c>
      <c r="F64" s="446"/>
    </row>
    <row r="65" spans="1:6" x14ac:dyDescent="0.2">
      <c r="A65" s="441"/>
      <c r="B65" s="12"/>
      <c r="C65" s="186"/>
      <c r="D65" s="186"/>
      <c r="E65" s="92"/>
      <c r="F65" s="446"/>
    </row>
    <row r="66" spans="1:6" x14ac:dyDescent="0.2">
      <c r="A66" s="442"/>
      <c r="B66" s="448" t="s">
        <v>130</v>
      </c>
      <c r="C66" s="449"/>
      <c r="D66" s="450"/>
      <c r="E66" s="187">
        <f>SUM(E62:E65)</f>
        <v>390000</v>
      </c>
      <c r="F66" s="447"/>
    </row>
    <row r="70" spans="1:6" x14ac:dyDescent="0.2">
      <c r="A70" s="451" t="s">
        <v>0</v>
      </c>
      <c r="B70" s="451" t="s">
        <v>2</v>
      </c>
      <c r="C70" s="451" t="s">
        <v>70</v>
      </c>
      <c r="D70" s="451" t="s">
        <v>3</v>
      </c>
      <c r="E70" s="453" t="s">
        <v>10</v>
      </c>
      <c r="F70" s="443" t="s">
        <v>178</v>
      </c>
    </row>
    <row r="71" spans="1:6" x14ac:dyDescent="0.2">
      <c r="A71" s="452"/>
      <c r="B71" s="452"/>
      <c r="C71" s="452"/>
      <c r="D71" s="452"/>
      <c r="E71" s="454"/>
      <c r="F71" s="444"/>
    </row>
    <row r="72" spans="1:6" ht="14.5" customHeight="1" x14ac:dyDescent="0.2">
      <c r="A72" s="440" t="s">
        <v>603</v>
      </c>
      <c r="B72" s="12" t="s">
        <v>547</v>
      </c>
      <c r="C72" s="186" t="s">
        <v>675</v>
      </c>
      <c r="D72" s="186" t="s">
        <v>675</v>
      </c>
      <c r="E72" s="92">
        <v>180000</v>
      </c>
      <c r="F72" s="428" t="s">
        <v>180</v>
      </c>
    </row>
    <row r="73" spans="1:6" x14ac:dyDescent="0.2">
      <c r="A73" s="441"/>
      <c r="B73" s="12"/>
      <c r="C73" s="186"/>
      <c r="D73" s="186"/>
      <c r="E73" s="92"/>
      <c r="F73" s="429"/>
    </row>
    <row r="74" spans="1:6" x14ac:dyDescent="0.2">
      <c r="A74" s="442"/>
      <c r="B74" s="448" t="s">
        <v>130</v>
      </c>
      <c r="C74" s="449"/>
      <c r="D74" s="450"/>
      <c r="E74" s="187">
        <f>SUM(E72:E73)</f>
        <v>180000</v>
      </c>
      <c r="F74" s="430"/>
    </row>
    <row r="78" spans="1:6" x14ac:dyDescent="0.2">
      <c r="A78" s="451" t="s">
        <v>0</v>
      </c>
      <c r="B78" s="451" t="s">
        <v>2</v>
      </c>
      <c r="C78" s="451" t="s">
        <v>70</v>
      </c>
      <c r="D78" s="451" t="s">
        <v>3</v>
      </c>
      <c r="E78" s="453" t="s">
        <v>10</v>
      </c>
      <c r="F78" s="443" t="s">
        <v>178</v>
      </c>
    </row>
    <row r="79" spans="1:6" x14ac:dyDescent="0.2">
      <c r="A79" s="452"/>
      <c r="B79" s="452"/>
      <c r="C79" s="452"/>
      <c r="D79" s="452"/>
      <c r="E79" s="454"/>
      <c r="F79" s="444"/>
    </row>
    <row r="80" spans="1:6" x14ac:dyDescent="0.2">
      <c r="A80" s="440" t="s">
        <v>632</v>
      </c>
      <c r="B80" s="12" t="s">
        <v>636</v>
      </c>
      <c r="C80" s="186" t="s">
        <v>675</v>
      </c>
      <c r="D80" s="186" t="s">
        <v>675</v>
      </c>
      <c r="E80" s="92">
        <v>60000</v>
      </c>
      <c r="F80" s="428" t="s">
        <v>180</v>
      </c>
    </row>
    <row r="81" spans="1:6" x14ac:dyDescent="0.2">
      <c r="A81" s="441"/>
      <c r="B81" s="12"/>
      <c r="C81" s="186"/>
      <c r="D81" s="186"/>
      <c r="E81" s="92"/>
      <c r="F81" s="429"/>
    </row>
    <row r="82" spans="1:6" x14ac:dyDescent="0.2">
      <c r="A82" s="442"/>
      <c r="B82" s="448" t="s">
        <v>130</v>
      </c>
      <c r="C82" s="449"/>
      <c r="D82" s="450"/>
      <c r="E82" s="187">
        <f>SUM(E80:E81)</f>
        <v>60000</v>
      </c>
      <c r="F82" s="430"/>
    </row>
    <row r="86" spans="1:6" x14ac:dyDescent="0.2">
      <c r="A86" s="451" t="s">
        <v>0</v>
      </c>
      <c r="B86" s="451" t="s">
        <v>2</v>
      </c>
      <c r="C86" s="451" t="s">
        <v>70</v>
      </c>
      <c r="D86" s="451" t="s">
        <v>3</v>
      </c>
      <c r="E86" s="453" t="s">
        <v>10</v>
      </c>
      <c r="F86" s="443" t="s">
        <v>178</v>
      </c>
    </row>
    <row r="87" spans="1:6" x14ac:dyDescent="0.2">
      <c r="A87" s="452"/>
      <c r="B87" s="452"/>
      <c r="C87" s="452"/>
      <c r="D87" s="452"/>
      <c r="E87" s="454"/>
      <c r="F87" s="444"/>
    </row>
    <row r="88" spans="1:6" ht="14.5" customHeight="1" x14ac:dyDescent="0.2">
      <c r="A88" s="440" t="s">
        <v>960</v>
      </c>
      <c r="B88" s="12" t="s">
        <v>610</v>
      </c>
      <c r="C88" s="186" t="s">
        <v>675</v>
      </c>
      <c r="D88" s="186" t="s">
        <v>675</v>
      </c>
      <c r="E88" s="92">
        <v>90000</v>
      </c>
      <c r="F88" s="428" t="s">
        <v>180</v>
      </c>
    </row>
    <row r="89" spans="1:6" x14ac:dyDescent="0.2">
      <c r="A89" s="441"/>
      <c r="B89" s="12"/>
      <c r="C89" s="186"/>
      <c r="D89" s="186"/>
      <c r="E89" s="92"/>
      <c r="F89" s="429"/>
    </row>
    <row r="90" spans="1:6" x14ac:dyDescent="0.2">
      <c r="A90" s="441"/>
      <c r="B90" s="12" t="s">
        <v>606</v>
      </c>
      <c r="C90" s="186" t="s">
        <v>675</v>
      </c>
      <c r="D90" s="186" t="s">
        <v>675</v>
      </c>
      <c r="E90" s="92">
        <v>90000</v>
      </c>
      <c r="F90" s="429"/>
    </row>
    <row r="91" spans="1:6" x14ac:dyDescent="0.2">
      <c r="A91" s="441"/>
      <c r="B91" s="12"/>
      <c r="C91" s="186"/>
      <c r="D91" s="186"/>
      <c r="E91" s="92"/>
      <c r="F91" s="429"/>
    </row>
    <row r="92" spans="1:6" x14ac:dyDescent="0.2">
      <c r="A92" s="442"/>
      <c r="B92" s="448" t="s">
        <v>130</v>
      </c>
      <c r="C92" s="449"/>
      <c r="D92" s="450"/>
      <c r="E92" s="187">
        <f>SUM(E88:E91)</f>
        <v>180000</v>
      </c>
      <c r="F92" s="430"/>
    </row>
    <row r="96" spans="1:6" x14ac:dyDescent="0.2">
      <c r="A96" s="451" t="s">
        <v>0</v>
      </c>
      <c r="B96" s="451" t="s">
        <v>2</v>
      </c>
      <c r="C96" s="451" t="s">
        <v>70</v>
      </c>
      <c r="D96" s="451" t="s">
        <v>3</v>
      </c>
      <c r="E96" s="453" t="s">
        <v>10</v>
      </c>
      <c r="F96" s="443" t="s">
        <v>178</v>
      </c>
    </row>
    <row r="97" spans="1:14" x14ac:dyDescent="0.2">
      <c r="A97" s="452"/>
      <c r="B97" s="452"/>
      <c r="C97" s="452"/>
      <c r="D97" s="452"/>
      <c r="E97" s="454"/>
      <c r="F97" s="444"/>
    </row>
    <row r="98" spans="1:14" x14ac:dyDescent="0.2">
      <c r="A98" s="440" t="s">
        <v>649</v>
      </c>
      <c r="B98" s="12" t="s">
        <v>650</v>
      </c>
      <c r="C98" s="186" t="s">
        <v>675</v>
      </c>
      <c r="D98" s="186" t="s">
        <v>675</v>
      </c>
      <c r="E98" s="92">
        <v>90000</v>
      </c>
      <c r="F98" s="445" t="s">
        <v>180</v>
      </c>
    </row>
    <row r="99" spans="1:14" x14ac:dyDescent="0.2">
      <c r="A99" s="441"/>
      <c r="B99" s="12"/>
      <c r="C99" s="186"/>
      <c r="D99" s="186"/>
      <c r="E99" s="92"/>
      <c r="F99" s="446"/>
    </row>
    <row r="100" spans="1:14" x14ac:dyDescent="0.2">
      <c r="A100" s="442"/>
      <c r="B100" s="448" t="s">
        <v>130</v>
      </c>
      <c r="C100" s="449"/>
      <c r="D100" s="450"/>
      <c r="E100" s="187">
        <f>SUM(E98:E99)</f>
        <v>90000</v>
      </c>
      <c r="F100" s="447"/>
    </row>
    <row r="104" spans="1:14" x14ac:dyDescent="0.2">
      <c r="A104"/>
      <c r="C104"/>
      <c r="D104" s="58"/>
      <c r="E104"/>
      <c r="F104" s="62"/>
      <c r="G104" s="62"/>
      <c r="H104" s="115"/>
      <c r="J104"/>
      <c r="L104"/>
      <c r="M104"/>
      <c r="N104"/>
    </row>
    <row r="105" spans="1:14" x14ac:dyDescent="0.2">
      <c r="A105"/>
      <c r="C105"/>
      <c r="D105" s="58"/>
      <c r="E105"/>
      <c r="F105" s="62"/>
      <c r="G105" s="62"/>
      <c r="H105" s="115"/>
      <c r="J105"/>
      <c r="L105"/>
      <c r="M105"/>
      <c r="N105"/>
    </row>
  </sheetData>
  <mergeCells count="76">
    <mergeCell ref="A1:F1"/>
    <mergeCell ref="J1:O1"/>
    <mergeCell ref="A2:F2"/>
    <mergeCell ref="J2:O2"/>
    <mergeCell ref="A6:A7"/>
    <mergeCell ref="B6:B7"/>
    <mergeCell ref="C6:C7"/>
    <mergeCell ref="D6:D7"/>
    <mergeCell ref="E6:E7"/>
    <mergeCell ref="F6:F7"/>
    <mergeCell ref="A8:A20"/>
    <mergeCell ref="F8:F20"/>
    <mergeCell ref="B20:D20"/>
    <mergeCell ref="A24:A25"/>
    <mergeCell ref="B24:B25"/>
    <mergeCell ref="C24:C25"/>
    <mergeCell ref="D24:D25"/>
    <mergeCell ref="E24:E25"/>
    <mergeCell ref="F24:F25"/>
    <mergeCell ref="A26:A36"/>
    <mergeCell ref="F26:F36"/>
    <mergeCell ref="B36:D36"/>
    <mergeCell ref="A40:A41"/>
    <mergeCell ref="B40:B41"/>
    <mergeCell ref="C40:C41"/>
    <mergeCell ref="D40:D41"/>
    <mergeCell ref="E40:E41"/>
    <mergeCell ref="F40:F41"/>
    <mergeCell ref="A80:A82"/>
    <mergeCell ref="F80:F82"/>
    <mergeCell ref="B82:D82"/>
    <mergeCell ref="A72:A74"/>
    <mergeCell ref="A42:A56"/>
    <mergeCell ref="F42:F56"/>
    <mergeCell ref="B56:D56"/>
    <mergeCell ref="A60:A61"/>
    <mergeCell ref="B60:B61"/>
    <mergeCell ref="C60:C61"/>
    <mergeCell ref="D60:D61"/>
    <mergeCell ref="E60:E61"/>
    <mergeCell ref="F60:F61"/>
    <mergeCell ref="A62:A66"/>
    <mergeCell ref="F62:F66"/>
    <mergeCell ref="B66:D66"/>
    <mergeCell ref="F70:F71"/>
    <mergeCell ref="F72:F74"/>
    <mergeCell ref="B74:D74"/>
    <mergeCell ref="A78:A79"/>
    <mergeCell ref="B78:B79"/>
    <mergeCell ref="C78:C79"/>
    <mergeCell ref="D78:D79"/>
    <mergeCell ref="E78:E79"/>
    <mergeCell ref="F78:F79"/>
    <mergeCell ref="A70:A71"/>
    <mergeCell ref="B70:B71"/>
    <mergeCell ref="C70:C71"/>
    <mergeCell ref="D70:D71"/>
    <mergeCell ref="E70:E71"/>
    <mergeCell ref="E86:E87"/>
    <mergeCell ref="F86:F87"/>
    <mergeCell ref="A88:A92"/>
    <mergeCell ref="F88:F92"/>
    <mergeCell ref="B92:D92"/>
    <mergeCell ref="A86:A87"/>
    <mergeCell ref="B86:B87"/>
    <mergeCell ref="C86:C87"/>
    <mergeCell ref="D86:D87"/>
    <mergeCell ref="F96:F97"/>
    <mergeCell ref="A98:A100"/>
    <mergeCell ref="F98:F100"/>
    <mergeCell ref="B100:D100"/>
    <mergeCell ref="A96:A97"/>
    <mergeCell ref="B96:B97"/>
    <mergeCell ref="C96:C97"/>
    <mergeCell ref="D96:D97"/>
    <mergeCell ref="E96:E9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086C-FE65-4983-A289-8286C3BD9F72}">
  <dimension ref="A1:O16"/>
  <sheetViews>
    <sheetView showGridLines="0" zoomScale="70" zoomScaleNormal="70" workbookViewId="0">
      <selection activeCell="K15" sqref="K15"/>
    </sheetView>
  </sheetViews>
  <sheetFormatPr baseColWidth="10" defaultColWidth="8.83203125" defaultRowHeight="15" x14ac:dyDescent="0.2"/>
  <cols>
    <col min="1" max="1" width="15.6640625" style="58" customWidth="1"/>
    <col min="2" max="2" width="30.6640625" customWidth="1"/>
    <col min="3" max="4" width="12.6640625" style="62" customWidth="1"/>
    <col min="5" max="5" width="12.6640625" style="115" customWidth="1"/>
    <col min="6" max="6" width="30.6640625" customWidth="1"/>
    <col min="10" max="10" width="15.6640625" style="58" customWidth="1"/>
    <col min="11" max="11" width="30.6640625" customWidth="1"/>
    <col min="12" max="13" width="12.6640625" style="62" customWidth="1"/>
    <col min="14" max="14" width="12.6640625" style="115" customWidth="1"/>
    <col min="15" max="15" width="30.6640625" customWidth="1"/>
  </cols>
  <sheetData>
    <row r="1" spans="1:15" s="56" customFormat="1" ht="19" x14ac:dyDescent="0.25">
      <c r="A1" s="435" t="s">
        <v>63</v>
      </c>
      <c r="B1" s="435"/>
      <c r="C1" s="435"/>
      <c r="D1" s="435"/>
      <c r="E1" s="435"/>
      <c r="F1" s="435"/>
      <c r="J1" s="435" t="s">
        <v>63</v>
      </c>
      <c r="K1" s="435"/>
      <c r="L1" s="435"/>
      <c r="M1" s="435"/>
      <c r="N1" s="435"/>
      <c r="O1" s="435"/>
    </row>
    <row r="2" spans="1:15" s="56" customFormat="1" ht="19" x14ac:dyDescent="0.25">
      <c r="A2" s="436" t="s">
        <v>955</v>
      </c>
      <c r="B2" s="436"/>
      <c r="C2" s="436"/>
      <c r="D2" s="436"/>
      <c r="E2" s="436"/>
      <c r="F2" s="436"/>
      <c r="J2" s="436" t="s">
        <v>810</v>
      </c>
      <c r="K2" s="436"/>
      <c r="L2" s="436"/>
      <c r="M2" s="436"/>
      <c r="N2" s="436"/>
      <c r="O2" s="436"/>
    </row>
    <row r="3" spans="1:15" x14ac:dyDescent="0.2">
      <c r="A3" s="57"/>
      <c r="B3" s="113"/>
      <c r="C3" s="114"/>
      <c r="D3" s="114"/>
      <c r="E3" s="113"/>
      <c r="F3" s="113"/>
    </row>
    <row r="4" spans="1:15" ht="18" x14ac:dyDescent="0.35">
      <c r="A4" s="60" t="s">
        <v>949</v>
      </c>
      <c r="B4" s="113"/>
      <c r="C4" s="114"/>
      <c r="D4" s="114"/>
      <c r="E4" s="113"/>
      <c r="F4" s="113"/>
      <c r="J4" s="60" t="s">
        <v>949</v>
      </c>
    </row>
    <row r="5" spans="1:15" ht="18" x14ac:dyDescent="0.35">
      <c r="A5" s="60"/>
      <c r="B5" s="113"/>
      <c r="C5" s="114"/>
      <c r="D5" s="114"/>
      <c r="E5" s="113"/>
      <c r="F5" s="113"/>
    </row>
    <row r="6" spans="1:15" s="58" customFormat="1" x14ac:dyDescent="0.2">
      <c r="A6" s="432" t="s">
        <v>0</v>
      </c>
      <c r="B6" s="432" t="s">
        <v>2</v>
      </c>
      <c r="C6" s="432" t="s">
        <v>70</v>
      </c>
      <c r="D6" s="432" t="s">
        <v>3</v>
      </c>
      <c r="E6" s="433" t="s">
        <v>10</v>
      </c>
      <c r="F6" s="434" t="s">
        <v>178</v>
      </c>
      <c r="J6" s="275" t="s">
        <v>328</v>
      </c>
    </row>
    <row r="7" spans="1:15" s="58" customFormat="1" ht="14" customHeight="1" x14ac:dyDescent="0.2">
      <c r="A7" s="432"/>
      <c r="B7" s="432"/>
      <c r="C7" s="432"/>
      <c r="D7" s="432"/>
      <c r="E7" s="433"/>
      <c r="F7" s="434"/>
    </row>
    <row r="8" spans="1:15" x14ac:dyDescent="0.2">
      <c r="A8" s="425" t="s">
        <v>865</v>
      </c>
      <c r="B8" s="12" t="s">
        <v>870</v>
      </c>
      <c r="C8" s="186" t="s">
        <v>571</v>
      </c>
      <c r="D8" s="186" t="s">
        <v>571</v>
      </c>
      <c r="E8" s="92">
        <v>561000</v>
      </c>
      <c r="F8" s="428" t="s">
        <v>180</v>
      </c>
    </row>
    <row r="9" spans="1:15" x14ac:dyDescent="0.2">
      <c r="A9" s="426"/>
      <c r="B9" s="12"/>
      <c r="C9" s="186"/>
      <c r="D9" s="186"/>
      <c r="E9" s="92"/>
      <c r="F9" s="429"/>
    </row>
    <row r="10" spans="1:15" x14ac:dyDescent="0.2">
      <c r="A10" s="426"/>
      <c r="B10" s="12" t="s">
        <v>961</v>
      </c>
      <c r="C10" s="186" t="s">
        <v>673</v>
      </c>
      <c r="D10" s="186" t="s">
        <v>673</v>
      </c>
      <c r="E10" s="92">
        <v>390000</v>
      </c>
      <c r="F10" s="429"/>
    </row>
    <row r="11" spans="1:15" x14ac:dyDescent="0.2">
      <c r="A11" s="426"/>
      <c r="B11" s="12"/>
      <c r="C11" s="186"/>
      <c r="D11" s="186"/>
      <c r="E11" s="92"/>
      <c r="F11" s="429"/>
    </row>
    <row r="12" spans="1:15" x14ac:dyDescent="0.2">
      <c r="A12" s="426"/>
      <c r="B12" s="188" t="s">
        <v>148</v>
      </c>
      <c r="C12" s="186" t="s">
        <v>20</v>
      </c>
      <c r="D12" s="186" t="s">
        <v>20</v>
      </c>
      <c r="E12" s="92">
        <v>984000</v>
      </c>
      <c r="F12" s="429"/>
    </row>
    <row r="13" spans="1:15" x14ac:dyDescent="0.2">
      <c r="A13" s="426"/>
      <c r="B13" s="12"/>
      <c r="C13" s="186"/>
      <c r="D13" s="186"/>
      <c r="E13" s="92"/>
      <c r="F13" s="429"/>
    </row>
    <row r="14" spans="1:15" x14ac:dyDescent="0.2">
      <c r="A14" s="427"/>
      <c r="B14" s="431" t="s">
        <v>130</v>
      </c>
      <c r="C14" s="431"/>
      <c r="D14" s="431"/>
      <c r="E14" s="187">
        <f>SUM(E8:E13)</f>
        <v>1935000</v>
      </c>
      <c r="F14" s="430"/>
    </row>
    <row r="15" spans="1:15" x14ac:dyDescent="0.2">
      <c r="A15"/>
      <c r="C15"/>
      <c r="D15" s="58"/>
      <c r="E15"/>
      <c r="F15" s="62"/>
      <c r="G15" s="62"/>
      <c r="H15" s="115"/>
      <c r="J15"/>
      <c r="L15"/>
      <c r="M15"/>
      <c r="N15"/>
    </row>
    <row r="16" spans="1:15" x14ac:dyDescent="0.2">
      <c r="A16"/>
      <c r="C16"/>
      <c r="D16" s="58"/>
      <c r="E16"/>
      <c r="F16" s="62"/>
      <c r="G16" s="62"/>
      <c r="H16" s="115"/>
      <c r="J16"/>
      <c r="L16"/>
      <c r="M16"/>
      <c r="N16"/>
    </row>
  </sheetData>
  <mergeCells count="13">
    <mergeCell ref="A8:A14"/>
    <mergeCell ref="F8:F14"/>
    <mergeCell ref="B14:D14"/>
    <mergeCell ref="A1:F1"/>
    <mergeCell ref="J1:O1"/>
    <mergeCell ref="A2:F2"/>
    <mergeCell ref="J2:O2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F018-0C97-4B40-A18A-2DD81C0BB1D8}">
  <dimension ref="A1:O15"/>
  <sheetViews>
    <sheetView showGridLines="0" zoomScale="70" zoomScaleNormal="70" workbookViewId="0">
      <selection activeCell="C23" sqref="C23"/>
    </sheetView>
  </sheetViews>
  <sheetFormatPr baseColWidth="10" defaultColWidth="8.83203125" defaultRowHeight="15" x14ac:dyDescent="0.2"/>
  <cols>
    <col min="1" max="1" width="15.6640625" style="89" customWidth="1"/>
    <col min="2" max="2" width="30.6640625" customWidth="1"/>
    <col min="3" max="3" width="12.6640625" style="62" customWidth="1"/>
    <col min="4" max="4" width="12.6640625" style="115" customWidth="1"/>
    <col min="5" max="5" width="30.6640625" customWidth="1"/>
    <col min="9" max="9" width="14.6640625" style="58" bestFit="1" customWidth="1"/>
    <col min="10" max="10" width="15.6640625" style="58" customWidth="1"/>
    <col min="11" max="11" width="30.6640625" style="58" customWidth="1"/>
    <col min="12" max="12" width="12.6640625" style="58" customWidth="1"/>
    <col min="13" max="13" width="12.6640625" style="2" customWidth="1"/>
    <col min="14" max="14" width="30.6640625" customWidth="1"/>
  </cols>
  <sheetData>
    <row r="1" spans="1:15" s="56" customFormat="1" ht="19" x14ac:dyDescent="0.25">
      <c r="A1" s="435" t="s">
        <v>63</v>
      </c>
      <c r="B1" s="435"/>
      <c r="C1" s="435"/>
      <c r="D1" s="435"/>
      <c r="E1" s="435"/>
      <c r="F1" s="435"/>
      <c r="J1" s="435" t="s">
        <v>63</v>
      </c>
      <c r="K1" s="435"/>
      <c r="L1" s="435"/>
      <c r="M1" s="435"/>
      <c r="N1" s="435"/>
      <c r="O1" s="435"/>
    </row>
    <row r="2" spans="1:15" s="56" customFormat="1" ht="19" x14ac:dyDescent="0.25">
      <c r="A2" s="436" t="s">
        <v>955</v>
      </c>
      <c r="B2" s="436"/>
      <c r="C2" s="436"/>
      <c r="D2" s="436"/>
      <c r="E2" s="436"/>
      <c r="F2" s="436"/>
      <c r="J2" s="436" t="s">
        <v>810</v>
      </c>
      <c r="K2" s="436"/>
      <c r="L2" s="436"/>
      <c r="M2" s="436"/>
      <c r="N2" s="436"/>
      <c r="O2" s="436"/>
    </row>
    <row r="3" spans="1:15" x14ac:dyDescent="0.2">
      <c r="A3" s="293"/>
      <c r="B3" s="113"/>
      <c r="C3" s="114"/>
      <c r="D3" s="113"/>
      <c r="E3" s="113"/>
      <c r="K3" s="59"/>
    </row>
    <row r="4" spans="1:15" ht="18" x14ac:dyDescent="0.35">
      <c r="A4" s="294"/>
      <c r="B4" s="113"/>
      <c r="C4" s="114"/>
      <c r="D4" s="113"/>
      <c r="E4" s="113"/>
      <c r="I4" s="60"/>
      <c r="K4" s="59"/>
    </row>
    <row r="5" spans="1:15" ht="18" x14ac:dyDescent="0.35">
      <c r="A5" s="294"/>
      <c r="B5" s="113"/>
      <c r="C5" s="114"/>
      <c r="D5" s="113"/>
      <c r="E5" s="113"/>
      <c r="I5" s="60"/>
      <c r="K5" s="59"/>
    </row>
    <row r="6" spans="1:15" x14ac:dyDescent="0.2">
      <c r="A6" s="432" t="s">
        <v>67</v>
      </c>
      <c r="B6" s="432" t="s">
        <v>69</v>
      </c>
      <c r="C6" s="432" t="s">
        <v>70</v>
      </c>
      <c r="D6" s="433" t="s">
        <v>10</v>
      </c>
      <c r="E6" s="434" t="s">
        <v>178</v>
      </c>
      <c r="J6" s="89" t="s">
        <v>328</v>
      </c>
      <c r="K6"/>
      <c r="L6"/>
      <c r="M6"/>
    </row>
    <row r="7" spans="1:15" x14ac:dyDescent="0.2">
      <c r="A7" s="432"/>
      <c r="B7" s="432"/>
      <c r="C7" s="432"/>
      <c r="D7" s="433"/>
      <c r="E7" s="434"/>
      <c r="J7"/>
      <c r="K7"/>
      <c r="L7"/>
      <c r="M7"/>
    </row>
    <row r="8" spans="1:15" ht="16" x14ac:dyDescent="0.2">
      <c r="A8" s="186" t="s">
        <v>122</v>
      </c>
      <c r="B8" s="84" t="s">
        <v>94</v>
      </c>
      <c r="C8" s="295" t="s">
        <v>84</v>
      </c>
      <c r="D8" s="92">
        <v>630000</v>
      </c>
      <c r="E8" s="428" t="s">
        <v>180</v>
      </c>
      <c r="F8" t="s">
        <v>812</v>
      </c>
      <c r="J8"/>
      <c r="K8"/>
      <c r="L8"/>
      <c r="M8"/>
    </row>
    <row r="9" spans="1:15" ht="16" x14ac:dyDescent="0.2">
      <c r="A9" s="186" t="s">
        <v>123</v>
      </c>
      <c r="B9" s="84" t="s">
        <v>96</v>
      </c>
      <c r="C9" s="295" t="s">
        <v>84</v>
      </c>
      <c r="D9" s="92">
        <v>675000</v>
      </c>
      <c r="E9" s="429"/>
      <c r="F9" t="s">
        <v>812</v>
      </c>
      <c r="J9"/>
      <c r="K9"/>
      <c r="L9"/>
      <c r="M9"/>
    </row>
    <row r="10" spans="1:15" ht="16" x14ac:dyDescent="0.2">
      <c r="A10" s="186" t="s">
        <v>226</v>
      </c>
      <c r="B10" s="84" t="s">
        <v>575</v>
      </c>
      <c r="C10" s="295" t="s">
        <v>84</v>
      </c>
      <c r="D10" s="92">
        <v>465000</v>
      </c>
      <c r="E10" s="429"/>
      <c r="J10"/>
      <c r="K10"/>
      <c r="L10"/>
      <c r="M10"/>
    </row>
    <row r="11" spans="1:15" ht="16" x14ac:dyDescent="0.2">
      <c r="A11" s="186" t="s">
        <v>90</v>
      </c>
      <c r="B11" s="84" t="s">
        <v>576</v>
      </c>
      <c r="C11" s="295" t="s">
        <v>84</v>
      </c>
      <c r="D11" s="92">
        <v>375000</v>
      </c>
      <c r="E11" s="429"/>
      <c r="F11" t="s">
        <v>812</v>
      </c>
    </row>
    <row r="12" spans="1:15" ht="16" x14ac:dyDescent="0.2">
      <c r="A12" s="186" t="s">
        <v>890</v>
      </c>
      <c r="B12" s="84" t="s">
        <v>763</v>
      </c>
      <c r="C12" s="295" t="s">
        <v>84</v>
      </c>
      <c r="D12" s="92">
        <v>160000</v>
      </c>
      <c r="E12" s="429"/>
    </row>
    <row r="13" spans="1:15" ht="16" x14ac:dyDescent="0.2">
      <c r="A13" s="186" t="s">
        <v>904</v>
      </c>
      <c r="B13" s="84" t="s">
        <v>74</v>
      </c>
      <c r="C13" s="295" t="s">
        <v>84</v>
      </c>
      <c r="D13" s="92">
        <v>540000</v>
      </c>
      <c r="E13" s="429"/>
    </row>
    <row r="14" spans="1:15" x14ac:dyDescent="0.2">
      <c r="A14" s="380"/>
      <c r="B14" s="12"/>
      <c r="C14" s="186"/>
      <c r="D14" s="92"/>
      <c r="E14" s="429"/>
    </row>
    <row r="15" spans="1:15" x14ac:dyDescent="0.2">
      <c r="A15" s="431" t="s">
        <v>130</v>
      </c>
      <c r="B15" s="431"/>
      <c r="C15" s="431"/>
      <c r="D15" s="187">
        <f>SUM(D8:D14)</f>
        <v>2845000</v>
      </c>
      <c r="E15" s="430"/>
    </row>
  </sheetData>
  <mergeCells count="11">
    <mergeCell ref="E8:E15"/>
    <mergeCell ref="A15:C15"/>
    <mergeCell ref="J1:O1"/>
    <mergeCell ref="A2:F2"/>
    <mergeCell ref="J2:O2"/>
    <mergeCell ref="A1:F1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9859-FE96-43A8-854F-C512E496DCE8}">
  <dimension ref="B2:AU227"/>
  <sheetViews>
    <sheetView showGridLines="0" zoomScale="70" zoomScaleNormal="70" workbookViewId="0">
      <selection activeCell="D4" sqref="D4"/>
    </sheetView>
  </sheetViews>
  <sheetFormatPr baseColWidth="10" defaultColWidth="8.83203125" defaultRowHeight="15" x14ac:dyDescent="0.2"/>
  <cols>
    <col min="1" max="1" width="2.6640625" customWidth="1"/>
    <col min="2" max="3" width="15.5" customWidth="1"/>
    <col min="4" max="4" width="30.5" customWidth="1"/>
    <col min="5" max="5" width="15.5" customWidth="1"/>
    <col min="6" max="6" width="12.5" style="215" bestFit="1" customWidth="1"/>
    <col min="10" max="11" width="15.5" customWidth="1"/>
    <col min="12" max="12" width="30.5" customWidth="1"/>
    <col min="13" max="13" width="15.5" customWidth="1"/>
    <col min="14" max="14" width="13.1640625" style="191" customWidth="1"/>
    <col min="18" max="19" width="15.5" customWidth="1"/>
    <col min="20" max="20" width="30.5" customWidth="1"/>
    <col min="21" max="21" width="15.5" customWidth="1"/>
    <col min="22" max="22" width="12.33203125" style="191" bestFit="1" customWidth="1"/>
    <col min="26" max="26" width="15.5" customWidth="1"/>
    <col min="27" max="27" width="15.5" style="61" customWidth="1"/>
    <col min="28" max="28" width="30.5" customWidth="1"/>
    <col min="29" max="29" width="15.5" customWidth="1"/>
    <col min="30" max="30" width="12.5" style="192" bestFit="1" customWidth="1"/>
    <col min="34" max="34" width="13.1640625" bestFit="1" customWidth="1"/>
    <col min="35" max="35" width="16" style="61" customWidth="1"/>
    <col min="36" max="36" width="31.5" customWidth="1"/>
    <col min="37" max="37" width="12.5" customWidth="1"/>
    <col min="38" max="38" width="13.1640625" style="219" bestFit="1" customWidth="1"/>
    <col min="42" max="42" width="13.1640625" bestFit="1" customWidth="1"/>
    <col min="43" max="43" width="16" style="61" customWidth="1"/>
    <col min="44" max="44" width="31.5" customWidth="1"/>
    <col min="45" max="45" width="12.5" customWidth="1"/>
    <col min="46" max="46" width="13.1640625" style="219" bestFit="1" customWidth="1"/>
  </cols>
  <sheetData>
    <row r="2" spans="2:47" s="62" customFormat="1" ht="20" customHeight="1" x14ac:dyDescent="0.2">
      <c r="B2" s="195" t="s">
        <v>67</v>
      </c>
      <c r="C2" s="195" t="s">
        <v>68</v>
      </c>
      <c r="D2" s="195" t="s">
        <v>69</v>
      </c>
      <c r="E2" s="195" t="s">
        <v>70</v>
      </c>
      <c r="F2" s="196" t="s">
        <v>71</v>
      </c>
      <c r="G2"/>
      <c r="J2" s="195" t="s">
        <v>67</v>
      </c>
      <c r="K2" s="195" t="s">
        <v>68</v>
      </c>
      <c r="L2" s="195" t="s">
        <v>69</v>
      </c>
      <c r="M2" s="195" t="s">
        <v>70</v>
      </c>
      <c r="N2" s="196" t="s">
        <v>71</v>
      </c>
      <c r="O2"/>
      <c r="Q2"/>
      <c r="R2" s="195" t="s">
        <v>67</v>
      </c>
      <c r="S2" s="195" t="s">
        <v>68</v>
      </c>
      <c r="T2" s="195" t="s">
        <v>69</v>
      </c>
      <c r="U2" s="195" t="s">
        <v>70</v>
      </c>
      <c r="V2" s="196" t="s">
        <v>71</v>
      </c>
      <c r="W2"/>
      <c r="X2"/>
      <c r="Y2"/>
      <c r="Z2" s="343" t="s">
        <v>67</v>
      </c>
      <c r="AA2" s="343" t="s">
        <v>68</v>
      </c>
      <c r="AB2" s="343" t="s">
        <v>69</v>
      </c>
      <c r="AC2" s="343" t="s">
        <v>70</v>
      </c>
      <c r="AD2" s="344" t="s">
        <v>71</v>
      </c>
      <c r="AE2"/>
      <c r="AG2"/>
      <c r="AH2" s="195" t="s">
        <v>67</v>
      </c>
      <c r="AI2" s="195" t="s">
        <v>68</v>
      </c>
      <c r="AJ2" s="195" t="s">
        <v>69</v>
      </c>
      <c r="AK2" s="195" t="s">
        <v>70</v>
      </c>
      <c r="AL2" s="279" t="s">
        <v>71</v>
      </c>
      <c r="AM2"/>
      <c r="AP2" s="195" t="s">
        <v>67</v>
      </c>
      <c r="AQ2" s="195" t="s">
        <v>68</v>
      </c>
      <c r="AR2" s="195" t="s">
        <v>69</v>
      </c>
      <c r="AS2" s="195" t="s">
        <v>70</v>
      </c>
      <c r="AT2" s="279" t="s">
        <v>71</v>
      </c>
      <c r="AU2"/>
    </row>
    <row r="3" spans="2:47" x14ac:dyDescent="0.2">
      <c r="B3" s="462" t="s">
        <v>128</v>
      </c>
      <c r="C3" s="459" t="s">
        <v>13</v>
      </c>
      <c r="D3" s="197" t="s">
        <v>289</v>
      </c>
      <c r="E3" s="197" t="s">
        <v>20</v>
      </c>
      <c r="F3" s="216">
        <v>45544</v>
      </c>
      <c r="J3" s="456" t="s">
        <v>129</v>
      </c>
      <c r="K3" s="459" t="s">
        <v>25</v>
      </c>
      <c r="L3" s="197" t="s">
        <v>177</v>
      </c>
      <c r="M3" s="197" t="s">
        <v>20</v>
      </c>
      <c r="N3" s="200">
        <v>45860</v>
      </c>
      <c r="R3" s="456" t="s">
        <v>229</v>
      </c>
      <c r="S3" s="459" t="s">
        <v>37</v>
      </c>
      <c r="T3" s="197" t="s">
        <v>230</v>
      </c>
      <c r="U3" s="197" t="s">
        <v>20</v>
      </c>
      <c r="V3" s="200">
        <v>45756</v>
      </c>
      <c r="Z3" s="457" t="s">
        <v>64</v>
      </c>
      <c r="AA3" s="458" t="s">
        <v>45</v>
      </c>
      <c r="AB3" s="345" t="s">
        <v>315</v>
      </c>
      <c r="AC3" s="345" t="s">
        <v>20</v>
      </c>
      <c r="AD3" s="346">
        <v>45985</v>
      </c>
      <c r="AH3" s="456" t="s">
        <v>65</v>
      </c>
      <c r="AI3" s="455" t="s">
        <v>53</v>
      </c>
      <c r="AJ3" s="197" t="s">
        <v>154</v>
      </c>
      <c r="AK3" s="197" t="s">
        <v>594</v>
      </c>
      <c r="AL3" s="246">
        <v>45770</v>
      </c>
      <c r="AP3" s="456" t="s">
        <v>949</v>
      </c>
      <c r="AQ3" s="455" t="s">
        <v>865</v>
      </c>
      <c r="AR3" s="197" t="s">
        <v>74</v>
      </c>
      <c r="AS3" s="197" t="s">
        <v>594</v>
      </c>
      <c r="AT3" s="246"/>
    </row>
    <row r="4" spans="2:47" x14ac:dyDescent="0.2">
      <c r="B4" s="463"/>
      <c r="C4" s="460"/>
      <c r="D4" s="198" t="s">
        <v>233</v>
      </c>
      <c r="E4" s="198" t="s">
        <v>179</v>
      </c>
      <c r="F4" s="204">
        <v>40224</v>
      </c>
      <c r="J4" s="456"/>
      <c r="K4" s="460"/>
      <c r="L4" s="198" t="s">
        <v>241</v>
      </c>
      <c r="M4" s="198" t="s">
        <v>179</v>
      </c>
      <c r="N4" s="201">
        <v>42887</v>
      </c>
      <c r="R4" s="456"/>
      <c r="S4" s="460"/>
      <c r="T4" s="198" t="s">
        <v>310</v>
      </c>
      <c r="U4" s="198" t="s">
        <v>179</v>
      </c>
      <c r="V4" s="201">
        <v>45442</v>
      </c>
      <c r="Z4" s="457"/>
      <c r="AA4" s="458"/>
      <c r="AB4" s="347" t="s">
        <v>148</v>
      </c>
      <c r="AC4" s="348" t="s">
        <v>179</v>
      </c>
      <c r="AD4" s="349"/>
      <c r="AH4" s="456"/>
      <c r="AI4" s="455"/>
      <c r="AJ4" s="198" t="s">
        <v>115</v>
      </c>
      <c r="AK4" s="198" t="s">
        <v>669</v>
      </c>
      <c r="AL4" s="247">
        <v>44991</v>
      </c>
      <c r="AP4" s="456"/>
      <c r="AQ4" s="455"/>
      <c r="AR4" s="198" t="s">
        <v>870</v>
      </c>
      <c r="AS4" s="198" t="s">
        <v>669</v>
      </c>
      <c r="AT4" s="247"/>
    </row>
    <row r="5" spans="2:47" x14ac:dyDescent="0.2">
      <c r="B5" s="463"/>
      <c r="C5" s="460"/>
      <c r="D5" s="198" t="s">
        <v>182</v>
      </c>
      <c r="E5" s="198" t="s">
        <v>181</v>
      </c>
      <c r="F5" s="204">
        <v>45258</v>
      </c>
      <c r="J5" s="456"/>
      <c r="K5" s="460"/>
      <c r="L5" s="198" t="s">
        <v>202</v>
      </c>
      <c r="M5" s="198" t="s">
        <v>181</v>
      </c>
      <c r="N5" s="201">
        <v>43800</v>
      </c>
      <c r="R5" s="456"/>
      <c r="S5" s="460"/>
      <c r="T5" s="198" t="s">
        <v>199</v>
      </c>
      <c r="U5" s="198" t="s">
        <v>181</v>
      </c>
      <c r="V5" s="201">
        <v>45058</v>
      </c>
      <c r="Z5" s="457"/>
      <c r="AA5" s="458"/>
      <c r="AB5" s="347" t="s">
        <v>148</v>
      </c>
      <c r="AC5" s="348" t="s">
        <v>181</v>
      </c>
      <c r="AD5" s="349"/>
      <c r="AH5" s="456"/>
      <c r="AI5" s="455"/>
      <c r="AJ5" s="197" t="s">
        <v>598</v>
      </c>
      <c r="AK5" s="197" t="s">
        <v>595</v>
      </c>
      <c r="AL5" s="246">
        <v>45134</v>
      </c>
      <c r="AP5" s="456"/>
      <c r="AQ5" s="455"/>
      <c r="AR5" s="197" t="s">
        <v>892</v>
      </c>
      <c r="AS5" s="197" t="s">
        <v>673</v>
      </c>
      <c r="AT5" s="246"/>
    </row>
    <row r="6" spans="2:47" x14ac:dyDescent="0.2">
      <c r="B6" s="463"/>
      <c r="C6" s="460"/>
      <c r="D6" s="198" t="s">
        <v>183</v>
      </c>
      <c r="E6" s="198" t="s">
        <v>184</v>
      </c>
      <c r="F6" s="204">
        <v>41295</v>
      </c>
      <c r="J6" s="456"/>
      <c r="K6" s="460"/>
      <c r="L6" s="199" t="s">
        <v>107</v>
      </c>
      <c r="M6" s="199" t="s">
        <v>179</v>
      </c>
      <c r="N6" s="202">
        <v>44109</v>
      </c>
      <c r="R6" s="456"/>
      <c r="S6" s="460"/>
      <c r="T6" s="199" t="s">
        <v>98</v>
      </c>
      <c r="U6" s="199" t="s">
        <v>179</v>
      </c>
      <c r="V6" s="202">
        <v>45058</v>
      </c>
      <c r="Z6" s="457"/>
      <c r="AA6" s="458"/>
      <c r="AB6" s="350" t="s">
        <v>288</v>
      </c>
      <c r="AC6" s="350" t="s">
        <v>179</v>
      </c>
      <c r="AD6" s="192">
        <v>46084</v>
      </c>
      <c r="AH6" s="456"/>
      <c r="AI6" s="455"/>
      <c r="AJ6" s="198" t="s">
        <v>324</v>
      </c>
      <c r="AK6" s="198" t="s">
        <v>311</v>
      </c>
      <c r="AL6" s="248">
        <v>45253</v>
      </c>
      <c r="AP6" s="456"/>
      <c r="AQ6" s="455"/>
      <c r="AR6" s="198"/>
      <c r="AS6" s="198" t="s">
        <v>675</v>
      </c>
      <c r="AT6" s="248"/>
    </row>
    <row r="7" spans="2:47" x14ac:dyDescent="0.2">
      <c r="B7" s="463"/>
      <c r="C7" s="460"/>
      <c r="D7" s="199" t="s">
        <v>234</v>
      </c>
      <c r="E7" s="199" t="s">
        <v>179</v>
      </c>
      <c r="F7" s="203">
        <v>35977</v>
      </c>
      <c r="J7" s="456"/>
      <c r="K7" s="460"/>
      <c r="L7" s="199" t="s">
        <v>204</v>
      </c>
      <c r="M7" s="199" t="s">
        <v>181</v>
      </c>
      <c r="N7" s="202">
        <v>38353</v>
      </c>
      <c r="R7" s="456"/>
      <c r="S7" s="460"/>
      <c r="T7" s="199" t="s">
        <v>309</v>
      </c>
      <c r="U7" s="199" t="s">
        <v>181</v>
      </c>
      <c r="V7" s="202">
        <v>45505</v>
      </c>
      <c r="Z7" s="457"/>
      <c r="AA7" s="458"/>
      <c r="AB7" s="350" t="s">
        <v>250</v>
      </c>
      <c r="AC7" s="350" t="s">
        <v>181</v>
      </c>
      <c r="AD7" s="351">
        <v>45808</v>
      </c>
      <c r="AH7" s="456"/>
      <c r="AI7" s="455"/>
      <c r="AJ7" s="199" t="s">
        <v>826</v>
      </c>
      <c r="AK7" s="199" t="s">
        <v>311</v>
      </c>
      <c r="AL7" s="250">
        <v>46237</v>
      </c>
      <c r="AP7" s="456"/>
      <c r="AQ7" s="455"/>
      <c r="AR7" s="199"/>
      <c r="AS7" s="199" t="s">
        <v>675</v>
      </c>
      <c r="AT7" s="250"/>
    </row>
    <row r="8" spans="2:47" x14ac:dyDescent="0.2">
      <c r="B8" s="463"/>
      <c r="C8" s="460"/>
      <c r="D8" s="199" t="s">
        <v>290</v>
      </c>
      <c r="E8" s="199" t="s">
        <v>181</v>
      </c>
      <c r="F8" s="203">
        <v>45203</v>
      </c>
      <c r="J8" s="456"/>
      <c r="K8" s="460"/>
      <c r="L8" s="198" t="s">
        <v>151</v>
      </c>
      <c r="M8" s="198" t="s">
        <v>179</v>
      </c>
      <c r="N8" s="201">
        <v>45659</v>
      </c>
      <c r="R8" s="456"/>
      <c r="S8" s="461"/>
      <c r="T8" s="243" t="s">
        <v>148</v>
      </c>
      <c r="U8" s="198" t="s">
        <v>312</v>
      </c>
      <c r="V8" s="201"/>
      <c r="Z8" s="457"/>
      <c r="AA8" s="458"/>
      <c r="AB8" s="348" t="s">
        <v>251</v>
      </c>
      <c r="AC8" s="348" t="s">
        <v>179</v>
      </c>
      <c r="AD8" s="349">
        <v>45544</v>
      </c>
      <c r="AH8" s="456"/>
      <c r="AI8" s="455"/>
      <c r="AJ8" s="197"/>
      <c r="AK8" s="197"/>
      <c r="AL8" s="246"/>
      <c r="AP8" s="456"/>
      <c r="AQ8" s="455"/>
      <c r="AR8" s="198"/>
      <c r="AS8" s="198" t="s">
        <v>675</v>
      </c>
      <c r="AT8" s="248"/>
    </row>
    <row r="9" spans="2:47" x14ac:dyDescent="0.2">
      <c r="B9" s="463"/>
      <c r="C9" s="460"/>
      <c r="D9" s="199" t="s">
        <v>272</v>
      </c>
      <c r="E9" s="199" t="s">
        <v>184</v>
      </c>
      <c r="F9" s="203">
        <v>45861</v>
      </c>
      <c r="J9" s="456"/>
      <c r="K9" s="460"/>
      <c r="L9" s="198" t="s">
        <v>301</v>
      </c>
      <c r="M9" s="198" t="s">
        <v>181</v>
      </c>
      <c r="N9" s="201">
        <v>46018</v>
      </c>
      <c r="R9" s="456"/>
      <c r="S9" s="199"/>
      <c r="T9" s="199"/>
      <c r="U9" s="199"/>
      <c r="V9" s="202"/>
      <c r="Z9" s="457"/>
      <c r="AA9" s="458"/>
      <c r="AB9" s="348" t="s">
        <v>217</v>
      </c>
      <c r="AC9" s="348" t="s">
        <v>181</v>
      </c>
      <c r="AD9" s="349">
        <v>45554</v>
      </c>
      <c r="AH9" s="456"/>
      <c r="AI9" s="455"/>
      <c r="AJ9" s="198" t="s">
        <v>254</v>
      </c>
      <c r="AK9" s="198" t="s">
        <v>181</v>
      </c>
      <c r="AL9" s="248">
        <v>44991</v>
      </c>
      <c r="AP9" s="456"/>
      <c r="AQ9" s="455"/>
      <c r="AR9" s="199"/>
      <c r="AS9" s="199" t="s">
        <v>675</v>
      </c>
      <c r="AT9" s="250"/>
    </row>
    <row r="10" spans="2:47" x14ac:dyDescent="0.2">
      <c r="B10" s="463"/>
      <c r="C10" s="460"/>
      <c r="D10" s="198" t="s">
        <v>235</v>
      </c>
      <c r="E10" s="198" t="s">
        <v>179</v>
      </c>
      <c r="F10" s="204">
        <v>43102</v>
      </c>
      <c r="J10" s="456"/>
      <c r="K10" s="460"/>
      <c r="L10" s="199" t="s">
        <v>262</v>
      </c>
      <c r="M10" s="199" t="s">
        <v>179</v>
      </c>
      <c r="N10" s="202">
        <v>45476</v>
      </c>
      <c r="R10" s="456"/>
      <c r="S10" s="459" t="s">
        <v>614</v>
      </c>
      <c r="T10" s="197" t="s">
        <v>497</v>
      </c>
      <c r="U10" s="197" t="s">
        <v>20</v>
      </c>
      <c r="V10" s="200">
        <v>45644</v>
      </c>
      <c r="Z10" s="457"/>
      <c r="AA10" s="458"/>
      <c r="AB10" s="352" t="s">
        <v>148</v>
      </c>
      <c r="AC10" s="350" t="s">
        <v>311</v>
      </c>
      <c r="AD10" s="351"/>
      <c r="AH10" s="456"/>
      <c r="AI10" s="455"/>
      <c r="AJ10" s="197" t="s">
        <v>919</v>
      </c>
      <c r="AK10" s="197" t="s">
        <v>673</v>
      </c>
      <c r="AL10" s="246"/>
      <c r="AP10" s="75"/>
      <c r="AQ10" s="75"/>
    </row>
    <row r="11" spans="2:47" x14ac:dyDescent="0.2">
      <c r="B11" s="463"/>
      <c r="C11" s="460"/>
      <c r="D11" s="198" t="s">
        <v>291</v>
      </c>
      <c r="E11" s="198" t="s">
        <v>181</v>
      </c>
      <c r="F11" s="204">
        <v>45441</v>
      </c>
      <c r="J11" s="456"/>
      <c r="K11" s="460"/>
      <c r="L11" s="199" t="s">
        <v>302</v>
      </c>
      <c r="M11" s="199" t="s">
        <v>181</v>
      </c>
      <c r="N11" s="202">
        <v>45990</v>
      </c>
      <c r="R11" s="456"/>
      <c r="S11" s="460"/>
      <c r="T11" s="198" t="s">
        <v>265</v>
      </c>
      <c r="U11" s="198" t="s">
        <v>179</v>
      </c>
      <c r="V11" s="201">
        <v>45719</v>
      </c>
      <c r="Z11" s="457"/>
      <c r="AA11" s="353"/>
      <c r="AB11" s="354"/>
      <c r="AC11" s="354"/>
      <c r="AD11" s="355"/>
      <c r="AE11" s="58"/>
      <c r="AH11" s="456"/>
      <c r="AI11" s="455"/>
      <c r="AJ11" s="198" t="s">
        <v>674</v>
      </c>
      <c r="AK11" s="198" t="s">
        <v>675</v>
      </c>
      <c r="AL11" s="248"/>
      <c r="AP11" s="75"/>
      <c r="AQ11" s="62"/>
    </row>
    <row r="12" spans="2:47" x14ac:dyDescent="0.2">
      <c r="B12" s="463"/>
      <c r="C12" s="460"/>
      <c r="D12" s="198" t="s">
        <v>186</v>
      </c>
      <c r="E12" s="198" t="s">
        <v>184</v>
      </c>
      <c r="F12" s="204">
        <v>43441</v>
      </c>
      <c r="J12" s="456"/>
      <c r="K12" s="460"/>
      <c r="L12" s="197" t="s">
        <v>177</v>
      </c>
      <c r="M12" s="197" t="s">
        <v>20</v>
      </c>
      <c r="N12" s="200">
        <v>45860</v>
      </c>
      <c r="R12" s="456"/>
      <c r="S12" s="460"/>
      <c r="T12" s="198" t="s">
        <v>313</v>
      </c>
      <c r="U12" s="198" t="s">
        <v>181</v>
      </c>
      <c r="V12" s="201">
        <v>45758</v>
      </c>
      <c r="Z12" s="457"/>
      <c r="AA12" s="458" t="s">
        <v>47</v>
      </c>
      <c r="AB12" s="345" t="s">
        <v>74</v>
      </c>
      <c r="AC12" s="345" t="s">
        <v>594</v>
      </c>
      <c r="AD12" s="346">
        <v>45985</v>
      </c>
      <c r="AH12" s="456"/>
      <c r="AI12" s="455"/>
      <c r="AJ12" s="199" t="s">
        <v>676</v>
      </c>
      <c r="AK12" s="199" t="s">
        <v>675</v>
      </c>
      <c r="AL12" s="250"/>
      <c r="AP12" s="75"/>
      <c r="AQ12" s="62"/>
    </row>
    <row r="13" spans="2:47" x14ac:dyDescent="0.2">
      <c r="B13" s="463"/>
      <c r="C13" s="460"/>
      <c r="D13" s="199" t="s">
        <v>236</v>
      </c>
      <c r="E13" s="199" t="s">
        <v>179</v>
      </c>
      <c r="F13" s="203">
        <v>41297</v>
      </c>
      <c r="J13" s="456"/>
      <c r="K13" s="460"/>
      <c r="L13" s="198" t="s">
        <v>244</v>
      </c>
      <c r="M13" s="198" t="s">
        <v>179</v>
      </c>
      <c r="N13" s="201">
        <v>35431</v>
      </c>
      <c r="R13" s="456"/>
      <c r="S13" s="460"/>
      <c r="T13" s="199" t="s">
        <v>97</v>
      </c>
      <c r="U13" s="199" t="s">
        <v>179</v>
      </c>
      <c r="V13" s="202">
        <v>45533</v>
      </c>
      <c r="Z13" s="457"/>
      <c r="AA13" s="458"/>
      <c r="AB13" s="348" t="s">
        <v>668</v>
      </c>
      <c r="AC13" s="348" t="s">
        <v>669</v>
      </c>
      <c r="AD13" s="356">
        <v>46183</v>
      </c>
      <c r="AH13" s="456"/>
      <c r="AI13" s="455"/>
      <c r="AJ13" s="198" t="s">
        <v>677</v>
      </c>
      <c r="AK13" s="198" t="s">
        <v>675</v>
      </c>
      <c r="AL13" s="248"/>
      <c r="AP13" s="75"/>
      <c r="AQ13" s="62"/>
    </row>
    <row r="14" spans="2:47" x14ac:dyDescent="0.2">
      <c r="B14" s="463"/>
      <c r="C14" s="460"/>
      <c r="D14" s="199" t="s">
        <v>187</v>
      </c>
      <c r="E14" s="199" t="s">
        <v>181</v>
      </c>
      <c r="F14" s="203">
        <v>44699</v>
      </c>
      <c r="J14" s="456"/>
      <c r="K14" s="460"/>
      <c r="L14" s="198" t="s">
        <v>207</v>
      </c>
      <c r="M14" s="198" t="s">
        <v>184</v>
      </c>
      <c r="N14" s="201">
        <v>42370</v>
      </c>
      <c r="R14" s="456"/>
      <c r="S14" s="460"/>
      <c r="T14" s="199" t="s">
        <v>498</v>
      </c>
      <c r="U14" s="199" t="s">
        <v>181</v>
      </c>
      <c r="V14" s="202">
        <v>46132</v>
      </c>
      <c r="Z14" s="457"/>
      <c r="AA14" s="458"/>
      <c r="AB14" s="345" t="s">
        <v>74</v>
      </c>
      <c r="AC14" s="345" t="s">
        <v>595</v>
      </c>
      <c r="AD14" s="346"/>
      <c r="AH14" s="456"/>
      <c r="AI14" s="455"/>
      <c r="AJ14" s="199" t="s">
        <v>678</v>
      </c>
      <c r="AK14" s="199" t="s">
        <v>675</v>
      </c>
      <c r="AL14" s="250"/>
      <c r="AP14" s="75"/>
      <c r="AQ14" s="62"/>
    </row>
    <row r="15" spans="2:47" ht="14.5" customHeight="1" x14ac:dyDescent="0.2">
      <c r="B15" s="463"/>
      <c r="C15" s="460"/>
      <c r="D15" s="199" t="s">
        <v>232</v>
      </c>
      <c r="E15" s="199" t="s">
        <v>184</v>
      </c>
      <c r="F15" s="203">
        <v>42546</v>
      </c>
      <c r="J15" s="456"/>
      <c r="K15" s="460"/>
      <c r="L15" s="199" t="s">
        <v>242</v>
      </c>
      <c r="M15" s="199" t="s">
        <v>179</v>
      </c>
      <c r="N15" s="202">
        <v>38353</v>
      </c>
      <c r="R15" s="456"/>
      <c r="S15" s="460"/>
      <c r="T15" s="198" t="s">
        <v>314</v>
      </c>
      <c r="U15" s="198" t="s">
        <v>312</v>
      </c>
      <c r="V15" s="201">
        <v>46038</v>
      </c>
      <c r="Z15" s="457"/>
      <c r="AA15" s="458"/>
      <c r="AB15" s="348" t="s">
        <v>499</v>
      </c>
      <c r="AC15" s="348" t="s">
        <v>311</v>
      </c>
      <c r="AD15" s="356">
        <v>46125</v>
      </c>
      <c r="AH15" s="456"/>
      <c r="AI15" s="339"/>
      <c r="AJ15" s="199"/>
      <c r="AK15" s="199"/>
      <c r="AL15" s="250"/>
      <c r="AP15" s="75"/>
      <c r="AQ15" s="62"/>
    </row>
    <row r="16" spans="2:47" ht="14.5" customHeight="1" x14ac:dyDescent="0.2">
      <c r="B16" s="463"/>
      <c r="C16" s="460"/>
      <c r="D16" s="198" t="s">
        <v>237</v>
      </c>
      <c r="E16" s="198" t="s">
        <v>179</v>
      </c>
      <c r="F16" s="204">
        <v>43637</v>
      </c>
      <c r="J16" s="456"/>
      <c r="K16" s="460"/>
      <c r="L16" s="199" t="s">
        <v>203</v>
      </c>
      <c r="M16" s="199" t="s">
        <v>181</v>
      </c>
      <c r="N16" s="202">
        <v>43983</v>
      </c>
      <c r="R16" s="456"/>
      <c r="S16" s="461"/>
      <c r="T16" s="199" t="s">
        <v>823</v>
      </c>
      <c r="U16" s="199" t="s">
        <v>311</v>
      </c>
      <c r="V16" s="202">
        <v>46235</v>
      </c>
      <c r="W16" t="s">
        <v>913</v>
      </c>
      <c r="Z16" s="457"/>
      <c r="AA16" s="458"/>
      <c r="AB16" s="350" t="s">
        <v>670</v>
      </c>
      <c r="AC16" s="350" t="s">
        <v>311</v>
      </c>
      <c r="AD16" s="192">
        <v>46188</v>
      </c>
      <c r="AH16" s="456"/>
      <c r="AI16" s="455" t="s">
        <v>52</v>
      </c>
      <c r="AJ16" s="197" t="s">
        <v>95</v>
      </c>
      <c r="AK16" s="197" t="s">
        <v>679</v>
      </c>
      <c r="AL16" s="251">
        <v>45495</v>
      </c>
      <c r="AP16" s="75"/>
      <c r="AQ16" s="62"/>
    </row>
    <row r="17" spans="2:46" ht="14.5" customHeight="1" x14ac:dyDescent="0.2">
      <c r="B17" s="463"/>
      <c r="C17" s="460"/>
      <c r="D17" s="198" t="s">
        <v>292</v>
      </c>
      <c r="E17" s="198" t="s">
        <v>181</v>
      </c>
      <c r="F17" s="204">
        <v>45915</v>
      </c>
      <c r="J17" s="456"/>
      <c r="K17" s="460"/>
      <c r="L17" s="198" t="s">
        <v>303</v>
      </c>
      <c r="M17" s="198" t="s">
        <v>179</v>
      </c>
      <c r="N17" s="201">
        <v>44263</v>
      </c>
      <c r="Z17" s="457"/>
      <c r="AA17" s="458"/>
      <c r="AB17" s="347" t="s">
        <v>148</v>
      </c>
      <c r="AC17" s="348" t="s">
        <v>312</v>
      </c>
      <c r="AD17" s="356"/>
      <c r="AH17" s="456"/>
      <c r="AI17" s="455"/>
      <c r="AJ17" s="198" t="s">
        <v>116</v>
      </c>
      <c r="AK17" s="198" t="s">
        <v>669</v>
      </c>
      <c r="AL17" s="247">
        <v>44963</v>
      </c>
      <c r="AP17" s="75"/>
      <c r="AQ17" s="62"/>
    </row>
    <row r="18" spans="2:46" x14ac:dyDescent="0.2">
      <c r="B18" s="463"/>
      <c r="C18" s="460"/>
      <c r="D18" s="199" t="s">
        <v>101</v>
      </c>
      <c r="E18" s="199" t="s">
        <v>179</v>
      </c>
      <c r="F18" s="203">
        <v>45076</v>
      </c>
      <c r="J18" s="456"/>
      <c r="K18" s="460"/>
      <c r="L18" s="198" t="s">
        <v>245</v>
      </c>
      <c r="M18" s="198" t="s">
        <v>179</v>
      </c>
      <c r="N18" s="201">
        <v>45201</v>
      </c>
      <c r="Z18" s="457"/>
      <c r="AA18" s="357"/>
      <c r="AB18" s="350"/>
      <c r="AC18" s="350"/>
      <c r="AH18" s="456"/>
      <c r="AI18" s="455"/>
      <c r="AJ18" s="197" t="s">
        <v>599</v>
      </c>
      <c r="AK18" s="197" t="s">
        <v>595</v>
      </c>
      <c r="AL18" s="251">
        <v>45659</v>
      </c>
      <c r="AP18" s="75"/>
      <c r="AQ18" s="62"/>
    </row>
    <row r="19" spans="2:46" x14ac:dyDescent="0.2">
      <c r="B19" s="463"/>
      <c r="C19" s="460"/>
      <c r="D19" s="199" t="s">
        <v>905</v>
      </c>
      <c r="E19" s="199" t="s">
        <v>181</v>
      </c>
      <c r="F19" s="203">
        <v>45875</v>
      </c>
      <c r="J19" s="456"/>
      <c r="K19" s="460"/>
      <c r="L19" s="198" t="s">
        <v>246</v>
      </c>
      <c r="M19" s="198" t="s">
        <v>184</v>
      </c>
      <c r="N19" s="201">
        <v>44543</v>
      </c>
      <c r="Z19" s="457"/>
      <c r="AA19" s="458" t="s">
        <v>39</v>
      </c>
      <c r="AB19" s="345" t="s">
        <v>891</v>
      </c>
      <c r="AC19" s="345" t="s">
        <v>20</v>
      </c>
      <c r="AD19" s="346">
        <v>46258</v>
      </c>
      <c r="AH19" s="456"/>
      <c r="AI19" s="455"/>
      <c r="AJ19" s="198" t="s">
        <v>827</v>
      </c>
      <c r="AK19" s="198" t="s">
        <v>311</v>
      </c>
      <c r="AL19" s="247">
        <v>46227</v>
      </c>
      <c r="AP19" s="75"/>
      <c r="AQ19" s="62"/>
      <c r="AR19" s="180"/>
      <c r="AS19" s="180"/>
      <c r="AT19" s="220"/>
    </row>
    <row r="20" spans="2:46" x14ac:dyDescent="0.2">
      <c r="B20" s="463"/>
      <c r="C20" s="460"/>
      <c r="D20" s="198" t="s">
        <v>158</v>
      </c>
      <c r="E20" s="198" t="s">
        <v>264</v>
      </c>
      <c r="F20" s="204">
        <v>45810</v>
      </c>
      <c r="G20" t="s">
        <v>906</v>
      </c>
      <c r="J20" s="456"/>
      <c r="K20" s="460"/>
      <c r="L20" s="198" t="s">
        <v>304</v>
      </c>
      <c r="M20" s="198" t="s">
        <v>184</v>
      </c>
      <c r="N20" s="201">
        <v>45448</v>
      </c>
      <c r="Z20" s="457"/>
      <c r="AA20" s="458"/>
      <c r="AB20" s="358" t="s">
        <v>389</v>
      </c>
      <c r="AC20" s="348" t="s">
        <v>179</v>
      </c>
      <c r="AD20" s="359">
        <v>46113</v>
      </c>
      <c r="AH20" s="456"/>
      <c r="AI20" s="455"/>
      <c r="AJ20" s="199" t="s">
        <v>506</v>
      </c>
      <c r="AK20" s="199" t="s">
        <v>311</v>
      </c>
      <c r="AL20" s="249">
        <v>45987</v>
      </c>
      <c r="AP20" s="75"/>
      <c r="AQ20" s="62"/>
    </row>
    <row r="21" spans="2:46" x14ac:dyDescent="0.2">
      <c r="B21" s="463"/>
      <c r="C21" s="460"/>
      <c r="D21" s="199" t="s">
        <v>157</v>
      </c>
      <c r="E21" s="199" t="s">
        <v>264</v>
      </c>
      <c r="F21" s="203">
        <v>45810</v>
      </c>
      <c r="J21" s="456"/>
      <c r="K21" s="460"/>
      <c r="L21" s="199" t="s">
        <v>108</v>
      </c>
      <c r="M21" s="199" t="s">
        <v>179</v>
      </c>
      <c r="N21" s="202">
        <v>44181</v>
      </c>
      <c r="Z21" s="457"/>
      <c r="AA21" s="458"/>
      <c r="AB21" s="358" t="s">
        <v>267</v>
      </c>
      <c r="AC21" s="348" t="s">
        <v>181</v>
      </c>
      <c r="AD21" s="359">
        <v>45967</v>
      </c>
      <c r="AH21" s="456"/>
      <c r="AI21" s="455"/>
      <c r="AJ21" s="198" t="s">
        <v>828</v>
      </c>
      <c r="AK21" s="198" t="s">
        <v>829</v>
      </c>
      <c r="AL21" s="247">
        <v>46237</v>
      </c>
      <c r="AP21" s="75"/>
      <c r="AQ21" s="62"/>
    </row>
    <row r="22" spans="2:46" x14ac:dyDescent="0.2">
      <c r="B22" s="463"/>
      <c r="C22" s="460"/>
      <c r="D22" s="197" t="s">
        <v>293</v>
      </c>
      <c r="E22" s="197" t="s">
        <v>20</v>
      </c>
      <c r="F22" s="216">
        <v>44890</v>
      </c>
      <c r="J22" s="456"/>
      <c r="K22" s="460"/>
      <c r="L22" s="199" t="s">
        <v>247</v>
      </c>
      <c r="M22" s="199" t="s">
        <v>179</v>
      </c>
      <c r="N22" s="202">
        <v>44142</v>
      </c>
      <c r="Z22" s="457"/>
      <c r="AA22" s="458"/>
      <c r="AB22" s="350" t="s">
        <v>111</v>
      </c>
      <c r="AC22" s="350" t="s">
        <v>179</v>
      </c>
      <c r="AD22" s="192">
        <v>45538</v>
      </c>
      <c r="AH22" s="456"/>
      <c r="AI22" s="455"/>
      <c r="AJ22" s="197"/>
      <c r="AK22" s="197"/>
      <c r="AL22" s="246"/>
      <c r="AP22" s="75"/>
      <c r="AQ22" s="62"/>
    </row>
    <row r="23" spans="2:46" x14ac:dyDescent="0.2">
      <c r="B23" s="463"/>
      <c r="C23" s="460"/>
      <c r="D23" s="198" t="s">
        <v>99</v>
      </c>
      <c r="E23" s="198" t="s">
        <v>179</v>
      </c>
      <c r="F23" s="204">
        <v>42923</v>
      </c>
      <c r="J23" s="456"/>
      <c r="K23" s="460"/>
      <c r="L23" s="199" t="s">
        <v>305</v>
      </c>
      <c r="M23" s="199" t="s">
        <v>184</v>
      </c>
      <c r="N23" s="202">
        <v>45428</v>
      </c>
      <c r="Z23" s="457"/>
      <c r="AA23" s="458"/>
      <c r="AB23" s="350" t="s">
        <v>500</v>
      </c>
      <c r="AC23" s="350" t="s">
        <v>181</v>
      </c>
      <c r="AD23" s="192">
        <v>45530</v>
      </c>
      <c r="AH23" s="456"/>
      <c r="AI23" s="455"/>
      <c r="AJ23" s="198" t="s">
        <v>325</v>
      </c>
      <c r="AK23" s="198" t="s">
        <v>181</v>
      </c>
      <c r="AL23" s="247">
        <v>44963</v>
      </c>
      <c r="AM23" t="s">
        <v>906</v>
      </c>
      <c r="AP23" s="75"/>
      <c r="AQ23" s="62"/>
    </row>
    <row r="24" spans="2:46" x14ac:dyDescent="0.2">
      <c r="B24" s="463"/>
      <c r="C24" s="460"/>
      <c r="D24" s="198" t="s">
        <v>188</v>
      </c>
      <c r="E24" s="198" t="s">
        <v>181</v>
      </c>
      <c r="F24" s="204">
        <v>44221</v>
      </c>
      <c r="J24" s="456"/>
      <c r="K24" s="460"/>
      <c r="L24" s="199" t="s">
        <v>248</v>
      </c>
      <c r="M24" s="199" t="s">
        <v>184</v>
      </c>
      <c r="N24" s="202">
        <v>44116</v>
      </c>
      <c r="Z24" s="457"/>
      <c r="AA24" s="458"/>
      <c r="AB24" s="360" t="s">
        <v>148</v>
      </c>
      <c r="AC24" s="348" t="s">
        <v>179</v>
      </c>
      <c r="AD24" s="359"/>
      <c r="AH24" s="456"/>
      <c r="AI24" s="455"/>
      <c r="AJ24" s="197" t="s">
        <v>680</v>
      </c>
      <c r="AK24" s="197" t="s">
        <v>673</v>
      </c>
      <c r="AL24" s="246"/>
      <c r="AP24" s="75"/>
      <c r="AQ24" s="62"/>
    </row>
    <row r="25" spans="2:46" x14ac:dyDescent="0.2">
      <c r="B25" s="463"/>
      <c r="C25" s="460"/>
      <c r="D25" s="198" t="s">
        <v>189</v>
      </c>
      <c r="E25" s="198" t="s">
        <v>184</v>
      </c>
      <c r="F25" s="204">
        <v>41869</v>
      </c>
      <c r="J25" s="456"/>
      <c r="K25" s="460"/>
      <c r="L25" s="198" t="s">
        <v>268</v>
      </c>
      <c r="M25" s="198" t="s">
        <v>266</v>
      </c>
      <c r="N25" s="201">
        <v>46013</v>
      </c>
      <c r="Z25" s="457"/>
      <c r="AA25" s="458"/>
      <c r="AB25" s="360" t="s">
        <v>148</v>
      </c>
      <c r="AC25" s="348" t="s">
        <v>181</v>
      </c>
      <c r="AD25" s="359"/>
      <c r="AH25" s="456"/>
      <c r="AI25" s="455"/>
      <c r="AJ25" s="198" t="s">
        <v>681</v>
      </c>
      <c r="AK25" s="198" t="s">
        <v>675</v>
      </c>
      <c r="AL25" s="248"/>
      <c r="AP25" s="75"/>
      <c r="AQ25" s="62"/>
    </row>
    <row r="26" spans="2:46" x14ac:dyDescent="0.2">
      <c r="B26" s="463"/>
      <c r="C26" s="460"/>
      <c r="D26" s="199" t="s">
        <v>100</v>
      </c>
      <c r="E26" s="199" t="s">
        <v>179</v>
      </c>
      <c r="F26" s="203">
        <v>40385</v>
      </c>
      <c r="J26" s="456"/>
      <c r="K26" s="460"/>
      <c r="L26" s="197"/>
      <c r="M26" s="197" t="s">
        <v>84</v>
      </c>
      <c r="N26" s="200"/>
      <c r="Z26" s="457"/>
      <c r="AA26" s="357"/>
      <c r="AB26" s="350"/>
      <c r="AC26" s="350"/>
      <c r="AH26" s="456"/>
      <c r="AI26" s="455"/>
      <c r="AJ26" s="199" t="s">
        <v>682</v>
      </c>
      <c r="AK26" s="199" t="s">
        <v>675</v>
      </c>
      <c r="AL26" s="250"/>
      <c r="AP26" s="75"/>
      <c r="AQ26" s="62"/>
    </row>
    <row r="27" spans="2:46" x14ac:dyDescent="0.2">
      <c r="B27" s="463"/>
      <c r="C27" s="460"/>
      <c r="D27" s="199" t="s">
        <v>190</v>
      </c>
      <c r="E27" s="199" t="s">
        <v>181</v>
      </c>
      <c r="F27" s="203">
        <v>36831</v>
      </c>
      <c r="J27" s="456"/>
      <c r="K27" s="460"/>
      <c r="L27" s="204" t="s">
        <v>249</v>
      </c>
      <c r="M27" s="204" t="s">
        <v>179</v>
      </c>
      <c r="N27" s="201">
        <v>36612</v>
      </c>
      <c r="Z27" s="457"/>
      <c r="AA27" s="458" t="s">
        <v>41</v>
      </c>
      <c r="AB27" s="345" t="s">
        <v>316</v>
      </c>
      <c r="AC27" s="345" t="s">
        <v>20</v>
      </c>
      <c r="AD27" s="346">
        <v>45582</v>
      </c>
      <c r="AH27" s="456"/>
      <c r="AI27" s="455"/>
      <c r="AJ27" s="198" t="s">
        <v>683</v>
      </c>
      <c r="AK27" s="198" t="s">
        <v>675</v>
      </c>
      <c r="AL27" s="248"/>
      <c r="AP27" s="75"/>
      <c r="AQ27" s="62"/>
    </row>
    <row r="28" spans="2:46" x14ac:dyDescent="0.2">
      <c r="B28" s="463"/>
      <c r="C28" s="460"/>
      <c r="D28" s="199" t="s">
        <v>191</v>
      </c>
      <c r="E28" s="199" t="s">
        <v>184</v>
      </c>
      <c r="F28" s="203">
        <v>42779</v>
      </c>
      <c r="J28" s="456"/>
      <c r="K28" s="460"/>
      <c r="L28" s="199" t="s">
        <v>150</v>
      </c>
      <c r="M28" s="199" t="s">
        <v>484</v>
      </c>
      <c r="N28" s="202">
        <v>45567</v>
      </c>
      <c r="Z28" s="457"/>
      <c r="AA28" s="458"/>
      <c r="AB28" s="348" t="s">
        <v>112</v>
      </c>
      <c r="AC28" s="348" t="s">
        <v>317</v>
      </c>
      <c r="AD28" s="356">
        <v>44807</v>
      </c>
      <c r="AH28" s="456"/>
      <c r="AI28" s="455"/>
      <c r="AJ28" s="199" t="s">
        <v>684</v>
      </c>
      <c r="AK28" s="199" t="s">
        <v>675</v>
      </c>
      <c r="AL28" s="250"/>
      <c r="AP28" s="75"/>
      <c r="AQ28" s="62"/>
    </row>
    <row r="29" spans="2:46" x14ac:dyDescent="0.2">
      <c r="B29" s="463"/>
      <c r="C29" s="460"/>
      <c r="D29" s="198" t="s">
        <v>238</v>
      </c>
      <c r="E29" s="198" t="s">
        <v>179</v>
      </c>
      <c r="F29" s="204">
        <v>37508</v>
      </c>
      <c r="J29" s="456"/>
      <c r="K29" s="460"/>
      <c r="L29" s="204" t="s">
        <v>485</v>
      </c>
      <c r="M29" s="204" t="s">
        <v>486</v>
      </c>
      <c r="N29" s="201">
        <v>45936</v>
      </c>
      <c r="Z29" s="457"/>
      <c r="AA29" s="458"/>
      <c r="AB29" s="350" t="s">
        <v>394</v>
      </c>
      <c r="AC29" s="350" t="s">
        <v>317</v>
      </c>
      <c r="AD29" s="192">
        <v>46125</v>
      </c>
      <c r="AH29" s="456"/>
      <c r="AI29" s="455"/>
      <c r="AJ29" s="198" t="s">
        <v>685</v>
      </c>
      <c r="AK29" s="198" t="s">
        <v>675</v>
      </c>
      <c r="AL29" s="247"/>
      <c r="AP29" s="75"/>
      <c r="AQ29" s="62"/>
    </row>
    <row r="30" spans="2:46" x14ac:dyDescent="0.2">
      <c r="B30" s="463"/>
      <c r="C30" s="460"/>
      <c r="D30" s="198" t="s">
        <v>192</v>
      </c>
      <c r="E30" s="198" t="s">
        <v>181</v>
      </c>
      <c r="F30" s="204">
        <v>42234</v>
      </c>
      <c r="J30" s="456"/>
      <c r="K30" s="460"/>
      <c r="L30" s="197" t="s">
        <v>487</v>
      </c>
      <c r="M30" s="197" t="s">
        <v>488</v>
      </c>
      <c r="N30" s="200">
        <v>45909</v>
      </c>
      <c r="Z30" s="457"/>
      <c r="AA30" s="458"/>
      <c r="AB30" s="348" t="s">
        <v>113</v>
      </c>
      <c r="AC30" s="348" t="s">
        <v>317</v>
      </c>
      <c r="AD30" s="356">
        <v>36526</v>
      </c>
      <c r="AH30" s="456"/>
      <c r="AI30" s="332"/>
      <c r="AJ30" s="277"/>
      <c r="AK30" s="277"/>
      <c r="AL30" s="333"/>
      <c r="AM30" s="58"/>
      <c r="AP30" s="75"/>
      <c r="AQ30" s="62"/>
    </row>
    <row r="31" spans="2:46" x14ac:dyDescent="0.2">
      <c r="B31" s="463"/>
      <c r="C31" s="460"/>
      <c r="D31" s="198" t="s">
        <v>193</v>
      </c>
      <c r="E31" s="198" t="s">
        <v>184</v>
      </c>
      <c r="F31" s="204">
        <v>43990</v>
      </c>
      <c r="J31" s="456"/>
      <c r="K31" s="460"/>
      <c r="L31" s="197" t="s">
        <v>489</v>
      </c>
      <c r="M31" s="197" t="s">
        <v>474</v>
      </c>
      <c r="N31" s="200">
        <v>45790</v>
      </c>
      <c r="Z31" s="457"/>
      <c r="AA31" s="458"/>
      <c r="AB31" s="350" t="s">
        <v>253</v>
      </c>
      <c r="AC31" s="350" t="s">
        <v>317</v>
      </c>
      <c r="AD31" s="192">
        <v>45773</v>
      </c>
      <c r="AH31" s="456"/>
      <c r="AI31" s="455" t="s">
        <v>686</v>
      </c>
      <c r="AJ31" s="197" t="s">
        <v>687</v>
      </c>
      <c r="AK31" s="197" t="s">
        <v>673</v>
      </c>
      <c r="AL31" s="246"/>
      <c r="AP31" s="75"/>
      <c r="AQ31" s="62"/>
    </row>
    <row r="32" spans="2:46" x14ac:dyDescent="0.2">
      <c r="B32" s="463"/>
      <c r="C32" s="460"/>
      <c r="D32" s="199" t="s">
        <v>239</v>
      </c>
      <c r="E32" s="199" t="s">
        <v>179</v>
      </c>
      <c r="F32" s="203">
        <v>41352</v>
      </c>
      <c r="J32" s="456"/>
      <c r="K32" s="460"/>
      <c r="L32" s="198" t="s">
        <v>664</v>
      </c>
      <c r="M32" s="198" t="s">
        <v>311</v>
      </c>
      <c r="N32" s="201">
        <v>46181</v>
      </c>
      <c r="Z32" s="457"/>
      <c r="AA32" s="458"/>
      <c r="AB32" s="348" t="s">
        <v>824</v>
      </c>
      <c r="AC32" s="348" t="s">
        <v>311</v>
      </c>
      <c r="AD32" s="356">
        <v>46235</v>
      </c>
      <c r="AH32" s="456"/>
      <c r="AI32" s="455"/>
      <c r="AJ32" s="198" t="s">
        <v>688</v>
      </c>
      <c r="AK32" s="198" t="s">
        <v>675</v>
      </c>
      <c r="AL32" s="248"/>
      <c r="AP32" s="75"/>
      <c r="AQ32" s="62"/>
    </row>
    <row r="33" spans="2:46" x14ac:dyDescent="0.2">
      <c r="B33" s="463"/>
      <c r="C33" s="460"/>
      <c r="D33" s="199" t="s">
        <v>194</v>
      </c>
      <c r="E33" s="199" t="s">
        <v>181</v>
      </c>
      <c r="F33" s="203">
        <v>45080</v>
      </c>
      <c r="J33" s="456"/>
      <c r="K33" s="460"/>
      <c r="L33" s="199" t="s">
        <v>490</v>
      </c>
      <c r="M33" s="199" t="s">
        <v>311</v>
      </c>
      <c r="N33" s="202">
        <v>45835</v>
      </c>
      <c r="Z33" s="457"/>
      <c r="AA33" s="458"/>
      <c r="AB33" s="350" t="s">
        <v>501</v>
      </c>
      <c r="AC33" s="350" t="s">
        <v>311</v>
      </c>
      <c r="AD33" s="192">
        <v>45950</v>
      </c>
      <c r="AH33" s="456"/>
      <c r="AI33" s="455"/>
      <c r="AJ33" s="199" t="s">
        <v>689</v>
      </c>
      <c r="AK33" s="199" t="s">
        <v>675</v>
      </c>
      <c r="AL33" s="250"/>
      <c r="AP33" s="75"/>
      <c r="AQ33" s="62"/>
    </row>
    <row r="34" spans="2:46" x14ac:dyDescent="0.2">
      <c r="B34" s="463"/>
      <c r="C34" s="460"/>
      <c r="D34" s="199" t="s">
        <v>195</v>
      </c>
      <c r="E34" s="199" t="s">
        <v>184</v>
      </c>
      <c r="F34" s="203">
        <v>43381</v>
      </c>
      <c r="J34" s="456"/>
      <c r="K34" s="460"/>
      <c r="L34" s="198" t="s">
        <v>588</v>
      </c>
      <c r="M34" s="198" t="s">
        <v>311</v>
      </c>
      <c r="N34" s="201">
        <v>46164</v>
      </c>
      <c r="Z34" s="457"/>
      <c r="AA34" s="458"/>
      <c r="AB34" s="348" t="s">
        <v>502</v>
      </c>
      <c r="AC34" s="348" t="s">
        <v>312</v>
      </c>
      <c r="AD34" s="356">
        <v>46001</v>
      </c>
      <c r="AH34" s="456"/>
      <c r="AI34" s="455"/>
      <c r="AJ34" s="198" t="s">
        <v>690</v>
      </c>
      <c r="AK34" s="198" t="s">
        <v>675</v>
      </c>
      <c r="AL34" s="248"/>
      <c r="AP34" s="75"/>
    </row>
    <row r="35" spans="2:46" x14ac:dyDescent="0.2">
      <c r="B35" s="463"/>
      <c r="C35" s="460"/>
      <c r="D35" s="198" t="s">
        <v>294</v>
      </c>
      <c r="E35" s="198" t="s">
        <v>179</v>
      </c>
      <c r="F35" s="204">
        <v>45670</v>
      </c>
      <c r="J35" s="456"/>
      <c r="K35" s="460"/>
      <c r="L35" s="199" t="s">
        <v>491</v>
      </c>
      <c r="M35" s="199" t="s">
        <v>311</v>
      </c>
      <c r="N35" s="202">
        <v>46111</v>
      </c>
      <c r="Z35" s="457"/>
      <c r="AA35" s="458"/>
      <c r="AB35" s="345"/>
      <c r="AC35" s="345"/>
      <c r="AD35" s="346"/>
      <c r="AH35" s="456"/>
      <c r="AI35" s="455"/>
      <c r="AJ35" s="199" t="s">
        <v>691</v>
      </c>
      <c r="AK35" s="199" t="s">
        <v>675</v>
      </c>
      <c r="AL35" s="250"/>
      <c r="AP35" s="75"/>
      <c r="AQ35" s="62"/>
      <c r="AR35" s="180"/>
      <c r="AS35" s="180"/>
      <c r="AT35" s="220"/>
    </row>
    <row r="36" spans="2:46" x14ac:dyDescent="0.2">
      <c r="B36" s="463"/>
      <c r="C36" s="460"/>
      <c r="D36" s="198" t="s">
        <v>176</v>
      </c>
      <c r="E36" s="198" t="s">
        <v>181</v>
      </c>
      <c r="F36" s="204">
        <v>45738</v>
      </c>
      <c r="J36" s="456"/>
      <c r="K36" s="460"/>
      <c r="L36" s="198" t="s">
        <v>665</v>
      </c>
      <c r="M36" s="198" t="s">
        <v>312</v>
      </c>
      <c r="N36" s="201">
        <v>46181</v>
      </c>
      <c r="Z36" s="457"/>
      <c r="AA36" s="458"/>
      <c r="AB36" s="348" t="s">
        <v>318</v>
      </c>
      <c r="AC36" s="348" t="s">
        <v>339</v>
      </c>
      <c r="AD36" s="356">
        <v>45754</v>
      </c>
      <c r="AH36" s="456"/>
      <c r="AI36" s="339"/>
      <c r="AJ36" s="199"/>
      <c r="AK36" s="199"/>
      <c r="AL36" s="249"/>
      <c r="AP36" s="75"/>
      <c r="AQ36" s="62"/>
    </row>
    <row r="37" spans="2:46" x14ac:dyDescent="0.2">
      <c r="B37" s="463"/>
      <c r="C37" s="460"/>
      <c r="D37" s="198" t="s">
        <v>261</v>
      </c>
      <c r="E37" s="198" t="s">
        <v>184</v>
      </c>
      <c r="F37" s="204">
        <v>44699</v>
      </c>
      <c r="J37" s="456"/>
      <c r="K37" s="460"/>
      <c r="L37" s="197"/>
      <c r="M37" s="197"/>
      <c r="N37" s="200"/>
      <c r="Z37" s="457"/>
      <c r="AA37" s="458"/>
      <c r="AB37" s="348" t="s">
        <v>214</v>
      </c>
      <c r="AC37" s="348" t="s">
        <v>340</v>
      </c>
      <c r="AD37" s="356">
        <v>45820</v>
      </c>
      <c r="AH37" s="456"/>
      <c r="AI37" s="459" t="s">
        <v>692</v>
      </c>
      <c r="AJ37" s="197" t="s">
        <v>73</v>
      </c>
      <c r="AK37" s="197" t="s">
        <v>693</v>
      </c>
      <c r="AL37" s="251">
        <v>45208</v>
      </c>
      <c r="AP37" s="75"/>
      <c r="AQ37" s="62"/>
    </row>
    <row r="38" spans="2:46" x14ac:dyDescent="0.2">
      <c r="B38" s="463"/>
      <c r="C38" s="460"/>
      <c r="D38" s="199" t="s">
        <v>273</v>
      </c>
      <c r="E38" s="199" t="s">
        <v>179</v>
      </c>
      <c r="F38" s="203">
        <v>45670</v>
      </c>
      <c r="J38" s="456"/>
      <c r="K38" s="460"/>
      <c r="L38" s="204" t="s">
        <v>306</v>
      </c>
      <c r="M38" s="204" t="s">
        <v>339</v>
      </c>
      <c r="N38" s="201">
        <v>45852</v>
      </c>
      <c r="Z38" s="457"/>
      <c r="AA38" s="458"/>
      <c r="AB38" s="350" t="s">
        <v>215</v>
      </c>
      <c r="AC38" s="350" t="s">
        <v>339</v>
      </c>
      <c r="AD38" s="192">
        <v>44075</v>
      </c>
      <c r="AH38" s="456"/>
      <c r="AI38" s="460"/>
      <c r="AJ38" s="244" t="s">
        <v>895</v>
      </c>
      <c r="AK38" s="198" t="s">
        <v>669</v>
      </c>
      <c r="AL38" s="247">
        <v>46256</v>
      </c>
      <c r="AP38" s="75"/>
      <c r="AQ38" s="62"/>
    </row>
    <row r="39" spans="2:46" x14ac:dyDescent="0.2">
      <c r="B39" s="463"/>
      <c r="C39" s="460"/>
      <c r="D39" s="199" t="s">
        <v>185</v>
      </c>
      <c r="E39" s="199" t="s">
        <v>181</v>
      </c>
      <c r="F39" s="203">
        <v>45141</v>
      </c>
      <c r="J39" s="456"/>
      <c r="K39" s="460"/>
      <c r="L39" s="203" t="s">
        <v>205</v>
      </c>
      <c r="M39" s="203" t="s">
        <v>339</v>
      </c>
      <c r="N39" s="202">
        <v>45138</v>
      </c>
      <c r="Z39" s="457"/>
      <c r="AA39" s="458"/>
      <c r="AB39" s="350" t="s">
        <v>319</v>
      </c>
      <c r="AC39" s="350" t="s">
        <v>340</v>
      </c>
      <c r="AD39" s="192">
        <v>45723</v>
      </c>
      <c r="AH39" s="456"/>
      <c r="AI39" s="460"/>
      <c r="AJ39" s="197" t="s">
        <v>600</v>
      </c>
      <c r="AK39" s="197" t="s">
        <v>595</v>
      </c>
      <c r="AL39" s="251">
        <v>44946</v>
      </c>
      <c r="AP39" s="75"/>
      <c r="AQ39" s="62"/>
    </row>
    <row r="40" spans="2:46" x14ac:dyDescent="0.2">
      <c r="B40" s="463"/>
      <c r="C40" s="460"/>
      <c r="D40" s="198" t="s">
        <v>243</v>
      </c>
      <c r="E40" s="198" t="s">
        <v>179</v>
      </c>
      <c r="F40" s="204">
        <v>35796</v>
      </c>
      <c r="J40" s="456"/>
      <c r="K40" s="460"/>
      <c r="L40" s="197"/>
      <c r="M40" s="197"/>
      <c r="N40" s="200"/>
      <c r="Z40" s="457"/>
      <c r="AA40" s="458"/>
      <c r="AB40" s="348" t="s">
        <v>213</v>
      </c>
      <c r="AC40" s="348" t="s">
        <v>339</v>
      </c>
      <c r="AD40" s="356">
        <v>44387</v>
      </c>
      <c r="AH40" s="456"/>
      <c r="AI40" s="460"/>
      <c r="AJ40" s="244" t="s">
        <v>507</v>
      </c>
      <c r="AK40" s="244" t="s">
        <v>311</v>
      </c>
      <c r="AL40" s="252">
        <v>45799</v>
      </c>
      <c r="AP40" s="75"/>
      <c r="AQ40" s="62"/>
    </row>
    <row r="41" spans="2:46" x14ac:dyDescent="0.2">
      <c r="B41" s="463"/>
      <c r="C41" s="460"/>
      <c r="D41" s="198" t="s">
        <v>577</v>
      </c>
      <c r="E41" s="198" t="s">
        <v>181</v>
      </c>
      <c r="F41" s="204">
        <v>46057</v>
      </c>
      <c r="J41" s="456"/>
      <c r="K41" s="460"/>
      <c r="L41" s="204" t="s">
        <v>589</v>
      </c>
      <c r="M41" s="204" t="s">
        <v>340</v>
      </c>
      <c r="N41" s="201">
        <v>46091</v>
      </c>
      <c r="O41" t="s">
        <v>666</v>
      </c>
      <c r="Z41" s="457"/>
      <c r="AA41" s="458"/>
      <c r="AB41" s="348" t="s">
        <v>252</v>
      </c>
      <c r="AC41" s="348" t="s">
        <v>340</v>
      </c>
      <c r="AD41" s="356">
        <v>45789</v>
      </c>
      <c r="AH41" s="456"/>
      <c r="AI41" s="460"/>
      <c r="AJ41" s="199" t="s">
        <v>508</v>
      </c>
      <c r="AK41" s="199" t="s">
        <v>311</v>
      </c>
      <c r="AL41" s="249">
        <v>45799</v>
      </c>
      <c r="AP41" s="75"/>
    </row>
    <row r="42" spans="2:46" x14ac:dyDescent="0.2">
      <c r="B42" s="463"/>
      <c r="C42" s="460"/>
      <c r="D42" s="198" t="s">
        <v>206</v>
      </c>
      <c r="E42" s="198" t="s">
        <v>184</v>
      </c>
      <c r="F42" s="204">
        <v>40483</v>
      </c>
      <c r="J42" s="456"/>
      <c r="K42" s="460"/>
      <c r="L42" s="203" t="s">
        <v>590</v>
      </c>
      <c r="M42" s="203" t="s">
        <v>591</v>
      </c>
      <c r="N42" s="202">
        <v>46075</v>
      </c>
      <c r="Z42" s="457"/>
      <c r="AA42" s="458"/>
      <c r="AB42" s="348" t="s">
        <v>320</v>
      </c>
      <c r="AC42" s="348" t="s">
        <v>339</v>
      </c>
      <c r="AD42" s="356">
        <v>44075</v>
      </c>
      <c r="AE42" t="s">
        <v>596</v>
      </c>
      <c r="AH42" s="456"/>
      <c r="AI42" s="460"/>
      <c r="AJ42" s="244" t="s">
        <v>920</v>
      </c>
      <c r="AK42" s="244" t="s">
        <v>829</v>
      </c>
      <c r="AL42" s="252">
        <v>46258</v>
      </c>
      <c r="AP42" s="75"/>
      <c r="AQ42" s="62"/>
      <c r="AR42" s="180"/>
      <c r="AS42" s="180"/>
      <c r="AT42" s="220"/>
    </row>
    <row r="43" spans="2:46" x14ac:dyDescent="0.2">
      <c r="B43" s="463"/>
      <c r="C43" s="460"/>
      <c r="D43" s="197" t="s">
        <v>146</v>
      </c>
      <c r="E43" s="197" t="s">
        <v>481</v>
      </c>
      <c r="F43" s="216">
        <v>45453</v>
      </c>
      <c r="J43" s="456"/>
      <c r="K43" s="460"/>
      <c r="L43" s="204" t="s">
        <v>592</v>
      </c>
      <c r="M43" s="204" t="s">
        <v>591</v>
      </c>
      <c r="N43" s="201">
        <v>45922</v>
      </c>
      <c r="Z43" s="457"/>
      <c r="AA43" s="458"/>
      <c r="AB43" s="345"/>
      <c r="AC43" s="345"/>
      <c r="AD43" s="346"/>
      <c r="AH43" s="456"/>
      <c r="AI43" s="460"/>
      <c r="AJ43" s="197"/>
      <c r="AK43" s="197"/>
      <c r="AL43" s="246"/>
      <c r="AP43" s="75"/>
      <c r="AQ43" s="62"/>
    </row>
    <row r="44" spans="2:46" x14ac:dyDescent="0.2">
      <c r="B44" s="463"/>
      <c r="C44" s="460"/>
      <c r="D44" s="198" t="s">
        <v>813</v>
      </c>
      <c r="E44" s="198" t="s">
        <v>814</v>
      </c>
      <c r="F44" s="204">
        <v>46234</v>
      </c>
      <c r="G44" t="s">
        <v>907</v>
      </c>
      <c r="J44" s="456"/>
      <c r="K44" s="199"/>
      <c r="L44" s="199"/>
      <c r="M44" s="199"/>
      <c r="N44" s="202"/>
      <c r="Z44" s="457"/>
      <c r="AA44" s="458"/>
      <c r="AB44" s="348" t="s">
        <v>597</v>
      </c>
      <c r="AC44" s="348" t="s">
        <v>581</v>
      </c>
      <c r="AD44" s="356">
        <v>44075</v>
      </c>
      <c r="AH44" s="456"/>
      <c r="AI44" s="460"/>
      <c r="AJ44" s="245" t="s">
        <v>148</v>
      </c>
      <c r="AK44" s="244" t="s">
        <v>181</v>
      </c>
      <c r="AL44" s="252"/>
      <c r="AP44" s="75"/>
      <c r="AQ44" s="62"/>
    </row>
    <row r="45" spans="2:46" x14ac:dyDescent="0.2">
      <c r="B45" s="463"/>
      <c r="C45" s="460"/>
      <c r="D45" s="330" t="s">
        <v>148</v>
      </c>
      <c r="E45" s="199" t="s">
        <v>814</v>
      </c>
      <c r="F45" s="203"/>
      <c r="J45" s="456"/>
      <c r="K45" s="459" t="s">
        <v>59</v>
      </c>
      <c r="L45" s="197" t="s">
        <v>74</v>
      </c>
      <c r="M45" s="197" t="s">
        <v>20</v>
      </c>
      <c r="N45" s="200"/>
      <c r="Z45" s="457"/>
      <c r="AA45" s="353"/>
      <c r="AB45" s="354"/>
      <c r="AC45" s="354"/>
      <c r="AD45" s="361"/>
      <c r="AE45" s="58"/>
      <c r="AH45" s="456"/>
      <c r="AI45" s="460"/>
      <c r="AJ45" s="197" t="s">
        <v>694</v>
      </c>
      <c r="AK45" s="197" t="s">
        <v>673</v>
      </c>
      <c r="AL45" s="246"/>
      <c r="AP45" s="75"/>
      <c r="AQ45" s="62"/>
    </row>
    <row r="46" spans="2:46" x14ac:dyDescent="0.2">
      <c r="B46" s="463"/>
      <c r="C46" s="460"/>
      <c r="D46" s="197" t="s">
        <v>587</v>
      </c>
      <c r="E46" s="197" t="s">
        <v>482</v>
      </c>
      <c r="F46" s="216">
        <v>44823</v>
      </c>
      <c r="J46" s="456"/>
      <c r="K46" s="460"/>
      <c r="L46" s="198" t="s">
        <v>211</v>
      </c>
      <c r="M46" s="198" t="s">
        <v>317</v>
      </c>
      <c r="N46" s="201">
        <v>45860</v>
      </c>
      <c r="Z46" s="457"/>
      <c r="AA46" s="458" t="s">
        <v>43</v>
      </c>
      <c r="AB46" s="345" t="s">
        <v>275</v>
      </c>
      <c r="AC46" s="345" t="s">
        <v>20</v>
      </c>
      <c r="AD46" s="362">
        <v>46041</v>
      </c>
      <c r="AH46" s="456"/>
      <c r="AI46" s="460"/>
      <c r="AJ46" s="198" t="s">
        <v>695</v>
      </c>
      <c r="AK46" s="198" t="s">
        <v>675</v>
      </c>
      <c r="AL46" s="248"/>
      <c r="AP46" s="75"/>
      <c r="AQ46" s="62"/>
    </row>
    <row r="47" spans="2:46" x14ac:dyDescent="0.2">
      <c r="B47" s="463"/>
      <c r="C47" s="460"/>
      <c r="D47" s="198" t="s">
        <v>258</v>
      </c>
      <c r="E47" s="198" t="s">
        <v>300</v>
      </c>
      <c r="F47" s="204">
        <v>45866</v>
      </c>
      <c r="J47" s="456"/>
      <c r="K47" s="460"/>
      <c r="L47" s="199" t="s">
        <v>145</v>
      </c>
      <c r="M47" s="199" t="s">
        <v>179</v>
      </c>
      <c r="N47" s="202">
        <v>45607</v>
      </c>
      <c r="Z47" s="457"/>
      <c r="AA47" s="458"/>
      <c r="AB47" s="358" t="s">
        <v>114</v>
      </c>
      <c r="AC47" s="358" t="s">
        <v>317</v>
      </c>
      <c r="AD47" s="359">
        <v>45078</v>
      </c>
      <c r="AH47" s="456"/>
      <c r="AI47" s="460"/>
      <c r="AJ47" s="199" t="s">
        <v>696</v>
      </c>
      <c r="AK47" s="199" t="s">
        <v>675</v>
      </c>
      <c r="AL47" s="250"/>
      <c r="AP47" s="75"/>
    </row>
    <row r="48" spans="2:46" x14ac:dyDescent="0.2">
      <c r="B48" s="463"/>
      <c r="C48" s="460"/>
      <c r="D48" s="199" t="s">
        <v>578</v>
      </c>
      <c r="E48" s="199" t="s">
        <v>300</v>
      </c>
      <c r="F48" s="203">
        <v>46153</v>
      </c>
      <c r="J48" s="456"/>
      <c r="K48" s="460"/>
      <c r="L48" s="199" t="s">
        <v>209</v>
      </c>
      <c r="M48" s="199" t="s">
        <v>181</v>
      </c>
      <c r="N48" s="202">
        <v>45780</v>
      </c>
      <c r="Z48" s="457"/>
      <c r="AA48" s="458"/>
      <c r="AB48" s="350" t="s">
        <v>341</v>
      </c>
      <c r="AC48" s="350" t="s">
        <v>317</v>
      </c>
      <c r="AD48" s="192">
        <v>46113</v>
      </c>
      <c r="AH48" s="456"/>
      <c r="AI48" s="460"/>
      <c r="AJ48" s="198" t="s">
        <v>697</v>
      </c>
      <c r="AK48" s="198" t="s">
        <v>675</v>
      </c>
      <c r="AL48" s="248"/>
      <c r="AP48" s="75"/>
      <c r="AQ48" s="62"/>
      <c r="AR48" s="180"/>
      <c r="AS48" s="180"/>
      <c r="AT48" s="220"/>
    </row>
    <row r="49" spans="2:46" x14ac:dyDescent="0.2">
      <c r="B49" s="463"/>
      <c r="C49" s="460"/>
      <c r="D49" s="198" t="s">
        <v>479</v>
      </c>
      <c r="E49" s="198" t="s">
        <v>312</v>
      </c>
      <c r="F49" s="204">
        <v>46112</v>
      </c>
      <c r="J49" s="456"/>
      <c r="K49" s="460"/>
      <c r="L49" s="198" t="s">
        <v>287</v>
      </c>
      <c r="M49" s="198" t="s">
        <v>179</v>
      </c>
      <c r="N49" s="201">
        <v>46062</v>
      </c>
      <c r="Z49" s="457"/>
      <c r="AA49" s="458"/>
      <c r="AB49" s="348" t="s">
        <v>321</v>
      </c>
      <c r="AC49" s="348" t="s">
        <v>179</v>
      </c>
      <c r="AD49" s="356">
        <v>43239</v>
      </c>
      <c r="AH49" s="456"/>
      <c r="AI49" s="460"/>
      <c r="AJ49" s="199" t="s">
        <v>698</v>
      </c>
      <c r="AK49" s="199" t="s">
        <v>675</v>
      </c>
      <c r="AL49" s="250"/>
      <c r="AP49" s="75"/>
      <c r="AQ49" s="62"/>
    </row>
    <row r="50" spans="2:46" x14ac:dyDescent="0.2">
      <c r="B50" s="463"/>
      <c r="C50" s="460"/>
      <c r="D50" s="199" t="s">
        <v>480</v>
      </c>
      <c r="E50" s="199" t="s">
        <v>312</v>
      </c>
      <c r="F50" s="203">
        <v>46121</v>
      </c>
      <c r="J50" s="456"/>
      <c r="K50" s="460"/>
      <c r="L50" s="198" t="s">
        <v>212</v>
      </c>
      <c r="M50" s="198" t="s">
        <v>181</v>
      </c>
      <c r="N50" s="201">
        <v>45607</v>
      </c>
      <c r="Z50" s="457"/>
      <c r="AA50" s="458"/>
      <c r="AB50" s="348" t="s">
        <v>505</v>
      </c>
      <c r="AC50" s="348" t="s">
        <v>181</v>
      </c>
      <c r="AD50" s="356">
        <v>46104</v>
      </c>
      <c r="AH50" s="456"/>
      <c r="AI50" s="461"/>
      <c r="AJ50" s="244" t="s">
        <v>699</v>
      </c>
      <c r="AK50" s="244" t="s">
        <v>675</v>
      </c>
      <c r="AL50" s="252"/>
      <c r="AP50" s="75"/>
      <c r="AQ50" s="62"/>
    </row>
    <row r="51" spans="2:46" x14ac:dyDescent="0.2">
      <c r="B51" s="463"/>
      <c r="C51" s="460"/>
      <c r="D51" s="198" t="s">
        <v>815</v>
      </c>
      <c r="E51" s="198" t="s">
        <v>312</v>
      </c>
      <c r="F51" s="204">
        <v>46232</v>
      </c>
      <c r="J51" s="456"/>
      <c r="K51" s="460"/>
      <c r="L51" s="199" t="s">
        <v>210</v>
      </c>
      <c r="M51" s="199" t="s">
        <v>264</v>
      </c>
      <c r="N51" s="202">
        <v>43316</v>
      </c>
      <c r="Z51" s="457"/>
      <c r="AA51" s="458"/>
      <c r="AB51" s="350" t="s">
        <v>322</v>
      </c>
      <c r="AC51" s="350" t="s">
        <v>179</v>
      </c>
      <c r="AD51" s="192">
        <v>39083</v>
      </c>
      <c r="AH51" s="456"/>
      <c r="AI51" s="332"/>
      <c r="AJ51" s="277"/>
      <c r="AK51" s="277"/>
      <c r="AL51" s="334"/>
      <c r="AM51" s="58"/>
      <c r="AP51" s="75"/>
      <c r="AQ51" s="62"/>
    </row>
    <row r="52" spans="2:46" x14ac:dyDescent="0.2">
      <c r="B52" s="463"/>
      <c r="C52" s="460"/>
      <c r="D52" s="199" t="s">
        <v>816</v>
      </c>
      <c r="E52" s="199" t="s">
        <v>312</v>
      </c>
      <c r="F52" s="203">
        <v>46232</v>
      </c>
      <c r="J52" s="456"/>
      <c r="K52" s="460"/>
      <c r="L52" s="198" t="s">
        <v>152</v>
      </c>
      <c r="M52" s="198" t="s">
        <v>484</v>
      </c>
      <c r="N52" s="201">
        <v>45726</v>
      </c>
      <c r="Z52" s="457"/>
      <c r="AA52" s="458"/>
      <c r="AB52" s="350" t="s">
        <v>914</v>
      </c>
      <c r="AC52" s="350" t="s">
        <v>181</v>
      </c>
      <c r="AH52" s="456"/>
      <c r="AI52" s="455" t="s">
        <v>700</v>
      </c>
      <c r="AJ52" s="197" t="s">
        <v>896</v>
      </c>
      <c r="AK52" s="197" t="s">
        <v>673</v>
      </c>
      <c r="AL52" s="246"/>
      <c r="AP52" s="75"/>
      <c r="AQ52" s="62"/>
    </row>
    <row r="53" spans="2:46" x14ac:dyDescent="0.2">
      <c r="B53" s="463"/>
      <c r="C53" s="460"/>
      <c r="D53" s="197" t="s">
        <v>473</v>
      </c>
      <c r="E53" s="197" t="s">
        <v>474</v>
      </c>
      <c r="F53" s="216">
        <v>45530</v>
      </c>
      <c r="J53" s="456"/>
      <c r="K53" s="460"/>
      <c r="L53" s="199" t="s">
        <v>380</v>
      </c>
      <c r="M53" s="199" t="s">
        <v>266</v>
      </c>
      <c r="N53" s="202">
        <v>46127</v>
      </c>
      <c r="Z53" s="457"/>
      <c r="AA53" s="458"/>
      <c r="AB53" s="348" t="s">
        <v>503</v>
      </c>
      <c r="AC53" s="348" t="s">
        <v>311</v>
      </c>
      <c r="AD53" s="356">
        <v>46086</v>
      </c>
      <c r="AH53" s="456"/>
      <c r="AI53" s="455"/>
      <c r="AJ53" s="198" t="s">
        <v>921</v>
      </c>
      <c r="AK53" s="198" t="s">
        <v>675</v>
      </c>
      <c r="AL53" s="248"/>
      <c r="AP53" s="75"/>
    </row>
    <row r="54" spans="2:46" x14ac:dyDescent="0.2">
      <c r="B54" s="463"/>
      <c r="C54" s="460"/>
      <c r="D54" s="198" t="s">
        <v>475</v>
      </c>
      <c r="E54" s="198" t="s">
        <v>311</v>
      </c>
      <c r="F54" s="204">
        <v>45649</v>
      </c>
      <c r="J54" s="456"/>
      <c r="K54" s="460"/>
      <c r="L54" s="197" t="s">
        <v>492</v>
      </c>
      <c r="M54" s="197" t="s">
        <v>474</v>
      </c>
      <c r="N54" s="200">
        <v>45894</v>
      </c>
      <c r="Z54" s="457"/>
      <c r="AA54" s="458"/>
      <c r="AB54" s="350" t="s">
        <v>504</v>
      </c>
      <c r="AC54" s="350" t="s">
        <v>311</v>
      </c>
      <c r="AD54" s="192">
        <v>46080</v>
      </c>
      <c r="AH54" s="456"/>
      <c r="AI54" s="455"/>
      <c r="AJ54" s="199" t="s">
        <v>701</v>
      </c>
      <c r="AK54" s="199" t="s">
        <v>675</v>
      </c>
      <c r="AL54" s="250"/>
      <c r="AP54" s="75"/>
      <c r="AQ54" s="62"/>
      <c r="AR54" s="180"/>
      <c r="AS54" s="180"/>
      <c r="AT54" s="220"/>
    </row>
    <row r="55" spans="2:46" x14ac:dyDescent="0.2">
      <c r="B55" s="463"/>
      <c r="C55" s="460"/>
      <c r="D55" s="199" t="s">
        <v>476</v>
      </c>
      <c r="E55" s="199" t="s">
        <v>311</v>
      </c>
      <c r="F55" s="203">
        <v>45660</v>
      </c>
      <c r="J55" s="456"/>
      <c r="K55" s="460"/>
      <c r="L55" s="198" t="s">
        <v>493</v>
      </c>
      <c r="M55" s="198" t="s">
        <v>311</v>
      </c>
      <c r="N55" s="201">
        <v>45813</v>
      </c>
      <c r="Z55" s="457"/>
      <c r="AA55" s="458"/>
      <c r="AB55" s="345"/>
      <c r="AC55" s="345"/>
      <c r="AD55" s="362"/>
      <c r="AH55" s="456"/>
      <c r="AI55" s="455"/>
      <c r="AJ55" s="198" t="s">
        <v>922</v>
      </c>
      <c r="AK55" s="198" t="s">
        <v>675</v>
      </c>
      <c r="AL55" s="248"/>
      <c r="AP55" s="75"/>
      <c r="AQ55" s="62"/>
    </row>
    <row r="56" spans="2:46" ht="14.5" customHeight="1" x14ac:dyDescent="0.2">
      <c r="B56" s="463"/>
      <c r="C56" s="460"/>
      <c r="D56" s="198" t="s">
        <v>477</v>
      </c>
      <c r="E56" s="198" t="s">
        <v>311</v>
      </c>
      <c r="F56" s="204">
        <v>46055</v>
      </c>
      <c r="J56" s="456"/>
      <c r="K56" s="460"/>
      <c r="L56" s="199" t="s">
        <v>494</v>
      </c>
      <c r="M56" s="199" t="s">
        <v>311</v>
      </c>
      <c r="N56" s="202">
        <v>46146</v>
      </c>
      <c r="Z56" s="457"/>
      <c r="AA56" s="458"/>
      <c r="AB56" s="348" t="s">
        <v>216</v>
      </c>
      <c r="AC56" s="348" t="s">
        <v>339</v>
      </c>
      <c r="AD56" s="356">
        <v>42370</v>
      </c>
      <c r="AH56" s="456"/>
      <c r="AI56" s="455"/>
      <c r="AJ56" s="199" t="s">
        <v>923</v>
      </c>
      <c r="AK56" s="199" t="s">
        <v>675</v>
      </c>
      <c r="AL56" s="250"/>
      <c r="AP56" s="75"/>
      <c r="AQ56" s="62"/>
    </row>
    <row r="57" spans="2:46" ht="14.5" customHeight="1" x14ac:dyDescent="0.2">
      <c r="B57" s="463"/>
      <c r="C57" s="460"/>
      <c r="D57" s="199" t="s">
        <v>478</v>
      </c>
      <c r="E57" s="199" t="s">
        <v>311</v>
      </c>
      <c r="F57" s="203">
        <v>45489</v>
      </c>
      <c r="J57" s="456"/>
      <c r="K57" s="460"/>
      <c r="L57" s="198" t="s">
        <v>821</v>
      </c>
      <c r="M57" s="198" t="s">
        <v>312</v>
      </c>
      <c r="N57" s="201">
        <v>46240</v>
      </c>
      <c r="Z57" s="457"/>
      <c r="AA57" s="458"/>
      <c r="AB57" s="348" t="s">
        <v>323</v>
      </c>
      <c r="AC57" s="348" t="s">
        <v>340</v>
      </c>
      <c r="AD57" s="356">
        <v>41275</v>
      </c>
      <c r="AH57" s="456"/>
      <c r="AI57" s="455"/>
      <c r="AJ57" s="244" t="s">
        <v>924</v>
      </c>
      <c r="AK57" s="244" t="s">
        <v>675</v>
      </c>
      <c r="AL57" s="252"/>
      <c r="AP57" s="75"/>
      <c r="AQ57" s="62"/>
    </row>
    <row r="58" spans="2:46" ht="14.5" customHeight="1" x14ac:dyDescent="0.2">
      <c r="B58" s="463"/>
      <c r="C58" s="460"/>
      <c r="D58" s="197" t="s">
        <v>579</v>
      </c>
      <c r="E58" s="197" t="s">
        <v>580</v>
      </c>
      <c r="F58" s="216">
        <v>41923</v>
      </c>
      <c r="J58" s="456"/>
      <c r="K58" s="460"/>
      <c r="L58" s="197"/>
      <c r="M58" s="197"/>
      <c r="N58" s="200"/>
      <c r="Z58" s="457"/>
      <c r="AA58" s="458"/>
      <c r="AB58" s="350" t="s">
        <v>671</v>
      </c>
      <c r="AC58" s="350" t="s">
        <v>339</v>
      </c>
      <c r="AD58" s="192">
        <v>46202</v>
      </c>
      <c r="AH58" s="456"/>
      <c r="AI58" s="339"/>
      <c r="AJ58" s="199"/>
      <c r="AK58" s="199"/>
      <c r="AL58" s="249"/>
      <c r="AP58" s="75"/>
      <c r="AQ58" s="62"/>
    </row>
    <row r="59" spans="2:46" x14ac:dyDescent="0.2">
      <c r="B59" s="463"/>
      <c r="C59" s="460"/>
      <c r="D59" s="198" t="s">
        <v>175</v>
      </c>
      <c r="E59" s="198" t="s">
        <v>581</v>
      </c>
      <c r="F59" s="204">
        <v>45761</v>
      </c>
      <c r="J59" s="456"/>
      <c r="K59" s="460"/>
      <c r="L59" s="198" t="s">
        <v>307</v>
      </c>
      <c r="M59" s="198" t="s">
        <v>339</v>
      </c>
      <c r="N59" s="201">
        <v>46013</v>
      </c>
      <c r="Z59" s="457"/>
      <c r="AA59" s="363" t="s">
        <v>593</v>
      </c>
      <c r="AB59" s="354"/>
      <c r="AC59" s="354"/>
      <c r="AD59" s="361"/>
      <c r="AE59" s="58"/>
      <c r="AH59" s="456"/>
      <c r="AI59" s="455" t="s">
        <v>632</v>
      </c>
      <c r="AJ59" s="197" t="s">
        <v>702</v>
      </c>
      <c r="AK59" s="197" t="s">
        <v>673</v>
      </c>
      <c r="AL59" s="246"/>
      <c r="AP59" s="75"/>
      <c r="AQ59" s="62"/>
    </row>
    <row r="60" spans="2:46" ht="14.5" customHeight="1" x14ac:dyDescent="0.2">
      <c r="B60" s="463"/>
      <c r="C60" s="460"/>
      <c r="D60" s="199" t="s">
        <v>582</v>
      </c>
      <c r="E60" s="199" t="s">
        <v>581</v>
      </c>
      <c r="F60" s="203">
        <v>43760</v>
      </c>
      <c r="J60" s="456"/>
      <c r="K60" s="460"/>
      <c r="L60" s="198" t="s">
        <v>308</v>
      </c>
      <c r="M60" s="198" t="s">
        <v>340</v>
      </c>
      <c r="N60" s="201">
        <v>46006</v>
      </c>
      <c r="Z60" s="457"/>
      <c r="AA60" s="364" t="s">
        <v>43</v>
      </c>
      <c r="AB60" s="354" t="s">
        <v>825</v>
      </c>
      <c r="AC60" s="354" t="s">
        <v>181</v>
      </c>
      <c r="AD60" s="361">
        <v>46239</v>
      </c>
      <c r="AE60" s="58" t="s">
        <v>915</v>
      </c>
      <c r="AH60" s="456"/>
      <c r="AI60" s="455"/>
      <c r="AJ60" s="198" t="s">
        <v>703</v>
      </c>
      <c r="AK60" s="198" t="s">
        <v>675</v>
      </c>
      <c r="AL60" s="248"/>
    </row>
    <row r="61" spans="2:46" ht="14.5" customHeight="1" x14ac:dyDescent="0.2">
      <c r="B61" s="463"/>
      <c r="C61" s="460"/>
      <c r="D61" s="198" t="s">
        <v>583</v>
      </c>
      <c r="E61" s="198" t="s">
        <v>581</v>
      </c>
      <c r="F61" s="204">
        <v>45972</v>
      </c>
      <c r="J61" s="456"/>
      <c r="K61" s="277" t="s">
        <v>593</v>
      </c>
      <c r="L61" s="277"/>
      <c r="M61" s="277"/>
      <c r="N61" s="278"/>
      <c r="O61" s="58"/>
      <c r="Z61" s="457"/>
      <c r="AA61" s="365"/>
      <c r="AB61" s="354" t="s">
        <v>216</v>
      </c>
      <c r="AC61" s="354" t="s">
        <v>181</v>
      </c>
      <c r="AD61" s="361">
        <v>42370</v>
      </c>
      <c r="AE61" s="58" t="s">
        <v>916</v>
      </c>
      <c r="AH61" s="456"/>
      <c r="AI61" s="455"/>
      <c r="AJ61" s="199" t="s">
        <v>704</v>
      </c>
      <c r="AK61" s="199" t="s">
        <v>675</v>
      </c>
      <c r="AL61" s="250"/>
    </row>
    <row r="62" spans="2:46" ht="14.5" customHeight="1" x14ac:dyDescent="0.2">
      <c r="B62" s="463"/>
      <c r="C62" s="460"/>
      <c r="D62" s="199" t="s">
        <v>584</v>
      </c>
      <c r="E62" s="199" t="s">
        <v>581</v>
      </c>
      <c r="F62" s="203">
        <v>45761</v>
      </c>
      <c r="J62" s="456"/>
      <c r="K62" s="332" t="s">
        <v>59</v>
      </c>
      <c r="L62" s="277" t="s">
        <v>495</v>
      </c>
      <c r="M62" s="277" t="s">
        <v>312</v>
      </c>
      <c r="N62" s="278">
        <v>45754</v>
      </c>
      <c r="O62" s="58" t="s">
        <v>822</v>
      </c>
      <c r="Z62" s="457"/>
      <c r="AA62" s="365"/>
      <c r="AB62" s="354" t="s">
        <v>505</v>
      </c>
      <c r="AC62" s="354" t="s">
        <v>339</v>
      </c>
      <c r="AD62" s="361">
        <v>46104</v>
      </c>
      <c r="AE62" s="58" t="s">
        <v>917</v>
      </c>
      <c r="AH62" s="456"/>
      <c r="AI62" s="455"/>
      <c r="AJ62" s="198" t="s">
        <v>705</v>
      </c>
      <c r="AK62" s="198" t="s">
        <v>675</v>
      </c>
      <c r="AL62" s="248"/>
    </row>
    <row r="63" spans="2:46" x14ac:dyDescent="0.2">
      <c r="B63" s="463"/>
      <c r="C63" s="460"/>
      <c r="D63" s="198" t="s">
        <v>585</v>
      </c>
      <c r="E63" s="198" t="s">
        <v>581</v>
      </c>
      <c r="F63" s="204">
        <v>37620</v>
      </c>
      <c r="J63" s="456"/>
      <c r="K63" s="199"/>
      <c r="L63" s="199"/>
      <c r="M63" s="199"/>
      <c r="N63" s="202"/>
      <c r="Z63" s="457"/>
      <c r="AA63" s="353"/>
      <c r="AB63" s="354"/>
      <c r="AC63" s="354"/>
      <c r="AD63" s="361"/>
      <c r="AE63" s="58"/>
      <c r="AH63" s="456"/>
      <c r="AI63" s="455"/>
      <c r="AJ63" s="199" t="s">
        <v>706</v>
      </c>
      <c r="AK63" s="199" t="s">
        <v>675</v>
      </c>
      <c r="AL63" s="250"/>
    </row>
    <row r="64" spans="2:46" ht="14.5" customHeight="1" x14ac:dyDescent="0.2">
      <c r="B64" s="463"/>
      <c r="C64" s="460"/>
      <c r="D64" s="199" t="s">
        <v>586</v>
      </c>
      <c r="E64" s="199" t="s">
        <v>581</v>
      </c>
      <c r="F64" s="203">
        <v>44081</v>
      </c>
      <c r="J64" s="456"/>
      <c r="K64" s="455" t="s">
        <v>131</v>
      </c>
      <c r="L64" s="197" t="s">
        <v>483</v>
      </c>
      <c r="M64" s="197" t="s">
        <v>20</v>
      </c>
      <c r="N64" s="216" t="s">
        <v>496</v>
      </c>
      <c r="Z64" s="457"/>
      <c r="AA64" s="458" t="s">
        <v>836</v>
      </c>
      <c r="AB64" s="345" t="s">
        <v>74</v>
      </c>
      <c r="AC64" s="345" t="s">
        <v>918</v>
      </c>
      <c r="AD64" s="366"/>
      <c r="AH64" s="456"/>
      <c r="AI64" s="339"/>
      <c r="AJ64" s="199"/>
      <c r="AK64" s="199"/>
      <c r="AL64" s="249"/>
    </row>
    <row r="65" spans="2:38" ht="14.5" customHeight="1" x14ac:dyDescent="0.2">
      <c r="B65" s="463"/>
      <c r="C65" s="460"/>
      <c r="D65" s="197"/>
      <c r="E65" s="197"/>
      <c r="F65" s="216"/>
      <c r="J65" s="456"/>
      <c r="K65" s="455"/>
      <c r="L65" s="198" t="s">
        <v>834</v>
      </c>
      <c r="M65" s="198" t="s">
        <v>179</v>
      </c>
      <c r="N65" s="204">
        <v>45593</v>
      </c>
      <c r="O65" t="s">
        <v>910</v>
      </c>
      <c r="Z65" s="457"/>
      <c r="AA65" s="458"/>
      <c r="AB65" s="348" t="s">
        <v>893</v>
      </c>
      <c r="AC65" s="348" t="s">
        <v>669</v>
      </c>
      <c r="AD65" s="367"/>
      <c r="AH65" s="456"/>
      <c r="AI65" s="455" t="s">
        <v>707</v>
      </c>
      <c r="AJ65" s="197" t="s">
        <v>708</v>
      </c>
      <c r="AK65" s="197" t="s">
        <v>673</v>
      </c>
      <c r="AL65" s="246"/>
    </row>
    <row r="66" spans="2:38" ht="14.5" customHeight="1" x14ac:dyDescent="0.2">
      <c r="B66" s="463"/>
      <c r="C66" s="461"/>
      <c r="D66" s="198" t="s">
        <v>338</v>
      </c>
      <c r="E66" s="198" t="s">
        <v>339</v>
      </c>
      <c r="F66" s="204">
        <v>46030</v>
      </c>
      <c r="J66" s="456"/>
      <c r="K66" s="455"/>
      <c r="L66" s="198" t="s">
        <v>296</v>
      </c>
      <c r="M66" s="198" t="s">
        <v>181</v>
      </c>
      <c r="N66" s="204">
        <v>45990</v>
      </c>
      <c r="Z66" s="457"/>
      <c r="AA66" s="458"/>
      <c r="AB66" s="345" t="s">
        <v>74</v>
      </c>
      <c r="AC66" s="345" t="s">
        <v>673</v>
      </c>
      <c r="AD66" s="366"/>
      <c r="AH66" s="456"/>
      <c r="AI66" s="455"/>
      <c r="AJ66" s="198" t="s">
        <v>709</v>
      </c>
      <c r="AK66" s="198" t="s">
        <v>675</v>
      </c>
      <c r="AL66" s="247"/>
    </row>
    <row r="67" spans="2:38" x14ac:dyDescent="0.2">
      <c r="B67" s="463"/>
      <c r="C67" s="277" t="s">
        <v>593</v>
      </c>
      <c r="D67" s="277"/>
      <c r="E67" s="277"/>
      <c r="F67" s="331"/>
      <c r="G67" s="58"/>
      <c r="J67" s="456"/>
      <c r="K67" s="455"/>
      <c r="L67" s="199" t="s">
        <v>667</v>
      </c>
      <c r="M67" s="199" t="s">
        <v>179</v>
      </c>
      <c r="N67" s="203">
        <v>46205</v>
      </c>
      <c r="Z67" s="457"/>
      <c r="AA67" s="458"/>
      <c r="AB67" s="348"/>
      <c r="AC67" s="348" t="s">
        <v>675</v>
      </c>
      <c r="AD67" s="368"/>
      <c r="AH67" s="456"/>
      <c r="AI67" s="455"/>
      <c r="AJ67" s="199" t="s">
        <v>710</v>
      </c>
      <c r="AK67" s="199" t="s">
        <v>675</v>
      </c>
      <c r="AL67" s="249"/>
    </row>
    <row r="68" spans="2:38" x14ac:dyDescent="0.2">
      <c r="B68" s="463"/>
      <c r="C68" s="332" t="s">
        <v>13</v>
      </c>
      <c r="D68" s="277" t="s">
        <v>523</v>
      </c>
      <c r="E68" s="277" t="s">
        <v>817</v>
      </c>
      <c r="F68" s="331">
        <v>45465</v>
      </c>
      <c r="G68" s="58" t="s">
        <v>908</v>
      </c>
      <c r="J68" s="456"/>
      <c r="K68" s="455"/>
      <c r="L68" s="199" t="s">
        <v>297</v>
      </c>
      <c r="M68" s="199" t="s">
        <v>181</v>
      </c>
      <c r="N68" s="203">
        <v>45642</v>
      </c>
      <c r="Z68" s="457"/>
      <c r="AA68" s="458"/>
      <c r="AB68" s="350"/>
      <c r="AC68" s="350" t="s">
        <v>675</v>
      </c>
      <c r="AD68" s="369"/>
      <c r="AH68" s="456"/>
      <c r="AI68" s="455"/>
      <c r="AJ68" s="198" t="s">
        <v>711</v>
      </c>
      <c r="AK68" s="198" t="s">
        <v>675</v>
      </c>
      <c r="AL68" s="247"/>
    </row>
    <row r="69" spans="2:38" ht="14.5" customHeight="1" x14ac:dyDescent="0.2">
      <c r="B69" s="463"/>
      <c r="C69" s="199"/>
      <c r="D69" s="277"/>
      <c r="E69" s="277"/>
      <c r="F69" s="331"/>
      <c r="G69" s="58"/>
      <c r="J69" s="456"/>
      <c r="K69" s="455"/>
      <c r="L69" s="198" t="s">
        <v>613</v>
      </c>
      <c r="M69" s="198" t="s">
        <v>179</v>
      </c>
      <c r="N69" s="204">
        <v>46188</v>
      </c>
      <c r="Z69" s="457"/>
      <c r="AA69" s="458"/>
      <c r="AB69" s="348"/>
      <c r="AC69" s="348" t="s">
        <v>675</v>
      </c>
      <c r="AD69" s="368"/>
      <c r="AH69" s="456"/>
      <c r="AI69" s="455"/>
      <c r="AJ69" s="199" t="s">
        <v>712</v>
      </c>
      <c r="AK69" s="199" t="s">
        <v>675</v>
      </c>
      <c r="AL69" s="249"/>
    </row>
    <row r="70" spans="2:38" ht="14.5" customHeight="1" x14ac:dyDescent="0.2">
      <c r="B70" s="463"/>
      <c r="C70" s="459" t="s">
        <v>32</v>
      </c>
      <c r="D70" s="197" t="s">
        <v>72</v>
      </c>
      <c r="E70" s="197" t="s">
        <v>20</v>
      </c>
      <c r="F70" s="216">
        <v>43132</v>
      </c>
      <c r="J70" s="456"/>
      <c r="K70" s="455"/>
      <c r="L70" s="198" t="s">
        <v>156</v>
      </c>
      <c r="M70" s="198" t="s">
        <v>181</v>
      </c>
      <c r="N70" s="204">
        <v>45831</v>
      </c>
      <c r="Z70" s="457"/>
      <c r="AA70" s="458"/>
      <c r="AB70" s="350"/>
      <c r="AC70" s="350" t="s">
        <v>675</v>
      </c>
      <c r="AD70" s="369"/>
      <c r="AH70" s="456"/>
      <c r="AI70" s="339"/>
      <c r="AJ70" s="199"/>
      <c r="AK70" s="199"/>
      <c r="AL70" s="249"/>
    </row>
    <row r="71" spans="2:38" x14ac:dyDescent="0.2">
      <c r="B71" s="463"/>
      <c r="C71" s="460"/>
      <c r="D71" s="198" t="s">
        <v>103</v>
      </c>
      <c r="E71" s="198" t="s">
        <v>179</v>
      </c>
      <c r="F71" s="204">
        <v>36373</v>
      </c>
      <c r="J71" s="456"/>
      <c r="K71" s="455"/>
      <c r="L71" s="199" t="s">
        <v>911</v>
      </c>
      <c r="M71" s="199" t="s">
        <v>311</v>
      </c>
      <c r="N71" s="203">
        <v>46265</v>
      </c>
      <c r="AD71" s="191"/>
      <c r="AH71" s="456"/>
      <c r="AI71" s="455" t="s">
        <v>713</v>
      </c>
      <c r="AJ71" s="197" t="s">
        <v>74</v>
      </c>
      <c r="AK71" s="197" t="s">
        <v>714</v>
      </c>
      <c r="AL71" s="251"/>
    </row>
    <row r="72" spans="2:38" x14ac:dyDescent="0.2">
      <c r="B72" s="463"/>
      <c r="C72" s="460"/>
      <c r="D72" s="198" t="s">
        <v>196</v>
      </c>
      <c r="E72" s="198" t="s">
        <v>184</v>
      </c>
      <c r="F72" s="204">
        <v>40901</v>
      </c>
      <c r="K72" s="58" t="s">
        <v>593</v>
      </c>
      <c r="L72" s="58"/>
      <c r="M72" s="58"/>
      <c r="N72" s="276"/>
      <c r="O72" s="58"/>
      <c r="AD72" s="191"/>
      <c r="AH72" s="456"/>
      <c r="AI72" s="455"/>
      <c r="AJ72" s="198" t="s">
        <v>326</v>
      </c>
      <c r="AK72" s="198" t="s">
        <v>669</v>
      </c>
      <c r="AL72" s="247">
        <v>45145</v>
      </c>
    </row>
    <row r="73" spans="2:38" ht="14.5" customHeight="1" x14ac:dyDescent="0.2">
      <c r="B73" s="463"/>
      <c r="C73" s="460"/>
      <c r="D73" s="198" t="s">
        <v>240</v>
      </c>
      <c r="E73" s="198" t="s">
        <v>184</v>
      </c>
      <c r="F73" s="204">
        <v>45882</v>
      </c>
      <c r="K73" s="275" t="s">
        <v>131</v>
      </c>
      <c r="L73" s="58" t="s">
        <v>132</v>
      </c>
      <c r="M73" s="58" t="s">
        <v>179</v>
      </c>
      <c r="N73" s="276">
        <v>45566</v>
      </c>
      <c r="O73" s="58" t="s">
        <v>912</v>
      </c>
      <c r="AD73" s="191"/>
      <c r="AH73" s="456"/>
      <c r="AI73" s="455"/>
      <c r="AJ73" s="197"/>
      <c r="AK73" s="197"/>
      <c r="AL73" s="246"/>
    </row>
    <row r="74" spans="2:38" ht="14.5" customHeight="1" x14ac:dyDescent="0.2">
      <c r="B74" s="463"/>
      <c r="C74" s="460"/>
      <c r="D74" s="199" t="s">
        <v>104</v>
      </c>
      <c r="E74" s="199" t="s">
        <v>179</v>
      </c>
      <c r="F74" s="203">
        <v>45383</v>
      </c>
      <c r="AD74" s="191"/>
      <c r="AH74" s="456"/>
      <c r="AI74" s="455"/>
      <c r="AJ74" s="198" t="s">
        <v>509</v>
      </c>
      <c r="AK74" s="198" t="s">
        <v>311</v>
      </c>
      <c r="AL74" s="247">
        <v>46048</v>
      </c>
    </row>
    <row r="75" spans="2:38" x14ac:dyDescent="0.2">
      <c r="B75" s="463"/>
      <c r="C75" s="460"/>
      <c r="D75" s="199" t="s">
        <v>197</v>
      </c>
      <c r="E75" s="199" t="s">
        <v>181</v>
      </c>
      <c r="F75" s="203">
        <v>44412</v>
      </c>
      <c r="AD75" s="191"/>
      <c r="AH75" s="456"/>
      <c r="AI75" s="455"/>
      <c r="AJ75" s="199" t="s">
        <v>510</v>
      </c>
      <c r="AK75" s="199" t="s">
        <v>311</v>
      </c>
      <c r="AL75" s="249">
        <v>45937</v>
      </c>
    </row>
    <row r="76" spans="2:38" x14ac:dyDescent="0.2">
      <c r="B76" s="463"/>
      <c r="C76" s="460"/>
      <c r="D76" s="198" t="s">
        <v>295</v>
      </c>
      <c r="E76" s="198" t="s">
        <v>179</v>
      </c>
      <c r="F76" s="204">
        <v>45882</v>
      </c>
      <c r="G76" t="s">
        <v>820</v>
      </c>
      <c r="AD76" s="191"/>
      <c r="AH76" s="456"/>
      <c r="AI76" s="455"/>
      <c r="AJ76" s="197" t="s">
        <v>715</v>
      </c>
      <c r="AK76" s="197" t="s">
        <v>673</v>
      </c>
      <c r="AL76" s="246"/>
    </row>
    <row r="77" spans="2:38" x14ac:dyDescent="0.2">
      <c r="B77" s="463"/>
      <c r="C77" s="460"/>
      <c r="D77" s="198" t="s">
        <v>299</v>
      </c>
      <c r="E77" s="198" t="s">
        <v>181</v>
      </c>
      <c r="F77" s="204">
        <v>45722</v>
      </c>
      <c r="G77" t="s">
        <v>909</v>
      </c>
      <c r="AD77" s="191"/>
      <c r="AH77" s="456"/>
      <c r="AI77" s="455"/>
      <c r="AJ77" s="198" t="s">
        <v>925</v>
      </c>
      <c r="AK77" s="198" t="s">
        <v>675</v>
      </c>
      <c r="AL77" s="247"/>
    </row>
    <row r="78" spans="2:38" x14ac:dyDescent="0.2">
      <c r="B78" s="463"/>
      <c r="C78" s="460"/>
      <c r="D78" s="330" t="s">
        <v>148</v>
      </c>
      <c r="E78" s="199" t="s">
        <v>311</v>
      </c>
      <c r="F78" s="203"/>
      <c r="AD78" s="191"/>
      <c r="AH78" s="456"/>
      <c r="AI78" s="455"/>
      <c r="AJ78" s="199" t="s">
        <v>716</v>
      </c>
      <c r="AK78" s="199" t="s">
        <v>675</v>
      </c>
      <c r="AL78" s="249"/>
    </row>
    <row r="79" spans="2:38" x14ac:dyDescent="0.2">
      <c r="B79" s="463"/>
      <c r="C79" s="199"/>
      <c r="D79" s="199"/>
      <c r="E79" s="199"/>
      <c r="F79" s="203"/>
      <c r="AD79" s="191"/>
      <c r="AH79" s="456"/>
      <c r="AI79" s="455"/>
      <c r="AJ79" s="198" t="s">
        <v>926</v>
      </c>
      <c r="AK79" s="198" t="s">
        <v>675</v>
      </c>
      <c r="AL79" s="247"/>
    </row>
    <row r="80" spans="2:38" x14ac:dyDescent="0.2">
      <c r="B80" s="463"/>
      <c r="C80" s="459" t="s">
        <v>256</v>
      </c>
      <c r="D80" s="197" t="s">
        <v>259</v>
      </c>
      <c r="E80" s="197" t="s">
        <v>20</v>
      </c>
      <c r="F80" s="216">
        <v>45946</v>
      </c>
      <c r="AD80" s="191"/>
      <c r="AH80" s="456"/>
      <c r="AI80" s="455"/>
      <c r="AJ80" s="199" t="s">
        <v>717</v>
      </c>
      <c r="AK80" s="199" t="s">
        <v>675</v>
      </c>
      <c r="AL80" s="249"/>
    </row>
    <row r="81" spans="2:38" x14ac:dyDescent="0.2">
      <c r="B81" s="463"/>
      <c r="C81" s="460"/>
      <c r="D81" s="198" t="s">
        <v>106</v>
      </c>
      <c r="E81" s="198" t="s">
        <v>179</v>
      </c>
      <c r="F81" s="204">
        <v>44647</v>
      </c>
      <c r="AD81" s="191"/>
      <c r="AH81" s="456"/>
      <c r="AI81" s="455"/>
      <c r="AJ81" s="198" t="s">
        <v>927</v>
      </c>
      <c r="AK81" s="198" t="s">
        <v>675</v>
      </c>
      <c r="AL81" s="247"/>
    </row>
    <row r="82" spans="2:38" x14ac:dyDescent="0.2">
      <c r="B82" s="463"/>
      <c r="C82" s="460"/>
      <c r="D82" s="198" t="s">
        <v>200</v>
      </c>
      <c r="E82" s="198" t="s">
        <v>181</v>
      </c>
      <c r="F82" s="204">
        <v>44638</v>
      </c>
      <c r="AD82" s="191"/>
      <c r="AH82" s="456"/>
      <c r="AI82" s="339"/>
      <c r="AJ82" s="199"/>
      <c r="AK82" s="199"/>
      <c r="AL82" s="249"/>
    </row>
    <row r="83" spans="2:38" x14ac:dyDescent="0.2">
      <c r="B83" s="463"/>
      <c r="C83" s="460"/>
      <c r="D83" s="198" t="s">
        <v>201</v>
      </c>
      <c r="E83" s="198" t="s">
        <v>184</v>
      </c>
      <c r="F83" s="204">
        <v>42370</v>
      </c>
      <c r="AD83" s="191"/>
      <c r="AH83" s="456"/>
      <c r="AI83" s="455" t="s">
        <v>50</v>
      </c>
      <c r="AJ83" s="197" t="s">
        <v>155</v>
      </c>
      <c r="AK83" s="197" t="s">
        <v>718</v>
      </c>
      <c r="AL83" s="251">
        <v>45786</v>
      </c>
    </row>
    <row r="84" spans="2:38" x14ac:dyDescent="0.2">
      <c r="B84" s="463"/>
      <c r="C84" s="460"/>
      <c r="D84" s="199" t="s">
        <v>298</v>
      </c>
      <c r="E84" s="199" t="s">
        <v>179</v>
      </c>
      <c r="F84" s="203">
        <v>40848</v>
      </c>
      <c r="AD84" s="191"/>
      <c r="AH84" s="456"/>
      <c r="AI84" s="455"/>
      <c r="AJ84" s="198" t="s">
        <v>330</v>
      </c>
      <c r="AK84" s="198" t="s">
        <v>669</v>
      </c>
      <c r="AL84" s="247">
        <v>46113</v>
      </c>
    </row>
    <row r="85" spans="2:38" x14ac:dyDescent="0.2">
      <c r="B85" s="463"/>
      <c r="C85" s="460"/>
      <c r="D85" s="199" t="s">
        <v>208</v>
      </c>
      <c r="E85" s="199" t="s">
        <v>181</v>
      </c>
      <c r="F85" s="203">
        <v>42370</v>
      </c>
      <c r="AD85" s="191"/>
      <c r="AH85" s="456"/>
      <c r="AI85" s="455"/>
      <c r="AJ85" s="197" t="s">
        <v>601</v>
      </c>
      <c r="AK85" s="197" t="s">
        <v>595</v>
      </c>
      <c r="AL85" s="251">
        <v>46063</v>
      </c>
    </row>
    <row r="86" spans="2:38" x14ac:dyDescent="0.2">
      <c r="B86" s="463"/>
      <c r="C86" s="460"/>
      <c r="D86" s="198" t="s">
        <v>274</v>
      </c>
      <c r="E86" s="198" t="s">
        <v>179</v>
      </c>
      <c r="F86" s="204">
        <v>46041</v>
      </c>
      <c r="AD86" s="191"/>
      <c r="AH86" s="456"/>
      <c r="AI86" s="455"/>
      <c r="AJ86" s="198" t="s">
        <v>602</v>
      </c>
      <c r="AK86" s="198" t="s">
        <v>311</v>
      </c>
      <c r="AL86" s="247">
        <v>46154</v>
      </c>
    </row>
    <row r="87" spans="2:38" x14ac:dyDescent="0.2">
      <c r="B87" s="463"/>
      <c r="C87" s="460"/>
      <c r="D87" s="198" t="s">
        <v>818</v>
      </c>
      <c r="E87" s="198" t="s">
        <v>181</v>
      </c>
      <c r="F87" s="204">
        <v>46239</v>
      </c>
      <c r="AD87" s="191"/>
      <c r="AH87" s="456"/>
      <c r="AI87" s="455"/>
      <c r="AJ87" s="199" t="s">
        <v>672</v>
      </c>
      <c r="AK87" s="199" t="s">
        <v>311</v>
      </c>
      <c r="AL87" s="249">
        <v>46182</v>
      </c>
    </row>
    <row r="88" spans="2:38" x14ac:dyDescent="0.2">
      <c r="B88" s="464"/>
      <c r="C88" s="461"/>
      <c r="D88" s="199" t="s">
        <v>819</v>
      </c>
      <c r="E88" s="199" t="s">
        <v>311</v>
      </c>
      <c r="F88" s="203">
        <v>46225</v>
      </c>
      <c r="AD88" s="191"/>
      <c r="AH88" s="456"/>
      <c r="AI88" s="455"/>
      <c r="AJ88" s="197"/>
      <c r="AK88" s="197"/>
      <c r="AL88" s="246"/>
    </row>
    <row r="89" spans="2:38" x14ac:dyDescent="0.2">
      <c r="AD89" s="191"/>
      <c r="AH89" s="456"/>
      <c r="AI89" s="455"/>
      <c r="AJ89" s="198" t="s">
        <v>255</v>
      </c>
      <c r="AK89" s="198" t="s">
        <v>181</v>
      </c>
      <c r="AL89" s="247">
        <v>45153</v>
      </c>
    </row>
    <row r="90" spans="2:38" x14ac:dyDescent="0.2">
      <c r="AD90" s="191"/>
      <c r="AH90" s="456"/>
      <c r="AI90" s="455"/>
      <c r="AJ90" s="197" t="s">
        <v>719</v>
      </c>
      <c r="AK90" s="197" t="s">
        <v>673</v>
      </c>
      <c r="AL90" s="246"/>
    </row>
    <row r="91" spans="2:38" x14ac:dyDescent="0.2">
      <c r="AD91" s="191"/>
      <c r="AH91" s="456"/>
      <c r="AI91" s="455"/>
      <c r="AJ91" s="198" t="s">
        <v>720</v>
      </c>
      <c r="AK91" s="198" t="s">
        <v>675</v>
      </c>
      <c r="AL91" s="248"/>
    </row>
    <row r="92" spans="2:38" x14ac:dyDescent="0.2">
      <c r="AD92" s="191"/>
      <c r="AH92" s="456"/>
      <c r="AI92" s="455"/>
      <c r="AJ92" s="199" t="s">
        <v>721</v>
      </c>
      <c r="AK92" s="199" t="s">
        <v>675</v>
      </c>
      <c r="AL92" s="250"/>
    </row>
    <row r="93" spans="2:38" x14ac:dyDescent="0.2">
      <c r="AD93" s="191"/>
      <c r="AH93" s="456"/>
      <c r="AI93" s="455"/>
      <c r="AJ93" s="198" t="s">
        <v>722</v>
      </c>
      <c r="AK93" s="198" t="s">
        <v>675</v>
      </c>
      <c r="AL93" s="248"/>
    </row>
    <row r="94" spans="2:38" x14ac:dyDescent="0.2">
      <c r="AD94" s="191"/>
      <c r="AH94" s="456"/>
      <c r="AI94" s="455"/>
      <c r="AJ94" s="199" t="s">
        <v>723</v>
      </c>
      <c r="AK94" s="199" t="s">
        <v>675</v>
      </c>
      <c r="AL94" s="250"/>
    </row>
    <row r="95" spans="2:38" x14ac:dyDescent="0.2">
      <c r="AD95" s="191"/>
      <c r="AH95" s="456"/>
      <c r="AI95" s="455"/>
      <c r="AJ95" s="198" t="s">
        <v>724</v>
      </c>
      <c r="AK95" s="198" t="s">
        <v>675</v>
      </c>
      <c r="AL95" s="247"/>
    </row>
    <row r="96" spans="2:38" x14ac:dyDescent="0.2">
      <c r="AD96" s="191"/>
      <c r="AH96" s="456"/>
      <c r="AI96" s="339"/>
      <c r="AJ96" s="199"/>
      <c r="AK96" s="199"/>
      <c r="AL96" s="249"/>
    </row>
    <row r="97" spans="30:38" x14ac:dyDescent="0.2">
      <c r="AD97" s="191"/>
      <c r="AH97" s="456"/>
      <c r="AI97" s="455" t="s">
        <v>725</v>
      </c>
      <c r="AJ97" s="197" t="s">
        <v>726</v>
      </c>
      <c r="AK97" s="197" t="s">
        <v>673</v>
      </c>
      <c r="AL97" s="246"/>
    </row>
    <row r="98" spans="30:38" x14ac:dyDescent="0.2">
      <c r="AD98" s="191"/>
      <c r="AH98" s="456"/>
      <c r="AI98" s="455"/>
      <c r="AJ98" s="198" t="s">
        <v>727</v>
      </c>
      <c r="AK98" s="198" t="s">
        <v>675</v>
      </c>
      <c r="AL98" s="247"/>
    </row>
    <row r="99" spans="30:38" x14ac:dyDescent="0.2">
      <c r="AD99" s="191"/>
      <c r="AH99" s="456"/>
      <c r="AI99" s="455"/>
      <c r="AJ99" s="199" t="s">
        <v>728</v>
      </c>
      <c r="AK99" s="199" t="s">
        <v>675</v>
      </c>
      <c r="AL99" s="249"/>
    </row>
    <row r="100" spans="30:38" x14ac:dyDescent="0.2">
      <c r="AD100" s="191"/>
      <c r="AH100" s="456"/>
      <c r="AI100" s="455"/>
      <c r="AJ100" s="198" t="s">
        <v>928</v>
      </c>
      <c r="AK100" s="198" t="s">
        <v>675</v>
      </c>
      <c r="AL100" s="247"/>
    </row>
    <row r="101" spans="30:38" x14ac:dyDescent="0.2">
      <c r="AD101" s="191"/>
      <c r="AH101" s="456"/>
      <c r="AI101" s="455"/>
      <c r="AJ101" s="199" t="s">
        <v>929</v>
      </c>
      <c r="AK101" s="199" t="s">
        <v>675</v>
      </c>
      <c r="AL101" s="249"/>
    </row>
    <row r="102" spans="30:38" x14ac:dyDescent="0.2">
      <c r="AD102" s="191"/>
      <c r="AH102" s="456"/>
      <c r="AI102" s="455"/>
      <c r="AJ102" s="198" t="s">
        <v>729</v>
      </c>
      <c r="AK102" s="198" t="s">
        <v>675</v>
      </c>
      <c r="AL102" s="247"/>
    </row>
    <row r="103" spans="30:38" x14ac:dyDescent="0.2">
      <c r="AD103" s="191"/>
      <c r="AH103" s="456"/>
      <c r="AI103" s="339"/>
      <c r="AJ103" s="199"/>
      <c r="AK103" s="199"/>
      <c r="AL103" s="249"/>
    </row>
    <row r="104" spans="30:38" x14ac:dyDescent="0.2">
      <c r="AD104" s="191"/>
      <c r="AH104" s="456"/>
      <c r="AI104" s="455" t="s">
        <v>621</v>
      </c>
      <c r="AJ104" s="197" t="s">
        <v>730</v>
      </c>
      <c r="AK104" s="197" t="s">
        <v>673</v>
      </c>
      <c r="AL104" s="246"/>
    </row>
    <row r="105" spans="30:38" x14ac:dyDescent="0.2">
      <c r="AD105" s="191"/>
      <c r="AH105" s="456"/>
      <c r="AI105" s="455"/>
      <c r="AJ105" s="198" t="s">
        <v>930</v>
      </c>
      <c r="AK105" s="198" t="s">
        <v>675</v>
      </c>
      <c r="AL105" s="247"/>
    </row>
    <row r="106" spans="30:38" x14ac:dyDescent="0.2">
      <c r="AD106" s="191"/>
      <c r="AH106" s="456"/>
      <c r="AI106" s="455"/>
      <c r="AJ106" s="199" t="s">
        <v>731</v>
      </c>
      <c r="AK106" s="199" t="s">
        <v>675</v>
      </c>
      <c r="AL106" s="249"/>
    </row>
    <row r="107" spans="30:38" x14ac:dyDescent="0.2">
      <c r="AD107" s="191"/>
      <c r="AH107" s="456"/>
      <c r="AI107" s="455"/>
      <c r="AJ107" s="198" t="s">
        <v>931</v>
      </c>
      <c r="AK107" s="198" t="s">
        <v>675</v>
      </c>
      <c r="AL107" s="247"/>
    </row>
    <row r="108" spans="30:38" x14ac:dyDescent="0.2">
      <c r="AD108" s="191"/>
      <c r="AH108" s="456"/>
      <c r="AI108" s="339"/>
      <c r="AJ108" s="199"/>
      <c r="AK108" s="199"/>
      <c r="AL108" s="249"/>
    </row>
    <row r="109" spans="30:38" x14ac:dyDescent="0.2">
      <c r="AD109" s="191"/>
      <c r="AH109" s="456"/>
      <c r="AI109" s="455" t="s">
        <v>625</v>
      </c>
      <c r="AJ109" s="197" t="s">
        <v>732</v>
      </c>
      <c r="AK109" s="197" t="s">
        <v>673</v>
      </c>
      <c r="AL109" s="246"/>
    </row>
    <row r="110" spans="30:38" x14ac:dyDescent="0.2">
      <c r="AD110" s="191"/>
      <c r="AH110" s="456"/>
      <c r="AI110" s="455"/>
      <c r="AJ110" s="198" t="s">
        <v>733</v>
      </c>
      <c r="AK110" s="198" t="s">
        <v>675</v>
      </c>
      <c r="AL110" s="247"/>
    </row>
    <row r="111" spans="30:38" x14ac:dyDescent="0.2">
      <c r="AD111" s="191"/>
      <c r="AH111" s="456"/>
      <c r="AI111" s="455"/>
      <c r="AJ111" s="199" t="s">
        <v>932</v>
      </c>
      <c r="AK111" s="199" t="s">
        <v>675</v>
      </c>
      <c r="AL111" s="249"/>
    </row>
    <row r="112" spans="30:38" x14ac:dyDescent="0.2">
      <c r="AD112" s="191"/>
      <c r="AH112" s="456"/>
      <c r="AI112" s="455"/>
      <c r="AJ112" s="198" t="s">
        <v>933</v>
      </c>
      <c r="AK112" s="198" t="s">
        <v>675</v>
      </c>
      <c r="AL112" s="247"/>
    </row>
    <row r="113" spans="30:39" x14ac:dyDescent="0.2">
      <c r="AD113" s="191"/>
      <c r="AH113" s="456"/>
      <c r="AI113" s="339"/>
      <c r="AJ113" s="199"/>
      <c r="AK113" s="199"/>
      <c r="AL113" s="249"/>
    </row>
    <row r="114" spans="30:39" x14ac:dyDescent="0.2">
      <c r="AD114" s="191"/>
      <c r="AH114" s="456"/>
      <c r="AI114" s="455" t="s">
        <v>66</v>
      </c>
      <c r="AJ114" s="197" t="s">
        <v>897</v>
      </c>
      <c r="AK114" s="197" t="s">
        <v>788</v>
      </c>
      <c r="AL114" s="251"/>
    </row>
    <row r="115" spans="30:39" x14ac:dyDescent="0.2">
      <c r="AD115" s="191"/>
      <c r="AH115" s="456"/>
      <c r="AI115" s="455"/>
      <c r="AJ115" s="244" t="s">
        <v>117</v>
      </c>
      <c r="AK115" s="244" t="s">
        <v>266</v>
      </c>
      <c r="AL115" s="252">
        <v>44977</v>
      </c>
      <c r="AM115" t="s">
        <v>934</v>
      </c>
    </row>
    <row r="116" spans="30:39" x14ac:dyDescent="0.2">
      <c r="AD116" s="191"/>
      <c r="AH116" s="456"/>
      <c r="AI116" s="455"/>
      <c r="AJ116" s="197" t="s">
        <v>74</v>
      </c>
      <c r="AK116" s="197" t="s">
        <v>595</v>
      </c>
      <c r="AL116" s="246"/>
    </row>
    <row r="117" spans="30:39" x14ac:dyDescent="0.2">
      <c r="AD117" s="191"/>
      <c r="AH117" s="456"/>
      <c r="AI117" s="455"/>
      <c r="AJ117" s="198" t="s">
        <v>511</v>
      </c>
      <c r="AK117" s="198" t="s">
        <v>311</v>
      </c>
      <c r="AL117" s="247">
        <v>45820</v>
      </c>
    </row>
    <row r="118" spans="30:39" x14ac:dyDescent="0.2">
      <c r="AD118" s="191"/>
      <c r="AH118" s="456"/>
      <c r="AI118" s="455"/>
      <c r="AJ118" s="199" t="s">
        <v>512</v>
      </c>
      <c r="AK118" s="199" t="s">
        <v>311</v>
      </c>
      <c r="AL118" s="249">
        <v>45580</v>
      </c>
    </row>
    <row r="119" spans="30:39" x14ac:dyDescent="0.2">
      <c r="AD119" s="191"/>
      <c r="AH119" s="456"/>
      <c r="AI119" s="455"/>
      <c r="AJ119" s="198" t="s">
        <v>935</v>
      </c>
      <c r="AK119" s="198" t="s">
        <v>829</v>
      </c>
      <c r="AL119" s="247">
        <v>46246</v>
      </c>
    </row>
    <row r="120" spans="30:39" x14ac:dyDescent="0.2">
      <c r="AD120" s="191"/>
      <c r="AH120" s="456"/>
      <c r="AI120" s="455"/>
      <c r="AJ120" s="197"/>
      <c r="AK120" s="197"/>
      <c r="AL120" s="246"/>
    </row>
    <row r="121" spans="30:39" x14ac:dyDescent="0.2">
      <c r="AD121" s="191"/>
      <c r="AH121" s="456"/>
      <c r="AI121" s="455"/>
      <c r="AJ121" s="198" t="s">
        <v>327</v>
      </c>
      <c r="AK121" s="198" t="s">
        <v>181</v>
      </c>
      <c r="AL121" s="247">
        <v>44939</v>
      </c>
    </row>
    <row r="122" spans="30:39" x14ac:dyDescent="0.2">
      <c r="AD122" s="191"/>
      <c r="AH122" s="456"/>
      <c r="AI122" s="455"/>
      <c r="AJ122" s="197" t="s">
        <v>734</v>
      </c>
      <c r="AK122" s="197" t="s">
        <v>673</v>
      </c>
      <c r="AL122" s="246"/>
    </row>
    <row r="123" spans="30:39" x14ac:dyDescent="0.2">
      <c r="AD123" s="191"/>
      <c r="AH123" s="456"/>
      <c r="AI123" s="455"/>
      <c r="AJ123" s="198" t="s">
        <v>735</v>
      </c>
      <c r="AK123" s="198" t="s">
        <v>675</v>
      </c>
      <c r="AL123" s="248"/>
    </row>
    <row r="124" spans="30:39" x14ac:dyDescent="0.2">
      <c r="AD124" s="191"/>
      <c r="AH124" s="456"/>
      <c r="AI124" s="455"/>
      <c r="AJ124" s="199" t="s">
        <v>736</v>
      </c>
      <c r="AK124" s="199" t="s">
        <v>675</v>
      </c>
      <c r="AL124" s="250"/>
    </row>
    <row r="125" spans="30:39" x14ac:dyDescent="0.2">
      <c r="AD125" s="191"/>
      <c r="AH125" s="456"/>
      <c r="AI125" s="455"/>
      <c r="AJ125" s="198" t="s">
        <v>737</v>
      </c>
      <c r="AK125" s="198" t="s">
        <v>675</v>
      </c>
      <c r="AL125" s="248"/>
    </row>
    <row r="126" spans="30:39" x14ac:dyDescent="0.2">
      <c r="AD126" s="191"/>
      <c r="AH126" s="456"/>
      <c r="AI126" s="455"/>
      <c r="AJ126" s="199" t="s">
        <v>738</v>
      </c>
      <c r="AK126" s="199" t="s">
        <v>675</v>
      </c>
      <c r="AL126" s="250"/>
    </row>
    <row r="127" spans="30:39" x14ac:dyDescent="0.2">
      <c r="AD127" s="191"/>
      <c r="AH127" s="456"/>
      <c r="AI127" s="339"/>
      <c r="AJ127" s="199"/>
      <c r="AK127" s="199"/>
      <c r="AL127" s="249"/>
    </row>
    <row r="128" spans="30:39" x14ac:dyDescent="0.2">
      <c r="AD128" s="191"/>
      <c r="AH128" s="456"/>
      <c r="AI128" s="460" t="s">
        <v>830</v>
      </c>
      <c r="AJ128" s="197"/>
      <c r="AK128" s="197"/>
      <c r="AL128" s="246"/>
    </row>
    <row r="129" spans="30:38" x14ac:dyDescent="0.2">
      <c r="AD129" s="191"/>
      <c r="AH129" s="456"/>
      <c r="AI129" s="460"/>
      <c r="AJ129" s="198" t="s">
        <v>831</v>
      </c>
      <c r="AK129" s="198" t="s">
        <v>311</v>
      </c>
      <c r="AL129" s="248">
        <v>46238</v>
      </c>
    </row>
    <row r="130" spans="30:38" x14ac:dyDescent="0.2">
      <c r="AD130" s="191"/>
      <c r="AH130" s="456"/>
      <c r="AI130" s="460"/>
      <c r="AJ130" s="197" t="s">
        <v>898</v>
      </c>
      <c r="AK130" s="197" t="s">
        <v>673</v>
      </c>
      <c r="AL130" s="246"/>
    </row>
    <row r="131" spans="30:38" x14ac:dyDescent="0.2">
      <c r="AD131" s="191"/>
      <c r="AH131" s="456"/>
      <c r="AI131" s="460"/>
      <c r="AJ131" s="198" t="s">
        <v>936</v>
      </c>
      <c r="AK131" s="198" t="s">
        <v>675</v>
      </c>
      <c r="AL131" s="248"/>
    </row>
    <row r="132" spans="30:38" x14ac:dyDescent="0.2">
      <c r="AD132" s="191"/>
      <c r="AH132" s="456"/>
      <c r="AI132" s="460"/>
      <c r="AJ132" s="199" t="s">
        <v>739</v>
      </c>
      <c r="AK132" s="199" t="s">
        <v>675</v>
      </c>
      <c r="AL132" s="250"/>
    </row>
    <row r="133" spans="30:38" x14ac:dyDescent="0.2">
      <c r="AD133" s="191"/>
      <c r="AH133" s="456"/>
      <c r="AI133" s="460"/>
      <c r="AJ133" s="198" t="s">
        <v>937</v>
      </c>
      <c r="AK133" s="198" t="s">
        <v>675</v>
      </c>
      <c r="AL133" s="248"/>
    </row>
    <row r="134" spans="30:38" x14ac:dyDescent="0.2">
      <c r="AD134" s="191"/>
      <c r="AH134" s="456"/>
      <c r="AI134" s="460"/>
      <c r="AJ134" s="199" t="s">
        <v>740</v>
      </c>
      <c r="AK134" s="199" t="s">
        <v>675</v>
      </c>
      <c r="AL134" s="250"/>
    </row>
    <row r="135" spans="30:38" x14ac:dyDescent="0.2">
      <c r="AD135" s="191"/>
      <c r="AH135" s="456"/>
      <c r="AI135" s="461"/>
      <c r="AJ135" s="244" t="s">
        <v>741</v>
      </c>
      <c r="AK135" s="244" t="s">
        <v>675</v>
      </c>
      <c r="AL135" s="252"/>
    </row>
    <row r="136" spans="30:38" x14ac:dyDescent="0.2">
      <c r="AD136" s="191"/>
      <c r="AH136" s="456"/>
      <c r="AI136" s="339"/>
      <c r="AJ136" s="199"/>
      <c r="AK136" s="199"/>
      <c r="AL136" s="249"/>
    </row>
    <row r="137" spans="30:38" x14ac:dyDescent="0.2">
      <c r="AD137" s="191"/>
      <c r="AH137" s="456"/>
      <c r="AI137" s="455" t="s">
        <v>742</v>
      </c>
      <c r="AJ137" s="197" t="s">
        <v>743</v>
      </c>
      <c r="AK137" s="197" t="s">
        <v>673</v>
      </c>
      <c r="AL137" s="246"/>
    </row>
    <row r="138" spans="30:38" x14ac:dyDescent="0.2">
      <c r="AD138" s="191"/>
      <c r="AH138" s="456"/>
      <c r="AI138" s="455"/>
      <c r="AJ138" s="198" t="s">
        <v>938</v>
      </c>
      <c r="AK138" s="198" t="s">
        <v>675</v>
      </c>
      <c r="AL138" s="248"/>
    </row>
    <row r="139" spans="30:38" x14ac:dyDescent="0.2">
      <c r="AD139" s="191"/>
      <c r="AH139" s="456"/>
      <c r="AI139" s="455"/>
      <c r="AJ139" s="199" t="s">
        <v>939</v>
      </c>
      <c r="AK139" s="199" t="s">
        <v>675</v>
      </c>
      <c r="AL139" s="250"/>
    </row>
    <row r="140" spans="30:38" x14ac:dyDescent="0.2">
      <c r="AD140" s="191"/>
      <c r="AH140" s="456"/>
      <c r="AI140" s="455"/>
      <c r="AJ140" s="198" t="s">
        <v>744</v>
      </c>
      <c r="AK140" s="198" t="s">
        <v>675</v>
      </c>
      <c r="AL140" s="248"/>
    </row>
    <row r="141" spans="30:38" x14ac:dyDescent="0.2">
      <c r="AD141" s="191"/>
      <c r="AH141" s="456"/>
      <c r="AI141" s="455"/>
      <c r="AJ141" s="199" t="s">
        <v>940</v>
      </c>
      <c r="AK141" s="199" t="s">
        <v>675</v>
      </c>
      <c r="AL141" s="250"/>
    </row>
    <row r="142" spans="30:38" x14ac:dyDescent="0.2">
      <c r="AH142" s="456"/>
      <c r="AI142" s="455"/>
      <c r="AJ142" s="244" t="s">
        <v>745</v>
      </c>
      <c r="AK142" s="244" t="s">
        <v>675</v>
      </c>
      <c r="AL142" s="252"/>
    </row>
    <row r="143" spans="30:38" x14ac:dyDescent="0.2">
      <c r="AH143" s="456"/>
      <c r="AI143" s="339"/>
      <c r="AJ143" s="199"/>
      <c r="AK143" s="199"/>
      <c r="AL143" s="249"/>
    </row>
    <row r="144" spans="30:38" x14ac:dyDescent="0.2">
      <c r="AH144" s="456"/>
      <c r="AI144" s="455" t="s">
        <v>641</v>
      </c>
      <c r="AJ144" s="197" t="s">
        <v>746</v>
      </c>
      <c r="AK144" s="197" t="s">
        <v>673</v>
      </c>
      <c r="AL144" s="246"/>
    </row>
    <row r="145" spans="34:38" x14ac:dyDescent="0.2">
      <c r="AH145" s="456"/>
      <c r="AI145" s="455"/>
      <c r="AJ145" s="198" t="s">
        <v>941</v>
      </c>
      <c r="AK145" s="198" t="s">
        <v>675</v>
      </c>
      <c r="AL145" s="248"/>
    </row>
    <row r="146" spans="34:38" x14ac:dyDescent="0.2">
      <c r="AH146" s="456"/>
      <c r="AI146" s="455"/>
      <c r="AJ146" s="199" t="s">
        <v>942</v>
      </c>
      <c r="AK146" s="199" t="s">
        <v>675</v>
      </c>
      <c r="AL146" s="250"/>
    </row>
    <row r="147" spans="34:38" x14ac:dyDescent="0.2">
      <c r="AH147" s="456"/>
      <c r="AI147" s="455"/>
      <c r="AJ147" s="198" t="s">
        <v>943</v>
      </c>
      <c r="AK147" s="198" t="s">
        <v>675</v>
      </c>
      <c r="AL147" s="248"/>
    </row>
    <row r="148" spans="34:38" x14ac:dyDescent="0.2">
      <c r="AH148" s="456"/>
      <c r="AI148" s="339"/>
      <c r="AJ148" s="199"/>
      <c r="AK148" s="199"/>
      <c r="AL148" s="249"/>
    </row>
    <row r="149" spans="34:38" x14ac:dyDescent="0.2">
      <c r="AH149" s="456"/>
      <c r="AI149" s="455" t="s">
        <v>644</v>
      </c>
      <c r="AJ149" s="197" t="s">
        <v>747</v>
      </c>
      <c r="AK149" s="197" t="s">
        <v>673</v>
      </c>
      <c r="AL149" s="246"/>
    </row>
    <row r="150" spans="34:38" x14ac:dyDescent="0.2">
      <c r="AH150" s="456"/>
      <c r="AI150" s="455"/>
      <c r="AJ150" s="198" t="s">
        <v>748</v>
      </c>
      <c r="AK150" s="198" t="s">
        <v>675</v>
      </c>
      <c r="AL150" s="248"/>
    </row>
    <row r="151" spans="34:38" x14ac:dyDescent="0.2">
      <c r="AH151" s="456"/>
      <c r="AI151" s="455"/>
      <c r="AJ151" s="199" t="s">
        <v>749</v>
      </c>
      <c r="AK151" s="199" t="s">
        <v>675</v>
      </c>
      <c r="AL151" s="250"/>
    </row>
    <row r="152" spans="34:38" x14ac:dyDescent="0.2">
      <c r="AH152" s="456"/>
      <c r="AI152" s="455"/>
      <c r="AJ152" s="198" t="s">
        <v>750</v>
      </c>
      <c r="AK152" s="198" t="s">
        <v>675</v>
      </c>
      <c r="AL152" s="248"/>
    </row>
    <row r="153" spans="34:38" x14ac:dyDescent="0.2">
      <c r="AH153" s="456"/>
      <c r="AI153" s="455"/>
      <c r="AJ153" s="199" t="s">
        <v>751</v>
      </c>
      <c r="AK153" s="199" t="s">
        <v>675</v>
      </c>
      <c r="AL153" s="250"/>
    </row>
    <row r="154" spans="34:38" x14ac:dyDescent="0.2">
      <c r="AH154" s="456"/>
      <c r="AI154" s="339"/>
      <c r="AJ154" s="199"/>
      <c r="AK154" s="199"/>
      <c r="AL154" s="249"/>
    </row>
    <row r="155" spans="34:38" x14ac:dyDescent="0.2">
      <c r="AH155" s="456"/>
      <c r="AI155" s="455" t="s">
        <v>858</v>
      </c>
      <c r="AJ155" s="197" t="s">
        <v>899</v>
      </c>
      <c r="AK155" s="197" t="s">
        <v>673</v>
      </c>
      <c r="AL155" s="246"/>
    </row>
    <row r="156" spans="34:38" x14ac:dyDescent="0.2">
      <c r="AH156" s="456"/>
      <c r="AI156" s="455"/>
      <c r="AJ156" s="198" t="s">
        <v>855</v>
      </c>
      <c r="AK156" s="198" t="s">
        <v>675</v>
      </c>
      <c r="AL156" s="248"/>
    </row>
    <row r="157" spans="34:38" x14ac:dyDescent="0.2">
      <c r="AH157" s="456"/>
      <c r="AI157" s="455"/>
      <c r="AJ157" s="199" t="s">
        <v>856</v>
      </c>
      <c r="AK157" s="199" t="s">
        <v>675</v>
      </c>
      <c r="AL157" s="250"/>
    </row>
    <row r="158" spans="34:38" x14ac:dyDescent="0.2">
      <c r="AH158" s="456"/>
      <c r="AI158" s="339"/>
      <c r="AJ158" s="199"/>
      <c r="AK158" s="199"/>
      <c r="AL158" s="249"/>
    </row>
    <row r="159" spans="34:38" x14ac:dyDescent="0.2">
      <c r="AH159" s="456"/>
      <c r="AI159" s="455" t="s">
        <v>655</v>
      </c>
      <c r="AJ159" s="197" t="s">
        <v>752</v>
      </c>
      <c r="AK159" s="197" t="s">
        <v>673</v>
      </c>
      <c r="AL159" s="246"/>
    </row>
    <row r="160" spans="34:38" x14ac:dyDescent="0.2">
      <c r="AH160" s="456"/>
      <c r="AI160" s="455"/>
      <c r="AJ160" s="198" t="s">
        <v>944</v>
      </c>
      <c r="AK160" s="198" t="s">
        <v>675</v>
      </c>
      <c r="AL160" s="248"/>
    </row>
    <row r="161" spans="34:38" x14ac:dyDescent="0.2">
      <c r="AH161" s="456"/>
      <c r="AI161" s="455"/>
      <c r="AJ161" s="199" t="s">
        <v>753</v>
      </c>
      <c r="AK161" s="199" t="s">
        <v>675</v>
      </c>
      <c r="AL161" s="250"/>
    </row>
    <row r="162" spans="34:38" x14ac:dyDescent="0.2">
      <c r="AH162" s="456"/>
      <c r="AI162" s="455"/>
      <c r="AJ162" s="198" t="s">
        <v>945</v>
      </c>
      <c r="AK162" s="198" t="s">
        <v>675</v>
      </c>
      <c r="AL162" s="248"/>
    </row>
    <row r="163" spans="34:38" x14ac:dyDescent="0.2">
      <c r="AH163" s="456"/>
      <c r="AI163" s="455"/>
      <c r="AJ163" s="199" t="s">
        <v>946</v>
      </c>
      <c r="AK163" s="199" t="s">
        <v>675</v>
      </c>
      <c r="AL163" s="250"/>
    </row>
    <row r="164" spans="34:38" x14ac:dyDescent="0.2">
      <c r="AH164" s="456"/>
      <c r="AI164" s="455"/>
      <c r="AJ164" s="244" t="s">
        <v>947</v>
      </c>
      <c r="AK164" s="244" t="s">
        <v>675</v>
      </c>
      <c r="AL164" s="252"/>
    </row>
    <row r="165" spans="34:38" x14ac:dyDescent="0.2">
      <c r="AH165" s="456"/>
      <c r="AI165" s="339"/>
      <c r="AJ165" s="199"/>
      <c r="AK165" s="199"/>
      <c r="AL165" s="249"/>
    </row>
    <row r="166" spans="34:38" x14ac:dyDescent="0.2">
      <c r="AH166" s="456"/>
      <c r="AI166" s="455" t="s">
        <v>649</v>
      </c>
      <c r="AJ166" s="197" t="s">
        <v>754</v>
      </c>
      <c r="AK166" s="197" t="s">
        <v>673</v>
      </c>
      <c r="AL166" s="246"/>
    </row>
    <row r="167" spans="34:38" x14ac:dyDescent="0.2">
      <c r="AH167" s="456"/>
      <c r="AI167" s="455"/>
      <c r="AJ167" s="198" t="s">
        <v>755</v>
      </c>
      <c r="AK167" s="198" t="s">
        <v>675</v>
      </c>
      <c r="AL167" s="248"/>
    </row>
    <row r="168" spans="34:38" x14ac:dyDescent="0.2">
      <c r="AH168" s="456"/>
      <c r="AI168" s="455"/>
      <c r="AJ168" s="199" t="s">
        <v>756</v>
      </c>
      <c r="AK168" s="199" t="s">
        <v>675</v>
      </c>
      <c r="AL168" s="250"/>
    </row>
    <row r="169" spans="34:38" x14ac:dyDescent="0.2">
      <c r="AH169" s="456"/>
      <c r="AI169" s="455"/>
      <c r="AJ169" s="198" t="s">
        <v>757</v>
      </c>
      <c r="AK169" s="198" t="s">
        <v>675</v>
      </c>
      <c r="AL169" s="248"/>
    </row>
    <row r="170" spans="34:38" x14ac:dyDescent="0.2">
      <c r="AH170" s="456"/>
      <c r="AI170" s="455"/>
      <c r="AJ170" s="199" t="s">
        <v>758</v>
      </c>
      <c r="AK170" s="199" t="s">
        <v>675</v>
      </c>
      <c r="AL170" s="250"/>
    </row>
    <row r="171" spans="34:38" x14ac:dyDescent="0.2">
      <c r="AH171" s="456"/>
      <c r="AI171" s="455"/>
      <c r="AJ171" s="244" t="s">
        <v>948</v>
      </c>
      <c r="AK171" s="244" t="s">
        <v>675</v>
      </c>
      <c r="AL171" s="252"/>
    </row>
    <row r="172" spans="34:38" x14ac:dyDescent="0.2">
      <c r="AH172" s="456"/>
      <c r="AI172" s="339"/>
      <c r="AJ172" s="199"/>
      <c r="AK172" s="199"/>
      <c r="AL172" s="249"/>
    </row>
    <row r="173" spans="34:38" x14ac:dyDescent="0.2">
      <c r="AH173" s="456"/>
      <c r="AI173" s="455" t="s">
        <v>658</v>
      </c>
      <c r="AJ173" s="197" t="s">
        <v>759</v>
      </c>
      <c r="AK173" s="197" t="s">
        <v>673</v>
      </c>
      <c r="AL173" s="246"/>
    </row>
    <row r="174" spans="34:38" x14ac:dyDescent="0.2">
      <c r="AH174" s="456"/>
      <c r="AI174" s="455"/>
      <c r="AJ174" s="198" t="s">
        <v>832</v>
      </c>
      <c r="AK174" s="198" t="s">
        <v>675</v>
      </c>
      <c r="AL174" s="248"/>
    </row>
    <row r="175" spans="34:38" x14ac:dyDescent="0.2">
      <c r="AH175" s="456"/>
      <c r="AI175" s="455"/>
      <c r="AJ175" s="199" t="s">
        <v>760</v>
      </c>
      <c r="AK175" s="199" t="s">
        <v>675</v>
      </c>
      <c r="AL175" s="250"/>
    </row>
    <row r="176" spans="34:38" x14ac:dyDescent="0.2">
      <c r="AH176" s="456"/>
      <c r="AI176" s="455"/>
      <c r="AJ176" s="198" t="s">
        <v>761</v>
      </c>
      <c r="AK176" s="198" t="s">
        <v>675</v>
      </c>
      <c r="AL176" s="248"/>
    </row>
    <row r="177" spans="34:38" x14ac:dyDescent="0.2">
      <c r="AH177" s="456"/>
      <c r="AI177" s="455"/>
      <c r="AJ177" s="199" t="s">
        <v>762</v>
      </c>
      <c r="AK177" s="199" t="s">
        <v>675</v>
      </c>
      <c r="AL177" s="250"/>
    </row>
    <row r="178" spans="34:38" x14ac:dyDescent="0.2">
      <c r="AH178" s="75"/>
      <c r="AI178" s="75"/>
    </row>
    <row r="179" spans="34:38" x14ac:dyDescent="0.2">
      <c r="AH179" s="75"/>
      <c r="AI179" s="62"/>
    </row>
    <row r="180" spans="34:38" x14ac:dyDescent="0.2">
      <c r="AH180" s="75"/>
      <c r="AI180" s="62"/>
    </row>
    <row r="181" spans="34:38" x14ac:dyDescent="0.2">
      <c r="AH181" s="75"/>
      <c r="AI181" s="62"/>
    </row>
    <row r="182" spans="34:38" x14ac:dyDescent="0.2">
      <c r="AH182" s="75"/>
      <c r="AI182" s="62"/>
    </row>
    <row r="183" spans="34:38" x14ac:dyDescent="0.2">
      <c r="AH183" s="75"/>
      <c r="AI183" s="62"/>
    </row>
    <row r="184" spans="34:38" x14ac:dyDescent="0.2">
      <c r="AH184" s="75"/>
      <c r="AI184" s="62"/>
    </row>
    <row r="185" spans="34:38" x14ac:dyDescent="0.2">
      <c r="AH185" s="75"/>
      <c r="AI185" s="62"/>
    </row>
    <row r="186" spans="34:38" x14ac:dyDescent="0.2">
      <c r="AH186" s="75"/>
      <c r="AI186" s="62"/>
    </row>
    <row r="187" spans="34:38" x14ac:dyDescent="0.2">
      <c r="AH187" s="75"/>
      <c r="AI187" s="62"/>
      <c r="AJ187" s="180"/>
      <c r="AK187" s="180"/>
      <c r="AL187" s="220"/>
    </row>
    <row r="188" spans="34:38" x14ac:dyDescent="0.2">
      <c r="AH188" s="75"/>
      <c r="AI188" s="62"/>
    </row>
    <row r="189" spans="34:38" x14ac:dyDescent="0.2">
      <c r="AH189" s="75"/>
      <c r="AI189" s="62"/>
    </row>
    <row r="190" spans="34:38" x14ac:dyDescent="0.2">
      <c r="AH190" s="75"/>
      <c r="AI190" s="62"/>
    </row>
    <row r="191" spans="34:38" x14ac:dyDescent="0.2">
      <c r="AH191" s="75"/>
      <c r="AI191" s="62"/>
    </row>
    <row r="192" spans="34:38" x14ac:dyDescent="0.2">
      <c r="AH192" s="75"/>
      <c r="AI192" s="62"/>
    </row>
    <row r="193" spans="34:38" x14ac:dyDescent="0.2">
      <c r="AH193" s="75"/>
      <c r="AI193" s="62"/>
    </row>
    <row r="194" spans="34:38" x14ac:dyDescent="0.2">
      <c r="AH194" s="75"/>
      <c r="AI194" s="62"/>
    </row>
    <row r="195" spans="34:38" x14ac:dyDescent="0.2">
      <c r="AH195" s="75"/>
      <c r="AI195" s="62"/>
    </row>
    <row r="196" spans="34:38" x14ac:dyDescent="0.2">
      <c r="AH196" s="75"/>
      <c r="AI196" s="62"/>
    </row>
    <row r="197" spans="34:38" x14ac:dyDescent="0.2">
      <c r="AH197" s="75"/>
      <c r="AI197" s="62"/>
    </row>
    <row r="198" spans="34:38" x14ac:dyDescent="0.2">
      <c r="AH198" s="75"/>
      <c r="AI198" s="62"/>
    </row>
    <row r="199" spans="34:38" x14ac:dyDescent="0.2">
      <c r="AH199" s="75"/>
      <c r="AI199" s="62"/>
    </row>
    <row r="200" spans="34:38" x14ac:dyDescent="0.2">
      <c r="AH200" s="75"/>
      <c r="AI200" s="62"/>
    </row>
    <row r="201" spans="34:38" x14ac:dyDescent="0.2">
      <c r="AH201" s="75"/>
      <c r="AI201" s="62"/>
    </row>
    <row r="202" spans="34:38" x14ac:dyDescent="0.2">
      <c r="AH202" s="75"/>
    </row>
    <row r="203" spans="34:38" x14ac:dyDescent="0.2">
      <c r="AH203" s="75"/>
      <c r="AI203" s="62"/>
      <c r="AJ203" s="180"/>
      <c r="AK203" s="180"/>
      <c r="AL203" s="220"/>
    </row>
    <row r="204" spans="34:38" x14ac:dyDescent="0.2">
      <c r="AH204" s="75"/>
      <c r="AI204" s="62"/>
    </row>
    <row r="205" spans="34:38" x14ac:dyDescent="0.2">
      <c r="AH205" s="75"/>
      <c r="AI205" s="62"/>
    </row>
    <row r="206" spans="34:38" x14ac:dyDescent="0.2">
      <c r="AH206" s="75"/>
      <c r="AI206" s="62"/>
    </row>
    <row r="207" spans="34:38" x14ac:dyDescent="0.2">
      <c r="AH207" s="75"/>
      <c r="AI207" s="62"/>
    </row>
    <row r="208" spans="34:38" x14ac:dyDescent="0.2">
      <c r="AH208" s="75"/>
      <c r="AI208" s="62"/>
    </row>
    <row r="209" spans="34:38" x14ac:dyDescent="0.2">
      <c r="AH209" s="75"/>
    </row>
    <row r="210" spans="34:38" x14ac:dyDescent="0.2">
      <c r="AH210" s="75"/>
      <c r="AI210" s="62"/>
      <c r="AJ210" s="180"/>
      <c r="AK210" s="180"/>
      <c r="AL210" s="220"/>
    </row>
    <row r="211" spans="34:38" x14ac:dyDescent="0.2">
      <c r="AH211" s="75"/>
      <c r="AI211" s="62"/>
    </row>
    <row r="212" spans="34:38" x14ac:dyDescent="0.2">
      <c r="AH212" s="75"/>
      <c r="AI212" s="62"/>
    </row>
    <row r="213" spans="34:38" x14ac:dyDescent="0.2">
      <c r="AH213" s="75"/>
      <c r="AI213" s="62"/>
    </row>
    <row r="214" spans="34:38" x14ac:dyDescent="0.2">
      <c r="AH214" s="75"/>
      <c r="AI214" s="62"/>
    </row>
    <row r="215" spans="34:38" x14ac:dyDescent="0.2">
      <c r="AH215" s="75"/>
    </row>
    <row r="216" spans="34:38" x14ac:dyDescent="0.2">
      <c r="AH216" s="75"/>
      <c r="AI216" s="62"/>
      <c r="AJ216" s="180"/>
      <c r="AK216" s="180"/>
      <c r="AL216" s="220"/>
    </row>
    <row r="217" spans="34:38" x14ac:dyDescent="0.2">
      <c r="AH217" s="75"/>
      <c r="AI217" s="62"/>
    </row>
    <row r="218" spans="34:38" x14ac:dyDescent="0.2">
      <c r="AH218" s="75"/>
      <c r="AI218" s="62"/>
    </row>
    <row r="219" spans="34:38" x14ac:dyDescent="0.2">
      <c r="AH219" s="75"/>
      <c r="AI219" s="62"/>
    </row>
    <row r="220" spans="34:38" x14ac:dyDescent="0.2">
      <c r="AH220" s="75"/>
      <c r="AI220" s="62"/>
    </row>
    <row r="221" spans="34:38" x14ac:dyDescent="0.2">
      <c r="AH221" s="75"/>
    </row>
    <row r="222" spans="34:38" x14ac:dyDescent="0.2">
      <c r="AH222" s="75"/>
      <c r="AI222" s="62"/>
      <c r="AJ222" s="180"/>
      <c r="AK222" s="180"/>
      <c r="AL222" s="220"/>
    </row>
    <row r="223" spans="34:38" x14ac:dyDescent="0.2">
      <c r="AH223" s="75"/>
      <c r="AI223" s="62"/>
    </row>
    <row r="224" spans="34:38" x14ac:dyDescent="0.2">
      <c r="AH224" s="75"/>
      <c r="AI224" s="62"/>
    </row>
    <row r="225" spans="34:35" x14ac:dyDescent="0.2">
      <c r="AH225" s="75"/>
      <c r="AI225" s="62"/>
    </row>
    <row r="226" spans="34:35" x14ac:dyDescent="0.2">
      <c r="AH226" s="75"/>
      <c r="AI226" s="62"/>
    </row>
    <row r="227" spans="34:35" x14ac:dyDescent="0.2">
      <c r="AH227" s="75"/>
      <c r="AI227" s="62"/>
    </row>
  </sheetData>
  <mergeCells count="42">
    <mergeCell ref="K3:K43"/>
    <mergeCell ref="K45:K60"/>
    <mergeCell ref="S3:S8"/>
    <mergeCell ref="K64:K71"/>
    <mergeCell ref="R3:R16"/>
    <mergeCell ref="S10:S16"/>
    <mergeCell ref="J3:J71"/>
    <mergeCell ref="B3:B88"/>
    <mergeCell ref="C3:C66"/>
    <mergeCell ref="C70:C78"/>
    <mergeCell ref="C80:C88"/>
    <mergeCell ref="AI166:AI171"/>
    <mergeCell ref="AI173:AI177"/>
    <mergeCell ref="AI109:AI112"/>
    <mergeCell ref="AI114:AI126"/>
    <mergeCell ref="AI128:AI135"/>
    <mergeCell ref="AI137:AI142"/>
    <mergeCell ref="AI159:AI164"/>
    <mergeCell ref="AQ3:AQ9"/>
    <mergeCell ref="AI149:AI153"/>
    <mergeCell ref="AI155:AI157"/>
    <mergeCell ref="Z3:Z70"/>
    <mergeCell ref="AA12:AA17"/>
    <mergeCell ref="AA19:AA25"/>
    <mergeCell ref="AA27:AA44"/>
    <mergeCell ref="AA46:AA58"/>
    <mergeCell ref="AA64:AA70"/>
    <mergeCell ref="AA3:AA10"/>
    <mergeCell ref="AH3:AH177"/>
    <mergeCell ref="AI31:AI35"/>
    <mergeCell ref="AI37:AI50"/>
    <mergeCell ref="AI52:AI57"/>
    <mergeCell ref="AI59:AI63"/>
    <mergeCell ref="AI65:AI69"/>
    <mergeCell ref="AI3:AI14"/>
    <mergeCell ref="AI16:AI29"/>
    <mergeCell ref="AI144:AI147"/>
    <mergeCell ref="AP3:AP9"/>
    <mergeCell ref="AI71:AI81"/>
    <mergeCell ref="AI83:AI95"/>
    <mergeCell ref="AI97:AI102"/>
    <mergeCell ref="AI104:AI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Rekap Insentif Sales Copy</vt:lpstr>
      <vt:lpstr>Rekap Insentif ASM</vt:lpstr>
      <vt:lpstr>Pencapaian ASM</vt:lpstr>
      <vt:lpstr>Rekap Insentif Sales</vt:lpstr>
      <vt:lpstr>Pencapaian Sales Value</vt:lpstr>
      <vt:lpstr>Pencapaian Product Focus</vt:lpstr>
      <vt:lpstr>Pencapaian Effective Call</vt:lpstr>
      <vt:lpstr>Pencapaian New Open Outlet</vt:lpstr>
      <vt:lpstr>Pencapaian Active Outlet</vt:lpstr>
      <vt:lpstr>Pencapaian Item per Outlet</vt:lpstr>
      <vt:lpstr>Pencapaian Product Display</vt:lpstr>
      <vt:lpstr>Pencapaian Sales Contract</vt:lpstr>
      <vt:lpstr>Pencapaian Co-Branding</vt:lpstr>
      <vt:lpstr>Pencapaian Join Event Activity</vt:lpstr>
      <vt:lpstr>Pencapaian Loading &amp; Drop Point</vt:lpstr>
      <vt:lpstr>Pencairan JABAR-1</vt:lpstr>
      <vt:lpstr>Pencairan JABAR-2</vt:lpstr>
      <vt:lpstr>Pencairan JABAR-3</vt:lpstr>
      <vt:lpstr>Pencairan JATENG</vt:lpstr>
      <vt:lpstr>Pencairan JATIM</vt:lpstr>
      <vt:lpstr>Pencairan LP</vt:lpstr>
      <vt:lpstr>Pencairan ASM</vt:lpstr>
      <vt:lpstr>Sales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Agus Sugiman</cp:lastModifiedBy>
  <dcterms:created xsi:type="dcterms:W3CDTF">2024-01-05T02:06:47Z</dcterms:created>
  <dcterms:modified xsi:type="dcterms:W3CDTF">2026-10-01T01:46:29Z</dcterms:modified>
</cp:coreProperties>
</file>