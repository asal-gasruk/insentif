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s/Projects/prototype/lahans-insentif/web/docs/"/>
    </mc:Choice>
  </mc:AlternateContent>
  <xr:revisionPtr revIDLastSave="0" documentId="13_ncr:1_{501F89B2-2F02-2E45-86B7-C3C83AA0F78C}" xr6:coauthVersionLast="47" xr6:coauthVersionMax="47" xr10:uidLastSave="{00000000-0000-0000-0000-000000000000}"/>
  <bookViews>
    <workbookView xWindow="0" yWindow="500" windowWidth="40960" windowHeight="23960" tabRatio="599" activeTab="2" xr2:uid="{FFD5CB83-4029-481A-8039-8DE27F7CE3A8}"/>
  </bookViews>
  <sheets>
    <sheet name="Sales Team" sheetId="1" state="hidden" r:id="rId1"/>
    <sheet name="Pembagian Insentif" sheetId="3" r:id="rId2"/>
    <sheet name="Sales Team SFA" sheetId="2" r:id="rId3"/>
  </sheets>
  <externalReferences>
    <externalReference r:id="rId4"/>
  </externalReferences>
  <definedNames>
    <definedName name="_xlnm._FilterDatabase" localSheetId="2" hidden="1">'Sales Team SFA'!$A$89:$G$160</definedName>
    <definedName name="ASM_PP">'[1]Pencapaian ASM ALL Q2 '!$C$24:$Q$27</definedName>
    <definedName name="ASM_RO">'[1]Pencapaian ASM ALL Q2 '!$C$15:$K$18</definedName>
    <definedName name="ASM_SV">'[1]Pencapaian ASM ALL Q2 '!$C$6:$N$9</definedName>
    <definedName name="PP_JAB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3" l="1"/>
  <c r="H14" i="3"/>
  <c r="E14" i="3"/>
  <c r="I13" i="3"/>
  <c r="H13" i="3"/>
  <c r="E13" i="3"/>
  <c r="I12" i="3"/>
  <c r="H12" i="3"/>
  <c r="E12" i="3"/>
  <c r="I11" i="3"/>
  <c r="H11" i="3"/>
  <c r="E11" i="3"/>
  <c r="I10" i="3"/>
  <c r="H10" i="3"/>
  <c r="E10" i="3"/>
  <c r="I9" i="3"/>
  <c r="H9" i="3"/>
  <c r="E9" i="3"/>
</calcChain>
</file>

<file path=xl/sharedStrings.xml><?xml version="1.0" encoding="utf-8"?>
<sst xmlns="http://schemas.openxmlformats.org/spreadsheetml/2006/main" count="1434" uniqueCount="333">
  <si>
    <t>AREA</t>
  </si>
  <si>
    <t>CABANG</t>
  </si>
  <si>
    <t>NAMA</t>
  </si>
  <si>
    <t>JABATAN</t>
  </si>
  <si>
    <t>JOIN DATE</t>
  </si>
  <si>
    <t>JAWA BARAT-1</t>
  </si>
  <si>
    <t>BANDUNG</t>
  </si>
  <si>
    <t>ARIFIN SUFJAN</t>
  </si>
  <si>
    <t>SPV</t>
  </si>
  <si>
    <t>JAWA BARAT-2</t>
  </si>
  <si>
    <t>GARUT</t>
  </si>
  <si>
    <t>JENI LESMANA</t>
  </si>
  <si>
    <t>JAWA BARAT-3</t>
  </si>
  <si>
    <t>SUKABUMI</t>
  </si>
  <si>
    <t>OMAN SUMANTRI</t>
  </si>
  <si>
    <t>JAWA TENGAH</t>
  </si>
  <si>
    <t>SEMARANG</t>
  </si>
  <si>
    <t>AGUSTINA</t>
  </si>
  <si>
    <t>ASS INDIRECT</t>
  </si>
  <si>
    <t>(VACANT)</t>
  </si>
  <si>
    <t>Wawan Kurniawan</t>
  </si>
  <si>
    <t>Salesman</t>
  </si>
  <si>
    <t>Sukmadin</t>
  </si>
  <si>
    <t>Mira Kusumawati</t>
  </si>
  <si>
    <t>(Vacant)</t>
  </si>
  <si>
    <t>Sales Exclusive</t>
  </si>
  <si>
    <t>Ujang Muhidin</t>
  </si>
  <si>
    <t>Driver</t>
  </si>
  <si>
    <t>Ridwan Arif</t>
  </si>
  <si>
    <t>Adnan Subur</t>
  </si>
  <si>
    <t>ASPR INDIRECT</t>
  </si>
  <si>
    <t>SPV DIST</t>
  </si>
  <si>
    <t>Nurdin</t>
  </si>
  <si>
    <t>Helper</t>
  </si>
  <si>
    <t>Hendrik</t>
  </si>
  <si>
    <t>Dede Suhendar</t>
  </si>
  <si>
    <t>Sigih Wahyani</t>
  </si>
  <si>
    <t>SP-GT</t>
  </si>
  <si>
    <t>MIX</t>
  </si>
  <si>
    <t>Cucu Yudi</t>
  </si>
  <si>
    <t>Engkan Rusmana</t>
  </si>
  <si>
    <t>Hanhan Suhendi</t>
  </si>
  <si>
    <t>Dian Slamet Setyawan</t>
  </si>
  <si>
    <t>Dendi Permana</t>
  </si>
  <si>
    <t>Sona Sukmayasa</t>
  </si>
  <si>
    <t>SP-MT</t>
  </si>
  <si>
    <t>Putro Prihadi</t>
  </si>
  <si>
    <t>Miman</t>
  </si>
  <si>
    <t>Isep Rohmadi</t>
  </si>
  <si>
    <t>Nasikin</t>
  </si>
  <si>
    <t>Iwa Setiawan</t>
  </si>
  <si>
    <t>Adie Wirahadi</t>
  </si>
  <si>
    <t>BOGOR</t>
  </si>
  <si>
    <t>DENI HERDIAN</t>
  </si>
  <si>
    <t>Anung Kurniawan</t>
  </si>
  <si>
    <t>Deri Kurnia Nugraha</t>
  </si>
  <si>
    <t>Candy Miranda</t>
  </si>
  <si>
    <t>Aso Warso</t>
  </si>
  <si>
    <t>Imam Taopik</t>
  </si>
  <si>
    <t>SOLO</t>
  </si>
  <si>
    <t>Dodhie Setiawan</t>
  </si>
  <si>
    <t>Saryanto</t>
  </si>
  <si>
    <t>Diki Wahyudin</t>
  </si>
  <si>
    <t>Dwi Setyaningsih</t>
  </si>
  <si>
    <t>Andri Supriadi</t>
  </si>
  <si>
    <t>Sansan Herdiansyah</t>
  </si>
  <si>
    <t>Haris Budiman</t>
  </si>
  <si>
    <t>Muhamad Yogi</t>
  </si>
  <si>
    <t>Nandang</t>
  </si>
  <si>
    <t>Oktaviany Tanjung</t>
  </si>
  <si>
    <t>Catur Saputri</t>
  </si>
  <si>
    <t>Sopian Kusmayana</t>
  </si>
  <si>
    <t>Dede Deri</t>
  </si>
  <si>
    <t>Gianti Firmansyah</t>
  </si>
  <si>
    <t>Dewi Suryanti</t>
  </si>
  <si>
    <t>Dadan Nugraha</t>
  </si>
  <si>
    <t>Moch. Ganjar Ilmani</t>
  </si>
  <si>
    <t>Tri Aris Rusdiaman</t>
  </si>
  <si>
    <t>Irman Hidayat</t>
  </si>
  <si>
    <t>Fitra Marwan</t>
  </si>
  <si>
    <t>Ridwan Nugraha</t>
  </si>
  <si>
    <t>TEGAL</t>
  </si>
  <si>
    <t>RITA IRANINGSIH</t>
  </si>
  <si>
    <t>Deni Romansyah</t>
  </si>
  <si>
    <t>Canvas Motoris</t>
  </si>
  <si>
    <t>Asep Rizal</t>
  </si>
  <si>
    <t>Yonatan</t>
  </si>
  <si>
    <t>Agus Saeful</t>
  </si>
  <si>
    <t>Solahudin</t>
  </si>
  <si>
    <t>Edi Mulyono</t>
  </si>
  <si>
    <t>ENDY AFRIANA NUGRAHA</t>
  </si>
  <si>
    <t>Rian Ernawan</t>
  </si>
  <si>
    <t>Danu Mujiarto</t>
  </si>
  <si>
    <t>Candra Irawan</t>
  </si>
  <si>
    <t>Hilmi Firmansyah</t>
  </si>
  <si>
    <t>Dwiqi Rezaldy Cahya Santoso</t>
  </si>
  <si>
    <t>Sukarno</t>
  </si>
  <si>
    <t>Ahmad Hambali</t>
  </si>
  <si>
    <t>Krisna Saputra</t>
  </si>
  <si>
    <t>Yopi Dana Wirya</t>
  </si>
  <si>
    <t>Sales Executive</t>
  </si>
  <si>
    <t>Diki Andriana</t>
  </si>
  <si>
    <t>ASM</t>
  </si>
  <si>
    <t>Mahyadin</t>
  </si>
  <si>
    <t>Ade Nurjaman</t>
  </si>
  <si>
    <t>WANGON</t>
  </si>
  <si>
    <t>R BUDI SATIYA NUGROHO</t>
  </si>
  <si>
    <t>Dadang Rusmana</t>
  </si>
  <si>
    <t>Budi Dermawan</t>
  </si>
  <si>
    <t>Task Force</t>
  </si>
  <si>
    <t>Novri Alvarizi</t>
  </si>
  <si>
    <t>Sales TO</t>
  </si>
  <si>
    <t>Kusada</t>
  </si>
  <si>
    <t>Mochamad Diki Mutaqin</t>
  </si>
  <si>
    <t>FSR</t>
  </si>
  <si>
    <t>Faria Ummi Kulsum</t>
  </si>
  <si>
    <t>Akin</t>
  </si>
  <si>
    <t>DANI MAINAKY</t>
  </si>
  <si>
    <t>ASPS</t>
  </si>
  <si>
    <t>Soimin</t>
  </si>
  <si>
    <t>Supriadi</t>
  </si>
  <si>
    <t>MOCH REZA ZUCHRAN FAUZI</t>
  </si>
  <si>
    <t>ASPR</t>
  </si>
  <si>
    <t>Ilham Bachtiar</t>
  </si>
  <si>
    <t>Peri Perdiansyah</t>
  </si>
  <si>
    <t>Neng Tik Tik Nurlatifah</t>
  </si>
  <si>
    <t>Anisa Hayi Majid</t>
  </si>
  <si>
    <t>Holis Nurholis</t>
  </si>
  <si>
    <t>Nur Afifah Fauziah</t>
  </si>
  <si>
    <t>Mustika Sari</t>
  </si>
  <si>
    <t>Ahmad Sobandi</t>
  </si>
  <si>
    <t>Resna Sulistiawaty</t>
  </si>
  <si>
    <t>Rafika Pusporini</t>
  </si>
  <si>
    <t>Ricat Batubara</t>
  </si>
  <si>
    <t>Salam Pajar Mantira P</t>
  </si>
  <si>
    <t>Ruddy Heryadi</t>
  </si>
  <si>
    <t>Nurul Utami</t>
  </si>
  <si>
    <t>⁠Aan Agustian</t>
  </si>
  <si>
    <t>Delivery Man</t>
  </si>
  <si>
    <t>Suhendar</t>
  </si>
  <si>
    <t>Arjun Dwi Saputra</t>
  </si>
  <si>
    <t>Helper Delivery</t>
  </si>
  <si>
    <t>Jajang Faryana</t>
  </si>
  <si>
    <t>Dendy Nurdiansyah</t>
  </si>
  <si>
    <t>Daun Hermanto</t>
  </si>
  <si>
    <t>Tatang Gumelar</t>
  </si>
  <si>
    <t>Yudi Purwanto</t>
  </si>
  <si>
    <t>Deva Akbar Maulana</t>
  </si>
  <si>
    <t>Ende Taryana</t>
  </si>
  <si>
    <t>Edi Sutikno</t>
  </si>
  <si>
    <t>Wawan Ridwan</t>
  </si>
  <si>
    <t>Wanda Akbar Saputra</t>
  </si>
  <si>
    <t>Rizky Hariyanto</t>
  </si>
  <si>
    <t>Nurul Hasihin</t>
  </si>
  <si>
    <t>Darussalam</t>
  </si>
  <si>
    <t>Driver Distributor</t>
  </si>
  <si>
    <t>Edi Sutrisno</t>
  </si>
  <si>
    <t>USDEK RIYANTO</t>
  </si>
  <si>
    <t>HORECA SPV</t>
  </si>
  <si>
    <t>Edy Sulaeman</t>
  </si>
  <si>
    <t>Dina Apriani</t>
  </si>
  <si>
    <t>Horeca Executive</t>
  </si>
  <si>
    <t>Yadi</t>
  </si>
  <si>
    <t>Helper Gudang</t>
  </si>
  <si>
    <t>TASIK</t>
  </si>
  <si>
    <t>CATUR ATOT RISTADIN</t>
  </si>
  <si>
    <t>KEY ACCOUNT SUPERVISOR</t>
  </si>
  <si>
    <t>Dede Hudaya</t>
  </si>
  <si>
    <t>WONOSOBO</t>
  </si>
  <si>
    <t>DANI MUSTIAWAN</t>
  </si>
  <si>
    <t>Dian Fitriani</t>
  </si>
  <si>
    <t>Key Account Executive</t>
  </si>
  <si>
    <t>Sansan Wirasandi</t>
  </si>
  <si>
    <t>Nur Sahid</t>
  </si>
  <si>
    <t>Dinda Dewi Maharani</t>
  </si>
  <si>
    <t>Dendy Zuendy</t>
  </si>
  <si>
    <t>Titin Chuzaemah</t>
  </si>
  <si>
    <t>Riska Nopa Nopianti</t>
  </si>
  <si>
    <t>Eris Rismana</t>
  </si>
  <si>
    <t>Suryatin</t>
  </si>
  <si>
    <t>Cristi Yulia</t>
  </si>
  <si>
    <t>Rizki Aditya Firmansyah</t>
  </si>
  <si>
    <t>Eko Prasetyo Lesmito</t>
  </si>
  <si>
    <t>Lina Karnia</t>
  </si>
  <si>
    <t>Wawan Darmawan</t>
  </si>
  <si>
    <t>Watini</t>
  </si>
  <si>
    <t>Yuli Herlina</t>
  </si>
  <si>
    <t>Moch Deni Muldani</t>
  </si>
  <si>
    <t>Andi</t>
  </si>
  <si>
    <t>ERITOGA FEBRIAWAN RIADY</t>
  </si>
  <si>
    <t>Hari Prayoga</t>
  </si>
  <si>
    <t>Resmi Aryanti</t>
  </si>
  <si>
    <t>Ai Rokayah</t>
  </si>
  <si>
    <t>IRFAN MALIK RAHMAN</t>
  </si>
  <si>
    <t>Wijayanti</t>
  </si>
  <si>
    <t>Dini Setiani</t>
  </si>
  <si>
    <t>Raisya Arifah Dwi Wahyuni</t>
  </si>
  <si>
    <t>Mira Yasa Natapradja</t>
  </si>
  <si>
    <t>Raudya Tuzahra Ramandani</t>
  </si>
  <si>
    <t>Slamet</t>
  </si>
  <si>
    <t>Putri Hartati Wijaksani</t>
  </si>
  <si>
    <t>Desi Ratna Wulan</t>
  </si>
  <si>
    <t>Ristoyo</t>
  </si>
  <si>
    <t>IWAN SETIAWAN</t>
  </si>
  <si>
    <t>WAREHOUSE CABANG SUPERVISOR</t>
  </si>
  <si>
    <t>Farisi Ardani</t>
  </si>
  <si>
    <t>Asep</t>
  </si>
  <si>
    <t>Asep Saepuloh</t>
  </si>
  <si>
    <t>*CATATAN:</t>
  </si>
  <si>
    <t>Cahyat</t>
  </si>
  <si>
    <t>Sandi Mulyadi</t>
  </si>
  <si>
    <t>Yuliandi Trianto</t>
  </si>
  <si>
    <t>Dede Kusnandar</t>
  </si>
  <si>
    <t>Kartana</t>
  </si>
  <si>
    <t>Yunita Setiana Wijaya</t>
  </si>
  <si>
    <t>Tata Sasmita</t>
  </si>
  <si>
    <t>Wandi Permana</t>
  </si>
  <si>
    <t>CIREBON</t>
  </si>
  <si>
    <t>IRFAN ACHMAD</t>
  </si>
  <si>
    <t>KEBUMEN</t>
  </si>
  <si>
    <t>ASS INDIRECT KEBUMEN</t>
  </si>
  <si>
    <t>Dede Kurniasih</t>
  </si>
  <si>
    <t>Rizal Rafka</t>
  </si>
  <si>
    <t>Asep Suparman</t>
  </si>
  <si>
    <t>Kriswanto</t>
  </si>
  <si>
    <t>Tia Ambarwati</t>
  </si>
  <si>
    <t>Siti Komariah Nurizky</t>
  </si>
  <si>
    <t>Key Account Supervisor</t>
  </si>
  <si>
    <t>Yoggi Isfarulloh</t>
  </si>
  <si>
    <t>Deny Koesmawan</t>
  </si>
  <si>
    <t>SUBANG</t>
  </si>
  <si>
    <t>ANWAR SIDIK</t>
  </si>
  <si>
    <t>Ali Tarmidi</t>
  </si>
  <si>
    <t>Mansyur</t>
  </si>
  <si>
    <t>Iah Qoriah</t>
  </si>
  <si>
    <t>Tohanudin</t>
  </si>
  <si>
    <t>Atan Sukmandar</t>
  </si>
  <si>
    <t>Arianto</t>
  </si>
  <si>
    <t>Sujiarto</t>
  </si>
  <si>
    <t>Asep Kusnadi</t>
  </si>
  <si>
    <t>Agus Geri Gustiana</t>
  </si>
  <si>
    <t>Asep Awaludin M Nur</t>
  </si>
  <si>
    <t>PURWAKARTA</t>
  </si>
  <si>
    <t>ENDANG KUSBINI</t>
  </si>
  <si>
    <t>Dede Supriadi</t>
  </si>
  <si>
    <t>Uce Ade Wira</t>
  </si>
  <si>
    <t>Mumuh</t>
  </si>
  <si>
    <t>Yayan Nurjaman</t>
  </si>
  <si>
    <t>Rudiana</t>
  </si>
  <si>
    <t>Acep Hendra</t>
  </si>
  <si>
    <t>Hahan Septiawan</t>
  </si>
  <si>
    <t>Eneng Santi Saripah</t>
  </si>
  <si>
    <t>Kode</t>
  </si>
  <si>
    <t>BDG-SLS-GT-001</t>
  </si>
  <si>
    <t xml:space="preserve"> </t>
  </si>
  <si>
    <t>BDG-SLS-GT-002</t>
  </si>
  <si>
    <t>BDG-SLS-GT-003</t>
  </si>
  <si>
    <t>BDG-SLS-GT-004</t>
  </si>
  <si>
    <t>BDG-SLS-GT-005</t>
  </si>
  <si>
    <t>BDG-SLS-GT-006</t>
  </si>
  <si>
    <t>BDG-SLS-GT-017</t>
  </si>
  <si>
    <t>BDG-SLS-GT-014</t>
  </si>
  <si>
    <t>BDG-SLS-GT-007</t>
  </si>
  <si>
    <t>BDG-SLS-GT-008</t>
  </si>
  <si>
    <t>BDG-SLS-GT-009</t>
  </si>
  <si>
    <t>BDG-SLS-GT-010</t>
  </si>
  <si>
    <t>BDG-SLS-GT-011</t>
  </si>
  <si>
    <t>BDG-SLS-GT-012</t>
  </si>
  <si>
    <t>BDG-SLS-HRC-002</t>
  </si>
  <si>
    <t>BDG-SLS-MT-001</t>
  </si>
  <si>
    <t>BDG-SLS-MT-002</t>
  </si>
  <si>
    <t>SBG-SLS-GT-001</t>
  </si>
  <si>
    <t>SBG-SLS-GT-002</t>
  </si>
  <si>
    <t>SBG-SLS-GT-003</t>
  </si>
  <si>
    <t>PWK-SLS-GT-001</t>
  </si>
  <si>
    <t>PWK-SLS-GT-002</t>
  </si>
  <si>
    <t>PWK-SLS-GT-003</t>
  </si>
  <si>
    <t>BDG-SLS-GT-019</t>
  </si>
  <si>
    <t>SKB-SLS-GT-001</t>
  </si>
  <si>
    <t>SKB-SLS-GT-002</t>
  </si>
  <si>
    <t>TGR-SLS-GT-001</t>
  </si>
  <si>
    <t>TGR-SLS-GT-002</t>
  </si>
  <si>
    <t>GRT-SLS-GT-002</t>
  </si>
  <si>
    <t>GRT-SLS-GT-004</t>
  </si>
  <si>
    <t>GRT-SLS-GT-001</t>
  </si>
  <si>
    <t>GRT-SLS-GT-005</t>
  </si>
  <si>
    <t>GRT-SLS-GT-007</t>
  </si>
  <si>
    <t>GRT-SLS-GT-003</t>
  </si>
  <si>
    <t>GRT-SLS-GT-008</t>
  </si>
  <si>
    <t>GRT-SLS-GT-009</t>
  </si>
  <si>
    <t>GRT-SLS-HRC-001</t>
  </si>
  <si>
    <t>GRT-SLS-GT-010</t>
  </si>
  <si>
    <t>TSK-SLS-GT-001</t>
  </si>
  <si>
    <t>TSK-SLS-GT-002</t>
  </si>
  <si>
    <t>TSK-SLS-GT-003</t>
  </si>
  <si>
    <t>TSK-SLS-GT-004</t>
  </si>
  <si>
    <t>TSK-SLS-HRC-001</t>
  </si>
  <si>
    <t>CRB-SLS-GT-002</t>
  </si>
  <si>
    <t>CRB-SLS-GT-003</t>
  </si>
  <si>
    <t>CRB-SLS-GT-001</t>
  </si>
  <si>
    <t>SMG-SLS-GT-001</t>
  </si>
  <si>
    <t>SMG-SLS-GT-002</t>
  </si>
  <si>
    <t>SLO-SLS-GT-001</t>
  </si>
  <si>
    <t>TGL-SLS-GT-001</t>
  </si>
  <si>
    <t>TGL-SLS-GT-002</t>
  </si>
  <si>
    <t>WGN-SLS-GT-001</t>
  </si>
  <si>
    <t>WGN-SLS-GT-002</t>
  </si>
  <si>
    <t>WGN-SLS-GT-004</t>
  </si>
  <si>
    <t>WGN-SLS-GT-003</t>
  </si>
  <si>
    <t>WNS-SLS-GT-001</t>
  </si>
  <si>
    <t>WNS-SLS-GT-004</t>
  </si>
  <si>
    <t>WNS-SLS-GT-002</t>
  </si>
  <si>
    <t>WNS-SLS-GT-003</t>
  </si>
  <si>
    <t>Jenis Mobil</t>
  </si>
  <si>
    <t>NIK Karyawan</t>
  </si>
  <si>
    <t>Pitra Marwan</t>
  </si>
  <si>
    <t>Adie Wirahadie</t>
  </si>
  <si>
    <t>Mochammad Diki Mutaqin</t>
  </si>
  <si>
    <t>3 Orang</t>
  </si>
  <si>
    <t>2 Orang</t>
  </si>
  <si>
    <t>SALES</t>
  </si>
  <si>
    <t>DRIVER DAN / HELPER</t>
  </si>
  <si>
    <t>DRIVER/HELPER</t>
  </si>
  <si>
    <t>Pembagian Insentif</t>
  </si>
  <si>
    <t>INCENTIVE SALES VALUE</t>
  </si>
  <si>
    <t>SALESMAN</t>
  </si>
  <si>
    <t>SALES VALUE</t>
  </si>
  <si>
    <t>PENCAPAIAN (%)</t>
  </si>
  <si>
    <t>TYPE SALES</t>
  </si>
  <si>
    <t>ACTUAL</t>
  </si>
  <si>
    <t>TARGET</t>
  </si>
  <si>
    <t>Team</t>
  </si>
  <si>
    <t>ID SALESMAN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</si>
</sst>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9]d\-mmm\-yyyy;@"/>
    <numFmt numFmtId="166" formatCode="_(* #,##0_);_(* \(#,##0\);_(* &quot;-&quot;??_);_(@_)"/>
  </numFmts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165" fontId="4" fillId="4" borderId="1" xfId="0" applyNumberFormat="1" applyFont="1" applyFill="1" applyBorder="1"/>
    <xf numFmtId="165" fontId="4" fillId="4" borderId="1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4" borderId="2" xfId="0" applyFont="1" applyFill="1" applyBorder="1"/>
    <xf numFmtId="165" fontId="4" fillId="4" borderId="2" xfId="0" applyNumberFormat="1" applyFont="1" applyFill="1" applyBorder="1" applyAlignment="1">
      <alignment horizontal="center"/>
    </xf>
    <xf numFmtId="0" fontId="0" fillId="5" borderId="1" xfId="0" applyFill="1" applyBorder="1"/>
    <xf numFmtId="165" fontId="0" fillId="5" borderId="1" xfId="0" applyNumberFormat="1" applyFill="1" applyBorder="1"/>
    <xf numFmtId="165" fontId="0" fillId="5" borderId="1" xfId="0" applyNumberFormat="1" applyFill="1" applyBorder="1" applyAlignment="1">
      <alignment horizontal="center"/>
    </xf>
    <xf numFmtId="0" fontId="5" fillId="5" borderId="2" xfId="0" applyFont="1" applyFill="1" applyBorder="1"/>
    <xf numFmtId="0" fontId="0" fillId="5" borderId="2" xfId="0" applyFill="1" applyBorder="1"/>
    <xf numFmtId="165" fontId="0" fillId="5" borderId="2" xfId="0" quotePrefix="1" applyNumberFormat="1" applyFill="1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0" fillId="0" borderId="2" xfId="0" applyBorder="1"/>
    <xf numFmtId="165" fontId="0" fillId="0" borderId="2" xfId="0" applyNumberFormat="1" applyBorder="1" applyAlignment="1">
      <alignment horizontal="center"/>
    </xf>
    <xf numFmtId="165" fontId="0" fillId="0" borderId="1" xfId="0" applyNumberFormat="1" applyBorder="1"/>
    <xf numFmtId="165" fontId="0" fillId="0" borderId="2" xfId="0" quotePrefix="1" applyNumberFormat="1" applyBorder="1" applyAlignment="1">
      <alignment horizontal="center" vertical="center"/>
    </xf>
    <xf numFmtId="0" fontId="5" fillId="5" borderId="1" xfId="0" applyFont="1" applyFill="1" applyBorder="1"/>
    <xf numFmtId="0" fontId="5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165" fontId="2" fillId="0" borderId="2" xfId="0" quotePrefix="1" applyNumberFormat="1" applyFont="1" applyBorder="1" applyAlignment="1">
      <alignment horizontal="center" vertical="center"/>
    </xf>
    <xf numFmtId="0" fontId="2" fillId="0" borderId="0" xfId="0" applyFont="1"/>
    <xf numFmtId="165" fontId="0" fillId="5" borderId="2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6" fillId="5" borderId="2" xfId="0" applyFont="1" applyFill="1" applyBorder="1"/>
    <xf numFmtId="165" fontId="6" fillId="5" borderId="2" xfId="0" applyNumberFormat="1" applyFont="1" applyFill="1" applyBorder="1" applyAlignment="1">
      <alignment horizontal="center"/>
    </xf>
    <xf numFmtId="0" fontId="7" fillId="5" borderId="2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0" xfId="0" applyAlignment="1">
      <alignment horizontal="center"/>
    </xf>
    <xf numFmtId="0" fontId="5" fillId="0" borderId="1" xfId="0" applyFont="1" applyBorder="1"/>
    <xf numFmtId="165" fontId="2" fillId="0" borderId="2" xfId="0" applyNumberFormat="1" applyFont="1" applyBorder="1" applyAlignment="1">
      <alignment horizontal="center"/>
    </xf>
    <xf numFmtId="165" fontId="4" fillId="4" borderId="2" xfId="0" quotePrefix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4" fillId="4" borderId="2" xfId="0" applyNumberFormat="1" applyFont="1" applyFill="1" applyBorder="1" applyAlignment="1">
      <alignment horizontal="right"/>
    </xf>
    <xf numFmtId="165" fontId="0" fillId="5" borderId="2" xfId="0" applyNumberFormat="1" applyFill="1" applyBorder="1" applyAlignment="1">
      <alignment horizontal="right"/>
    </xf>
    <xf numFmtId="165" fontId="0" fillId="5" borderId="2" xfId="0" quotePrefix="1" applyNumberFormat="1" applyFill="1" applyBorder="1" applyAlignment="1">
      <alignment horizontal="right" vertical="center"/>
    </xf>
    <xf numFmtId="165" fontId="0" fillId="0" borderId="2" xfId="0" quotePrefix="1" applyNumberFormat="1" applyBorder="1" applyAlignment="1">
      <alignment horizontal="right" vertic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8" fillId="6" borderId="1" xfId="0" applyFont="1" applyFill="1" applyBorder="1"/>
    <xf numFmtId="0" fontId="8" fillId="5" borderId="1" xfId="0" applyFont="1" applyFill="1" applyBorder="1"/>
    <xf numFmtId="0" fontId="8" fillId="6" borderId="2" xfId="0" applyFont="1" applyFill="1" applyBorder="1"/>
    <xf numFmtId="0" fontId="0" fillId="6" borderId="1" xfId="0" applyFill="1" applyBorder="1"/>
    <xf numFmtId="0" fontId="8" fillId="5" borderId="2" xfId="0" applyFont="1" applyFill="1" applyBorder="1"/>
    <xf numFmtId="0" fontId="8" fillId="0" borderId="2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0" fillId="0" borderId="6" xfId="0" applyBorder="1"/>
    <xf numFmtId="9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6" fontId="0" fillId="0" borderId="6" xfId="1" applyNumberFormat="1" applyFont="1" applyBorder="1"/>
    <xf numFmtId="166" fontId="10" fillId="8" borderId="6" xfId="1" applyNumberFormat="1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10" fontId="6" fillId="0" borderId="6" xfId="2" applyNumberFormat="1" applyFont="1" applyFill="1" applyBorder="1" applyAlignment="1" applyProtection="1">
      <alignment wrapText="1"/>
      <protection locked="0"/>
    </xf>
    <xf numFmtId="166" fontId="0" fillId="0" borderId="6" xfId="1" applyNumberFormat="1" applyFont="1" applyFill="1" applyBorder="1"/>
    <xf numFmtId="0" fontId="0" fillId="7" borderId="6" xfId="0" applyFill="1" applyBorder="1"/>
    <xf numFmtId="166" fontId="0" fillId="7" borderId="6" xfId="1" applyNumberFormat="1" applyFont="1" applyFill="1" applyBorder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166" fontId="2" fillId="8" borderId="7" xfId="1" applyNumberFormat="1" applyFont="1" applyFill="1" applyBorder="1" applyAlignment="1">
      <alignment horizontal="center" vertical="center" wrapText="1"/>
    </xf>
    <xf numFmtId="166" fontId="2" fillId="8" borderId="8" xfId="1" applyNumberFormat="1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horizontal="center" vertical="center" wrapText="1"/>
    </xf>
    <xf numFmtId="0" fontId="10" fillId="8" borderId="8" xfId="0" applyFont="1" applyFill="1" applyBorder="1" applyAlignment="1">
      <alignment horizontal="center" vertical="center" wrapText="1"/>
    </xf>
    <xf numFmtId="166" fontId="2" fillId="8" borderId="7" xfId="1" applyNumberFormat="1" applyFont="1" applyFill="1" applyBorder="1" applyAlignment="1" applyProtection="1">
      <alignment horizontal="center" vertical="center" wrapText="1"/>
      <protection locked="0"/>
    </xf>
    <xf numFmtId="166" fontId="2" fillId="8" borderId="8" xfId="1" applyNumberFormat="1" applyFont="1" applyFill="1" applyBorder="1" applyAlignment="1" applyProtection="1">
      <alignment horizontal="center" vertical="center" wrapText="1"/>
      <protection locked="0"/>
    </xf>
    <xf numFmtId="10" fontId="2" fillId="8" borderId="7" xfId="2" applyNumberFormat="1" applyFont="1" applyFill="1" applyBorder="1" applyAlignment="1" applyProtection="1">
      <alignment horizontal="center" wrapText="1"/>
      <protection locked="0"/>
    </xf>
    <xf numFmtId="10" fontId="2" fillId="8" borderId="8" xfId="2" applyNumberFormat="1" applyFont="1" applyFill="1" applyBorder="1" applyAlignment="1" applyProtection="1">
      <alignment horizontal="center" wrapText="1"/>
      <protection locked="0"/>
    </xf>
    <xf numFmtId="0" fontId="2" fillId="8" borderId="7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DMIN/Documents/MyJob/LMN/Data%20LMN/REPORTING/Insentif/Perhitungan%20Insentif%20Fix/Pencapaian%20November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Insentif Sales (2)"/>
      <sheetName val="Rekap Pembayaran Insentif"/>
      <sheetName val="Rekap Insentif ASM"/>
      <sheetName val="Pencapaian ASM ALL Q2 "/>
      <sheetName val="Rekap Insentif Sales"/>
      <sheetName val="Pencapaian Target Nov 2023"/>
      <sheetName val="Pencapaian Target AO Nov"/>
      <sheetName val="Pencapaian Target Prod Fokus NO"/>
      <sheetName val="PENCAIRAN JABAR"/>
      <sheetName val="PENCAIRAN JATENG (2)"/>
      <sheetName val="PENCAIRAN JATIM (3)"/>
      <sheetName val="Sheet2"/>
      <sheetName val="Pencapaian November_2023"/>
    </sheetNames>
    <sheetDataSet>
      <sheetData sheetId="0"/>
      <sheetData sheetId="1"/>
      <sheetData sheetId="2"/>
      <sheetData sheetId="3">
        <row r="6">
          <cell r="C6" t="str">
            <v>BENNY HERDIANA (ASM)</v>
          </cell>
          <cell r="D6">
            <v>5660613355</v>
          </cell>
          <cell r="E6">
            <v>7082323150</v>
          </cell>
          <cell r="F6">
            <v>6727657001</v>
          </cell>
          <cell r="G6">
            <v>19470593506</v>
          </cell>
          <cell r="H6">
            <v>6624846455.187623</v>
          </cell>
          <cell r="I6">
            <v>7631576724</v>
          </cell>
          <cell r="J6">
            <v>8377689355.8480749</v>
          </cell>
          <cell r="K6">
            <v>22634112535.035698</v>
          </cell>
          <cell r="L6">
            <v>0.86</v>
          </cell>
          <cell r="M6" t="str">
            <v>ASM</v>
          </cell>
          <cell r="N6">
            <v>0</v>
          </cell>
        </row>
        <row r="7">
          <cell r="C7" t="str">
            <v>AGUS RIYANTO (ASM)</v>
          </cell>
          <cell r="D7">
            <v>1120626900</v>
          </cell>
          <cell r="E7">
            <v>1357937200</v>
          </cell>
          <cell r="F7">
            <v>1278980950</v>
          </cell>
          <cell r="G7">
            <v>3757545050</v>
          </cell>
          <cell r="H7">
            <v>1407748891.1904261</v>
          </cell>
          <cell r="I7">
            <v>1556937147</v>
          </cell>
          <cell r="J7">
            <v>1704119081.82196</v>
          </cell>
          <cell r="K7">
            <v>4668805120.0123863</v>
          </cell>
          <cell r="L7">
            <v>0.80500000000000005</v>
          </cell>
          <cell r="M7" t="str">
            <v>ASM</v>
          </cell>
          <cell r="N7">
            <v>0</v>
          </cell>
        </row>
        <row r="8">
          <cell r="C8" t="str">
            <v>AGUS CHUDLORI (ASM)</v>
          </cell>
          <cell r="D8">
            <v>298166200</v>
          </cell>
          <cell r="E8">
            <v>645153000</v>
          </cell>
          <cell r="F8">
            <v>365353200</v>
          </cell>
          <cell r="G8">
            <v>1308672400</v>
          </cell>
          <cell r="H8">
            <v>768000000</v>
          </cell>
          <cell r="I8">
            <v>900000000</v>
          </cell>
          <cell r="J8">
            <v>950000000</v>
          </cell>
          <cell r="K8">
            <v>2618000000</v>
          </cell>
          <cell r="L8">
            <v>0.5</v>
          </cell>
          <cell r="M8" t="str">
            <v>ASM</v>
          </cell>
          <cell r="N8">
            <v>0</v>
          </cell>
        </row>
        <row r="9">
          <cell r="D9">
            <v>7079406455</v>
          </cell>
          <cell r="E9">
            <v>9085413350</v>
          </cell>
          <cell r="F9">
            <v>8371991151</v>
          </cell>
          <cell r="G9">
            <v>24536810956</v>
          </cell>
          <cell r="H9">
            <v>8800595346.3780479</v>
          </cell>
          <cell r="I9">
            <v>10088513871</v>
          </cell>
          <cell r="J9">
            <v>11031808437.670034</v>
          </cell>
          <cell r="K9">
            <v>29920917655.048084</v>
          </cell>
          <cell r="L9">
            <v>0.82</v>
          </cell>
          <cell r="N9">
            <v>0</v>
          </cell>
        </row>
        <row r="15">
          <cell r="C15" t="str">
            <v>BENNY HERDIANA (ASM)</v>
          </cell>
          <cell r="D15">
            <v>4787</v>
          </cell>
          <cell r="E15">
            <v>4098</v>
          </cell>
          <cell r="F15">
            <v>1.1679999999999999</v>
          </cell>
          <cell r="G15" t="str">
            <v>ASM</v>
          </cell>
          <cell r="K15">
            <v>600000</v>
          </cell>
        </row>
        <row r="16">
          <cell r="C16" t="str">
            <v>AGUS RIYANTO (ASM)</v>
          </cell>
          <cell r="D16">
            <v>2218</v>
          </cell>
          <cell r="E16">
            <v>2591</v>
          </cell>
          <cell r="F16">
            <v>0.85599999999999998</v>
          </cell>
          <cell r="G16" t="str">
            <v>ASM</v>
          </cell>
          <cell r="K16">
            <v>0</v>
          </cell>
        </row>
        <row r="17">
          <cell r="C17" t="str">
            <v>AGUS CHUDLORI (ASM)</v>
          </cell>
          <cell r="D17">
            <v>2385</v>
          </cell>
          <cell r="E17">
            <v>2379</v>
          </cell>
          <cell r="F17">
            <v>1.0029999999999999</v>
          </cell>
          <cell r="G17" t="str">
            <v>ASM</v>
          </cell>
          <cell r="K17">
            <v>600000</v>
          </cell>
        </row>
        <row r="18">
          <cell r="D18">
            <v>9390</v>
          </cell>
          <cell r="E18">
            <v>9068</v>
          </cell>
          <cell r="K18">
            <v>1200000</v>
          </cell>
        </row>
        <row r="24">
          <cell r="C24" t="str">
            <v>BENNY HERDIANA (ASM)</v>
          </cell>
          <cell r="D24">
            <v>8023</v>
          </cell>
          <cell r="E24">
            <v>12473</v>
          </cell>
          <cell r="F24">
            <v>0.64300000000000002</v>
          </cell>
          <cell r="G24">
            <v>3652</v>
          </cell>
          <cell r="K24">
            <v>5505</v>
          </cell>
          <cell r="L24">
            <v>0.66300000000000003</v>
          </cell>
          <cell r="M24"/>
          <cell r="N24"/>
          <cell r="O24">
            <v>0</v>
          </cell>
          <cell r="P24" t="str">
            <v>ASM</v>
          </cell>
          <cell r="Q24">
            <v>0</v>
          </cell>
        </row>
        <row r="25">
          <cell r="C25" t="str">
            <v>AGUS RIYANTO (ASM)</v>
          </cell>
          <cell r="D25"/>
          <cell r="E25"/>
          <cell r="F25">
            <v>0</v>
          </cell>
          <cell r="G25">
            <v>286</v>
          </cell>
          <cell r="K25">
            <v>1155</v>
          </cell>
          <cell r="L25">
            <v>0.248</v>
          </cell>
          <cell r="M25">
            <v>2678</v>
          </cell>
          <cell r="N25">
            <v>3565</v>
          </cell>
          <cell r="O25">
            <v>0.751</v>
          </cell>
          <cell r="P25" t="str">
            <v>ASM</v>
          </cell>
          <cell r="Q25">
            <v>0</v>
          </cell>
        </row>
        <row r="26">
          <cell r="C26" t="str">
            <v>AGUS CHUDLORI (ASM)</v>
          </cell>
          <cell r="D26"/>
          <cell r="E26"/>
          <cell r="F26">
            <v>0</v>
          </cell>
          <cell r="G26">
            <v>955</v>
          </cell>
          <cell r="K26">
            <v>2316</v>
          </cell>
          <cell r="L26">
            <v>0.41199999999999998</v>
          </cell>
          <cell r="M26">
            <v>6930</v>
          </cell>
          <cell r="N26">
            <v>7218</v>
          </cell>
          <cell r="O26">
            <v>0.96</v>
          </cell>
          <cell r="P26" t="str">
            <v>ASM</v>
          </cell>
          <cell r="Q26">
            <v>210000</v>
          </cell>
        </row>
        <row r="27">
          <cell r="C27"/>
          <cell r="D27">
            <v>8023</v>
          </cell>
          <cell r="E27">
            <v>12473</v>
          </cell>
          <cell r="F27"/>
          <cell r="G27">
            <v>4893</v>
          </cell>
          <cell r="K27">
            <v>8976</v>
          </cell>
          <cell r="L27"/>
          <cell r="M27">
            <v>9608</v>
          </cell>
          <cell r="N27">
            <v>10783</v>
          </cell>
          <cell r="O27"/>
          <cell r="P27"/>
          <cell r="Q27">
            <v>210000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D999-8AF6-4F81-8C28-DB955E098B59}">
  <dimension ref="B2:XFA141"/>
  <sheetViews>
    <sheetView showGridLines="0" topLeftCell="A49" zoomScale="70" zoomScaleNormal="70" workbookViewId="0">
      <selection activeCell="E19" sqref="E19"/>
    </sheetView>
  </sheetViews>
  <sheetFormatPr baseColWidth="10" defaultColWidth="8.83203125" defaultRowHeight="15"/>
  <cols>
    <col min="1" max="1" width="2.6640625" customWidth="1"/>
    <col min="2" max="3" width="15.5" customWidth="1"/>
    <col min="4" max="5" width="30.5" customWidth="1"/>
    <col min="6" max="7" width="15.5" customWidth="1"/>
    <col min="9" max="10" width="15.5" customWidth="1"/>
    <col min="11" max="12" width="30.5" customWidth="1"/>
    <col min="13" max="13" width="15.5" customWidth="1"/>
    <col min="14" max="14" width="13.1640625" style="31" customWidth="1"/>
    <col min="18" max="19" width="15.5" customWidth="1"/>
    <col min="20" max="21" width="30.5" customWidth="1"/>
    <col min="22" max="22" width="15.5" customWidth="1"/>
    <col min="23" max="23" width="12.33203125" style="31" bestFit="1" customWidth="1"/>
    <col min="27" max="27" width="15.5" customWidth="1"/>
    <col min="28" max="28" width="15.5" style="37" customWidth="1"/>
    <col min="29" max="30" width="30.5" customWidth="1"/>
    <col min="31" max="31" width="15.5" customWidth="1"/>
    <col min="32" max="32" width="12.5" style="21" bestFit="1" customWidth="1"/>
  </cols>
  <sheetData>
    <row r="2" spans="2:35 16381:16381" s="3" customFormat="1" ht="20" customHeight="1">
      <c r="B2" s="1" t="s">
        <v>0</v>
      </c>
      <c r="C2" s="1" t="s">
        <v>1</v>
      </c>
      <c r="D2" s="1" t="s">
        <v>2</v>
      </c>
      <c r="E2" s="1" t="s">
        <v>252</v>
      </c>
      <c r="F2" s="1" t="s">
        <v>3</v>
      </c>
      <c r="G2" s="1" t="s">
        <v>313</v>
      </c>
      <c r="I2" s="1" t="s">
        <v>0</v>
      </c>
      <c r="J2" s="1" t="s">
        <v>1</v>
      </c>
      <c r="K2" s="1" t="s">
        <v>2</v>
      </c>
      <c r="L2" s="1" t="s">
        <v>252</v>
      </c>
      <c r="M2" s="1" t="s">
        <v>3</v>
      </c>
      <c r="N2" s="2" t="s">
        <v>313</v>
      </c>
      <c r="O2"/>
      <c r="Q2"/>
      <c r="R2" s="1" t="s">
        <v>0</v>
      </c>
      <c r="S2" s="1" t="s">
        <v>1</v>
      </c>
      <c r="T2" s="1" t="s">
        <v>2</v>
      </c>
      <c r="U2" s="1" t="s">
        <v>252</v>
      </c>
      <c r="V2" s="1" t="s">
        <v>3</v>
      </c>
      <c r="W2" s="2" t="s">
        <v>313</v>
      </c>
      <c r="X2"/>
      <c r="Y2"/>
      <c r="Z2"/>
      <c r="AA2" s="4" t="s">
        <v>0</v>
      </c>
      <c r="AB2" s="4" t="s">
        <v>1</v>
      </c>
      <c r="AC2" s="4" t="s">
        <v>2</v>
      </c>
      <c r="AD2" s="4" t="s">
        <v>252</v>
      </c>
      <c r="AE2" s="4" t="s">
        <v>3</v>
      </c>
      <c r="AF2" s="5" t="s">
        <v>313</v>
      </c>
      <c r="AH2"/>
      <c r="AI2"/>
      <c r="XFA2" s="5" t="s">
        <v>4</v>
      </c>
    </row>
    <row r="3" spans="2:35 16381:16381">
      <c r="B3" s="74" t="s">
        <v>5</v>
      </c>
      <c r="C3" s="70" t="s">
        <v>6</v>
      </c>
      <c r="D3" s="6" t="s">
        <v>7</v>
      </c>
      <c r="E3" s="6">
        <v>0</v>
      </c>
      <c r="F3" s="6" t="s">
        <v>8</v>
      </c>
      <c r="G3" s="6"/>
      <c r="I3" s="77" t="s">
        <v>9</v>
      </c>
      <c r="J3" s="70" t="s">
        <v>10</v>
      </c>
      <c r="K3" s="6" t="s">
        <v>11</v>
      </c>
      <c r="L3" s="6"/>
      <c r="M3" s="6" t="s">
        <v>8</v>
      </c>
      <c r="N3" s="8"/>
      <c r="R3" s="77" t="s">
        <v>12</v>
      </c>
      <c r="S3" s="70" t="s">
        <v>13</v>
      </c>
      <c r="T3" s="6" t="s">
        <v>14</v>
      </c>
      <c r="U3" s="6"/>
      <c r="V3" s="6" t="s">
        <v>8</v>
      </c>
      <c r="W3" s="8"/>
      <c r="AA3" s="73" t="s">
        <v>15</v>
      </c>
      <c r="AB3" s="69" t="s">
        <v>16</v>
      </c>
      <c r="AC3" s="10" t="s">
        <v>17</v>
      </c>
      <c r="AD3" s="10"/>
      <c r="AE3" s="10" t="s">
        <v>8</v>
      </c>
      <c r="AF3" s="11"/>
    </row>
    <row r="4" spans="2:35 16381:16381">
      <c r="B4" s="75"/>
      <c r="C4" s="71"/>
      <c r="D4" s="12" t="s">
        <v>20</v>
      </c>
      <c r="E4" s="52" t="s">
        <v>253</v>
      </c>
      <c r="F4" s="12" t="s">
        <v>21</v>
      </c>
      <c r="G4" s="12"/>
      <c r="I4" s="77"/>
      <c r="J4" s="71"/>
      <c r="K4" s="12" t="s">
        <v>22</v>
      </c>
      <c r="L4" s="52" t="s">
        <v>282</v>
      </c>
      <c r="M4" s="12" t="s">
        <v>21</v>
      </c>
      <c r="N4" s="14"/>
      <c r="R4" s="77"/>
      <c r="S4" s="71"/>
      <c r="T4" s="12" t="s">
        <v>23</v>
      </c>
      <c r="U4" s="12" t="s">
        <v>278</v>
      </c>
      <c r="V4" s="12" t="s">
        <v>21</v>
      </c>
      <c r="W4" s="14"/>
      <c r="AA4" s="73"/>
      <c r="AB4" s="69"/>
      <c r="AC4" s="15" t="s">
        <v>24</v>
      </c>
      <c r="AD4" s="55">
        <v>0</v>
      </c>
      <c r="AE4" s="16" t="s">
        <v>21</v>
      </c>
      <c r="AF4" s="17"/>
    </row>
    <row r="5" spans="2:35 16381:16381">
      <c r="B5" s="75"/>
      <c r="C5" s="71"/>
      <c r="D5" s="12" t="s">
        <v>26</v>
      </c>
      <c r="E5" s="52" t="s">
        <v>254</v>
      </c>
      <c r="F5" s="12" t="s">
        <v>27</v>
      </c>
      <c r="G5" s="12"/>
      <c r="I5" s="77"/>
      <c r="J5" s="71"/>
      <c r="K5" s="12" t="s">
        <v>28</v>
      </c>
      <c r="L5" s="52" t="s">
        <v>254</v>
      </c>
      <c r="M5" s="12" t="s">
        <v>27</v>
      </c>
      <c r="N5" s="14"/>
      <c r="R5" s="77"/>
      <c r="S5" s="71"/>
      <c r="T5" s="12" t="s">
        <v>29</v>
      </c>
      <c r="U5" s="12" t="s">
        <v>254</v>
      </c>
      <c r="V5" s="12" t="s">
        <v>27</v>
      </c>
      <c r="W5" s="14"/>
      <c r="AA5" s="73"/>
      <c r="AB5" s="69"/>
      <c r="AC5" s="15" t="s">
        <v>24</v>
      </c>
      <c r="AD5" s="55">
        <v>0</v>
      </c>
      <c r="AE5" s="16" t="s">
        <v>27</v>
      </c>
      <c r="AF5" s="17"/>
    </row>
    <row r="6" spans="2:35 16381:16381">
      <c r="B6" s="75"/>
      <c r="C6" s="71"/>
      <c r="D6" s="12" t="s">
        <v>32</v>
      </c>
      <c r="E6" s="52" t="s">
        <v>254</v>
      </c>
      <c r="F6" s="12" t="s">
        <v>33</v>
      </c>
      <c r="G6" s="12"/>
      <c r="I6" s="77"/>
      <c r="J6" s="71"/>
      <c r="K6" s="18" t="s">
        <v>34</v>
      </c>
      <c r="L6" s="51" t="s">
        <v>283</v>
      </c>
      <c r="M6" s="18" t="s">
        <v>21</v>
      </c>
      <c r="N6" s="19"/>
      <c r="R6" s="77"/>
      <c r="S6" s="71"/>
      <c r="T6" s="18" t="s">
        <v>35</v>
      </c>
      <c r="U6" s="54" t="s">
        <v>279</v>
      </c>
      <c r="V6" s="18" t="s">
        <v>21</v>
      </c>
      <c r="W6" s="19"/>
      <c r="AA6" s="73"/>
      <c r="AB6" s="69"/>
      <c r="AC6" s="20" t="s">
        <v>36</v>
      </c>
      <c r="AD6" s="53" t="s">
        <v>300</v>
      </c>
      <c r="AE6" s="20" t="s">
        <v>21</v>
      </c>
    </row>
    <row r="7" spans="2:35 16381:16381">
      <c r="B7" s="75"/>
      <c r="C7" s="71"/>
      <c r="D7" s="18" t="s">
        <v>39</v>
      </c>
      <c r="E7" s="51" t="s">
        <v>255</v>
      </c>
      <c r="F7" s="18" t="s">
        <v>21</v>
      </c>
      <c r="G7" s="18"/>
      <c r="I7" s="77"/>
      <c r="J7" s="71"/>
      <c r="K7" s="18" t="s">
        <v>40</v>
      </c>
      <c r="L7" s="51" t="s">
        <v>254</v>
      </c>
      <c r="M7" s="18" t="s">
        <v>27</v>
      </c>
      <c r="N7" s="19"/>
      <c r="R7" s="77"/>
      <c r="S7" s="71"/>
      <c r="T7" s="18" t="s">
        <v>41</v>
      </c>
      <c r="U7" s="54" t="s">
        <v>254</v>
      </c>
      <c r="V7" s="18" t="s">
        <v>27</v>
      </c>
      <c r="W7" s="19"/>
      <c r="AA7" s="73"/>
      <c r="AB7" s="69"/>
      <c r="AC7" s="20" t="s">
        <v>42</v>
      </c>
      <c r="AD7" s="53" t="s">
        <v>254</v>
      </c>
      <c r="AE7" s="20" t="s">
        <v>27</v>
      </c>
      <c r="AF7" s="23"/>
    </row>
    <row r="8" spans="2:35 16381:16381">
      <c r="B8" s="75"/>
      <c r="C8" s="71"/>
      <c r="D8" s="18" t="s">
        <v>43</v>
      </c>
      <c r="E8" s="51" t="s">
        <v>254</v>
      </c>
      <c r="F8" s="18" t="s">
        <v>27</v>
      </c>
      <c r="G8" s="18"/>
      <c r="I8" s="77"/>
      <c r="J8" s="71"/>
      <c r="K8" s="12" t="s">
        <v>44</v>
      </c>
      <c r="L8" s="52" t="s">
        <v>284</v>
      </c>
      <c r="M8" s="12" t="s">
        <v>21</v>
      </c>
      <c r="N8" s="14"/>
      <c r="R8" s="77"/>
      <c r="S8" s="72"/>
      <c r="T8" s="24" t="s">
        <v>24</v>
      </c>
      <c r="U8" s="12" t="s">
        <v>254</v>
      </c>
      <c r="V8" s="12" t="s">
        <v>45</v>
      </c>
      <c r="W8" s="14"/>
      <c r="AA8" s="73"/>
      <c r="AB8" s="69"/>
      <c r="AC8" s="16" t="s">
        <v>46</v>
      </c>
      <c r="AD8" s="55" t="s">
        <v>301</v>
      </c>
      <c r="AE8" s="16" t="s">
        <v>21</v>
      </c>
      <c r="AF8" s="17"/>
    </row>
    <row r="9" spans="2:35 16381:16381">
      <c r="B9" s="75"/>
      <c r="C9" s="71"/>
      <c r="D9" s="18" t="s">
        <v>47</v>
      </c>
      <c r="E9" s="51" t="s">
        <v>254</v>
      </c>
      <c r="F9" s="18" t="s">
        <v>33</v>
      </c>
      <c r="G9" s="18"/>
      <c r="I9" s="77"/>
      <c r="J9" s="71"/>
      <c r="K9" s="12" t="s">
        <v>48</v>
      </c>
      <c r="L9" s="52" t="s">
        <v>254</v>
      </c>
      <c r="M9" s="12" t="s">
        <v>27</v>
      </c>
      <c r="N9" s="14"/>
      <c r="R9" s="77"/>
      <c r="S9" s="18"/>
      <c r="T9" s="18"/>
      <c r="U9" s="54" t="s">
        <v>254</v>
      </c>
      <c r="V9" s="18"/>
      <c r="W9" s="19"/>
      <c r="AA9" s="73"/>
      <c r="AB9" s="69"/>
      <c r="AC9" s="16" t="s">
        <v>49</v>
      </c>
      <c r="AD9" s="55" t="s">
        <v>254</v>
      </c>
      <c r="AE9" s="16" t="s">
        <v>27</v>
      </c>
      <c r="AF9" s="17"/>
    </row>
    <row r="10" spans="2:35 16381:16381">
      <c r="B10" s="75"/>
      <c r="C10" s="71"/>
      <c r="D10" s="12" t="s">
        <v>50</v>
      </c>
      <c r="E10" s="52" t="s">
        <v>256</v>
      </c>
      <c r="F10" s="12" t="s">
        <v>21</v>
      </c>
      <c r="G10" s="12"/>
      <c r="I10" s="77"/>
      <c r="J10" s="71"/>
      <c r="K10" s="18" t="s">
        <v>51</v>
      </c>
      <c r="L10" s="51" t="s">
        <v>285</v>
      </c>
      <c r="M10" s="18" t="s">
        <v>21</v>
      </c>
      <c r="N10" s="19"/>
      <c r="R10" s="77"/>
      <c r="S10" s="70" t="s">
        <v>52</v>
      </c>
      <c r="T10" s="6" t="s">
        <v>53</v>
      </c>
      <c r="U10" s="6"/>
      <c r="V10" s="6" t="s">
        <v>8</v>
      </c>
      <c r="W10" s="8"/>
      <c r="AA10" s="73"/>
      <c r="AB10" s="69"/>
      <c r="AC10" s="25" t="s">
        <v>24</v>
      </c>
      <c r="AD10" s="53">
        <v>0</v>
      </c>
      <c r="AE10" s="20" t="s">
        <v>37</v>
      </c>
      <c r="AF10" s="23"/>
    </row>
    <row r="11" spans="2:35 16381:16381">
      <c r="B11" s="75"/>
      <c r="C11" s="71"/>
      <c r="D11" s="12" t="s">
        <v>54</v>
      </c>
      <c r="E11" s="52" t="s">
        <v>254</v>
      </c>
      <c r="F11" s="12" t="s">
        <v>27</v>
      </c>
      <c r="G11" s="12"/>
      <c r="I11" s="77"/>
      <c r="J11" s="71"/>
      <c r="K11" s="18" t="s">
        <v>55</v>
      </c>
      <c r="L11" s="51" t="s">
        <v>254</v>
      </c>
      <c r="M11" s="18" t="s">
        <v>27</v>
      </c>
      <c r="N11" s="19"/>
      <c r="R11" s="77"/>
      <c r="S11" s="71"/>
      <c r="T11" s="12" t="s">
        <v>56</v>
      </c>
      <c r="U11" s="12" t="s">
        <v>280</v>
      </c>
      <c r="V11" s="12" t="s">
        <v>21</v>
      </c>
      <c r="W11" s="14"/>
      <c r="AA11" s="73"/>
      <c r="AB11" s="26"/>
      <c r="AC11" s="27"/>
      <c r="AD11" s="53" t="s">
        <v>254</v>
      </c>
      <c r="AE11" s="27"/>
      <c r="AF11" s="28"/>
    </row>
    <row r="12" spans="2:35 16381:16381">
      <c r="B12" s="75"/>
      <c r="C12" s="71"/>
      <c r="D12" s="12" t="s">
        <v>57</v>
      </c>
      <c r="E12" s="52" t="s">
        <v>254</v>
      </c>
      <c r="F12" s="12" t="s">
        <v>33</v>
      </c>
      <c r="G12" s="12"/>
      <c r="I12" s="77"/>
      <c r="J12" s="71"/>
      <c r="K12" s="6" t="s">
        <v>11</v>
      </c>
      <c r="L12" s="6"/>
      <c r="M12" s="6" t="s">
        <v>8</v>
      </c>
      <c r="N12" s="8"/>
      <c r="R12" s="77"/>
      <c r="S12" s="71"/>
      <c r="T12" s="12" t="s">
        <v>58</v>
      </c>
      <c r="U12" s="12" t="s">
        <v>254</v>
      </c>
      <c r="V12" s="12" t="s">
        <v>27</v>
      </c>
      <c r="W12" s="14"/>
      <c r="AA12" s="73"/>
      <c r="AB12" s="69" t="s">
        <v>59</v>
      </c>
      <c r="AC12" s="10" t="s">
        <v>19</v>
      </c>
      <c r="AD12" s="10"/>
      <c r="AE12" s="10" t="s">
        <v>18</v>
      </c>
      <c r="AF12" s="11"/>
    </row>
    <row r="13" spans="2:35 16381:16381">
      <c r="B13" s="75"/>
      <c r="C13" s="71"/>
      <c r="D13" s="18" t="s">
        <v>60</v>
      </c>
      <c r="E13" s="51" t="s">
        <v>257</v>
      </c>
      <c r="F13" s="18" t="s">
        <v>21</v>
      </c>
      <c r="G13" s="18"/>
      <c r="I13" s="77"/>
      <c r="J13" s="71"/>
      <c r="K13" s="12" t="s">
        <v>61</v>
      </c>
      <c r="L13" s="52" t="s">
        <v>286</v>
      </c>
      <c r="M13" s="12" t="s">
        <v>21</v>
      </c>
      <c r="N13" s="14"/>
      <c r="R13" s="77"/>
      <c r="S13" s="71"/>
      <c r="T13" s="18" t="s">
        <v>62</v>
      </c>
      <c r="U13" s="54" t="s">
        <v>281</v>
      </c>
      <c r="V13" s="18" t="s">
        <v>21</v>
      </c>
      <c r="W13" s="19"/>
      <c r="AA13" s="73"/>
      <c r="AB13" s="69"/>
      <c r="AC13" s="16" t="s">
        <v>63</v>
      </c>
      <c r="AD13" s="55" t="s">
        <v>302</v>
      </c>
      <c r="AE13" s="16" t="s">
        <v>25</v>
      </c>
      <c r="AF13" s="30"/>
    </row>
    <row r="14" spans="2:35 16381:16381">
      <c r="B14" s="75"/>
      <c r="C14" s="71"/>
      <c r="D14" s="18" t="s">
        <v>64</v>
      </c>
      <c r="E14" s="51" t="s">
        <v>254</v>
      </c>
      <c r="F14" s="18" t="s">
        <v>27</v>
      </c>
      <c r="G14" s="18"/>
      <c r="I14" s="77"/>
      <c r="J14" s="71"/>
      <c r="K14" s="12" t="s">
        <v>65</v>
      </c>
      <c r="L14" s="52" t="s">
        <v>254</v>
      </c>
      <c r="M14" s="12" t="s">
        <v>33</v>
      </c>
      <c r="N14" s="14"/>
      <c r="R14" s="77"/>
      <c r="S14" s="71"/>
      <c r="T14" s="18" t="s">
        <v>66</v>
      </c>
      <c r="U14" s="54" t="s">
        <v>254</v>
      </c>
      <c r="V14" s="18" t="s">
        <v>27</v>
      </c>
      <c r="W14" s="19"/>
      <c r="AA14" s="73"/>
      <c r="AB14" s="69"/>
      <c r="AC14" s="10" t="s">
        <v>19</v>
      </c>
      <c r="AD14" s="10"/>
      <c r="AE14" s="10" t="s">
        <v>30</v>
      </c>
      <c r="AF14" s="11"/>
    </row>
    <row r="15" spans="2:35 16381:16381" ht="14.5" customHeight="1">
      <c r="B15" s="75"/>
      <c r="C15" s="71"/>
      <c r="D15" s="18" t="s">
        <v>67</v>
      </c>
      <c r="E15" s="51" t="s">
        <v>254</v>
      </c>
      <c r="F15" s="18" t="s">
        <v>33</v>
      </c>
      <c r="G15" s="18"/>
      <c r="I15" s="77"/>
      <c r="J15" s="71"/>
      <c r="K15" s="18" t="s">
        <v>68</v>
      </c>
      <c r="L15" s="51" t="s">
        <v>287</v>
      </c>
      <c r="M15" s="18" t="s">
        <v>21</v>
      </c>
      <c r="N15" s="19"/>
      <c r="R15" s="77"/>
      <c r="S15" s="71"/>
      <c r="T15" s="12" t="s">
        <v>69</v>
      </c>
      <c r="U15" s="12" t="s">
        <v>254</v>
      </c>
      <c r="V15" s="12" t="s">
        <v>45</v>
      </c>
      <c r="W15" s="14"/>
      <c r="AA15" s="73"/>
      <c r="AB15" s="69"/>
      <c r="AC15" s="16" t="s">
        <v>70</v>
      </c>
      <c r="AD15" s="55">
        <v>0</v>
      </c>
      <c r="AE15" s="16" t="s">
        <v>37</v>
      </c>
      <c r="AF15" s="30"/>
    </row>
    <row r="16" spans="2:35 16381:16381" ht="14.5" customHeight="1">
      <c r="B16" s="75"/>
      <c r="C16" s="71"/>
      <c r="D16" s="12" t="s">
        <v>71</v>
      </c>
      <c r="E16" s="52" t="s">
        <v>258</v>
      </c>
      <c r="F16" s="12" t="s">
        <v>21</v>
      </c>
      <c r="G16" s="12"/>
      <c r="I16" s="77"/>
      <c r="J16" s="71"/>
      <c r="K16" s="18" t="s">
        <v>72</v>
      </c>
      <c r="L16" s="51" t="s">
        <v>254</v>
      </c>
      <c r="M16" s="18" t="s">
        <v>27</v>
      </c>
      <c r="N16" s="19"/>
      <c r="R16" s="77"/>
      <c r="S16" s="72"/>
      <c r="T16" s="18" t="s">
        <v>73</v>
      </c>
      <c r="U16" s="54" t="s">
        <v>254</v>
      </c>
      <c r="V16" s="18" t="s">
        <v>37</v>
      </c>
      <c r="W16" s="19"/>
      <c r="AA16" s="73"/>
      <c r="AB16" s="69"/>
      <c r="AC16" s="20" t="s">
        <v>74</v>
      </c>
      <c r="AD16" s="53" t="s">
        <v>254</v>
      </c>
      <c r="AE16" s="20" t="s">
        <v>37</v>
      </c>
    </row>
    <row r="17" spans="2:32" ht="14.5" customHeight="1">
      <c r="B17" s="75"/>
      <c r="C17" s="71"/>
      <c r="D17" s="12" t="s">
        <v>75</v>
      </c>
      <c r="E17" s="52" t="s">
        <v>254</v>
      </c>
      <c r="F17" s="12" t="s">
        <v>27</v>
      </c>
      <c r="G17" s="12"/>
      <c r="I17" s="77"/>
      <c r="J17" s="71"/>
      <c r="K17" s="12" t="s">
        <v>76</v>
      </c>
      <c r="L17" s="52" t="s">
        <v>288</v>
      </c>
      <c r="M17" s="12" t="s">
        <v>21</v>
      </c>
      <c r="N17" s="14"/>
      <c r="AA17" s="73"/>
      <c r="AB17" s="69"/>
      <c r="AC17" s="15" t="s">
        <v>24</v>
      </c>
      <c r="AD17" s="55">
        <v>0</v>
      </c>
      <c r="AE17" s="16" t="s">
        <v>45</v>
      </c>
      <c r="AF17" s="30"/>
    </row>
    <row r="18" spans="2:32">
      <c r="B18" s="75"/>
      <c r="C18" s="71"/>
      <c r="D18" s="18" t="s">
        <v>77</v>
      </c>
      <c r="E18" s="51" t="s">
        <v>259</v>
      </c>
      <c r="F18" s="18" t="s">
        <v>21</v>
      </c>
      <c r="G18" s="18"/>
      <c r="I18" s="77"/>
      <c r="J18" s="71"/>
      <c r="K18" s="12" t="s">
        <v>78</v>
      </c>
      <c r="L18" s="52" t="s">
        <v>254</v>
      </c>
      <c r="M18" s="12" t="s">
        <v>21</v>
      </c>
      <c r="N18" s="14"/>
      <c r="AA18" s="73"/>
      <c r="AB18" s="9"/>
      <c r="AC18" s="20"/>
      <c r="AD18" s="53" t="s">
        <v>254</v>
      </c>
      <c r="AE18" s="20"/>
    </row>
    <row r="19" spans="2:32">
      <c r="B19" s="75"/>
      <c r="C19" s="71"/>
      <c r="D19" s="18" t="s">
        <v>79</v>
      </c>
      <c r="E19" s="51" t="s">
        <v>254</v>
      </c>
      <c r="F19" s="18" t="s">
        <v>27</v>
      </c>
      <c r="G19" s="18"/>
      <c r="I19" s="77"/>
      <c r="J19" s="71"/>
      <c r="K19" s="12" t="s">
        <v>80</v>
      </c>
      <c r="L19" s="52" t="s">
        <v>254</v>
      </c>
      <c r="M19" s="12" t="s">
        <v>33</v>
      </c>
      <c r="N19" s="14"/>
      <c r="AA19" s="73"/>
      <c r="AB19" s="69" t="s">
        <v>81</v>
      </c>
      <c r="AC19" s="10" t="s">
        <v>82</v>
      </c>
      <c r="AD19" s="10"/>
      <c r="AE19" s="10" t="s">
        <v>8</v>
      </c>
      <c r="AF19" s="11"/>
    </row>
    <row r="20" spans="2:32">
      <c r="B20" s="75"/>
      <c r="C20" s="71"/>
      <c r="D20" s="12" t="s">
        <v>83</v>
      </c>
      <c r="E20" s="52" t="s">
        <v>260</v>
      </c>
      <c r="F20" s="12" t="s">
        <v>84</v>
      </c>
      <c r="G20" s="12"/>
      <c r="I20" s="77"/>
      <c r="J20" s="71"/>
      <c r="K20" s="12" t="s">
        <v>85</v>
      </c>
      <c r="L20" s="52" t="s">
        <v>254</v>
      </c>
      <c r="M20" s="12" t="s">
        <v>33</v>
      </c>
      <c r="N20" s="14"/>
      <c r="AA20" s="73"/>
      <c r="AB20" s="69"/>
      <c r="AC20" s="32" t="s">
        <v>86</v>
      </c>
      <c r="AD20" s="55" t="s">
        <v>303</v>
      </c>
      <c r="AE20" s="16" t="s">
        <v>21</v>
      </c>
      <c r="AF20" s="33"/>
    </row>
    <row r="21" spans="2:32">
      <c r="B21" s="75"/>
      <c r="C21" s="71"/>
      <c r="D21" s="18" t="s">
        <v>87</v>
      </c>
      <c r="E21" s="51" t="s">
        <v>261</v>
      </c>
      <c r="F21" s="18" t="s">
        <v>84</v>
      </c>
      <c r="G21" s="18"/>
      <c r="I21" s="77"/>
      <c r="J21" s="71"/>
      <c r="K21" s="18" t="s">
        <v>88</v>
      </c>
      <c r="L21" s="51" t="s">
        <v>289</v>
      </c>
      <c r="M21" s="18" t="s">
        <v>21</v>
      </c>
      <c r="N21" s="19"/>
      <c r="AA21" s="73"/>
      <c r="AB21" s="69"/>
      <c r="AC21" s="32" t="s">
        <v>89</v>
      </c>
      <c r="AD21" s="55" t="s">
        <v>254</v>
      </c>
      <c r="AE21" s="16" t="s">
        <v>27</v>
      </c>
      <c r="AF21" s="33"/>
    </row>
    <row r="22" spans="2:32">
      <c r="B22" s="75"/>
      <c r="C22" s="71"/>
      <c r="D22" s="6" t="s">
        <v>90</v>
      </c>
      <c r="E22" s="6">
        <v>0</v>
      </c>
      <c r="F22" s="6" t="s">
        <v>8</v>
      </c>
      <c r="G22" s="6"/>
      <c r="I22" s="77"/>
      <c r="J22" s="71"/>
      <c r="K22" s="18" t="s">
        <v>91</v>
      </c>
      <c r="L22" s="51" t="s">
        <v>254</v>
      </c>
      <c r="M22" s="18" t="s">
        <v>21</v>
      </c>
      <c r="N22" s="19"/>
      <c r="AA22" s="73"/>
      <c r="AB22" s="69"/>
      <c r="AC22" s="20" t="s">
        <v>92</v>
      </c>
      <c r="AD22" s="53" t="s">
        <v>304</v>
      </c>
      <c r="AE22" s="20" t="s">
        <v>21</v>
      </c>
    </row>
    <row r="23" spans="2:32">
      <c r="B23" s="75"/>
      <c r="C23" s="71"/>
      <c r="D23" s="12" t="s">
        <v>93</v>
      </c>
      <c r="E23" s="52" t="s">
        <v>262</v>
      </c>
      <c r="F23" s="12" t="s">
        <v>21</v>
      </c>
      <c r="G23" s="12"/>
      <c r="I23" s="77"/>
      <c r="J23" s="71"/>
      <c r="K23" s="18" t="s">
        <v>94</v>
      </c>
      <c r="L23" s="51" t="s">
        <v>254</v>
      </c>
      <c r="M23" s="18" t="s">
        <v>33</v>
      </c>
      <c r="N23" s="19"/>
      <c r="AA23" s="73"/>
      <c r="AB23" s="69"/>
      <c r="AC23" s="20" t="s">
        <v>95</v>
      </c>
      <c r="AD23" s="53" t="s">
        <v>254</v>
      </c>
      <c r="AE23" s="20" t="s">
        <v>27</v>
      </c>
    </row>
    <row r="24" spans="2:32">
      <c r="B24" s="75"/>
      <c r="C24" s="71"/>
      <c r="D24" s="12" t="s">
        <v>96</v>
      </c>
      <c r="E24" s="52" t="s">
        <v>254</v>
      </c>
      <c r="F24" s="12" t="s">
        <v>27</v>
      </c>
      <c r="G24" s="12"/>
      <c r="I24" s="77"/>
      <c r="J24" s="71"/>
      <c r="K24" s="18" t="s">
        <v>97</v>
      </c>
      <c r="L24" s="51" t="s">
        <v>254</v>
      </c>
      <c r="M24" s="18" t="s">
        <v>33</v>
      </c>
      <c r="N24" s="19"/>
      <c r="AA24" s="73"/>
      <c r="AB24" s="69"/>
      <c r="AC24" s="34" t="s">
        <v>24</v>
      </c>
      <c r="AD24" s="55">
        <v>0</v>
      </c>
      <c r="AE24" s="16" t="s">
        <v>21</v>
      </c>
      <c r="AF24" s="33"/>
    </row>
    <row r="25" spans="2:32">
      <c r="B25" s="75"/>
      <c r="C25" s="71"/>
      <c r="D25" s="12" t="s">
        <v>98</v>
      </c>
      <c r="E25" s="52" t="s">
        <v>254</v>
      </c>
      <c r="F25" s="12" t="s">
        <v>33</v>
      </c>
      <c r="G25" s="12"/>
      <c r="I25" s="77"/>
      <c r="J25" s="71"/>
      <c r="K25" s="12" t="s">
        <v>99</v>
      </c>
      <c r="L25" s="52" t="s">
        <v>290</v>
      </c>
      <c r="M25" s="12" t="s">
        <v>100</v>
      </c>
      <c r="N25" s="14"/>
      <c r="AA25" s="73"/>
      <c r="AB25" s="69"/>
      <c r="AC25" s="34" t="s">
        <v>24</v>
      </c>
      <c r="AD25" s="55">
        <v>0</v>
      </c>
      <c r="AE25" s="16" t="s">
        <v>27</v>
      </c>
      <c r="AF25" s="33"/>
    </row>
    <row r="26" spans="2:32">
      <c r="B26" s="75"/>
      <c r="C26" s="71"/>
      <c r="D26" s="18" t="s">
        <v>101</v>
      </c>
      <c r="E26" s="51" t="s">
        <v>263</v>
      </c>
      <c r="F26" s="18" t="s">
        <v>21</v>
      </c>
      <c r="G26" s="18"/>
      <c r="I26" s="77"/>
      <c r="J26" s="71"/>
      <c r="K26" s="6"/>
      <c r="L26" s="6"/>
      <c r="M26" s="6" t="s">
        <v>102</v>
      </c>
      <c r="N26" s="8"/>
      <c r="AA26" s="73"/>
      <c r="AB26" s="9"/>
      <c r="AC26" s="20"/>
      <c r="AD26" s="53" t="s">
        <v>254</v>
      </c>
      <c r="AE26" s="20"/>
    </row>
    <row r="27" spans="2:32">
      <c r="B27" s="75"/>
      <c r="C27" s="71"/>
      <c r="D27" s="18" t="s">
        <v>103</v>
      </c>
      <c r="E27" s="51" t="s">
        <v>254</v>
      </c>
      <c r="F27" s="18" t="s">
        <v>27</v>
      </c>
      <c r="G27" s="18"/>
      <c r="I27" s="77"/>
      <c r="J27" s="71"/>
      <c r="K27" s="13" t="s">
        <v>104</v>
      </c>
      <c r="L27" s="52" t="s">
        <v>291</v>
      </c>
      <c r="M27" s="13" t="s">
        <v>21</v>
      </c>
      <c r="N27" s="14"/>
      <c r="AA27" s="73"/>
      <c r="AB27" s="69" t="s">
        <v>105</v>
      </c>
      <c r="AC27" s="10" t="s">
        <v>106</v>
      </c>
      <c r="AD27" s="10"/>
      <c r="AE27" s="10" t="s">
        <v>8</v>
      </c>
      <c r="AF27" s="11"/>
    </row>
    <row r="28" spans="2:32">
      <c r="B28" s="75"/>
      <c r="C28" s="71"/>
      <c r="D28" s="18" t="s">
        <v>107</v>
      </c>
      <c r="E28" s="51" t="s">
        <v>254</v>
      </c>
      <c r="F28" s="18" t="s">
        <v>33</v>
      </c>
      <c r="G28" s="18"/>
      <c r="I28" s="77"/>
      <c r="J28" s="71"/>
      <c r="K28" s="18" t="s">
        <v>108</v>
      </c>
      <c r="L28" s="51" t="s">
        <v>254</v>
      </c>
      <c r="M28" s="18" t="s">
        <v>109</v>
      </c>
      <c r="N28" s="19"/>
      <c r="AA28" s="73"/>
      <c r="AB28" s="69"/>
      <c r="AC28" s="16" t="s">
        <v>110</v>
      </c>
      <c r="AD28" s="55" t="s">
        <v>305</v>
      </c>
      <c r="AE28" s="16" t="s">
        <v>111</v>
      </c>
      <c r="AF28" s="30"/>
    </row>
    <row r="29" spans="2:32">
      <c r="B29" s="75"/>
      <c r="C29" s="71"/>
      <c r="D29" s="12" t="s">
        <v>112</v>
      </c>
      <c r="E29" s="52" t="s">
        <v>264</v>
      </c>
      <c r="F29" s="12" t="s">
        <v>21</v>
      </c>
      <c r="G29" s="12"/>
      <c r="I29" s="77"/>
      <c r="J29" s="71"/>
      <c r="K29" s="13" t="s">
        <v>113</v>
      </c>
      <c r="L29" s="52" t="s">
        <v>254</v>
      </c>
      <c r="M29" s="13" t="s">
        <v>114</v>
      </c>
      <c r="N29" s="14"/>
      <c r="AA29" s="73"/>
      <c r="AB29" s="69"/>
      <c r="AC29" s="20" t="s">
        <v>115</v>
      </c>
      <c r="AD29" s="53" t="s">
        <v>306</v>
      </c>
      <c r="AE29" s="20" t="s">
        <v>111</v>
      </c>
    </row>
    <row r="30" spans="2:32">
      <c r="B30" s="75"/>
      <c r="C30" s="71"/>
      <c r="D30" s="12" t="s">
        <v>116</v>
      </c>
      <c r="E30" s="52" t="s">
        <v>254</v>
      </c>
      <c r="F30" s="12" t="s">
        <v>27</v>
      </c>
      <c r="G30" s="12"/>
      <c r="I30" s="77"/>
      <c r="J30" s="71"/>
      <c r="K30" s="6" t="s">
        <v>117</v>
      </c>
      <c r="L30" s="6"/>
      <c r="M30" s="6" t="s">
        <v>118</v>
      </c>
      <c r="N30" s="8"/>
      <c r="AA30" s="73"/>
      <c r="AB30" s="69"/>
      <c r="AC30" s="16" t="s">
        <v>119</v>
      </c>
      <c r="AD30" s="55" t="s">
        <v>307</v>
      </c>
      <c r="AE30" s="16" t="s">
        <v>111</v>
      </c>
      <c r="AF30" s="30"/>
    </row>
    <row r="31" spans="2:32">
      <c r="B31" s="75"/>
      <c r="C31" s="71"/>
      <c r="D31" s="12" t="s">
        <v>120</v>
      </c>
      <c r="E31" s="52" t="s">
        <v>254</v>
      </c>
      <c r="F31" s="12" t="s">
        <v>33</v>
      </c>
      <c r="G31" s="12"/>
      <c r="I31" s="77"/>
      <c r="J31" s="71"/>
      <c r="K31" s="6" t="s">
        <v>121</v>
      </c>
      <c r="L31" s="6"/>
      <c r="M31" s="6" t="s">
        <v>122</v>
      </c>
      <c r="N31" s="8"/>
      <c r="AA31" s="73"/>
      <c r="AB31" s="69"/>
      <c r="AC31" s="20" t="s">
        <v>123</v>
      </c>
      <c r="AD31" s="53" t="s">
        <v>308</v>
      </c>
      <c r="AE31" s="20" t="s">
        <v>111</v>
      </c>
    </row>
    <row r="32" spans="2:32">
      <c r="B32" s="75"/>
      <c r="C32" s="71"/>
      <c r="D32" s="18" t="s">
        <v>124</v>
      </c>
      <c r="E32" s="51" t="s">
        <v>265</v>
      </c>
      <c r="F32" s="18" t="s">
        <v>21</v>
      </c>
      <c r="G32" s="18"/>
      <c r="I32" s="77"/>
      <c r="J32" s="71"/>
      <c r="K32" s="12" t="s">
        <v>125</v>
      </c>
      <c r="L32" s="52" t="s">
        <v>254</v>
      </c>
      <c r="M32" s="12" t="s">
        <v>37</v>
      </c>
      <c r="N32" s="14"/>
      <c r="AA32" s="73"/>
      <c r="AB32" s="69"/>
      <c r="AC32" s="16" t="s">
        <v>126</v>
      </c>
      <c r="AD32" s="55" t="s">
        <v>254</v>
      </c>
      <c r="AE32" s="16" t="s">
        <v>37</v>
      </c>
      <c r="AF32" s="30"/>
    </row>
    <row r="33" spans="2:32">
      <c r="B33" s="75"/>
      <c r="C33" s="71"/>
      <c r="D33" s="18" t="s">
        <v>127</v>
      </c>
      <c r="E33" s="51" t="s">
        <v>254</v>
      </c>
      <c r="F33" s="18" t="s">
        <v>27</v>
      </c>
      <c r="G33" s="18"/>
      <c r="I33" s="77"/>
      <c r="J33" s="71"/>
      <c r="K33" s="18" t="s">
        <v>128</v>
      </c>
      <c r="L33" s="51" t="s">
        <v>254</v>
      </c>
      <c r="M33" s="18" t="s">
        <v>37</v>
      </c>
      <c r="N33" s="19"/>
      <c r="AA33" s="73"/>
      <c r="AB33" s="69"/>
      <c r="AC33" s="20" t="s">
        <v>129</v>
      </c>
      <c r="AD33" s="53" t="s">
        <v>254</v>
      </c>
      <c r="AE33" s="20" t="s">
        <v>37</v>
      </c>
    </row>
    <row r="34" spans="2:32">
      <c r="B34" s="75"/>
      <c r="C34" s="71"/>
      <c r="D34" s="18" t="s">
        <v>130</v>
      </c>
      <c r="E34" s="51" t="s">
        <v>254</v>
      </c>
      <c r="F34" s="18" t="s">
        <v>33</v>
      </c>
      <c r="G34" s="18"/>
      <c r="I34" s="77"/>
      <c r="J34" s="71"/>
      <c r="K34" s="12" t="s">
        <v>131</v>
      </c>
      <c r="L34" s="52" t="s">
        <v>254</v>
      </c>
      <c r="M34" s="12" t="s">
        <v>37</v>
      </c>
      <c r="N34" s="14"/>
      <c r="AA34" s="73"/>
      <c r="AB34" s="69"/>
      <c r="AC34" s="16" t="s">
        <v>132</v>
      </c>
      <c r="AD34" s="55" t="s">
        <v>254</v>
      </c>
      <c r="AE34" s="16" t="s">
        <v>45</v>
      </c>
      <c r="AF34" s="30"/>
    </row>
    <row r="35" spans="2:32">
      <c r="B35" s="75"/>
      <c r="C35" s="71"/>
      <c r="D35" s="12" t="s">
        <v>133</v>
      </c>
      <c r="E35" s="52" t="s">
        <v>266</v>
      </c>
      <c r="F35" s="12" t="s">
        <v>21</v>
      </c>
      <c r="G35" s="12"/>
      <c r="I35" s="77"/>
      <c r="J35" s="71"/>
      <c r="K35" s="18" t="s">
        <v>134</v>
      </c>
      <c r="L35" s="51" t="s">
        <v>254</v>
      </c>
      <c r="M35" s="18" t="s">
        <v>37</v>
      </c>
      <c r="N35" s="19"/>
      <c r="AA35" s="73"/>
      <c r="AB35" s="69"/>
      <c r="AC35" s="10"/>
      <c r="AD35" s="10"/>
      <c r="AE35" s="10"/>
      <c r="AF35" s="11"/>
    </row>
    <row r="36" spans="2:32">
      <c r="B36" s="75"/>
      <c r="C36" s="71"/>
      <c r="D36" s="12" t="s">
        <v>135</v>
      </c>
      <c r="E36" s="52" t="s">
        <v>254</v>
      </c>
      <c r="F36" s="12" t="s">
        <v>27</v>
      </c>
      <c r="G36" s="12"/>
      <c r="I36" s="77"/>
      <c r="J36" s="71"/>
      <c r="K36" s="12" t="s">
        <v>136</v>
      </c>
      <c r="L36" s="52" t="s">
        <v>254</v>
      </c>
      <c r="M36" s="12" t="s">
        <v>45</v>
      </c>
      <c r="N36" s="14"/>
      <c r="AA36" s="73"/>
      <c r="AB36" s="69"/>
      <c r="AC36" s="16" t="s">
        <v>137</v>
      </c>
      <c r="AD36" s="55" t="s">
        <v>254</v>
      </c>
      <c r="AE36" s="16" t="s">
        <v>138</v>
      </c>
      <c r="AF36" s="30"/>
    </row>
    <row r="37" spans="2:32">
      <c r="B37" s="75"/>
      <c r="C37" s="71"/>
      <c r="D37" s="12" t="s">
        <v>139</v>
      </c>
      <c r="E37" s="52" t="s">
        <v>254</v>
      </c>
      <c r="F37" s="12" t="s">
        <v>33</v>
      </c>
      <c r="G37" s="12"/>
      <c r="I37" s="77"/>
      <c r="J37" s="71"/>
      <c r="K37" s="6"/>
      <c r="L37" s="6"/>
      <c r="M37" s="6"/>
      <c r="N37" s="8"/>
      <c r="AA37" s="73"/>
      <c r="AB37" s="69"/>
      <c r="AC37" s="16" t="s">
        <v>140</v>
      </c>
      <c r="AD37" s="55" t="s">
        <v>254</v>
      </c>
      <c r="AE37" s="16" t="s">
        <v>141</v>
      </c>
      <c r="AF37" s="30"/>
    </row>
    <row r="38" spans="2:32">
      <c r="B38" s="75"/>
      <c r="C38" s="71"/>
      <c r="D38" s="18" t="s">
        <v>142</v>
      </c>
      <c r="E38" s="51" t="s">
        <v>267</v>
      </c>
      <c r="F38" s="18" t="s">
        <v>21</v>
      </c>
      <c r="G38" s="18"/>
      <c r="I38" s="77"/>
      <c r="J38" s="71"/>
      <c r="K38" s="13" t="s">
        <v>143</v>
      </c>
      <c r="L38" s="52" t="s">
        <v>254</v>
      </c>
      <c r="M38" s="13" t="s">
        <v>138</v>
      </c>
      <c r="N38" s="14"/>
      <c r="AA38" s="73"/>
      <c r="AB38" s="69"/>
      <c r="AC38" s="20" t="s">
        <v>144</v>
      </c>
      <c r="AD38" s="53" t="s">
        <v>254</v>
      </c>
      <c r="AE38" s="20" t="s">
        <v>138</v>
      </c>
    </row>
    <row r="39" spans="2:32">
      <c r="B39" s="75"/>
      <c r="C39" s="71"/>
      <c r="D39" s="18" t="s">
        <v>145</v>
      </c>
      <c r="E39" s="51" t="s">
        <v>254</v>
      </c>
      <c r="F39" s="18" t="s">
        <v>27</v>
      </c>
      <c r="G39" s="18"/>
      <c r="I39" s="77"/>
      <c r="J39" s="71"/>
      <c r="K39" s="22" t="s">
        <v>146</v>
      </c>
      <c r="L39" s="51" t="s">
        <v>254</v>
      </c>
      <c r="M39" s="22" t="s">
        <v>138</v>
      </c>
      <c r="N39" s="19"/>
      <c r="AA39" s="73"/>
      <c r="AB39" s="69"/>
      <c r="AC39" s="20" t="s">
        <v>147</v>
      </c>
      <c r="AD39" s="53" t="s">
        <v>254</v>
      </c>
      <c r="AE39" s="20" t="s">
        <v>141</v>
      </c>
    </row>
    <row r="40" spans="2:32">
      <c r="B40" s="75"/>
      <c r="C40" s="71"/>
      <c r="D40" s="12" t="s">
        <v>148</v>
      </c>
      <c r="E40" s="52" t="s">
        <v>277</v>
      </c>
      <c r="F40" s="12" t="s">
        <v>21</v>
      </c>
      <c r="G40" s="12"/>
      <c r="I40" s="77"/>
      <c r="J40" s="71"/>
      <c r="K40" s="6"/>
      <c r="L40" s="6"/>
      <c r="M40" s="6"/>
      <c r="N40" s="8"/>
      <c r="AA40" s="73"/>
      <c r="AB40" s="69"/>
      <c r="AC40" s="16" t="s">
        <v>149</v>
      </c>
      <c r="AD40" s="55" t="s">
        <v>254</v>
      </c>
      <c r="AE40" s="16" t="s">
        <v>138</v>
      </c>
      <c r="AF40" s="30"/>
    </row>
    <row r="41" spans="2:32">
      <c r="B41" s="75"/>
      <c r="C41" s="71"/>
      <c r="D41" s="12" t="s">
        <v>150</v>
      </c>
      <c r="E41" s="52" t="s">
        <v>254</v>
      </c>
      <c r="F41" s="12" t="s">
        <v>27</v>
      </c>
      <c r="G41" s="12"/>
      <c r="I41" s="77"/>
      <c r="J41" s="71"/>
      <c r="K41" s="13" t="s">
        <v>151</v>
      </c>
      <c r="L41" s="52" t="s">
        <v>254</v>
      </c>
      <c r="M41" s="13" t="s">
        <v>141</v>
      </c>
      <c r="N41" s="14"/>
      <c r="AA41" s="73"/>
      <c r="AB41" s="69"/>
      <c r="AC41" s="16" t="s">
        <v>152</v>
      </c>
      <c r="AD41" s="55" t="s">
        <v>254</v>
      </c>
      <c r="AE41" s="16" t="s">
        <v>141</v>
      </c>
      <c r="AF41" s="30"/>
    </row>
    <row r="42" spans="2:32">
      <c r="B42" s="75"/>
      <c r="C42" s="71"/>
      <c r="D42" s="12" t="s">
        <v>153</v>
      </c>
      <c r="E42" s="52" t="s">
        <v>254</v>
      </c>
      <c r="F42" s="12" t="s">
        <v>33</v>
      </c>
      <c r="G42" s="12"/>
      <c r="I42" s="77"/>
      <c r="J42" s="71"/>
      <c r="K42" s="22" t="s">
        <v>154</v>
      </c>
      <c r="L42" s="51" t="s">
        <v>254</v>
      </c>
      <c r="M42" s="22" t="s">
        <v>155</v>
      </c>
      <c r="N42" s="19"/>
      <c r="AA42" s="73"/>
      <c r="AB42" s="69"/>
      <c r="AC42" s="16" t="s">
        <v>156</v>
      </c>
      <c r="AD42" s="55" t="s">
        <v>254</v>
      </c>
      <c r="AE42" s="16" t="s">
        <v>138</v>
      </c>
      <c r="AF42" s="30"/>
    </row>
    <row r="43" spans="2:32">
      <c r="B43" s="75"/>
      <c r="C43" s="71"/>
      <c r="D43" s="6" t="s">
        <v>157</v>
      </c>
      <c r="E43" s="6">
        <v>0</v>
      </c>
      <c r="F43" s="6" t="s">
        <v>158</v>
      </c>
      <c r="G43" s="6"/>
      <c r="I43" s="77"/>
      <c r="J43" s="71"/>
      <c r="K43" s="13" t="s">
        <v>159</v>
      </c>
      <c r="L43" s="52" t="s">
        <v>254</v>
      </c>
      <c r="M43" s="13" t="s">
        <v>155</v>
      </c>
      <c r="N43" s="14"/>
      <c r="AA43" s="73"/>
      <c r="AB43" s="69"/>
      <c r="AC43" s="10"/>
      <c r="AD43" s="10"/>
      <c r="AE43" s="10"/>
      <c r="AF43" s="11"/>
    </row>
    <row r="44" spans="2:32">
      <c r="B44" s="75"/>
      <c r="C44" s="71"/>
      <c r="D44" s="12" t="s">
        <v>160</v>
      </c>
      <c r="E44" s="52" t="s">
        <v>268</v>
      </c>
      <c r="F44" s="12" t="s">
        <v>161</v>
      </c>
      <c r="G44" s="12"/>
      <c r="I44" s="77"/>
      <c r="J44" s="18"/>
      <c r="K44" s="18"/>
      <c r="L44" s="51" t="s">
        <v>254</v>
      </c>
      <c r="M44" s="18"/>
      <c r="N44" s="19"/>
      <c r="AA44" s="73"/>
      <c r="AB44" s="69"/>
      <c r="AC44" s="16" t="s">
        <v>162</v>
      </c>
      <c r="AD44" s="55" t="s">
        <v>254</v>
      </c>
      <c r="AE44" s="16" t="s">
        <v>163</v>
      </c>
      <c r="AF44" s="30"/>
    </row>
    <row r="45" spans="2:32">
      <c r="B45" s="75"/>
      <c r="C45" s="71"/>
      <c r="D45" s="38" t="s">
        <v>24</v>
      </c>
      <c r="E45" s="51">
        <v>0</v>
      </c>
      <c r="F45" s="18" t="s">
        <v>161</v>
      </c>
      <c r="G45" s="18"/>
      <c r="I45" s="77"/>
      <c r="J45" s="70" t="s">
        <v>164</v>
      </c>
      <c r="K45" s="6" t="s">
        <v>19</v>
      </c>
      <c r="L45" s="6"/>
      <c r="M45" s="6" t="s">
        <v>8</v>
      </c>
      <c r="N45" s="8"/>
      <c r="AA45" s="73"/>
      <c r="AB45" s="26"/>
      <c r="AC45" s="27"/>
      <c r="AD45" s="53" t="s">
        <v>254</v>
      </c>
      <c r="AE45" s="27"/>
      <c r="AF45" s="39"/>
    </row>
    <row r="46" spans="2:32">
      <c r="B46" s="75"/>
      <c r="C46" s="71"/>
      <c r="D46" s="6" t="s">
        <v>165</v>
      </c>
      <c r="E46" s="6">
        <v>0</v>
      </c>
      <c r="F46" s="6" t="s">
        <v>166</v>
      </c>
      <c r="G46" s="6"/>
      <c r="I46" s="77"/>
      <c r="J46" s="71"/>
      <c r="K46" s="12" t="s">
        <v>167</v>
      </c>
      <c r="L46" s="52" t="s">
        <v>292</v>
      </c>
      <c r="M46" s="12" t="s">
        <v>111</v>
      </c>
      <c r="N46" s="14"/>
      <c r="AA46" s="73"/>
      <c r="AB46" s="69" t="s">
        <v>168</v>
      </c>
      <c r="AC46" s="10" t="s">
        <v>169</v>
      </c>
      <c r="AD46" s="10"/>
      <c r="AE46" s="10" t="s">
        <v>8</v>
      </c>
      <c r="AF46" s="40"/>
    </row>
    <row r="47" spans="2:32">
      <c r="B47" s="75"/>
      <c r="C47" s="71"/>
      <c r="D47" s="12" t="s">
        <v>170</v>
      </c>
      <c r="E47" s="52" t="s">
        <v>269</v>
      </c>
      <c r="F47" s="12" t="s">
        <v>171</v>
      </c>
      <c r="G47" s="12"/>
      <c r="I47" s="77"/>
      <c r="J47" s="71"/>
      <c r="K47" s="18" t="s">
        <v>172</v>
      </c>
      <c r="L47" s="51" t="s">
        <v>293</v>
      </c>
      <c r="M47" s="18" t="s">
        <v>21</v>
      </c>
      <c r="N47" s="19"/>
      <c r="AA47" s="73"/>
      <c r="AB47" s="69"/>
      <c r="AC47" s="32" t="s">
        <v>173</v>
      </c>
      <c r="AD47" s="55" t="s">
        <v>309</v>
      </c>
      <c r="AE47" s="32" t="s">
        <v>111</v>
      </c>
      <c r="AF47" s="33"/>
    </row>
    <row r="48" spans="2:32">
      <c r="B48" s="75"/>
      <c r="C48" s="71"/>
      <c r="D48" s="18" t="s">
        <v>174</v>
      </c>
      <c r="E48" s="51" t="s">
        <v>270</v>
      </c>
      <c r="F48" s="18" t="s">
        <v>171</v>
      </c>
      <c r="G48" s="18"/>
      <c r="I48" s="77"/>
      <c r="J48" s="71"/>
      <c r="K48" s="18" t="s">
        <v>175</v>
      </c>
      <c r="L48" s="51" t="s">
        <v>254</v>
      </c>
      <c r="M48" s="18" t="s">
        <v>27</v>
      </c>
      <c r="N48" s="19"/>
      <c r="AA48" s="73"/>
      <c r="AB48" s="69"/>
      <c r="AC48" s="20" t="s">
        <v>176</v>
      </c>
      <c r="AD48" s="53" t="s">
        <v>310</v>
      </c>
      <c r="AE48" s="20" t="s">
        <v>111</v>
      </c>
    </row>
    <row r="49" spans="2:32">
      <c r="B49" s="75"/>
      <c r="C49" s="71"/>
      <c r="D49" s="12" t="s">
        <v>177</v>
      </c>
      <c r="E49" s="52" t="s">
        <v>254</v>
      </c>
      <c r="F49" s="12" t="s">
        <v>45</v>
      </c>
      <c r="G49" s="12"/>
      <c r="I49" s="77"/>
      <c r="J49" s="71"/>
      <c r="K49" s="12" t="s">
        <v>178</v>
      </c>
      <c r="L49" s="52" t="s">
        <v>294</v>
      </c>
      <c r="M49" s="12" t="s">
        <v>21</v>
      </c>
      <c r="N49" s="14"/>
      <c r="AA49" s="73"/>
      <c r="AB49" s="69"/>
      <c r="AC49" s="16" t="s">
        <v>179</v>
      </c>
      <c r="AD49" s="55" t="s">
        <v>311</v>
      </c>
      <c r="AE49" s="16" t="s">
        <v>21</v>
      </c>
      <c r="AF49" s="30"/>
    </row>
    <row r="50" spans="2:32">
      <c r="B50" s="75"/>
      <c r="C50" s="71"/>
      <c r="D50" s="18" t="s">
        <v>180</v>
      </c>
      <c r="E50" s="51" t="s">
        <v>254</v>
      </c>
      <c r="F50" s="18" t="s">
        <v>45</v>
      </c>
      <c r="G50" s="18"/>
      <c r="I50" s="77"/>
      <c r="J50" s="71"/>
      <c r="K50" s="12" t="s">
        <v>181</v>
      </c>
      <c r="L50" s="52" t="s">
        <v>254</v>
      </c>
      <c r="M50" s="12" t="s">
        <v>27</v>
      </c>
      <c r="N50" s="14"/>
      <c r="AA50" s="73"/>
      <c r="AB50" s="69"/>
      <c r="AC50" s="16" t="s">
        <v>182</v>
      </c>
      <c r="AD50" s="55" t="s">
        <v>254</v>
      </c>
      <c r="AE50" s="16" t="s">
        <v>27</v>
      </c>
      <c r="AF50" s="30"/>
    </row>
    <row r="51" spans="2:32">
      <c r="B51" s="75"/>
      <c r="C51" s="71"/>
      <c r="D51" s="12" t="s">
        <v>183</v>
      </c>
      <c r="E51" s="52" t="s">
        <v>254</v>
      </c>
      <c r="F51" s="12" t="s">
        <v>45</v>
      </c>
      <c r="G51" s="12"/>
      <c r="I51" s="77"/>
      <c r="J51" s="71"/>
      <c r="K51" s="18" t="s">
        <v>184</v>
      </c>
      <c r="L51" s="51" t="s">
        <v>295</v>
      </c>
      <c r="M51" s="18" t="s">
        <v>84</v>
      </c>
      <c r="N51" s="19"/>
      <c r="AA51" s="73"/>
      <c r="AB51" s="69"/>
      <c r="AC51" s="20" t="s">
        <v>185</v>
      </c>
      <c r="AD51" s="53" t="s">
        <v>312</v>
      </c>
      <c r="AE51" s="20" t="s">
        <v>21</v>
      </c>
    </row>
    <row r="52" spans="2:32">
      <c r="B52" s="75"/>
      <c r="C52" s="71"/>
      <c r="D52" s="18" t="s">
        <v>186</v>
      </c>
      <c r="E52" s="51" t="s">
        <v>254</v>
      </c>
      <c r="F52" s="18" t="s">
        <v>45</v>
      </c>
      <c r="G52" s="18"/>
      <c r="I52" s="77"/>
      <c r="J52" s="71"/>
      <c r="K52" s="12" t="s">
        <v>187</v>
      </c>
      <c r="L52" s="52" t="s">
        <v>254</v>
      </c>
      <c r="M52" s="12" t="s">
        <v>109</v>
      </c>
      <c r="N52" s="14"/>
      <c r="AA52" s="73"/>
      <c r="AB52" s="69"/>
      <c r="AC52" s="20" t="s">
        <v>188</v>
      </c>
      <c r="AD52" s="53" t="s">
        <v>254</v>
      </c>
      <c r="AE52" s="20" t="s">
        <v>27</v>
      </c>
    </row>
    <row r="53" spans="2:32">
      <c r="B53" s="75"/>
      <c r="C53" s="71"/>
      <c r="D53" s="6" t="s">
        <v>189</v>
      </c>
      <c r="E53" s="6">
        <v>0</v>
      </c>
      <c r="F53" s="6" t="s">
        <v>122</v>
      </c>
      <c r="G53" s="6"/>
      <c r="I53" s="77"/>
      <c r="J53" s="71"/>
      <c r="K53" s="18" t="s">
        <v>190</v>
      </c>
      <c r="L53" s="51" t="s">
        <v>296</v>
      </c>
      <c r="M53" s="18" t="s">
        <v>100</v>
      </c>
      <c r="N53" s="19"/>
      <c r="AA53" s="73"/>
      <c r="AB53" s="69"/>
      <c r="AC53" s="16" t="s">
        <v>191</v>
      </c>
      <c r="AD53" s="55" t="s">
        <v>254</v>
      </c>
      <c r="AE53" s="16" t="s">
        <v>37</v>
      </c>
      <c r="AF53" s="30"/>
    </row>
    <row r="54" spans="2:32">
      <c r="B54" s="75"/>
      <c r="C54" s="71"/>
      <c r="D54" s="12" t="s">
        <v>192</v>
      </c>
      <c r="E54" s="52" t="s">
        <v>254</v>
      </c>
      <c r="F54" s="12" t="s">
        <v>37</v>
      </c>
      <c r="G54" s="12"/>
      <c r="I54" s="77"/>
      <c r="J54" s="71"/>
      <c r="K54" s="6" t="s">
        <v>193</v>
      </c>
      <c r="L54" s="6"/>
      <c r="M54" s="6" t="s">
        <v>122</v>
      </c>
      <c r="N54" s="8"/>
      <c r="AA54" s="73"/>
      <c r="AB54" s="69"/>
      <c r="AC54" s="20" t="s">
        <v>194</v>
      </c>
      <c r="AD54" s="53" t="s">
        <v>254</v>
      </c>
      <c r="AE54" s="20" t="s">
        <v>37</v>
      </c>
    </row>
    <row r="55" spans="2:32">
      <c r="B55" s="75"/>
      <c r="C55" s="71"/>
      <c r="D55" s="18" t="s">
        <v>195</v>
      </c>
      <c r="E55" s="51" t="s">
        <v>254</v>
      </c>
      <c r="F55" s="18" t="s">
        <v>37</v>
      </c>
      <c r="G55" s="18"/>
      <c r="I55" s="77"/>
      <c r="J55" s="71"/>
      <c r="K55" s="12" t="s">
        <v>196</v>
      </c>
      <c r="L55" s="52" t="s">
        <v>254</v>
      </c>
      <c r="M55" s="12" t="s">
        <v>37</v>
      </c>
      <c r="N55" s="14"/>
      <c r="AA55" s="73"/>
      <c r="AB55" s="69"/>
      <c r="AC55" s="10"/>
      <c r="AD55" s="10"/>
      <c r="AE55" s="10"/>
      <c r="AF55" s="40"/>
    </row>
    <row r="56" spans="2:32" ht="14.5" customHeight="1">
      <c r="B56" s="75"/>
      <c r="C56" s="71"/>
      <c r="D56" s="12" t="s">
        <v>197</v>
      </c>
      <c r="E56" s="52" t="s">
        <v>254</v>
      </c>
      <c r="F56" s="12" t="s">
        <v>37</v>
      </c>
      <c r="G56" s="12"/>
      <c r="I56" s="77"/>
      <c r="J56" s="71"/>
      <c r="K56" s="18" t="s">
        <v>198</v>
      </c>
      <c r="L56" s="51" t="s">
        <v>254</v>
      </c>
      <c r="M56" s="18" t="s">
        <v>37</v>
      </c>
      <c r="N56" s="19"/>
      <c r="AA56" s="73"/>
      <c r="AB56" s="69"/>
      <c r="AC56" s="16" t="s">
        <v>199</v>
      </c>
      <c r="AD56" s="55" t="s">
        <v>254</v>
      </c>
      <c r="AE56" s="16" t="s">
        <v>138</v>
      </c>
      <c r="AF56" s="30"/>
    </row>
    <row r="57" spans="2:32" ht="14.5" customHeight="1">
      <c r="B57" s="75"/>
      <c r="C57" s="71"/>
      <c r="D57" s="18" t="s">
        <v>200</v>
      </c>
      <c r="E57" s="51" t="s">
        <v>254</v>
      </c>
      <c r="F57" s="18" t="s">
        <v>37</v>
      </c>
      <c r="G57" s="18"/>
      <c r="I57" s="77"/>
      <c r="J57" s="71"/>
      <c r="K57" s="12" t="s">
        <v>201</v>
      </c>
      <c r="L57" s="52" t="s">
        <v>254</v>
      </c>
      <c r="M57" s="12" t="s">
        <v>45</v>
      </c>
      <c r="N57" s="14"/>
      <c r="AA57" s="73"/>
      <c r="AB57" s="69"/>
      <c r="AC57" s="16" t="s">
        <v>202</v>
      </c>
      <c r="AD57" s="55" t="s">
        <v>254</v>
      </c>
      <c r="AE57" s="16" t="s">
        <v>141</v>
      </c>
      <c r="AF57" s="30"/>
    </row>
    <row r="58" spans="2:32" ht="14.5" customHeight="1">
      <c r="B58" s="75"/>
      <c r="C58" s="71"/>
      <c r="D58" s="6" t="s">
        <v>203</v>
      </c>
      <c r="E58" s="6">
        <v>0</v>
      </c>
      <c r="F58" s="6" t="s">
        <v>204</v>
      </c>
      <c r="G58" s="6"/>
      <c r="I58" s="77"/>
      <c r="J58" s="71"/>
      <c r="K58" s="6"/>
      <c r="L58" s="6"/>
      <c r="M58" s="6"/>
      <c r="N58" s="8"/>
      <c r="AA58" s="73"/>
      <c r="AB58" s="69"/>
      <c r="AC58" s="20" t="s">
        <v>205</v>
      </c>
      <c r="AD58" s="53" t="s">
        <v>254</v>
      </c>
      <c r="AE58" s="20" t="s">
        <v>138</v>
      </c>
    </row>
    <row r="59" spans="2:32">
      <c r="B59" s="75"/>
      <c r="C59" s="71"/>
      <c r="D59" s="12" t="s">
        <v>206</v>
      </c>
      <c r="E59" s="52">
        <v>0</v>
      </c>
      <c r="F59" s="12" t="s">
        <v>163</v>
      </c>
      <c r="G59" s="12"/>
      <c r="I59" s="77"/>
      <c r="J59" s="71"/>
      <c r="K59" s="12" t="s">
        <v>207</v>
      </c>
      <c r="L59" s="52" t="s">
        <v>254</v>
      </c>
      <c r="M59" s="12" t="s">
        <v>138</v>
      </c>
      <c r="N59" s="14"/>
      <c r="AA59" s="73"/>
      <c r="AB59" s="41" t="s">
        <v>208</v>
      </c>
      <c r="AC59" s="27"/>
      <c r="AD59" s="53" t="s">
        <v>254</v>
      </c>
      <c r="AE59" s="27"/>
      <c r="AF59" s="39"/>
    </row>
    <row r="60" spans="2:32" ht="14.5" customHeight="1">
      <c r="B60" s="75"/>
      <c r="C60" s="71"/>
      <c r="D60" s="18" t="s">
        <v>209</v>
      </c>
      <c r="E60" s="51" t="s">
        <v>254</v>
      </c>
      <c r="F60" s="18" t="s">
        <v>163</v>
      </c>
      <c r="G60" s="18"/>
      <c r="I60" s="77"/>
      <c r="J60" s="71"/>
      <c r="K60" s="12" t="s">
        <v>210</v>
      </c>
      <c r="L60" s="52" t="s">
        <v>254</v>
      </c>
      <c r="M60" s="12" t="s">
        <v>141</v>
      </c>
      <c r="N60" s="14"/>
      <c r="AA60" s="73"/>
      <c r="AB60" s="42" t="s">
        <v>168</v>
      </c>
      <c r="AC60" s="27" t="s">
        <v>211</v>
      </c>
      <c r="AD60" s="53" t="s">
        <v>254</v>
      </c>
      <c r="AE60" s="27" t="s">
        <v>27</v>
      </c>
      <c r="AF60" s="39"/>
    </row>
    <row r="61" spans="2:32" ht="14.5" customHeight="1">
      <c r="B61" s="75"/>
      <c r="C61" s="71"/>
      <c r="D61" s="12" t="s">
        <v>212</v>
      </c>
      <c r="E61" s="52" t="s">
        <v>254</v>
      </c>
      <c r="F61" s="12" t="s">
        <v>163</v>
      </c>
      <c r="G61" s="12"/>
      <c r="I61" s="77"/>
      <c r="J61" s="36" t="s">
        <v>208</v>
      </c>
      <c r="K61" s="36"/>
      <c r="L61" s="51" t="s">
        <v>254</v>
      </c>
      <c r="M61" s="36"/>
      <c r="N61" s="43"/>
      <c r="O61" s="29"/>
      <c r="AA61" s="73"/>
      <c r="AB61" s="44"/>
      <c r="AC61" s="27" t="s">
        <v>199</v>
      </c>
      <c r="AD61" s="53" t="s">
        <v>254</v>
      </c>
      <c r="AE61" s="27" t="s">
        <v>27</v>
      </c>
      <c r="AF61" s="39"/>
    </row>
    <row r="62" spans="2:32" ht="14.5" customHeight="1">
      <c r="B62" s="75"/>
      <c r="C62" s="71"/>
      <c r="D62" s="18" t="s">
        <v>213</v>
      </c>
      <c r="E62" s="51" t="s">
        <v>254</v>
      </c>
      <c r="F62" s="18" t="s">
        <v>163</v>
      </c>
      <c r="G62" s="18"/>
      <c r="I62" s="77"/>
      <c r="J62" s="35" t="s">
        <v>164</v>
      </c>
      <c r="K62" s="36" t="s">
        <v>214</v>
      </c>
      <c r="L62" s="51" t="s">
        <v>254</v>
      </c>
      <c r="M62" s="36" t="s">
        <v>45</v>
      </c>
      <c r="N62" s="43"/>
      <c r="O62" s="29"/>
      <c r="AA62" s="73"/>
      <c r="AB62" s="44"/>
      <c r="AC62" s="27" t="s">
        <v>182</v>
      </c>
      <c r="AD62" s="53" t="s">
        <v>254</v>
      </c>
      <c r="AE62" s="27" t="s">
        <v>138</v>
      </c>
      <c r="AF62" s="39"/>
    </row>
    <row r="63" spans="2:32">
      <c r="B63" s="75"/>
      <c r="C63" s="71"/>
      <c r="D63" s="12" t="s">
        <v>215</v>
      </c>
      <c r="E63" s="52" t="s">
        <v>254</v>
      </c>
      <c r="F63" s="12" t="s">
        <v>163</v>
      </c>
      <c r="G63" s="12"/>
      <c r="I63" s="77"/>
      <c r="J63" s="18"/>
      <c r="K63" s="18"/>
      <c r="L63" s="51" t="s">
        <v>254</v>
      </c>
      <c r="M63" s="18"/>
      <c r="N63" s="19"/>
      <c r="AA63" s="73"/>
      <c r="AB63" s="26"/>
      <c r="AC63" s="27"/>
      <c r="AD63" s="53" t="s">
        <v>254</v>
      </c>
      <c r="AE63" s="27"/>
      <c r="AF63" s="39"/>
    </row>
    <row r="64" spans="2:32" ht="14.5" customHeight="1">
      <c r="B64" s="75"/>
      <c r="C64" s="71"/>
      <c r="D64" s="18" t="s">
        <v>216</v>
      </c>
      <c r="E64" s="51" t="s">
        <v>254</v>
      </c>
      <c r="F64" s="18" t="s">
        <v>163</v>
      </c>
      <c r="G64" s="18"/>
      <c r="I64" s="77"/>
      <c r="J64" s="78" t="s">
        <v>217</v>
      </c>
      <c r="K64" s="6" t="s">
        <v>218</v>
      </c>
      <c r="L64" s="6"/>
      <c r="M64" s="6" t="s">
        <v>8</v>
      </c>
      <c r="N64" s="7"/>
      <c r="AA64" s="73"/>
      <c r="AB64" s="69" t="s">
        <v>219</v>
      </c>
      <c r="AC64" s="10" t="s">
        <v>19</v>
      </c>
      <c r="AD64" s="10"/>
      <c r="AE64" s="10" t="s">
        <v>220</v>
      </c>
      <c r="AF64" s="45"/>
    </row>
    <row r="65" spans="2:32" ht="14.5" customHeight="1">
      <c r="B65" s="75"/>
      <c r="C65" s="71"/>
      <c r="D65" s="6"/>
      <c r="E65" s="6">
        <v>0</v>
      </c>
      <c r="F65" s="6"/>
      <c r="G65" s="6"/>
      <c r="I65" s="77"/>
      <c r="J65" s="78"/>
      <c r="K65" s="12" t="s">
        <v>221</v>
      </c>
      <c r="L65" s="52" t="s">
        <v>254</v>
      </c>
      <c r="M65" s="12" t="s">
        <v>21</v>
      </c>
      <c r="N65" s="13"/>
      <c r="AA65" s="73"/>
      <c r="AB65" s="69"/>
      <c r="AC65" s="16" t="s">
        <v>222</v>
      </c>
      <c r="AD65" s="55">
        <v>0</v>
      </c>
      <c r="AE65" s="16" t="s">
        <v>25</v>
      </c>
      <c r="AF65" s="46"/>
    </row>
    <row r="66" spans="2:32" ht="14.5" customHeight="1">
      <c r="B66" s="75"/>
      <c r="C66" s="72"/>
      <c r="D66" s="12" t="s">
        <v>223</v>
      </c>
      <c r="E66" s="52" t="s">
        <v>254</v>
      </c>
      <c r="F66" s="12" t="s">
        <v>138</v>
      </c>
      <c r="G66" s="12" t="s">
        <v>138</v>
      </c>
      <c r="I66" s="77"/>
      <c r="J66" s="78"/>
      <c r="K66" s="12" t="s">
        <v>224</v>
      </c>
      <c r="L66" s="52" t="s">
        <v>254</v>
      </c>
      <c r="M66" s="12" t="s">
        <v>27</v>
      </c>
      <c r="N66" s="13"/>
      <c r="AA66" s="73"/>
      <c r="AB66" s="69"/>
      <c r="AC66" s="10" t="s">
        <v>19</v>
      </c>
      <c r="AD66" s="10"/>
      <c r="AE66" s="10" t="s">
        <v>31</v>
      </c>
      <c r="AF66" s="45"/>
    </row>
    <row r="67" spans="2:32">
      <c r="B67" s="75"/>
      <c r="C67" s="36" t="s">
        <v>208</v>
      </c>
      <c r="D67" s="36"/>
      <c r="E67" s="51" t="s">
        <v>254</v>
      </c>
      <c r="F67" s="36"/>
      <c r="G67" s="36"/>
      <c r="I67" s="77"/>
      <c r="J67" s="78"/>
      <c r="K67" s="18" t="s">
        <v>225</v>
      </c>
      <c r="L67" s="51" t="s">
        <v>297</v>
      </c>
      <c r="M67" s="18" t="s">
        <v>21</v>
      </c>
      <c r="N67" s="22"/>
      <c r="AA67" s="73"/>
      <c r="AB67" s="69"/>
      <c r="AC67" s="16"/>
      <c r="AD67" s="55" t="s">
        <v>254</v>
      </c>
      <c r="AE67" s="16" t="s">
        <v>38</v>
      </c>
      <c r="AF67" s="47"/>
    </row>
    <row r="68" spans="2:32">
      <c r="B68" s="75"/>
      <c r="C68" s="35" t="s">
        <v>6</v>
      </c>
      <c r="D68" s="36" t="s">
        <v>226</v>
      </c>
      <c r="E68" s="51" t="s">
        <v>254</v>
      </c>
      <c r="F68" s="36" t="s">
        <v>227</v>
      </c>
      <c r="G68" s="36" t="s">
        <v>227</v>
      </c>
      <c r="I68" s="77"/>
      <c r="J68" s="78"/>
      <c r="K68" s="18" t="s">
        <v>228</v>
      </c>
      <c r="L68" s="51" t="s">
        <v>254</v>
      </c>
      <c r="M68" s="18" t="s">
        <v>27</v>
      </c>
      <c r="N68" s="22"/>
      <c r="AA68" s="73"/>
      <c r="AB68" s="69"/>
      <c r="AC68" s="20"/>
      <c r="AD68" s="53" t="s">
        <v>254</v>
      </c>
      <c r="AE68" s="20" t="s">
        <v>38</v>
      </c>
      <c r="AF68" s="48"/>
    </row>
    <row r="69" spans="2:32" ht="14.5" customHeight="1">
      <c r="B69" s="75"/>
      <c r="C69" s="18"/>
      <c r="D69" s="36"/>
      <c r="E69" s="51" t="s">
        <v>254</v>
      </c>
      <c r="F69" s="36"/>
      <c r="G69" s="36"/>
      <c r="I69" s="77"/>
      <c r="J69" s="78"/>
      <c r="K69" s="12" t="s">
        <v>229</v>
      </c>
      <c r="L69" s="52" t="s">
        <v>298</v>
      </c>
      <c r="M69" s="12" t="s">
        <v>21</v>
      </c>
      <c r="N69" s="13"/>
      <c r="AA69" s="73"/>
      <c r="AB69" s="69"/>
      <c r="AC69" s="16"/>
      <c r="AD69" s="55" t="s">
        <v>254</v>
      </c>
      <c r="AE69" s="16" t="s">
        <v>38</v>
      </c>
      <c r="AF69" s="47"/>
    </row>
    <row r="70" spans="2:32" ht="14.5" customHeight="1">
      <c r="B70" s="75"/>
      <c r="C70" s="70" t="s">
        <v>230</v>
      </c>
      <c r="D70" s="6" t="s">
        <v>231</v>
      </c>
      <c r="E70" s="6">
        <v>0</v>
      </c>
      <c r="F70" s="6" t="s">
        <v>8</v>
      </c>
      <c r="G70" s="6" t="s">
        <v>8</v>
      </c>
      <c r="I70" s="77"/>
      <c r="J70" s="78"/>
      <c r="K70" s="12" t="s">
        <v>232</v>
      </c>
      <c r="L70" s="52" t="s">
        <v>254</v>
      </c>
      <c r="M70" s="12" t="s">
        <v>27</v>
      </c>
      <c r="N70" s="13"/>
      <c r="AA70" s="73"/>
      <c r="AB70" s="69"/>
      <c r="AC70" s="20"/>
      <c r="AD70" s="53" t="s">
        <v>254</v>
      </c>
      <c r="AE70" s="20" t="s">
        <v>38</v>
      </c>
      <c r="AF70" s="48"/>
    </row>
    <row r="71" spans="2:32">
      <c r="B71" s="75"/>
      <c r="C71" s="71"/>
      <c r="D71" s="12" t="s">
        <v>233</v>
      </c>
      <c r="E71" s="52" t="s">
        <v>271</v>
      </c>
      <c r="F71" s="12" t="s">
        <v>21</v>
      </c>
      <c r="G71" s="12" t="s">
        <v>21</v>
      </c>
      <c r="I71" s="77"/>
      <c r="J71" s="78"/>
      <c r="K71" s="18" t="s">
        <v>234</v>
      </c>
      <c r="L71" s="51" t="s">
        <v>254</v>
      </c>
      <c r="M71" s="18" t="s">
        <v>37</v>
      </c>
      <c r="N71" s="22"/>
      <c r="AF71" s="31"/>
    </row>
    <row r="72" spans="2:32">
      <c r="B72" s="75"/>
      <c r="C72" s="71"/>
      <c r="D72" s="12" t="s">
        <v>235</v>
      </c>
      <c r="E72" s="52" t="s">
        <v>254</v>
      </c>
      <c r="F72" s="12" t="s">
        <v>33</v>
      </c>
      <c r="G72" s="12" t="s">
        <v>33</v>
      </c>
      <c r="J72" s="29" t="s">
        <v>208</v>
      </c>
      <c r="K72" s="29"/>
      <c r="L72" s="51" t="s">
        <v>254</v>
      </c>
      <c r="M72" s="29"/>
      <c r="N72" s="49"/>
      <c r="O72" s="29"/>
      <c r="AF72" s="31"/>
    </row>
    <row r="73" spans="2:32" ht="14.5" customHeight="1">
      <c r="B73" s="75"/>
      <c r="C73" s="71"/>
      <c r="D73" s="12" t="s">
        <v>236</v>
      </c>
      <c r="E73" s="52" t="s">
        <v>254</v>
      </c>
      <c r="F73" s="12" t="s">
        <v>33</v>
      </c>
      <c r="G73" s="12" t="s">
        <v>33</v>
      </c>
      <c r="J73" s="50" t="s">
        <v>217</v>
      </c>
      <c r="K73" s="29" t="s">
        <v>237</v>
      </c>
      <c r="L73" s="51" t="s">
        <v>299</v>
      </c>
      <c r="M73" s="29" t="s">
        <v>21</v>
      </c>
      <c r="N73" s="49"/>
      <c r="O73" s="29"/>
      <c r="AF73" s="31"/>
    </row>
    <row r="74" spans="2:32" ht="14.5" customHeight="1">
      <c r="B74" s="75"/>
      <c r="C74" s="71"/>
      <c r="D74" s="18" t="s">
        <v>238</v>
      </c>
      <c r="E74" s="51" t="s">
        <v>272</v>
      </c>
      <c r="F74" s="18" t="s">
        <v>21</v>
      </c>
      <c r="G74" s="18" t="s">
        <v>21</v>
      </c>
      <c r="AF74" s="31"/>
    </row>
    <row r="75" spans="2:32">
      <c r="B75" s="75"/>
      <c r="C75" s="71"/>
      <c r="D75" s="18" t="s">
        <v>239</v>
      </c>
      <c r="E75" s="51" t="s">
        <v>254</v>
      </c>
      <c r="F75" s="18" t="s">
        <v>27</v>
      </c>
      <c r="G75" s="18" t="s">
        <v>27</v>
      </c>
      <c r="AF75" s="31"/>
    </row>
    <row r="76" spans="2:32">
      <c r="B76" s="75"/>
      <c r="C76" s="71"/>
      <c r="D76" s="12" t="s">
        <v>240</v>
      </c>
      <c r="E76" s="52" t="s">
        <v>273</v>
      </c>
      <c r="F76" s="12" t="s">
        <v>21</v>
      </c>
      <c r="G76" s="12" t="s">
        <v>21</v>
      </c>
      <c r="AF76" s="31"/>
    </row>
    <row r="77" spans="2:32">
      <c r="B77" s="75"/>
      <c r="C77" s="71"/>
      <c r="D77" s="12" t="s">
        <v>241</v>
      </c>
      <c r="E77" s="52" t="s">
        <v>254</v>
      </c>
      <c r="F77" s="12" t="s">
        <v>27</v>
      </c>
      <c r="G77" s="12" t="s">
        <v>27</v>
      </c>
      <c r="AF77" s="31"/>
    </row>
    <row r="78" spans="2:32">
      <c r="B78" s="75"/>
      <c r="C78" s="71"/>
      <c r="D78" s="38" t="s">
        <v>24</v>
      </c>
      <c r="E78" s="51">
        <v>0</v>
      </c>
      <c r="F78" s="18" t="s">
        <v>37</v>
      </c>
      <c r="G78" s="18" t="s">
        <v>37</v>
      </c>
      <c r="AF78" s="31"/>
    </row>
    <row r="79" spans="2:32">
      <c r="B79" s="75"/>
      <c r="C79" s="18"/>
      <c r="D79" s="18"/>
      <c r="E79" s="51" t="s">
        <v>254</v>
      </c>
      <c r="F79" s="18"/>
      <c r="G79" s="18"/>
      <c r="AF79" s="31"/>
    </row>
    <row r="80" spans="2:32">
      <c r="B80" s="75"/>
      <c r="C80" s="70" t="s">
        <v>242</v>
      </c>
      <c r="D80" s="6" t="s">
        <v>243</v>
      </c>
      <c r="E80" s="6">
        <v>0</v>
      </c>
      <c r="F80" s="6" t="s">
        <v>8</v>
      </c>
      <c r="G80" s="6" t="s">
        <v>8</v>
      </c>
      <c r="AF80" s="31"/>
    </row>
    <row r="81" spans="2:32">
      <c r="B81" s="75"/>
      <c r="C81" s="71"/>
      <c r="D81" s="12" t="s">
        <v>244</v>
      </c>
      <c r="E81" s="52" t="s">
        <v>274</v>
      </c>
      <c r="F81" s="12" t="s">
        <v>21</v>
      </c>
      <c r="G81" s="12" t="s">
        <v>21</v>
      </c>
      <c r="AF81" s="31"/>
    </row>
    <row r="82" spans="2:32">
      <c r="B82" s="75"/>
      <c r="C82" s="71"/>
      <c r="D82" s="12" t="s">
        <v>245</v>
      </c>
      <c r="E82" s="52" t="s">
        <v>254</v>
      </c>
      <c r="F82" s="12" t="s">
        <v>27</v>
      </c>
      <c r="G82" s="12" t="s">
        <v>27</v>
      </c>
      <c r="AF82" s="31"/>
    </row>
    <row r="83" spans="2:32">
      <c r="B83" s="75"/>
      <c r="C83" s="71"/>
      <c r="D83" s="12" t="s">
        <v>246</v>
      </c>
      <c r="E83" s="52" t="s">
        <v>254</v>
      </c>
      <c r="F83" s="12" t="s">
        <v>33</v>
      </c>
      <c r="G83" s="12" t="s">
        <v>33</v>
      </c>
      <c r="AF83" s="31"/>
    </row>
    <row r="84" spans="2:32">
      <c r="B84" s="75"/>
      <c r="C84" s="71"/>
      <c r="D84" s="18" t="s">
        <v>247</v>
      </c>
      <c r="E84" s="51" t="s">
        <v>275</v>
      </c>
      <c r="F84" s="18" t="s">
        <v>21</v>
      </c>
      <c r="G84" s="18" t="s">
        <v>21</v>
      </c>
      <c r="AF84" s="31"/>
    </row>
    <row r="85" spans="2:32">
      <c r="B85" s="75"/>
      <c r="C85" s="71"/>
      <c r="D85" s="18" t="s">
        <v>248</v>
      </c>
      <c r="E85" s="51" t="s">
        <v>254</v>
      </c>
      <c r="F85" s="18" t="s">
        <v>27</v>
      </c>
      <c r="G85" s="18" t="s">
        <v>27</v>
      </c>
      <c r="AF85" s="31"/>
    </row>
    <row r="86" spans="2:32">
      <c r="B86" s="75"/>
      <c r="C86" s="71"/>
      <c r="D86" s="12" t="s">
        <v>249</v>
      </c>
      <c r="E86" s="52" t="s">
        <v>276</v>
      </c>
      <c r="F86" s="12" t="s">
        <v>21</v>
      </c>
      <c r="G86" s="12" t="s">
        <v>21</v>
      </c>
      <c r="AF86" s="31"/>
    </row>
    <row r="87" spans="2:32">
      <c r="B87" s="75"/>
      <c r="C87" s="71"/>
      <c r="D87" s="12" t="s">
        <v>250</v>
      </c>
      <c r="E87" s="52" t="s">
        <v>254</v>
      </c>
      <c r="F87" s="12" t="s">
        <v>27</v>
      </c>
      <c r="G87" s="12" t="s">
        <v>27</v>
      </c>
      <c r="AF87" s="31"/>
    </row>
    <row r="88" spans="2:32">
      <c r="B88" s="76"/>
      <c r="C88" s="72"/>
      <c r="D88" s="18" t="s">
        <v>251</v>
      </c>
      <c r="E88" s="51" t="s">
        <v>254</v>
      </c>
      <c r="F88" s="18" t="s">
        <v>37</v>
      </c>
      <c r="G88" s="18" t="s">
        <v>37</v>
      </c>
      <c r="AF88" s="31"/>
    </row>
    <row r="89" spans="2:32">
      <c r="AF89" s="31"/>
    </row>
    <row r="90" spans="2:32">
      <c r="AF90" s="31"/>
    </row>
    <row r="91" spans="2:32">
      <c r="AF91" s="31"/>
    </row>
    <row r="92" spans="2:32">
      <c r="AF92" s="31"/>
    </row>
    <row r="93" spans="2:32">
      <c r="AF93" s="31"/>
    </row>
    <row r="94" spans="2:32">
      <c r="AF94" s="31"/>
    </row>
    <row r="95" spans="2:32">
      <c r="AF95" s="31"/>
    </row>
    <row r="96" spans="2:32">
      <c r="AF96" s="31"/>
    </row>
    <row r="97" spans="32:32">
      <c r="AF97" s="31"/>
    </row>
    <row r="98" spans="32:32">
      <c r="AF98" s="31"/>
    </row>
    <row r="99" spans="32:32">
      <c r="AF99" s="31"/>
    </row>
    <row r="100" spans="32:32">
      <c r="AF100" s="31"/>
    </row>
    <row r="101" spans="32:32">
      <c r="AF101" s="31"/>
    </row>
    <row r="102" spans="32:32">
      <c r="AF102" s="31"/>
    </row>
    <row r="103" spans="32:32">
      <c r="AF103" s="31"/>
    </row>
    <row r="104" spans="32:32">
      <c r="AF104" s="31"/>
    </row>
    <row r="105" spans="32:32">
      <c r="AF105" s="31"/>
    </row>
    <row r="106" spans="32:32">
      <c r="AF106" s="31"/>
    </row>
    <row r="107" spans="32:32">
      <c r="AF107" s="31"/>
    </row>
    <row r="108" spans="32:32">
      <c r="AF108" s="31"/>
    </row>
    <row r="109" spans="32:32">
      <c r="AF109" s="31"/>
    </row>
    <row r="110" spans="32:32">
      <c r="AF110" s="31"/>
    </row>
    <row r="111" spans="32:32">
      <c r="AF111" s="31"/>
    </row>
    <row r="112" spans="32:32">
      <c r="AF112" s="31"/>
    </row>
    <row r="113" spans="32:32">
      <c r="AF113" s="31"/>
    </row>
    <row r="114" spans="32:32">
      <c r="AF114" s="31"/>
    </row>
    <row r="115" spans="32:32">
      <c r="AF115" s="31"/>
    </row>
    <row r="116" spans="32:32">
      <c r="AF116" s="31"/>
    </row>
    <row r="117" spans="32:32">
      <c r="AF117" s="31"/>
    </row>
    <row r="118" spans="32:32">
      <c r="AF118" s="31"/>
    </row>
    <row r="119" spans="32:32">
      <c r="AF119" s="31"/>
    </row>
    <row r="120" spans="32:32">
      <c r="AF120" s="31"/>
    </row>
    <row r="121" spans="32:32">
      <c r="AF121" s="31"/>
    </row>
    <row r="122" spans="32:32">
      <c r="AF122" s="31"/>
    </row>
    <row r="123" spans="32:32">
      <c r="AF123" s="31"/>
    </row>
    <row r="124" spans="32:32">
      <c r="AF124" s="31"/>
    </row>
    <row r="125" spans="32:32">
      <c r="AF125" s="31"/>
    </row>
    <row r="126" spans="32:32">
      <c r="AF126" s="31"/>
    </row>
    <row r="127" spans="32:32">
      <c r="AF127" s="31"/>
    </row>
    <row r="128" spans="32:32">
      <c r="AF128" s="31"/>
    </row>
    <row r="129" spans="32:32">
      <c r="AF129" s="31"/>
    </row>
    <row r="130" spans="32:32">
      <c r="AF130" s="31"/>
    </row>
    <row r="131" spans="32:32">
      <c r="AF131" s="31"/>
    </row>
    <row r="132" spans="32:32">
      <c r="AF132" s="31"/>
    </row>
    <row r="133" spans="32:32">
      <c r="AF133" s="31"/>
    </row>
    <row r="134" spans="32:32">
      <c r="AF134" s="31"/>
    </row>
    <row r="135" spans="32:32">
      <c r="AF135" s="31"/>
    </row>
    <row r="136" spans="32:32">
      <c r="AF136" s="31"/>
    </row>
    <row r="137" spans="32:32">
      <c r="AF137" s="31"/>
    </row>
    <row r="138" spans="32:32">
      <c r="AF138" s="31"/>
    </row>
    <row r="139" spans="32:32">
      <c r="AF139" s="31"/>
    </row>
    <row r="140" spans="32:32">
      <c r="AF140" s="31"/>
    </row>
    <row r="141" spans="32:32">
      <c r="AF141" s="31"/>
    </row>
  </sheetData>
  <mergeCells count="18">
    <mergeCell ref="B3:B88"/>
    <mergeCell ref="C3:C66"/>
    <mergeCell ref="I3:I71"/>
    <mergeCell ref="J3:J43"/>
    <mergeCell ref="R3:R16"/>
    <mergeCell ref="J64:J71"/>
    <mergeCell ref="AB64:AB70"/>
    <mergeCell ref="C70:C78"/>
    <mergeCell ref="C80:C88"/>
    <mergeCell ref="J45:J60"/>
    <mergeCell ref="AB46:AB58"/>
    <mergeCell ref="AA3:AA70"/>
    <mergeCell ref="AB3:AB10"/>
    <mergeCell ref="AB12:AB17"/>
    <mergeCell ref="AB19:AB25"/>
    <mergeCell ref="AB27:AB44"/>
    <mergeCell ref="S3:S8"/>
    <mergeCell ref="S10:S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93F84-5043-46D9-AE80-86259B9678BA}">
  <dimension ref="A1:I14"/>
  <sheetViews>
    <sheetView zoomScale="168" zoomScaleNormal="168" workbookViewId="0">
      <selection activeCell="A9" sqref="A9"/>
    </sheetView>
  </sheetViews>
  <sheetFormatPr baseColWidth="10" defaultColWidth="8.83203125" defaultRowHeight="15"/>
  <cols>
    <col min="1" max="1" width="18.5" customWidth="1"/>
    <col min="2" max="2" width="9.83203125" bestFit="1" customWidth="1"/>
    <col min="3" max="4" width="12.1640625" bestFit="1" customWidth="1"/>
    <col min="5" max="5" width="14.5" bestFit="1" customWidth="1"/>
    <col min="6" max="6" width="14.33203125" bestFit="1" customWidth="1"/>
    <col min="7" max="7" width="19.1640625" customWidth="1"/>
    <col min="8" max="14" width="12.1640625" customWidth="1"/>
  </cols>
  <sheetData>
    <row r="1" spans="1:9" ht="26" customHeight="1">
      <c r="A1" s="3" t="s">
        <v>331</v>
      </c>
      <c r="B1" s="85" t="s">
        <v>323</v>
      </c>
      <c r="C1" s="86"/>
      <c r="D1" s="87"/>
    </row>
    <row r="2" spans="1:9">
      <c r="A2" s="79" t="s">
        <v>318</v>
      </c>
      <c r="B2" s="61" t="s">
        <v>320</v>
      </c>
      <c r="C2" s="81" t="s">
        <v>322</v>
      </c>
      <c r="D2" s="82"/>
    </row>
    <row r="3" spans="1:9" ht="21" customHeight="1">
      <c r="A3" s="80"/>
      <c r="B3" s="60">
        <v>0.55000000000000004</v>
      </c>
      <c r="C3" s="83">
        <v>0.45</v>
      </c>
      <c r="D3" s="84"/>
    </row>
    <row r="4" spans="1:9" ht="21" customHeight="1">
      <c r="A4" s="79" t="s">
        <v>319</v>
      </c>
      <c r="B4" s="61" t="s">
        <v>21</v>
      </c>
      <c r="C4" s="81" t="s">
        <v>322</v>
      </c>
      <c r="D4" s="82"/>
    </row>
    <row r="5" spans="1:9" ht="21" customHeight="1">
      <c r="A5" s="80"/>
      <c r="B5" s="60">
        <v>0.7</v>
      </c>
      <c r="C5" s="83">
        <v>0.3</v>
      </c>
      <c r="D5" s="84"/>
    </row>
    <row r="6" spans="1:9" ht="21" customHeight="1"/>
    <row r="7" spans="1:9" ht="21" customHeight="1">
      <c r="A7" s="90" t="s">
        <v>332</v>
      </c>
      <c r="B7" s="90" t="s">
        <v>325</v>
      </c>
      <c r="C7" s="63" t="s">
        <v>326</v>
      </c>
      <c r="D7" s="92" t="s">
        <v>330</v>
      </c>
      <c r="E7" s="94" t="s">
        <v>327</v>
      </c>
      <c r="F7" s="96" t="s">
        <v>328</v>
      </c>
      <c r="G7" s="88" t="s">
        <v>324</v>
      </c>
      <c r="H7" s="88" t="s">
        <v>320</v>
      </c>
      <c r="I7" s="88" t="s">
        <v>321</v>
      </c>
    </row>
    <row r="8" spans="1:9" ht="21" customHeight="1">
      <c r="A8" s="91"/>
      <c r="B8" s="91"/>
      <c r="C8" s="63" t="s">
        <v>329</v>
      </c>
      <c r="D8" s="93"/>
      <c r="E8" s="95"/>
      <c r="F8" s="97"/>
      <c r="G8" s="89"/>
      <c r="H8" s="89"/>
      <c r="I8" s="89"/>
    </row>
    <row r="9" spans="1:9" ht="32">
      <c r="A9" s="64" t="s">
        <v>253</v>
      </c>
      <c r="B9" s="64" t="s">
        <v>20</v>
      </c>
      <c r="C9" s="62">
        <v>583972200</v>
      </c>
      <c r="D9" s="62">
        <v>578500000</v>
      </c>
      <c r="E9" s="65">
        <f>C9/D9*100%</f>
        <v>1.0094592912705271</v>
      </c>
      <c r="F9" s="67" t="s">
        <v>318</v>
      </c>
      <c r="G9" s="68">
        <v>600000</v>
      </c>
      <c r="H9" s="68">
        <f>G9*55%</f>
        <v>330000</v>
      </c>
      <c r="I9" s="68">
        <f>G9*45%</f>
        <v>270000</v>
      </c>
    </row>
    <row r="10" spans="1:9" ht="16">
      <c r="A10" s="64" t="s">
        <v>255</v>
      </c>
      <c r="B10" s="64" t="s">
        <v>39</v>
      </c>
      <c r="C10" s="62">
        <v>523357900</v>
      </c>
      <c r="D10" s="62">
        <v>515500000</v>
      </c>
      <c r="E10" s="65">
        <f t="shared" ref="E10:E14" si="0">C10/D10*100%</f>
        <v>1.0152432589718721</v>
      </c>
      <c r="F10" s="59" t="s">
        <v>318</v>
      </c>
      <c r="G10" s="62">
        <v>600000</v>
      </c>
      <c r="H10" s="62">
        <f t="shared" ref="H10:H12" si="1">G10*55%</f>
        <v>330000</v>
      </c>
      <c r="I10" s="62">
        <f t="shared" ref="I10:I12" si="2">G10*45%</f>
        <v>270000</v>
      </c>
    </row>
    <row r="11" spans="1:9" ht="32">
      <c r="A11" s="64" t="s">
        <v>256</v>
      </c>
      <c r="B11" s="64" t="s">
        <v>50</v>
      </c>
      <c r="C11" s="62">
        <v>383422900</v>
      </c>
      <c r="D11" s="62">
        <v>440000000</v>
      </c>
      <c r="E11" s="65">
        <f t="shared" si="0"/>
        <v>0.87141568181818185</v>
      </c>
      <c r="F11" s="59" t="s">
        <v>318</v>
      </c>
      <c r="G11" s="62">
        <v>300000</v>
      </c>
      <c r="H11" s="62">
        <f t="shared" si="1"/>
        <v>165000</v>
      </c>
      <c r="I11" s="62">
        <f t="shared" si="2"/>
        <v>135000</v>
      </c>
    </row>
    <row r="12" spans="1:9" ht="32">
      <c r="A12" s="64" t="s">
        <v>257</v>
      </c>
      <c r="B12" s="64" t="s">
        <v>60</v>
      </c>
      <c r="C12" s="62">
        <v>341365150</v>
      </c>
      <c r="D12" s="62">
        <v>403000000</v>
      </c>
      <c r="E12" s="65">
        <f t="shared" si="0"/>
        <v>0.84705992555831267</v>
      </c>
      <c r="F12" s="59" t="s">
        <v>318</v>
      </c>
      <c r="G12" s="62">
        <v>300000</v>
      </c>
      <c r="H12" s="62">
        <f t="shared" si="1"/>
        <v>165000</v>
      </c>
      <c r="I12" s="62">
        <f t="shared" si="2"/>
        <v>135000</v>
      </c>
    </row>
    <row r="13" spans="1:9" ht="32">
      <c r="A13" s="64" t="s">
        <v>258</v>
      </c>
      <c r="B13" s="64" t="s">
        <v>71</v>
      </c>
      <c r="C13" s="62">
        <v>177246700</v>
      </c>
      <c r="D13" s="62">
        <v>218000000</v>
      </c>
      <c r="E13" s="65">
        <f t="shared" si="0"/>
        <v>0.81305825688073396</v>
      </c>
      <c r="F13" s="67" t="s">
        <v>319</v>
      </c>
      <c r="G13" s="68">
        <v>225000</v>
      </c>
      <c r="H13" s="68">
        <f t="shared" ref="H13:H14" si="3">G13*70%</f>
        <v>157500</v>
      </c>
      <c r="I13" s="68">
        <f t="shared" ref="I13:I14" si="4">G13*30%</f>
        <v>67500</v>
      </c>
    </row>
    <row r="14" spans="1:9" ht="32">
      <c r="A14" s="64" t="s">
        <v>259</v>
      </c>
      <c r="B14" s="64" t="s">
        <v>77</v>
      </c>
      <c r="C14" s="62">
        <v>189327600</v>
      </c>
      <c r="D14" s="62">
        <v>230000000</v>
      </c>
      <c r="E14" s="65">
        <f t="shared" si="0"/>
        <v>0.82316347826086955</v>
      </c>
      <c r="F14" s="59" t="s">
        <v>319</v>
      </c>
      <c r="G14" s="66">
        <v>225000</v>
      </c>
      <c r="H14" s="66">
        <f t="shared" si="3"/>
        <v>157500</v>
      </c>
      <c r="I14" s="66">
        <f t="shared" si="4"/>
        <v>67500</v>
      </c>
    </row>
  </sheetData>
  <mergeCells count="15">
    <mergeCell ref="H7:H8"/>
    <mergeCell ref="I7:I8"/>
    <mergeCell ref="C2:D2"/>
    <mergeCell ref="C3:D3"/>
    <mergeCell ref="A7:A8"/>
    <mergeCell ref="B7:B8"/>
    <mergeCell ref="D7:D8"/>
    <mergeCell ref="E7:E8"/>
    <mergeCell ref="F7:F8"/>
    <mergeCell ref="A2:A3"/>
    <mergeCell ref="A4:A5"/>
    <mergeCell ref="C4:D4"/>
    <mergeCell ref="C5:D5"/>
    <mergeCell ref="B1:D1"/>
    <mergeCell ref="G7:G8"/>
  </mergeCells>
  <conditionalFormatting sqref="E9:E14">
    <cfRule type="cellIs" dxfId="2" priority="1" operator="greaterThanOrEqual">
      <formula>1</formula>
    </cfRule>
    <cfRule type="cellIs" dxfId="1" priority="2" operator="greaterThan">
      <formula>0.7</formula>
    </cfRule>
    <cfRule type="cellIs" dxfId="0" priority="3" operator="lessThan">
      <formula>0.7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EBD5-BAAE-4A57-BC81-456ED279B3A8}">
  <dimension ref="A1:XES246"/>
  <sheetViews>
    <sheetView showGridLines="0" tabSelected="1" zoomScale="10" zoomScaleNormal="10" workbookViewId="0">
      <selection activeCell="AE99" sqref="AE99"/>
    </sheetView>
  </sheetViews>
  <sheetFormatPr baseColWidth="10" defaultColWidth="8.83203125" defaultRowHeight="15"/>
  <cols>
    <col min="1" max="2" width="15.5" customWidth="1"/>
    <col min="3" max="5" width="30.5" customWidth="1"/>
    <col min="6" max="7" width="15.5" customWidth="1"/>
    <col min="9" max="10" width="15.5" customWidth="1"/>
    <col min="11" max="13" width="30.5" customWidth="1"/>
    <col min="14" max="14" width="15.5" customWidth="1"/>
    <col min="15" max="15" width="13.1640625" style="31" customWidth="1"/>
    <col min="19" max="20" width="15.5" customWidth="1"/>
    <col min="21" max="23" width="30.5" customWidth="1"/>
    <col min="24" max="24" width="15.5" customWidth="1"/>
    <col min="25" max="25" width="12.33203125" style="31" bestFit="1" customWidth="1"/>
    <col min="29" max="29" width="15.5" customWidth="1"/>
    <col min="30" max="30" width="15.5" style="37" customWidth="1"/>
    <col min="31" max="31" width="30.5" customWidth="1"/>
  </cols>
  <sheetData>
    <row r="1" spans="1:28 16373:16373" s="3" customFormat="1" ht="20" customHeight="1">
      <c r="A1" s="1" t="s">
        <v>0</v>
      </c>
      <c r="B1" s="1" t="s">
        <v>1</v>
      </c>
      <c r="C1" s="1" t="s">
        <v>2</v>
      </c>
      <c r="D1" s="1" t="s">
        <v>314</v>
      </c>
      <c r="E1" s="1" t="s">
        <v>252</v>
      </c>
      <c r="F1" s="1" t="s">
        <v>3</v>
      </c>
      <c r="G1" s="1" t="s">
        <v>313</v>
      </c>
      <c r="P1"/>
      <c r="R1"/>
      <c r="Z1"/>
      <c r="AA1"/>
      <c r="AB1"/>
      <c r="XES1" s="5" t="s">
        <v>4</v>
      </c>
    </row>
    <row r="2" spans="1:28 16373:16373">
      <c r="A2" s="74" t="s">
        <v>5</v>
      </c>
      <c r="B2" s="70" t="s">
        <v>6</v>
      </c>
      <c r="C2" s="6" t="s">
        <v>7</v>
      </c>
      <c r="D2" s="58">
        <v>20240708</v>
      </c>
      <c r="E2" s="6">
        <v>0</v>
      </c>
      <c r="F2" s="6" t="s">
        <v>8</v>
      </c>
      <c r="G2" s="6"/>
    </row>
    <row r="3" spans="1:28 16373:16373">
      <c r="A3" s="75"/>
      <c r="B3" s="71"/>
      <c r="C3" s="12" t="s">
        <v>20</v>
      </c>
      <c r="D3" s="58">
        <v>20100202</v>
      </c>
      <c r="E3" s="52" t="s">
        <v>253</v>
      </c>
      <c r="F3" s="12" t="s">
        <v>21</v>
      </c>
      <c r="G3" s="12"/>
    </row>
    <row r="4" spans="1:28 16373:16373">
      <c r="A4" s="75"/>
      <c r="B4" s="71"/>
      <c r="C4" s="12" t="s">
        <v>26</v>
      </c>
      <c r="D4" s="58">
        <v>20230617</v>
      </c>
      <c r="E4" s="52" t="s">
        <v>254</v>
      </c>
      <c r="F4" s="12" t="s">
        <v>27</v>
      </c>
      <c r="G4" s="12"/>
    </row>
    <row r="5" spans="1:28 16373:16373">
      <c r="A5" s="75"/>
      <c r="B5" s="71"/>
      <c r="C5" s="12" t="s">
        <v>32</v>
      </c>
      <c r="D5" s="58">
        <v>20130211</v>
      </c>
      <c r="E5" s="52" t="s">
        <v>254</v>
      </c>
      <c r="F5" s="12" t="s">
        <v>33</v>
      </c>
      <c r="G5" s="12"/>
    </row>
    <row r="6" spans="1:28 16373:16373">
      <c r="A6" s="75"/>
      <c r="B6" s="71"/>
      <c r="C6" s="18" t="s">
        <v>39</v>
      </c>
      <c r="D6" s="58">
        <v>19980198</v>
      </c>
      <c r="E6" s="51" t="s">
        <v>255</v>
      </c>
      <c r="F6" s="18" t="s">
        <v>21</v>
      </c>
      <c r="G6" s="18"/>
    </row>
    <row r="7" spans="1:28 16373:16373">
      <c r="A7" s="75"/>
      <c r="B7" s="71"/>
      <c r="C7" s="18" t="s">
        <v>43</v>
      </c>
      <c r="D7" s="58">
        <v>20230600</v>
      </c>
      <c r="E7" s="51" t="s">
        <v>254</v>
      </c>
      <c r="F7" s="18" t="s">
        <v>27</v>
      </c>
      <c r="G7" s="18"/>
    </row>
    <row r="8" spans="1:28 16373:16373">
      <c r="A8" s="75"/>
      <c r="B8" s="71"/>
      <c r="C8" s="18" t="s">
        <v>47</v>
      </c>
      <c r="D8" s="58">
        <v>20250121</v>
      </c>
      <c r="E8" s="51" t="s">
        <v>254</v>
      </c>
      <c r="F8" s="18" t="s">
        <v>33</v>
      </c>
      <c r="G8" s="18"/>
    </row>
    <row r="9" spans="1:28 16373:16373">
      <c r="A9" s="75"/>
      <c r="B9" s="71"/>
      <c r="C9" s="12" t="s">
        <v>50</v>
      </c>
      <c r="D9" s="58">
        <v>20180214</v>
      </c>
      <c r="E9" s="52" t="s">
        <v>256</v>
      </c>
      <c r="F9" s="12" t="s">
        <v>21</v>
      </c>
      <c r="G9" s="12"/>
    </row>
    <row r="10" spans="1:28 16373:16373">
      <c r="A10" s="75"/>
      <c r="B10" s="71"/>
      <c r="C10" s="12" t="s">
        <v>54</v>
      </c>
      <c r="D10" s="58">
        <v>20240658</v>
      </c>
      <c r="E10" s="52" t="s">
        <v>254</v>
      </c>
      <c r="F10" s="12" t="s">
        <v>27</v>
      </c>
      <c r="G10" s="12"/>
    </row>
    <row r="11" spans="1:28 16373:16373">
      <c r="A11" s="75"/>
      <c r="B11" s="71"/>
      <c r="C11" s="12" t="s">
        <v>57</v>
      </c>
      <c r="D11" s="58">
        <v>20180224</v>
      </c>
      <c r="E11" s="52" t="s">
        <v>254</v>
      </c>
      <c r="F11" s="12" t="s">
        <v>33</v>
      </c>
      <c r="G11" s="12"/>
    </row>
    <row r="12" spans="1:28 16373:16373">
      <c r="A12" s="75"/>
      <c r="B12" s="71"/>
      <c r="C12" s="18" t="s">
        <v>60</v>
      </c>
      <c r="D12" s="58">
        <v>20130204</v>
      </c>
      <c r="E12" s="51" t="s">
        <v>257</v>
      </c>
      <c r="F12" s="18" t="s">
        <v>21</v>
      </c>
      <c r="G12" s="18"/>
    </row>
    <row r="13" spans="1:28 16373:16373">
      <c r="A13" s="75"/>
      <c r="B13" s="71"/>
      <c r="C13" s="18" t="s">
        <v>64</v>
      </c>
      <c r="D13" s="58">
        <v>20220357</v>
      </c>
      <c r="E13" s="51" t="s">
        <v>254</v>
      </c>
      <c r="F13" s="18" t="s">
        <v>27</v>
      </c>
      <c r="G13" s="18"/>
    </row>
    <row r="14" spans="1:28 16373:16373" ht="14.5" customHeight="1">
      <c r="A14" s="75"/>
      <c r="B14" s="71"/>
      <c r="C14" s="18" t="s">
        <v>67</v>
      </c>
      <c r="D14" s="58">
        <v>20160213</v>
      </c>
      <c r="E14" s="51" t="s">
        <v>254</v>
      </c>
      <c r="F14" s="18" t="s">
        <v>33</v>
      </c>
      <c r="G14" s="18"/>
    </row>
    <row r="15" spans="1:28 16373:16373" ht="14.5" customHeight="1">
      <c r="A15" s="75"/>
      <c r="B15" s="71"/>
      <c r="C15" s="12" t="s">
        <v>71</v>
      </c>
      <c r="D15" s="58">
        <v>20190219</v>
      </c>
      <c r="E15" s="52" t="s">
        <v>258</v>
      </c>
      <c r="F15" s="12" t="s">
        <v>21</v>
      </c>
      <c r="G15" s="12"/>
    </row>
    <row r="16" spans="1:28 16373:16373" ht="14.5" customHeight="1">
      <c r="A16" s="75"/>
      <c r="B16" s="71"/>
      <c r="C16" s="12" t="s">
        <v>75</v>
      </c>
      <c r="D16" s="58">
        <v>20250151</v>
      </c>
      <c r="E16" s="52" t="s">
        <v>254</v>
      </c>
      <c r="F16" s="12" t="s">
        <v>27</v>
      </c>
      <c r="G16" s="12"/>
    </row>
    <row r="17" spans="1:7">
      <c r="A17" s="75"/>
      <c r="B17" s="71"/>
      <c r="C17" s="18" t="s">
        <v>77</v>
      </c>
      <c r="D17" s="58">
        <v>20230514</v>
      </c>
      <c r="E17" s="51" t="s">
        <v>259</v>
      </c>
      <c r="F17" s="18" t="s">
        <v>21</v>
      </c>
      <c r="G17" s="18"/>
    </row>
    <row r="18" spans="1:7">
      <c r="A18" s="75"/>
      <c r="B18" s="71"/>
      <c r="C18" s="18" t="s">
        <v>315</v>
      </c>
      <c r="D18" s="58">
        <v>20250125</v>
      </c>
      <c r="E18" s="51" t="s">
        <v>254</v>
      </c>
      <c r="F18" s="18" t="s">
        <v>27</v>
      </c>
      <c r="G18" s="18"/>
    </row>
    <row r="19" spans="1:7">
      <c r="A19" s="75"/>
      <c r="B19" s="71"/>
      <c r="C19" s="12" t="s">
        <v>83</v>
      </c>
      <c r="D19" s="58">
        <v>20250096</v>
      </c>
      <c r="E19" s="52" t="s">
        <v>260</v>
      </c>
      <c r="F19" s="12" t="s">
        <v>84</v>
      </c>
      <c r="G19" s="12"/>
    </row>
    <row r="20" spans="1:7">
      <c r="A20" s="75"/>
      <c r="B20" s="71"/>
      <c r="C20" s="18" t="s">
        <v>87</v>
      </c>
      <c r="D20" s="58">
        <v>20250095</v>
      </c>
      <c r="E20" s="51" t="s">
        <v>261</v>
      </c>
      <c r="F20" s="18" t="s">
        <v>84</v>
      </c>
      <c r="G20" s="18"/>
    </row>
    <row r="21" spans="1:7">
      <c r="A21" s="75"/>
      <c r="B21" s="71"/>
      <c r="C21" s="6" t="s">
        <v>90</v>
      </c>
      <c r="D21" s="58">
        <v>20220403</v>
      </c>
      <c r="E21" s="6">
        <v>0</v>
      </c>
      <c r="F21" s="6" t="s">
        <v>8</v>
      </c>
      <c r="G21" s="6"/>
    </row>
    <row r="22" spans="1:7">
      <c r="A22" s="75"/>
      <c r="B22" s="71"/>
      <c r="C22" s="12" t="s">
        <v>93</v>
      </c>
      <c r="D22" s="58">
        <v>20170218</v>
      </c>
      <c r="E22" s="52" t="s">
        <v>262</v>
      </c>
      <c r="F22" s="12" t="s">
        <v>21</v>
      </c>
      <c r="G22" s="12"/>
    </row>
    <row r="23" spans="1:7">
      <c r="A23" s="75"/>
      <c r="B23" s="71"/>
      <c r="C23" s="12" t="s">
        <v>96</v>
      </c>
      <c r="D23" s="58">
        <v>20210228</v>
      </c>
      <c r="E23" s="52" t="s">
        <v>254</v>
      </c>
      <c r="F23" s="12" t="s">
        <v>27</v>
      </c>
      <c r="G23" s="12"/>
    </row>
    <row r="24" spans="1:7">
      <c r="A24" s="75"/>
      <c r="B24" s="71"/>
      <c r="C24" s="12" t="s">
        <v>98</v>
      </c>
      <c r="D24" s="58">
        <v>20140210</v>
      </c>
      <c r="E24" s="52" t="s">
        <v>254</v>
      </c>
      <c r="F24" s="12" t="s">
        <v>33</v>
      </c>
      <c r="G24" s="12"/>
    </row>
    <row r="25" spans="1:7">
      <c r="A25" s="75"/>
      <c r="B25" s="71"/>
      <c r="C25" s="18" t="s">
        <v>101</v>
      </c>
      <c r="D25" s="58">
        <v>20100208</v>
      </c>
      <c r="E25" s="51" t="s">
        <v>263</v>
      </c>
      <c r="F25" s="18" t="s">
        <v>21</v>
      </c>
      <c r="G25" s="18"/>
    </row>
    <row r="26" spans="1:7">
      <c r="A26" s="75"/>
      <c r="B26" s="71"/>
      <c r="C26" s="18" t="s">
        <v>103</v>
      </c>
      <c r="D26" s="58">
        <v>20000200</v>
      </c>
      <c r="E26" s="51" t="s">
        <v>254</v>
      </c>
      <c r="F26" s="18" t="s">
        <v>27</v>
      </c>
      <c r="G26" s="18"/>
    </row>
    <row r="27" spans="1:7">
      <c r="A27" s="75"/>
      <c r="B27" s="71"/>
      <c r="C27" s="18" t="s">
        <v>107</v>
      </c>
      <c r="D27" s="58">
        <v>20170216</v>
      </c>
      <c r="E27" s="51" t="s">
        <v>254</v>
      </c>
      <c r="F27" s="18" t="s">
        <v>33</v>
      </c>
      <c r="G27" s="18"/>
    </row>
    <row r="28" spans="1:7">
      <c r="A28" s="75"/>
      <c r="B28" s="71"/>
      <c r="C28" s="12" t="s">
        <v>112</v>
      </c>
      <c r="D28" s="58">
        <v>20020199</v>
      </c>
      <c r="E28" s="52" t="s">
        <v>264</v>
      </c>
      <c r="F28" s="12" t="s">
        <v>21</v>
      </c>
      <c r="G28" s="12"/>
    </row>
    <row r="29" spans="1:7">
      <c r="A29" s="75"/>
      <c r="B29" s="71"/>
      <c r="C29" s="12" t="s">
        <v>116</v>
      </c>
      <c r="D29" s="58">
        <v>20150206</v>
      </c>
      <c r="E29" s="52" t="s">
        <v>254</v>
      </c>
      <c r="F29" s="12" t="s">
        <v>27</v>
      </c>
      <c r="G29" s="12"/>
    </row>
    <row r="30" spans="1:7">
      <c r="A30" s="75"/>
      <c r="B30" s="71"/>
      <c r="C30" s="12" t="s">
        <v>120</v>
      </c>
      <c r="D30" s="58">
        <v>20200225</v>
      </c>
      <c r="E30" s="52" t="s">
        <v>254</v>
      </c>
      <c r="F30" s="12" t="s">
        <v>33</v>
      </c>
      <c r="G30" s="12"/>
    </row>
    <row r="31" spans="1:7">
      <c r="A31" s="75"/>
      <c r="B31" s="71"/>
      <c r="C31" s="18" t="s">
        <v>124</v>
      </c>
      <c r="D31" s="58">
        <v>20130207</v>
      </c>
      <c r="E31" s="51" t="s">
        <v>265</v>
      </c>
      <c r="F31" s="18" t="s">
        <v>21</v>
      </c>
      <c r="G31" s="18"/>
    </row>
    <row r="32" spans="1:7">
      <c r="A32" s="75"/>
      <c r="B32" s="71"/>
      <c r="C32" s="18" t="s">
        <v>127</v>
      </c>
      <c r="D32" s="58">
        <v>20230522</v>
      </c>
      <c r="E32" s="51" t="s">
        <v>254</v>
      </c>
      <c r="F32" s="18" t="s">
        <v>27</v>
      </c>
      <c r="G32" s="18"/>
    </row>
    <row r="33" spans="1:7">
      <c r="A33" s="75"/>
      <c r="B33" s="71"/>
      <c r="C33" s="18" t="s">
        <v>130</v>
      </c>
      <c r="D33" s="58">
        <v>20180223</v>
      </c>
      <c r="E33" s="51" t="s">
        <v>254</v>
      </c>
      <c r="F33" s="18" t="s">
        <v>33</v>
      </c>
      <c r="G33" s="18"/>
    </row>
    <row r="34" spans="1:7">
      <c r="A34" s="75"/>
      <c r="B34" s="71"/>
      <c r="C34" s="12" t="s">
        <v>133</v>
      </c>
      <c r="D34" s="58">
        <v>20250012</v>
      </c>
      <c r="E34" s="52" t="s">
        <v>266</v>
      </c>
      <c r="F34" s="12" t="s">
        <v>21</v>
      </c>
      <c r="G34" s="12"/>
    </row>
    <row r="35" spans="1:7">
      <c r="A35" s="75"/>
      <c r="B35" s="71"/>
      <c r="C35" s="12" t="s">
        <v>135</v>
      </c>
      <c r="D35" s="58">
        <v>20250048</v>
      </c>
      <c r="E35" s="52" t="s">
        <v>254</v>
      </c>
      <c r="F35" s="12" t="s">
        <v>27</v>
      </c>
      <c r="G35" s="12"/>
    </row>
    <row r="36" spans="1:7">
      <c r="A36" s="75"/>
      <c r="B36" s="71"/>
      <c r="C36" s="12" t="s">
        <v>139</v>
      </c>
      <c r="D36" s="58">
        <v>20220356</v>
      </c>
      <c r="E36" s="52" t="s">
        <v>254</v>
      </c>
      <c r="F36" s="12" t="s">
        <v>33</v>
      </c>
      <c r="G36" s="12"/>
    </row>
    <row r="37" spans="1:7">
      <c r="A37" s="75"/>
      <c r="B37" s="71"/>
      <c r="C37" s="18" t="s">
        <v>142</v>
      </c>
      <c r="D37" s="58">
        <v>20250013</v>
      </c>
      <c r="E37" s="51" t="s">
        <v>267</v>
      </c>
      <c r="F37" s="18" t="s">
        <v>21</v>
      </c>
      <c r="G37" s="18"/>
    </row>
    <row r="38" spans="1:7">
      <c r="A38" s="75"/>
      <c r="B38" s="71"/>
      <c r="C38" s="18" t="s">
        <v>145</v>
      </c>
      <c r="D38" s="58">
        <v>20230556</v>
      </c>
      <c r="E38" s="51" t="s">
        <v>254</v>
      </c>
      <c r="F38" s="18" t="s">
        <v>27</v>
      </c>
      <c r="G38" s="18"/>
    </row>
    <row r="39" spans="1:7">
      <c r="A39" s="75"/>
      <c r="B39" s="71"/>
      <c r="C39" s="12" t="s">
        <v>148</v>
      </c>
      <c r="D39" s="58">
        <v>19980181</v>
      </c>
      <c r="E39" s="52" t="s">
        <v>277</v>
      </c>
      <c r="F39" s="12" t="s">
        <v>21</v>
      </c>
      <c r="G39" s="12"/>
    </row>
    <row r="40" spans="1:7">
      <c r="A40" s="75"/>
      <c r="B40" s="71"/>
      <c r="C40" s="12" t="s">
        <v>150</v>
      </c>
      <c r="D40" s="58">
        <v>20260015</v>
      </c>
      <c r="E40" s="52" t="s">
        <v>254</v>
      </c>
      <c r="F40" s="12" t="s">
        <v>27</v>
      </c>
      <c r="G40" s="12"/>
    </row>
    <row r="41" spans="1:7">
      <c r="A41" s="75"/>
      <c r="B41" s="71"/>
      <c r="C41" s="12" t="s">
        <v>153</v>
      </c>
      <c r="D41" s="58">
        <v>20100183</v>
      </c>
      <c r="E41" s="52" t="s">
        <v>254</v>
      </c>
      <c r="F41" s="12" t="s">
        <v>33</v>
      </c>
      <c r="G41" s="12"/>
    </row>
    <row r="42" spans="1:7">
      <c r="A42" s="75"/>
      <c r="B42" s="71"/>
      <c r="C42" s="6" t="s">
        <v>157</v>
      </c>
      <c r="D42" s="58">
        <v>20240669</v>
      </c>
      <c r="E42" s="6">
        <v>0</v>
      </c>
      <c r="F42" s="6" t="s">
        <v>158</v>
      </c>
      <c r="G42" s="6"/>
    </row>
    <row r="43" spans="1:7">
      <c r="A43" s="75"/>
      <c r="B43" s="71"/>
      <c r="C43" s="12" t="s">
        <v>160</v>
      </c>
      <c r="D43" s="58">
        <v>20260086</v>
      </c>
      <c r="E43" s="52" t="s">
        <v>268</v>
      </c>
      <c r="F43" s="12" t="s">
        <v>161</v>
      </c>
      <c r="G43" s="12"/>
    </row>
    <row r="44" spans="1:7">
      <c r="A44" s="75"/>
      <c r="B44" s="71"/>
      <c r="C44" s="38" t="s">
        <v>24</v>
      </c>
      <c r="D44" s="58"/>
      <c r="E44" s="51">
        <v>0</v>
      </c>
      <c r="F44" s="18" t="s">
        <v>161</v>
      </c>
      <c r="G44" s="18"/>
    </row>
    <row r="45" spans="1:7">
      <c r="A45" s="75"/>
      <c r="B45" s="71"/>
      <c r="C45" s="6" t="s">
        <v>165</v>
      </c>
      <c r="D45" s="58">
        <v>20220376</v>
      </c>
      <c r="E45" s="6">
        <v>0</v>
      </c>
      <c r="F45" s="6" t="s">
        <v>166</v>
      </c>
      <c r="G45" s="6"/>
    </row>
    <row r="46" spans="1:7">
      <c r="A46" s="75"/>
      <c r="B46" s="71"/>
      <c r="C46" s="12" t="s">
        <v>170</v>
      </c>
      <c r="D46" s="58">
        <v>20250122</v>
      </c>
      <c r="E46" s="52" t="s">
        <v>269</v>
      </c>
      <c r="F46" s="12" t="s">
        <v>171</v>
      </c>
      <c r="G46" s="12"/>
    </row>
    <row r="47" spans="1:7">
      <c r="A47" s="75"/>
      <c r="B47" s="71"/>
      <c r="C47" s="18" t="s">
        <v>174</v>
      </c>
      <c r="D47" s="58">
        <v>20260059</v>
      </c>
      <c r="E47" s="51" t="s">
        <v>270</v>
      </c>
      <c r="F47" s="18" t="s">
        <v>171</v>
      </c>
      <c r="G47" s="18"/>
    </row>
    <row r="48" spans="1:7">
      <c r="A48" s="75"/>
      <c r="B48" s="71"/>
      <c r="C48" s="12" t="s">
        <v>177</v>
      </c>
      <c r="D48" s="58">
        <v>20260034</v>
      </c>
      <c r="E48" s="52" t="s">
        <v>254</v>
      </c>
      <c r="F48" s="12" t="s">
        <v>45</v>
      </c>
      <c r="G48" s="12"/>
    </row>
    <row r="49" spans="1:16">
      <c r="A49" s="75"/>
      <c r="B49" s="71"/>
      <c r="C49" s="18" t="s">
        <v>180</v>
      </c>
      <c r="D49" s="58">
        <v>20260041</v>
      </c>
      <c r="E49" s="51" t="s">
        <v>254</v>
      </c>
      <c r="F49" s="18" t="s">
        <v>45</v>
      </c>
      <c r="G49" s="18"/>
    </row>
    <row r="50" spans="1:16">
      <c r="A50" s="75"/>
      <c r="B50" s="71"/>
      <c r="C50" s="12" t="s">
        <v>183</v>
      </c>
      <c r="D50" s="58">
        <v>20260085</v>
      </c>
      <c r="E50" s="52" t="s">
        <v>254</v>
      </c>
      <c r="F50" s="12" t="s">
        <v>45</v>
      </c>
      <c r="G50" s="12"/>
    </row>
    <row r="51" spans="1:16">
      <c r="A51" s="75"/>
      <c r="B51" s="71"/>
      <c r="C51" s="18" t="s">
        <v>186</v>
      </c>
      <c r="D51" s="58">
        <v>20260084</v>
      </c>
      <c r="E51" s="51" t="s">
        <v>254</v>
      </c>
      <c r="F51" s="18" t="s">
        <v>45</v>
      </c>
      <c r="G51" s="18"/>
    </row>
    <row r="52" spans="1:16">
      <c r="A52" s="75"/>
      <c r="B52" s="71"/>
      <c r="C52" s="6" t="s">
        <v>189</v>
      </c>
      <c r="D52" s="58">
        <v>20240700</v>
      </c>
      <c r="E52" s="6">
        <v>0</v>
      </c>
      <c r="F52" s="6" t="s">
        <v>122</v>
      </c>
      <c r="G52" s="6"/>
    </row>
    <row r="53" spans="1:16">
      <c r="A53" s="75"/>
      <c r="B53" s="71"/>
      <c r="C53" s="12" t="s">
        <v>192</v>
      </c>
      <c r="D53" s="58">
        <v>20240766</v>
      </c>
      <c r="E53" s="52" t="s">
        <v>254</v>
      </c>
      <c r="F53" s="12" t="s">
        <v>37</v>
      </c>
      <c r="G53" s="12"/>
    </row>
    <row r="54" spans="1:16">
      <c r="A54" s="75"/>
      <c r="B54" s="71"/>
      <c r="C54" s="18" t="s">
        <v>195</v>
      </c>
      <c r="D54" s="58">
        <v>20250005</v>
      </c>
      <c r="E54" s="51" t="s">
        <v>254</v>
      </c>
      <c r="F54" s="18" t="s">
        <v>37</v>
      </c>
      <c r="G54" s="18"/>
    </row>
    <row r="55" spans="1:16" ht="14.5" customHeight="1">
      <c r="A55" s="75"/>
      <c r="B55" s="71"/>
      <c r="C55" s="12" t="s">
        <v>197</v>
      </c>
      <c r="D55" s="58">
        <v>20260013</v>
      </c>
      <c r="E55" s="52" t="s">
        <v>254</v>
      </c>
      <c r="F55" s="12" t="s">
        <v>37</v>
      </c>
      <c r="G55" s="12"/>
    </row>
    <row r="56" spans="1:16" ht="14.5" customHeight="1">
      <c r="A56" s="75"/>
      <c r="B56" s="71"/>
      <c r="C56" s="18" t="s">
        <v>200</v>
      </c>
      <c r="D56" s="58">
        <v>20240685</v>
      </c>
      <c r="E56" s="51" t="s">
        <v>254</v>
      </c>
      <c r="F56" s="18" t="s">
        <v>37</v>
      </c>
      <c r="G56" s="18"/>
    </row>
    <row r="57" spans="1:16" ht="14.5" customHeight="1">
      <c r="A57" s="75"/>
      <c r="B57" s="71"/>
      <c r="C57" s="6" t="s">
        <v>203</v>
      </c>
      <c r="D57" s="58">
        <v>20140197</v>
      </c>
      <c r="E57" s="6">
        <v>0</v>
      </c>
      <c r="F57" s="6" t="s">
        <v>204</v>
      </c>
      <c r="G57" s="6"/>
    </row>
    <row r="58" spans="1:16">
      <c r="A58" s="75"/>
      <c r="B58" s="71"/>
      <c r="C58" s="12" t="s">
        <v>206</v>
      </c>
      <c r="D58" s="58">
        <v>20250061</v>
      </c>
      <c r="E58" s="52">
        <v>0</v>
      </c>
      <c r="F58" s="12" t="s">
        <v>163</v>
      </c>
      <c r="G58" s="12"/>
    </row>
    <row r="59" spans="1:16" ht="14.5" customHeight="1">
      <c r="A59" s="75"/>
      <c r="B59" s="71"/>
      <c r="C59" s="18" t="s">
        <v>209</v>
      </c>
      <c r="D59" s="58">
        <v>20190221</v>
      </c>
      <c r="E59" s="51" t="s">
        <v>254</v>
      </c>
      <c r="F59" s="18" t="s">
        <v>163</v>
      </c>
      <c r="G59" s="18"/>
    </row>
    <row r="60" spans="1:16" ht="14.5" customHeight="1">
      <c r="A60" s="75"/>
      <c r="B60" s="71"/>
      <c r="C60" s="12" t="s">
        <v>212</v>
      </c>
      <c r="D60" s="58">
        <v>20250184</v>
      </c>
      <c r="E60" s="52" t="s">
        <v>254</v>
      </c>
      <c r="F60" s="12" t="s">
        <v>163</v>
      </c>
      <c r="G60" s="12"/>
      <c r="P60" s="29"/>
    </row>
    <row r="61" spans="1:16" ht="14.5" customHeight="1">
      <c r="A61" s="75"/>
      <c r="B61" s="71"/>
      <c r="C61" s="18" t="s">
        <v>213</v>
      </c>
      <c r="D61" s="58">
        <v>20250062</v>
      </c>
      <c r="E61" s="51" t="s">
        <v>254</v>
      </c>
      <c r="F61" s="18" t="s">
        <v>163</v>
      </c>
      <c r="G61" s="18"/>
      <c r="P61" s="29"/>
    </row>
    <row r="62" spans="1:16">
      <c r="A62" s="75"/>
      <c r="B62" s="71"/>
      <c r="C62" s="12" t="s">
        <v>215</v>
      </c>
      <c r="D62" s="58">
        <v>20020205</v>
      </c>
      <c r="E62" s="52" t="s">
        <v>254</v>
      </c>
      <c r="F62" s="12" t="s">
        <v>163</v>
      </c>
      <c r="G62" s="12"/>
    </row>
    <row r="63" spans="1:16" ht="14.5" customHeight="1">
      <c r="A63" s="75"/>
      <c r="B63" s="71"/>
      <c r="C63" s="18" t="s">
        <v>216</v>
      </c>
      <c r="D63" s="58">
        <v>20200222</v>
      </c>
      <c r="E63" s="51" t="s">
        <v>254</v>
      </c>
      <c r="F63" s="18" t="s">
        <v>163</v>
      </c>
      <c r="G63" s="18"/>
    </row>
    <row r="64" spans="1:16" ht="14.5" customHeight="1">
      <c r="A64" s="75"/>
      <c r="B64" s="71"/>
      <c r="C64" s="6"/>
      <c r="D64" s="58"/>
      <c r="E64" s="6">
        <v>0</v>
      </c>
      <c r="F64" s="6"/>
      <c r="G64" s="6"/>
    </row>
    <row r="65" spans="1:16" ht="14.5" customHeight="1">
      <c r="A65" s="75"/>
      <c r="B65" s="72"/>
      <c r="C65" s="12" t="s">
        <v>223</v>
      </c>
      <c r="D65" s="58">
        <v>20260003</v>
      </c>
      <c r="E65" s="52" t="s">
        <v>254</v>
      </c>
      <c r="F65" s="12" t="s">
        <v>138</v>
      </c>
      <c r="G65" s="12" t="s">
        <v>138</v>
      </c>
    </row>
    <row r="66" spans="1:16">
      <c r="A66" s="75"/>
      <c r="B66" s="36" t="s">
        <v>208</v>
      </c>
      <c r="C66" s="36"/>
      <c r="D66" s="58"/>
      <c r="E66" s="51" t="s">
        <v>254</v>
      </c>
      <c r="F66" s="36"/>
      <c r="G66" s="36"/>
    </row>
    <row r="67" spans="1:16">
      <c r="A67" s="75"/>
      <c r="B67" s="35" t="s">
        <v>6</v>
      </c>
      <c r="C67" s="36" t="s">
        <v>226</v>
      </c>
      <c r="D67" s="58">
        <v>20240678</v>
      </c>
      <c r="E67" s="51" t="s">
        <v>254</v>
      </c>
      <c r="F67" s="36" t="s">
        <v>227</v>
      </c>
      <c r="G67" s="36" t="s">
        <v>227</v>
      </c>
    </row>
    <row r="68" spans="1:16" ht="14.5" customHeight="1">
      <c r="A68" s="75"/>
      <c r="B68" s="18"/>
      <c r="C68" s="36"/>
      <c r="D68" s="58"/>
      <c r="E68" s="51" t="s">
        <v>254</v>
      </c>
      <c r="F68" s="36"/>
      <c r="G68" s="36"/>
    </row>
    <row r="69" spans="1:16" ht="14.5" customHeight="1">
      <c r="A69" s="75"/>
      <c r="B69" s="70" t="s">
        <v>230</v>
      </c>
      <c r="C69" s="6" t="s">
        <v>231</v>
      </c>
      <c r="D69" s="58">
        <v>20180254</v>
      </c>
      <c r="E69" s="6">
        <v>0</v>
      </c>
      <c r="F69" s="6" t="s">
        <v>8</v>
      </c>
      <c r="G69" s="6" t="s">
        <v>8</v>
      </c>
    </row>
    <row r="70" spans="1:16">
      <c r="A70" s="75"/>
      <c r="B70" s="71"/>
      <c r="C70" s="12" t="s">
        <v>233</v>
      </c>
      <c r="D70" s="58">
        <v>19990196</v>
      </c>
      <c r="E70" s="52" t="s">
        <v>271</v>
      </c>
      <c r="F70" s="12" t="s">
        <v>21</v>
      </c>
      <c r="G70" s="12" t="s">
        <v>21</v>
      </c>
    </row>
    <row r="71" spans="1:16">
      <c r="A71" s="75"/>
      <c r="B71" s="71"/>
      <c r="C71" s="12" t="s">
        <v>235</v>
      </c>
      <c r="D71" s="58">
        <v>20110209</v>
      </c>
      <c r="E71" s="52" t="s">
        <v>254</v>
      </c>
      <c r="F71" s="12" t="s">
        <v>33</v>
      </c>
      <c r="G71" s="12" t="s">
        <v>33</v>
      </c>
      <c r="P71" s="29"/>
    </row>
    <row r="72" spans="1:16" ht="14.5" customHeight="1">
      <c r="A72" s="75"/>
      <c r="B72" s="71"/>
      <c r="C72" s="12" t="s">
        <v>236</v>
      </c>
      <c r="D72" s="58">
        <v>20250133</v>
      </c>
      <c r="E72" s="52" t="s">
        <v>254</v>
      </c>
      <c r="F72" s="12" t="s">
        <v>33</v>
      </c>
      <c r="G72" s="12" t="s">
        <v>33</v>
      </c>
      <c r="P72" s="29"/>
    </row>
    <row r="73" spans="1:16" ht="14.5" customHeight="1">
      <c r="A73" s="75"/>
      <c r="B73" s="71"/>
      <c r="C73" s="18" t="s">
        <v>238</v>
      </c>
      <c r="D73" s="58">
        <v>20240645</v>
      </c>
      <c r="E73" s="51" t="s">
        <v>272</v>
      </c>
      <c r="F73" s="18" t="s">
        <v>21</v>
      </c>
      <c r="G73" s="18" t="s">
        <v>21</v>
      </c>
    </row>
    <row r="74" spans="1:16">
      <c r="A74" s="75"/>
      <c r="B74" s="71"/>
      <c r="C74" s="18" t="s">
        <v>239</v>
      </c>
      <c r="D74" s="58">
        <v>20210271</v>
      </c>
      <c r="E74" s="51" t="s">
        <v>254</v>
      </c>
      <c r="F74" s="18" t="s">
        <v>27</v>
      </c>
      <c r="G74" s="18" t="s">
        <v>27</v>
      </c>
    </row>
    <row r="75" spans="1:16">
      <c r="A75" s="75"/>
      <c r="B75" s="71"/>
      <c r="C75" s="12" t="s">
        <v>240</v>
      </c>
      <c r="D75" s="58">
        <v>20250132</v>
      </c>
      <c r="E75" s="52" t="s">
        <v>273</v>
      </c>
      <c r="F75" s="12" t="s">
        <v>21</v>
      </c>
      <c r="G75" s="12" t="s">
        <v>21</v>
      </c>
    </row>
    <row r="76" spans="1:16">
      <c r="A76" s="75"/>
      <c r="B76" s="71"/>
      <c r="C76" s="12" t="s">
        <v>241</v>
      </c>
      <c r="D76" s="58">
        <v>20250040</v>
      </c>
      <c r="E76" s="52" t="s">
        <v>254</v>
      </c>
      <c r="F76" s="12" t="s">
        <v>27</v>
      </c>
      <c r="G76" s="12" t="s">
        <v>27</v>
      </c>
    </row>
    <row r="77" spans="1:16">
      <c r="A77" s="75"/>
      <c r="B77" s="71"/>
      <c r="C77" s="38" t="s">
        <v>24</v>
      </c>
      <c r="D77" s="58"/>
      <c r="E77" s="51">
        <v>0</v>
      </c>
      <c r="F77" s="18" t="s">
        <v>37</v>
      </c>
      <c r="G77" s="18" t="s">
        <v>37</v>
      </c>
    </row>
    <row r="78" spans="1:16">
      <c r="A78" s="75"/>
      <c r="B78" s="18"/>
      <c r="C78" s="18"/>
      <c r="D78" s="58"/>
      <c r="E78" s="51" t="s">
        <v>254</v>
      </c>
      <c r="F78" s="18"/>
      <c r="G78" s="18"/>
    </row>
    <row r="79" spans="1:16">
      <c r="A79" s="75"/>
      <c r="B79" s="70" t="s">
        <v>242</v>
      </c>
      <c r="C79" s="6" t="s">
        <v>243</v>
      </c>
      <c r="D79" s="58">
        <v>20250170</v>
      </c>
      <c r="E79" s="6">
        <v>0</v>
      </c>
      <c r="F79" s="6" t="s">
        <v>8</v>
      </c>
      <c r="G79" s="6" t="s">
        <v>8</v>
      </c>
    </row>
    <row r="80" spans="1:16">
      <c r="A80" s="75"/>
      <c r="B80" s="71"/>
      <c r="C80" s="12" t="s">
        <v>244</v>
      </c>
      <c r="D80" s="58">
        <v>20220346</v>
      </c>
      <c r="E80" s="52" t="s">
        <v>274</v>
      </c>
      <c r="F80" s="12" t="s">
        <v>21</v>
      </c>
      <c r="G80" s="12" t="s">
        <v>21</v>
      </c>
    </row>
    <row r="81" spans="1:7">
      <c r="A81" s="75"/>
      <c r="B81" s="71"/>
      <c r="C81" s="12" t="s">
        <v>245</v>
      </c>
      <c r="D81" s="58">
        <v>20220345</v>
      </c>
      <c r="E81" s="52" t="s">
        <v>254</v>
      </c>
      <c r="F81" s="12" t="s">
        <v>27</v>
      </c>
      <c r="G81" s="12" t="s">
        <v>27</v>
      </c>
    </row>
    <row r="82" spans="1:7">
      <c r="A82" s="75"/>
      <c r="B82" s="71"/>
      <c r="C82" s="12" t="s">
        <v>246</v>
      </c>
      <c r="D82" s="58">
        <v>20160150</v>
      </c>
      <c r="E82" s="52" t="s">
        <v>254</v>
      </c>
      <c r="F82" s="12" t="s">
        <v>33</v>
      </c>
      <c r="G82" s="12" t="s">
        <v>33</v>
      </c>
    </row>
    <row r="83" spans="1:7">
      <c r="A83" s="75"/>
      <c r="B83" s="71"/>
      <c r="C83" s="18" t="s">
        <v>247</v>
      </c>
      <c r="D83" s="58">
        <v>20110185</v>
      </c>
      <c r="E83" s="51" t="s">
        <v>275</v>
      </c>
      <c r="F83" s="18" t="s">
        <v>21</v>
      </c>
      <c r="G83" s="18" t="s">
        <v>21</v>
      </c>
    </row>
    <row r="84" spans="1:7">
      <c r="A84" s="75"/>
      <c r="B84" s="71"/>
      <c r="C84" s="18" t="s">
        <v>248</v>
      </c>
      <c r="D84" s="58">
        <v>20160148</v>
      </c>
      <c r="E84" s="51" t="s">
        <v>254</v>
      </c>
      <c r="F84" s="18" t="s">
        <v>27</v>
      </c>
      <c r="G84" s="18" t="s">
        <v>27</v>
      </c>
    </row>
    <row r="85" spans="1:7">
      <c r="A85" s="75"/>
      <c r="B85" s="71"/>
      <c r="C85" s="12" t="s">
        <v>249</v>
      </c>
      <c r="D85" s="58">
        <v>20260007</v>
      </c>
      <c r="E85" s="52" t="s">
        <v>276</v>
      </c>
      <c r="F85" s="12" t="s">
        <v>21</v>
      </c>
      <c r="G85" s="12" t="s">
        <v>21</v>
      </c>
    </row>
    <row r="86" spans="1:7">
      <c r="A86" s="75"/>
      <c r="B86" s="71"/>
      <c r="C86" s="12" t="s">
        <v>250</v>
      </c>
      <c r="D86" s="58">
        <v>20260092</v>
      </c>
      <c r="E86" s="52" t="s">
        <v>254</v>
      </c>
      <c r="F86" s="12" t="s">
        <v>27</v>
      </c>
      <c r="G86" s="12" t="s">
        <v>27</v>
      </c>
    </row>
    <row r="87" spans="1:7">
      <c r="A87" s="76"/>
      <c r="B87" s="72"/>
      <c r="C87" s="18" t="s">
        <v>251</v>
      </c>
      <c r="D87" s="58">
        <v>20260082</v>
      </c>
      <c r="E87" s="51" t="s">
        <v>254</v>
      </c>
      <c r="F87" s="18" t="s">
        <v>37</v>
      </c>
      <c r="G87" s="18" t="s">
        <v>37</v>
      </c>
    </row>
    <row r="89" spans="1:7" ht="16">
      <c r="A89" s="1" t="s">
        <v>0</v>
      </c>
      <c r="B89" s="1" t="s">
        <v>1</v>
      </c>
      <c r="C89" s="1" t="s">
        <v>2</v>
      </c>
      <c r="D89" s="1" t="s">
        <v>314</v>
      </c>
      <c r="E89" s="1" t="s">
        <v>252</v>
      </c>
      <c r="F89" s="1" t="s">
        <v>3</v>
      </c>
      <c r="G89" s="2" t="s">
        <v>313</v>
      </c>
    </row>
    <row r="90" spans="1:7">
      <c r="A90" s="77" t="s">
        <v>9</v>
      </c>
      <c r="B90" s="70" t="s">
        <v>10</v>
      </c>
      <c r="C90" s="6" t="s">
        <v>11</v>
      </c>
      <c r="D90" s="58">
        <v>20250117</v>
      </c>
      <c r="E90" s="6"/>
      <c r="F90" s="6" t="s">
        <v>8</v>
      </c>
      <c r="G90" s="8"/>
    </row>
    <row r="91" spans="1:7">
      <c r="A91" s="77"/>
      <c r="B91" s="71"/>
      <c r="C91" s="12" t="s">
        <v>22</v>
      </c>
      <c r="D91" s="58">
        <v>20170178</v>
      </c>
      <c r="E91" s="52" t="s">
        <v>282</v>
      </c>
      <c r="F91" s="12" t="s">
        <v>21</v>
      </c>
      <c r="G91" s="14"/>
    </row>
    <row r="92" spans="1:7">
      <c r="A92" s="77"/>
      <c r="B92" s="71"/>
      <c r="C92" s="12" t="s">
        <v>28</v>
      </c>
      <c r="D92" s="58">
        <v>20190177</v>
      </c>
      <c r="E92" s="52" t="s">
        <v>254</v>
      </c>
      <c r="F92" s="12" t="s">
        <v>27</v>
      </c>
      <c r="G92" s="14"/>
    </row>
    <row r="93" spans="1:7">
      <c r="A93" s="77"/>
      <c r="B93" s="71"/>
      <c r="C93" s="18" t="s">
        <v>34</v>
      </c>
      <c r="D93" s="58">
        <v>20200163</v>
      </c>
      <c r="E93" s="51" t="s">
        <v>283</v>
      </c>
      <c r="F93" s="18" t="s">
        <v>21</v>
      </c>
      <c r="G93" s="19"/>
    </row>
    <row r="94" spans="1:7">
      <c r="A94" s="77"/>
      <c r="B94" s="71"/>
      <c r="C94" s="18" t="s">
        <v>40</v>
      </c>
      <c r="D94" s="58">
        <v>20050174</v>
      </c>
      <c r="E94" s="51" t="s">
        <v>254</v>
      </c>
      <c r="F94" s="18" t="s">
        <v>27</v>
      </c>
      <c r="G94" s="19"/>
    </row>
    <row r="95" spans="1:7">
      <c r="A95" s="77"/>
      <c r="B95" s="71"/>
      <c r="C95" s="12" t="s">
        <v>44</v>
      </c>
      <c r="D95" s="58">
        <v>20250002</v>
      </c>
      <c r="E95" s="52" t="s">
        <v>284</v>
      </c>
      <c r="F95" s="12" t="s">
        <v>21</v>
      </c>
      <c r="G95" s="14"/>
    </row>
    <row r="96" spans="1:7">
      <c r="A96" s="77"/>
      <c r="B96" s="71"/>
      <c r="C96" s="12" t="s">
        <v>48</v>
      </c>
      <c r="D96" s="58">
        <v>20250205</v>
      </c>
      <c r="E96" s="52" t="s">
        <v>254</v>
      </c>
      <c r="F96" s="12" t="s">
        <v>27</v>
      </c>
      <c r="G96" s="14"/>
    </row>
    <row r="97" spans="1:7">
      <c r="A97" s="77"/>
      <c r="B97" s="71"/>
      <c r="C97" s="18" t="s">
        <v>316</v>
      </c>
      <c r="D97" s="58">
        <v>20240682</v>
      </c>
      <c r="E97" s="51" t="s">
        <v>285</v>
      </c>
      <c r="F97" s="18" t="s">
        <v>21</v>
      </c>
      <c r="G97" s="19"/>
    </row>
    <row r="98" spans="1:7">
      <c r="A98" s="77"/>
      <c r="B98" s="71"/>
      <c r="C98" s="18" t="s">
        <v>55</v>
      </c>
      <c r="D98" s="58">
        <v>20250192</v>
      </c>
      <c r="E98" s="51" t="s">
        <v>254</v>
      </c>
      <c r="F98" s="18" t="s">
        <v>27</v>
      </c>
      <c r="G98" s="19"/>
    </row>
    <row r="99" spans="1:7">
      <c r="A99" s="77"/>
      <c r="B99" s="71"/>
      <c r="C99" s="6" t="s">
        <v>11</v>
      </c>
      <c r="D99" s="58">
        <v>20250117</v>
      </c>
      <c r="E99" s="6"/>
      <c r="F99" s="6" t="s">
        <v>8</v>
      </c>
      <c r="G99" s="8"/>
    </row>
    <row r="100" spans="1:7">
      <c r="A100" s="77"/>
      <c r="B100" s="71"/>
      <c r="C100" s="12" t="s">
        <v>61</v>
      </c>
      <c r="D100" s="58">
        <v>19970175</v>
      </c>
      <c r="E100" s="52" t="s">
        <v>286</v>
      </c>
      <c r="F100" s="12" t="s">
        <v>21</v>
      </c>
      <c r="G100" s="14"/>
    </row>
    <row r="101" spans="1:7">
      <c r="A101" s="77"/>
      <c r="B101" s="71"/>
      <c r="C101" s="12" t="s">
        <v>65</v>
      </c>
      <c r="D101" s="58">
        <v>20160152</v>
      </c>
      <c r="E101" s="52" t="s">
        <v>254</v>
      </c>
      <c r="F101" s="12" t="s">
        <v>33</v>
      </c>
      <c r="G101" s="14"/>
    </row>
    <row r="102" spans="1:7">
      <c r="A102" s="77"/>
      <c r="B102" s="71"/>
      <c r="C102" s="18" t="s">
        <v>68</v>
      </c>
      <c r="D102" s="58">
        <v>20050180</v>
      </c>
      <c r="E102" s="51" t="s">
        <v>287</v>
      </c>
      <c r="F102" s="18" t="s">
        <v>21</v>
      </c>
      <c r="G102" s="19"/>
    </row>
    <row r="103" spans="1:7">
      <c r="A103" s="77"/>
      <c r="B103" s="71"/>
      <c r="C103" s="18" t="s">
        <v>72</v>
      </c>
      <c r="D103" s="58">
        <v>20200179</v>
      </c>
      <c r="E103" s="51" t="s">
        <v>254</v>
      </c>
      <c r="F103" s="18" t="s">
        <v>27</v>
      </c>
      <c r="G103" s="19"/>
    </row>
    <row r="104" spans="1:7">
      <c r="A104" s="77"/>
      <c r="B104" s="71"/>
      <c r="C104" s="12" t="s">
        <v>76</v>
      </c>
      <c r="D104" s="58">
        <v>20210170</v>
      </c>
      <c r="E104" s="52" t="s">
        <v>288</v>
      </c>
      <c r="F104" s="12" t="s">
        <v>21</v>
      </c>
      <c r="G104" s="14"/>
    </row>
    <row r="105" spans="1:7">
      <c r="A105" s="77"/>
      <c r="B105" s="71"/>
      <c r="C105" s="12" t="s">
        <v>78</v>
      </c>
      <c r="D105" s="58">
        <v>20230586</v>
      </c>
      <c r="E105" s="52" t="s">
        <v>254</v>
      </c>
      <c r="F105" s="12" t="s">
        <v>21</v>
      </c>
      <c r="G105" s="14"/>
    </row>
    <row r="106" spans="1:7">
      <c r="A106" s="77"/>
      <c r="B106" s="71"/>
      <c r="C106" s="12" t="s">
        <v>80</v>
      </c>
      <c r="D106" s="58">
        <v>20210302</v>
      </c>
      <c r="E106" s="52" t="s">
        <v>254</v>
      </c>
      <c r="F106" s="12" t="s">
        <v>33</v>
      </c>
      <c r="G106" s="14"/>
    </row>
    <row r="107" spans="1:7">
      <c r="A107" s="77"/>
      <c r="B107" s="71"/>
      <c r="C107" s="12" t="s">
        <v>85</v>
      </c>
      <c r="D107" s="58">
        <v>20240661</v>
      </c>
      <c r="E107" s="52" t="s">
        <v>254</v>
      </c>
      <c r="F107" s="12" t="s">
        <v>33</v>
      </c>
      <c r="G107" s="14"/>
    </row>
    <row r="108" spans="1:7">
      <c r="A108" s="77"/>
      <c r="B108" s="71"/>
      <c r="C108" s="18" t="s">
        <v>88</v>
      </c>
      <c r="D108" s="58">
        <v>20200168</v>
      </c>
      <c r="E108" s="51" t="s">
        <v>289</v>
      </c>
      <c r="F108" s="18" t="s">
        <v>21</v>
      </c>
      <c r="G108" s="19"/>
    </row>
    <row r="109" spans="1:7">
      <c r="A109" s="77"/>
      <c r="B109" s="71"/>
      <c r="C109" s="18" t="s">
        <v>91</v>
      </c>
      <c r="D109" s="58">
        <v>20200167</v>
      </c>
      <c r="E109" s="51" t="s">
        <v>254</v>
      </c>
      <c r="F109" s="18" t="s">
        <v>21</v>
      </c>
      <c r="G109" s="19"/>
    </row>
    <row r="110" spans="1:7">
      <c r="A110" s="77"/>
      <c r="B110" s="71"/>
      <c r="C110" s="18" t="s">
        <v>94</v>
      </c>
      <c r="D110" s="58">
        <v>20210284</v>
      </c>
      <c r="E110" s="51" t="s">
        <v>254</v>
      </c>
      <c r="F110" s="18" t="s">
        <v>33</v>
      </c>
      <c r="G110" s="19"/>
    </row>
    <row r="111" spans="1:7">
      <c r="A111" s="77"/>
      <c r="B111" s="71"/>
      <c r="C111" s="18" t="s">
        <v>97</v>
      </c>
      <c r="D111" s="58">
        <v>20200164</v>
      </c>
      <c r="E111" s="51" t="s">
        <v>254</v>
      </c>
      <c r="F111" s="18" t="s">
        <v>33</v>
      </c>
      <c r="G111" s="19"/>
    </row>
    <row r="112" spans="1:7">
      <c r="A112" s="77"/>
      <c r="B112" s="71"/>
      <c r="C112" s="12" t="s">
        <v>99</v>
      </c>
      <c r="D112" s="58">
        <v>20250203</v>
      </c>
      <c r="E112" s="52" t="s">
        <v>290</v>
      </c>
      <c r="F112" s="12" t="s">
        <v>100</v>
      </c>
      <c r="G112" s="14"/>
    </row>
    <row r="113" spans="1:7">
      <c r="A113" s="77"/>
      <c r="B113" s="71"/>
      <c r="C113" s="6"/>
      <c r="D113" s="58"/>
      <c r="E113" s="6"/>
      <c r="F113" s="6" t="s">
        <v>102</v>
      </c>
      <c r="G113" s="8"/>
    </row>
    <row r="114" spans="1:7">
      <c r="A114" s="77"/>
      <c r="B114" s="71"/>
      <c r="C114" s="13" t="s">
        <v>104</v>
      </c>
      <c r="D114" s="58">
        <v>20000173</v>
      </c>
      <c r="E114" s="52" t="s">
        <v>291</v>
      </c>
      <c r="F114" s="13" t="s">
        <v>21</v>
      </c>
      <c r="G114" s="14"/>
    </row>
    <row r="115" spans="1:7">
      <c r="A115" s="77"/>
      <c r="B115" s="71"/>
      <c r="C115" s="18" t="s">
        <v>108</v>
      </c>
      <c r="D115" s="58">
        <v>20240721</v>
      </c>
      <c r="E115" s="51" t="s">
        <v>254</v>
      </c>
      <c r="F115" s="18" t="s">
        <v>109</v>
      </c>
      <c r="G115" s="19"/>
    </row>
    <row r="116" spans="1:7">
      <c r="A116" s="77"/>
      <c r="B116" s="71"/>
      <c r="C116" s="13" t="s">
        <v>317</v>
      </c>
      <c r="D116" s="58">
        <v>20250164</v>
      </c>
      <c r="E116" s="52" t="s">
        <v>254</v>
      </c>
      <c r="F116" s="13" t="s">
        <v>114</v>
      </c>
      <c r="G116" s="14"/>
    </row>
    <row r="117" spans="1:7">
      <c r="A117" s="77"/>
      <c r="B117" s="71"/>
      <c r="C117" s="6" t="s">
        <v>117</v>
      </c>
      <c r="D117" s="58">
        <v>20250147</v>
      </c>
      <c r="E117" s="6"/>
      <c r="F117" s="6" t="s">
        <v>118</v>
      </c>
      <c r="G117" s="8"/>
    </row>
    <row r="118" spans="1:7">
      <c r="A118" s="77"/>
      <c r="B118" s="71"/>
      <c r="C118" s="6" t="s">
        <v>121</v>
      </c>
      <c r="D118" s="58">
        <v>20250084</v>
      </c>
      <c r="E118" s="6"/>
      <c r="F118" s="6" t="s">
        <v>122</v>
      </c>
      <c r="G118" s="8"/>
    </row>
    <row r="119" spans="1:7">
      <c r="A119" s="77"/>
      <c r="B119" s="71"/>
      <c r="C119" s="12" t="s">
        <v>125</v>
      </c>
      <c r="D119" s="58">
        <v>20260070</v>
      </c>
      <c r="E119" s="52" t="s">
        <v>254</v>
      </c>
      <c r="F119" s="12" t="s">
        <v>37</v>
      </c>
      <c r="G119" s="14"/>
    </row>
    <row r="120" spans="1:7">
      <c r="A120" s="77"/>
      <c r="B120" s="71"/>
      <c r="C120" s="18" t="s">
        <v>128</v>
      </c>
      <c r="D120" s="58">
        <v>20250109</v>
      </c>
      <c r="E120" s="51" t="s">
        <v>254</v>
      </c>
      <c r="F120" s="18" t="s">
        <v>37</v>
      </c>
      <c r="G120" s="19"/>
    </row>
    <row r="121" spans="1:7">
      <c r="A121" s="77"/>
      <c r="B121" s="71"/>
      <c r="C121" s="12" t="s">
        <v>131</v>
      </c>
      <c r="D121" s="58">
        <v>20260064</v>
      </c>
      <c r="E121" s="52" t="s">
        <v>254</v>
      </c>
      <c r="F121" s="12" t="s">
        <v>37</v>
      </c>
      <c r="G121" s="14"/>
    </row>
    <row r="122" spans="1:7">
      <c r="A122" s="77"/>
      <c r="B122" s="71"/>
      <c r="C122" s="18" t="s">
        <v>134</v>
      </c>
      <c r="D122" s="58">
        <v>20260033</v>
      </c>
      <c r="E122" s="51" t="s">
        <v>254</v>
      </c>
      <c r="F122" s="18" t="s">
        <v>37</v>
      </c>
      <c r="G122" s="19"/>
    </row>
    <row r="123" spans="1:7">
      <c r="A123" s="77"/>
      <c r="B123" s="71"/>
      <c r="C123" s="12" t="s">
        <v>136</v>
      </c>
      <c r="D123" s="58">
        <v>20260069</v>
      </c>
      <c r="E123" s="52" t="s">
        <v>254</v>
      </c>
      <c r="F123" s="12" t="s">
        <v>45</v>
      </c>
      <c r="G123" s="14"/>
    </row>
    <row r="124" spans="1:7">
      <c r="A124" s="77"/>
      <c r="B124" s="71"/>
      <c r="C124" s="6"/>
      <c r="D124" s="58"/>
      <c r="E124" s="6"/>
      <c r="F124" s="6"/>
      <c r="G124" s="8"/>
    </row>
    <row r="125" spans="1:7">
      <c r="A125" s="77"/>
      <c r="B125" s="71"/>
      <c r="C125" s="13" t="s">
        <v>143</v>
      </c>
      <c r="D125" s="58">
        <v>20250116</v>
      </c>
      <c r="E125" s="52" t="s">
        <v>254</v>
      </c>
      <c r="F125" s="13" t="s">
        <v>138</v>
      </c>
      <c r="G125" s="14"/>
    </row>
    <row r="126" spans="1:7">
      <c r="A126" s="77"/>
      <c r="B126" s="71"/>
      <c r="C126" s="22" t="s">
        <v>146</v>
      </c>
      <c r="D126" s="58">
        <v>20230549</v>
      </c>
      <c r="E126" s="51" t="s">
        <v>254</v>
      </c>
      <c r="F126" s="22" t="s">
        <v>138</v>
      </c>
      <c r="G126" s="19"/>
    </row>
    <row r="127" spans="1:7">
      <c r="A127" s="77"/>
      <c r="B127" s="71"/>
      <c r="C127" s="6"/>
      <c r="D127" s="58"/>
      <c r="E127" s="6"/>
      <c r="F127" s="6"/>
      <c r="G127" s="8"/>
    </row>
    <row r="128" spans="1:7">
      <c r="A128" s="77"/>
      <c r="B128" s="71"/>
      <c r="C128" s="13" t="s">
        <v>151</v>
      </c>
      <c r="D128" s="58">
        <v>20260028</v>
      </c>
      <c r="E128" s="52" t="s">
        <v>254</v>
      </c>
      <c r="F128" s="13" t="s">
        <v>141</v>
      </c>
      <c r="G128" s="14"/>
    </row>
    <row r="129" spans="1:7">
      <c r="A129" s="77"/>
      <c r="B129" s="71"/>
      <c r="C129" s="22" t="s">
        <v>154</v>
      </c>
      <c r="D129" s="58">
        <v>20260023</v>
      </c>
      <c r="E129" s="51" t="s">
        <v>254</v>
      </c>
      <c r="F129" s="22" t="s">
        <v>155</v>
      </c>
      <c r="G129" s="19"/>
    </row>
    <row r="130" spans="1:7">
      <c r="A130" s="77"/>
      <c r="B130" s="71"/>
      <c r="C130" s="13" t="s">
        <v>159</v>
      </c>
      <c r="D130" s="58">
        <v>20250156</v>
      </c>
      <c r="E130" s="52" t="s">
        <v>254</v>
      </c>
      <c r="F130" s="13" t="s">
        <v>155</v>
      </c>
      <c r="G130" s="14"/>
    </row>
    <row r="131" spans="1:7">
      <c r="A131" s="77"/>
      <c r="B131" s="18"/>
      <c r="C131" s="18"/>
      <c r="D131" s="58"/>
      <c r="E131" s="51" t="s">
        <v>254</v>
      </c>
      <c r="F131" s="18"/>
      <c r="G131" s="19"/>
    </row>
    <row r="132" spans="1:7">
      <c r="A132" s="77"/>
      <c r="B132" s="70" t="s">
        <v>164</v>
      </c>
      <c r="C132" s="6" t="s">
        <v>19</v>
      </c>
      <c r="D132" s="58"/>
      <c r="E132" s="6"/>
      <c r="F132" s="6" t="s">
        <v>8</v>
      </c>
      <c r="G132" s="8"/>
    </row>
    <row r="133" spans="1:7">
      <c r="A133" s="77"/>
      <c r="B133" s="71"/>
      <c r="C133" s="12" t="s">
        <v>167</v>
      </c>
      <c r="D133" s="58">
        <v>20250119</v>
      </c>
      <c r="E133" s="52" t="s">
        <v>292</v>
      </c>
      <c r="F133" s="12" t="s">
        <v>111</v>
      </c>
      <c r="G133" s="14"/>
    </row>
    <row r="134" spans="1:7">
      <c r="A134" s="77"/>
      <c r="B134" s="71"/>
      <c r="C134" s="18" t="s">
        <v>172</v>
      </c>
      <c r="D134" s="58">
        <v>20240742</v>
      </c>
      <c r="E134" s="51" t="s">
        <v>293</v>
      </c>
      <c r="F134" s="18" t="s">
        <v>21</v>
      </c>
      <c r="G134" s="19"/>
    </row>
    <row r="135" spans="1:7">
      <c r="A135" s="77"/>
      <c r="B135" s="71"/>
      <c r="C135" s="18" t="s">
        <v>175</v>
      </c>
      <c r="D135" s="58">
        <v>20250080</v>
      </c>
      <c r="E135" s="51" t="s">
        <v>254</v>
      </c>
      <c r="F135" s="18" t="s">
        <v>27</v>
      </c>
      <c r="G135" s="19"/>
    </row>
    <row r="136" spans="1:7">
      <c r="A136" s="77"/>
      <c r="B136" s="71"/>
      <c r="C136" s="12" t="s">
        <v>178</v>
      </c>
      <c r="D136" s="58">
        <v>20260019</v>
      </c>
      <c r="E136" s="52" t="s">
        <v>294</v>
      </c>
      <c r="F136" s="12" t="s">
        <v>21</v>
      </c>
      <c r="G136" s="14"/>
    </row>
    <row r="137" spans="1:7">
      <c r="A137" s="77"/>
      <c r="B137" s="71"/>
      <c r="C137" s="12" t="s">
        <v>181</v>
      </c>
      <c r="D137" s="58">
        <v>20240743</v>
      </c>
      <c r="E137" s="52" t="s">
        <v>254</v>
      </c>
      <c r="F137" s="12" t="s">
        <v>27</v>
      </c>
      <c r="G137" s="14"/>
    </row>
    <row r="138" spans="1:7">
      <c r="A138" s="77"/>
      <c r="B138" s="71"/>
      <c r="C138" s="18" t="s">
        <v>184</v>
      </c>
      <c r="D138" s="58">
        <v>20180251</v>
      </c>
      <c r="E138" s="51" t="s">
        <v>295</v>
      </c>
      <c r="F138" s="18" t="s">
        <v>84</v>
      </c>
      <c r="G138" s="19"/>
    </row>
    <row r="139" spans="1:7">
      <c r="A139" s="77"/>
      <c r="B139" s="71"/>
      <c r="C139" s="12" t="s">
        <v>187</v>
      </c>
      <c r="D139" s="58">
        <v>20250046</v>
      </c>
      <c r="E139" s="52" t="s">
        <v>254</v>
      </c>
      <c r="F139" s="12" t="s">
        <v>109</v>
      </c>
      <c r="G139" s="14"/>
    </row>
    <row r="140" spans="1:7">
      <c r="A140" s="77"/>
      <c r="B140" s="71"/>
      <c r="C140" s="18" t="s">
        <v>190</v>
      </c>
      <c r="D140" s="58">
        <v>20260045</v>
      </c>
      <c r="E140" s="51" t="s">
        <v>296</v>
      </c>
      <c r="F140" s="18" t="s">
        <v>100</v>
      </c>
      <c r="G140" s="19"/>
    </row>
    <row r="141" spans="1:7">
      <c r="A141" s="77"/>
      <c r="B141" s="71"/>
      <c r="C141" s="6" t="s">
        <v>193</v>
      </c>
      <c r="D141" s="58">
        <v>20250140</v>
      </c>
      <c r="E141" s="6"/>
      <c r="F141" s="6" t="s">
        <v>122</v>
      </c>
      <c r="G141" s="8"/>
    </row>
    <row r="142" spans="1:7">
      <c r="A142" s="77"/>
      <c r="B142" s="71"/>
      <c r="C142" s="12" t="s">
        <v>196</v>
      </c>
      <c r="D142" s="58">
        <v>20250098</v>
      </c>
      <c r="E142" s="52" t="s">
        <v>254</v>
      </c>
      <c r="F142" s="12" t="s">
        <v>37</v>
      </c>
      <c r="G142" s="14"/>
    </row>
    <row r="143" spans="1:7">
      <c r="A143" s="77"/>
      <c r="B143" s="71"/>
      <c r="C143" s="18" t="s">
        <v>198</v>
      </c>
      <c r="D143" s="58">
        <v>20260051</v>
      </c>
      <c r="E143" s="51" t="s">
        <v>254</v>
      </c>
      <c r="F143" s="18" t="s">
        <v>37</v>
      </c>
      <c r="G143" s="19"/>
    </row>
    <row r="144" spans="1:7">
      <c r="A144" s="77"/>
      <c r="B144" s="71"/>
      <c r="C144" s="12" t="s">
        <v>201</v>
      </c>
      <c r="D144" s="58">
        <v>20260094</v>
      </c>
      <c r="E144" s="52" t="s">
        <v>254</v>
      </c>
      <c r="F144" s="12" t="s">
        <v>45</v>
      </c>
      <c r="G144" s="14"/>
    </row>
    <row r="145" spans="1:7">
      <c r="A145" s="77"/>
      <c r="B145" s="71"/>
      <c r="C145" s="6"/>
      <c r="D145" s="58"/>
      <c r="E145" s="6"/>
      <c r="F145" s="6"/>
      <c r="G145" s="8"/>
    </row>
    <row r="146" spans="1:7">
      <c r="A146" s="77"/>
      <c r="B146" s="71"/>
      <c r="C146" s="12" t="s">
        <v>207</v>
      </c>
      <c r="D146" s="58">
        <v>20250202</v>
      </c>
      <c r="E146" s="52" t="s">
        <v>254</v>
      </c>
      <c r="F146" s="12" t="s">
        <v>138</v>
      </c>
      <c r="G146" s="14"/>
    </row>
    <row r="147" spans="1:7">
      <c r="A147" s="77"/>
      <c r="B147" s="71"/>
      <c r="C147" s="12" t="s">
        <v>210</v>
      </c>
      <c r="D147" s="58">
        <v>20250199</v>
      </c>
      <c r="E147" s="52" t="s">
        <v>254</v>
      </c>
      <c r="F147" s="12" t="s">
        <v>141</v>
      </c>
      <c r="G147" s="14"/>
    </row>
    <row r="148" spans="1:7">
      <c r="A148" s="77"/>
      <c r="B148" s="36" t="s">
        <v>208</v>
      </c>
      <c r="C148" s="36"/>
      <c r="D148" s="58"/>
      <c r="E148" s="51" t="s">
        <v>254</v>
      </c>
      <c r="F148" s="36"/>
      <c r="G148" s="43"/>
    </row>
    <row r="149" spans="1:7">
      <c r="A149" s="77"/>
      <c r="B149" s="35" t="s">
        <v>164</v>
      </c>
      <c r="C149" s="36" t="s">
        <v>214</v>
      </c>
      <c r="D149" s="58">
        <v>20250054</v>
      </c>
      <c r="E149" s="51" t="s">
        <v>254</v>
      </c>
      <c r="F149" s="36" t="s">
        <v>45</v>
      </c>
      <c r="G149" s="43"/>
    </row>
    <row r="150" spans="1:7">
      <c r="A150" s="77"/>
      <c r="B150" s="18"/>
      <c r="C150" s="18"/>
      <c r="D150" s="58"/>
      <c r="E150" s="51" t="s">
        <v>254</v>
      </c>
      <c r="F150" s="18"/>
      <c r="G150" s="19"/>
    </row>
    <row r="151" spans="1:7">
      <c r="A151" s="77"/>
      <c r="B151" s="78" t="s">
        <v>217</v>
      </c>
      <c r="C151" s="6" t="s">
        <v>218</v>
      </c>
      <c r="D151" s="58">
        <v>20260049</v>
      </c>
      <c r="E151" s="6"/>
      <c r="F151" s="6" t="s">
        <v>8</v>
      </c>
      <c r="G151" s="7"/>
    </row>
    <row r="152" spans="1:7">
      <c r="A152" s="77"/>
      <c r="B152" s="78"/>
      <c r="C152" s="12" t="s">
        <v>221</v>
      </c>
      <c r="D152" s="58">
        <v>20240736</v>
      </c>
      <c r="E152" s="52" t="s">
        <v>254</v>
      </c>
      <c r="F152" s="12" t="s">
        <v>21</v>
      </c>
      <c r="G152" s="13"/>
    </row>
    <row r="153" spans="1:7">
      <c r="A153" s="77"/>
      <c r="B153" s="78"/>
      <c r="C153" s="12" t="s">
        <v>224</v>
      </c>
      <c r="D153" s="58">
        <v>20250191</v>
      </c>
      <c r="E153" s="52" t="s">
        <v>254</v>
      </c>
      <c r="F153" s="12" t="s">
        <v>27</v>
      </c>
      <c r="G153" s="13"/>
    </row>
    <row r="154" spans="1:7">
      <c r="A154" s="77"/>
      <c r="B154" s="78"/>
      <c r="C154" s="18" t="s">
        <v>225</v>
      </c>
      <c r="D154" s="58">
        <v>20260078</v>
      </c>
      <c r="E154" s="51" t="s">
        <v>297</v>
      </c>
      <c r="F154" s="18" t="s">
        <v>21</v>
      </c>
      <c r="G154" s="22"/>
    </row>
    <row r="155" spans="1:7">
      <c r="A155" s="77"/>
      <c r="B155" s="78"/>
      <c r="C155" s="18" t="s">
        <v>228</v>
      </c>
      <c r="D155" s="58">
        <v>20240759</v>
      </c>
      <c r="E155" s="51" t="s">
        <v>254</v>
      </c>
      <c r="F155" s="18" t="s">
        <v>27</v>
      </c>
      <c r="G155" s="22"/>
    </row>
    <row r="156" spans="1:7">
      <c r="A156" s="77"/>
      <c r="B156" s="78"/>
      <c r="C156" s="12" t="s">
        <v>229</v>
      </c>
      <c r="D156" s="58">
        <v>20260074</v>
      </c>
      <c r="E156" s="52" t="s">
        <v>298</v>
      </c>
      <c r="F156" s="12" t="s">
        <v>21</v>
      </c>
      <c r="G156" s="13"/>
    </row>
    <row r="157" spans="1:7">
      <c r="A157" s="77"/>
      <c r="B157" s="78"/>
      <c r="C157" s="12" t="s">
        <v>232</v>
      </c>
      <c r="D157" s="58">
        <v>20250105</v>
      </c>
      <c r="E157" s="52" t="s">
        <v>254</v>
      </c>
      <c r="F157" s="12" t="s">
        <v>27</v>
      </c>
      <c r="G157" s="13"/>
    </row>
    <row r="158" spans="1:7">
      <c r="A158" s="77"/>
      <c r="B158" s="78"/>
      <c r="C158" s="18" t="s">
        <v>234</v>
      </c>
      <c r="D158" s="58">
        <v>20260105</v>
      </c>
      <c r="E158" s="51" t="s">
        <v>254</v>
      </c>
      <c r="F158" s="18" t="s">
        <v>37</v>
      </c>
      <c r="G158" s="22"/>
    </row>
    <row r="159" spans="1:7">
      <c r="B159" s="29" t="s">
        <v>208</v>
      </c>
      <c r="C159" s="29"/>
      <c r="D159" s="57"/>
      <c r="E159" s="51" t="s">
        <v>254</v>
      </c>
      <c r="F159" s="29"/>
      <c r="G159" s="49"/>
    </row>
    <row r="160" spans="1:7">
      <c r="B160" s="50" t="s">
        <v>217</v>
      </c>
      <c r="C160" s="29" t="s">
        <v>237</v>
      </c>
      <c r="D160" s="57"/>
      <c r="E160" s="51" t="s">
        <v>299</v>
      </c>
      <c r="F160" s="29" t="s">
        <v>21</v>
      </c>
      <c r="G160" s="49"/>
    </row>
    <row r="162" spans="1:7" ht="16">
      <c r="A162" s="1" t="s">
        <v>0</v>
      </c>
      <c r="B162" s="1" t="s">
        <v>1</v>
      </c>
      <c r="C162" s="1" t="s">
        <v>2</v>
      </c>
      <c r="D162" s="1" t="s">
        <v>314</v>
      </c>
      <c r="E162" s="1" t="s">
        <v>252</v>
      </c>
      <c r="F162" s="1" t="s">
        <v>3</v>
      </c>
      <c r="G162" s="2" t="s">
        <v>313</v>
      </c>
    </row>
    <row r="163" spans="1:7">
      <c r="A163" s="77" t="s">
        <v>12</v>
      </c>
      <c r="B163" s="70" t="s">
        <v>13</v>
      </c>
      <c r="C163" s="6" t="s">
        <v>14</v>
      </c>
      <c r="D163" s="58">
        <v>20250056</v>
      </c>
      <c r="E163" s="6"/>
      <c r="F163" s="6" t="s">
        <v>8</v>
      </c>
      <c r="G163" s="8"/>
    </row>
    <row r="164" spans="1:7">
      <c r="A164" s="77"/>
      <c r="B164" s="71"/>
      <c r="C164" s="12" t="s">
        <v>23</v>
      </c>
      <c r="D164" s="58">
        <v>20240659</v>
      </c>
      <c r="E164" s="12" t="s">
        <v>278</v>
      </c>
      <c r="F164" s="12" t="s">
        <v>21</v>
      </c>
      <c r="G164" s="14"/>
    </row>
    <row r="165" spans="1:7">
      <c r="A165" s="77"/>
      <c r="B165" s="71"/>
      <c r="C165" s="12" t="s">
        <v>29</v>
      </c>
      <c r="D165" s="58">
        <v>20230499</v>
      </c>
      <c r="E165" s="12" t="s">
        <v>254</v>
      </c>
      <c r="F165" s="12" t="s">
        <v>27</v>
      </c>
      <c r="G165" s="14"/>
    </row>
    <row r="166" spans="1:7">
      <c r="A166" s="77"/>
      <c r="B166" s="71"/>
      <c r="C166" s="18" t="s">
        <v>35</v>
      </c>
      <c r="D166" s="58">
        <v>20230498</v>
      </c>
      <c r="E166" s="54" t="s">
        <v>279</v>
      </c>
      <c r="F166" s="18" t="s">
        <v>21</v>
      </c>
      <c r="G166" s="19"/>
    </row>
    <row r="167" spans="1:7">
      <c r="A167" s="77"/>
      <c r="B167" s="71"/>
      <c r="C167" s="18" t="s">
        <v>41</v>
      </c>
      <c r="D167" s="58">
        <v>20240693</v>
      </c>
      <c r="E167" s="54" t="s">
        <v>254</v>
      </c>
      <c r="F167" s="18" t="s">
        <v>27</v>
      </c>
      <c r="G167" s="19"/>
    </row>
    <row r="168" spans="1:7">
      <c r="A168" s="77"/>
      <c r="B168" s="72"/>
      <c r="C168" s="24" t="s">
        <v>24</v>
      </c>
      <c r="D168" s="58"/>
      <c r="E168" s="12" t="s">
        <v>254</v>
      </c>
      <c r="F168" s="12" t="s">
        <v>45</v>
      </c>
      <c r="G168" s="14"/>
    </row>
    <row r="169" spans="1:7">
      <c r="A169" s="77"/>
      <c r="B169" s="18"/>
      <c r="C169" s="18"/>
      <c r="D169" s="58"/>
      <c r="E169" s="54" t="s">
        <v>254</v>
      </c>
      <c r="F169" s="18"/>
      <c r="G169" s="19"/>
    </row>
    <row r="170" spans="1:7">
      <c r="A170" s="77"/>
      <c r="B170" s="70" t="s">
        <v>52</v>
      </c>
      <c r="C170" s="6" t="s">
        <v>53</v>
      </c>
      <c r="D170" s="58">
        <v>20240763</v>
      </c>
      <c r="E170" s="6"/>
      <c r="F170" s="6" t="s">
        <v>8</v>
      </c>
      <c r="G170" s="8"/>
    </row>
    <row r="171" spans="1:7">
      <c r="A171" s="77"/>
      <c r="B171" s="71"/>
      <c r="C171" s="12" t="s">
        <v>56</v>
      </c>
      <c r="D171" s="58">
        <v>20250039</v>
      </c>
      <c r="E171" s="12" t="s">
        <v>280</v>
      </c>
      <c r="F171" s="12" t="s">
        <v>21</v>
      </c>
      <c r="G171" s="14"/>
    </row>
    <row r="172" spans="1:7">
      <c r="A172" s="77"/>
      <c r="B172" s="71"/>
      <c r="C172" s="12" t="s">
        <v>58</v>
      </c>
      <c r="D172" s="58">
        <v>20250057</v>
      </c>
      <c r="E172" s="12" t="s">
        <v>254</v>
      </c>
      <c r="F172" s="12" t="s">
        <v>27</v>
      </c>
      <c r="G172" s="14"/>
    </row>
    <row r="173" spans="1:7">
      <c r="A173" s="77"/>
      <c r="B173" s="71"/>
      <c r="C173" s="18" t="s">
        <v>62</v>
      </c>
      <c r="D173" s="58">
        <v>20240701</v>
      </c>
      <c r="E173" s="54" t="s">
        <v>281</v>
      </c>
      <c r="F173" s="18" t="s">
        <v>21</v>
      </c>
      <c r="G173" s="19"/>
    </row>
    <row r="174" spans="1:7">
      <c r="A174" s="77"/>
      <c r="B174" s="71"/>
      <c r="C174" s="18" t="s">
        <v>66</v>
      </c>
      <c r="D174" s="58">
        <v>20260046</v>
      </c>
      <c r="E174" s="54" t="s">
        <v>254</v>
      </c>
      <c r="F174" s="18" t="s">
        <v>27</v>
      </c>
      <c r="G174" s="19"/>
    </row>
    <row r="175" spans="1:7">
      <c r="A175" s="77"/>
      <c r="B175" s="71"/>
      <c r="C175" s="12" t="s">
        <v>69</v>
      </c>
      <c r="D175" s="58">
        <v>20260006</v>
      </c>
      <c r="E175" s="12" t="s">
        <v>254</v>
      </c>
      <c r="F175" s="12" t="s">
        <v>45</v>
      </c>
      <c r="G175" s="14"/>
    </row>
    <row r="176" spans="1:7">
      <c r="A176" s="77"/>
      <c r="B176" s="72"/>
      <c r="C176" s="18" t="s">
        <v>73</v>
      </c>
      <c r="D176" s="58">
        <v>20260088</v>
      </c>
      <c r="E176" s="54" t="s">
        <v>254</v>
      </c>
      <c r="F176" s="18" t="s">
        <v>37</v>
      </c>
      <c r="G176" s="19"/>
    </row>
    <row r="178" spans="1:7" ht="16">
      <c r="A178" s="4" t="s">
        <v>0</v>
      </c>
      <c r="B178" s="4" t="s">
        <v>1</v>
      </c>
      <c r="C178" s="4" t="s">
        <v>2</v>
      </c>
      <c r="D178" s="4" t="s">
        <v>252</v>
      </c>
      <c r="E178" s="4" t="s">
        <v>3</v>
      </c>
      <c r="F178" s="5" t="s">
        <v>313</v>
      </c>
      <c r="G178" s="5" t="s">
        <v>314</v>
      </c>
    </row>
    <row r="179" spans="1:7">
      <c r="A179" s="73" t="s">
        <v>15</v>
      </c>
      <c r="B179" s="69" t="s">
        <v>16</v>
      </c>
      <c r="C179" s="10" t="s">
        <v>17</v>
      </c>
      <c r="D179" s="10"/>
      <c r="E179" s="10" t="s">
        <v>8</v>
      </c>
      <c r="F179" s="11"/>
      <c r="G179" s="56">
        <v>20250187</v>
      </c>
    </row>
    <row r="180" spans="1:7">
      <c r="A180" s="73"/>
      <c r="B180" s="69"/>
      <c r="C180" s="15" t="s">
        <v>24</v>
      </c>
      <c r="D180" s="55">
        <v>0</v>
      </c>
      <c r="E180" s="16" t="s">
        <v>21</v>
      </c>
      <c r="F180" s="17"/>
      <c r="G180" s="56"/>
    </row>
    <row r="181" spans="1:7">
      <c r="A181" s="73"/>
      <c r="B181" s="69"/>
      <c r="C181" s="15" t="s">
        <v>24</v>
      </c>
      <c r="D181" s="55">
        <v>0</v>
      </c>
      <c r="E181" s="16" t="s">
        <v>27</v>
      </c>
      <c r="F181" s="17"/>
      <c r="G181" s="56"/>
    </row>
    <row r="182" spans="1:7">
      <c r="A182" s="73"/>
      <c r="B182" s="69"/>
      <c r="C182" s="20" t="s">
        <v>36</v>
      </c>
      <c r="D182" s="53" t="s">
        <v>300</v>
      </c>
      <c r="E182" s="20" t="s">
        <v>21</v>
      </c>
      <c r="F182" s="21"/>
      <c r="G182" s="56">
        <v>20260025</v>
      </c>
    </row>
    <row r="183" spans="1:7">
      <c r="A183" s="73"/>
      <c r="B183" s="69"/>
      <c r="C183" s="20" t="s">
        <v>42</v>
      </c>
      <c r="D183" s="53" t="s">
        <v>254</v>
      </c>
      <c r="E183" s="20" t="s">
        <v>27</v>
      </c>
      <c r="F183" s="23"/>
      <c r="G183" s="56">
        <v>20250094</v>
      </c>
    </row>
    <row r="184" spans="1:7">
      <c r="A184" s="73"/>
      <c r="B184" s="69"/>
      <c r="C184" s="16" t="s">
        <v>46</v>
      </c>
      <c r="D184" s="55" t="s">
        <v>301</v>
      </c>
      <c r="E184" s="16" t="s">
        <v>21</v>
      </c>
      <c r="F184" s="17"/>
      <c r="G184" s="56">
        <v>20240706</v>
      </c>
    </row>
    <row r="185" spans="1:7">
      <c r="A185" s="73"/>
      <c r="B185" s="69"/>
      <c r="C185" s="16" t="s">
        <v>49</v>
      </c>
      <c r="D185" s="55" t="s">
        <v>254</v>
      </c>
      <c r="E185" s="16" t="s">
        <v>27</v>
      </c>
      <c r="F185" s="17"/>
      <c r="G185" s="56">
        <v>20240713</v>
      </c>
    </row>
    <row r="186" spans="1:7">
      <c r="A186" s="73"/>
      <c r="B186" s="69"/>
      <c r="C186" s="25" t="s">
        <v>24</v>
      </c>
      <c r="D186" s="53">
        <v>0</v>
      </c>
      <c r="E186" s="20" t="s">
        <v>37</v>
      </c>
      <c r="F186" s="23"/>
      <c r="G186" s="56"/>
    </row>
    <row r="187" spans="1:7">
      <c r="A187" s="73"/>
      <c r="B187" s="26"/>
      <c r="C187" s="27"/>
      <c r="D187" s="53" t="s">
        <v>254</v>
      </c>
      <c r="E187" s="27"/>
      <c r="F187" s="28"/>
      <c r="G187" s="56"/>
    </row>
    <row r="188" spans="1:7">
      <c r="A188" s="73"/>
      <c r="B188" s="69" t="s">
        <v>59</v>
      </c>
      <c r="C188" s="10" t="s">
        <v>19</v>
      </c>
      <c r="D188" s="10"/>
      <c r="E188" s="10" t="s">
        <v>18</v>
      </c>
      <c r="F188" s="11"/>
      <c r="G188" s="56"/>
    </row>
    <row r="189" spans="1:7">
      <c r="A189" s="73"/>
      <c r="B189" s="69"/>
      <c r="C189" s="16" t="s">
        <v>63</v>
      </c>
      <c r="D189" s="55" t="s">
        <v>302</v>
      </c>
      <c r="E189" s="16" t="s">
        <v>25</v>
      </c>
      <c r="F189" s="30"/>
      <c r="G189" s="56">
        <v>20260072</v>
      </c>
    </row>
    <row r="190" spans="1:7">
      <c r="A190" s="73"/>
      <c r="B190" s="69"/>
      <c r="C190" s="10" t="s">
        <v>19</v>
      </c>
      <c r="D190" s="10"/>
      <c r="E190" s="10" t="s">
        <v>30</v>
      </c>
      <c r="F190" s="11"/>
      <c r="G190" s="56"/>
    </row>
    <row r="191" spans="1:7">
      <c r="A191" s="73"/>
      <c r="B191" s="69"/>
      <c r="C191" s="16" t="s">
        <v>70</v>
      </c>
      <c r="D191" s="55">
        <v>0</v>
      </c>
      <c r="E191" s="16" t="s">
        <v>37</v>
      </c>
      <c r="F191" s="30"/>
      <c r="G191" s="56">
        <v>20260043</v>
      </c>
    </row>
    <row r="192" spans="1:7">
      <c r="A192" s="73"/>
      <c r="B192" s="69"/>
      <c r="C192" s="20" t="s">
        <v>74</v>
      </c>
      <c r="D192" s="53" t="s">
        <v>254</v>
      </c>
      <c r="E192" s="20" t="s">
        <v>37</v>
      </c>
      <c r="F192" s="21"/>
      <c r="G192" s="56">
        <v>20260073</v>
      </c>
    </row>
    <row r="193" spans="1:7">
      <c r="A193" s="73"/>
      <c r="B193" s="69"/>
      <c r="C193" s="15" t="s">
        <v>24</v>
      </c>
      <c r="D193" s="55">
        <v>0</v>
      </c>
      <c r="E193" s="16" t="s">
        <v>45</v>
      </c>
      <c r="F193" s="30"/>
      <c r="G193" s="56"/>
    </row>
    <row r="194" spans="1:7">
      <c r="A194" s="73"/>
      <c r="B194" s="9"/>
      <c r="C194" s="20"/>
      <c r="D194" s="53" t="s">
        <v>254</v>
      </c>
      <c r="E194" s="20"/>
      <c r="F194" s="21"/>
      <c r="G194" s="56"/>
    </row>
    <row r="195" spans="1:7">
      <c r="A195" s="73"/>
      <c r="B195" s="69" t="s">
        <v>81</v>
      </c>
      <c r="C195" s="10" t="s">
        <v>82</v>
      </c>
      <c r="D195" s="10"/>
      <c r="E195" s="10" t="s">
        <v>8</v>
      </c>
      <c r="F195" s="11"/>
      <c r="G195" s="56">
        <v>20260101</v>
      </c>
    </row>
    <row r="196" spans="1:7">
      <c r="A196" s="73"/>
      <c r="B196" s="69"/>
      <c r="C196" s="32" t="s">
        <v>86</v>
      </c>
      <c r="D196" s="55" t="s">
        <v>303</v>
      </c>
      <c r="E196" s="16" t="s">
        <v>21</v>
      </c>
      <c r="F196" s="33"/>
      <c r="G196" s="56">
        <v>20260052</v>
      </c>
    </row>
    <row r="197" spans="1:7">
      <c r="A197" s="73"/>
      <c r="B197" s="69"/>
      <c r="C197" s="32" t="s">
        <v>89</v>
      </c>
      <c r="D197" s="55" t="s">
        <v>254</v>
      </c>
      <c r="E197" s="16" t="s">
        <v>27</v>
      </c>
      <c r="F197" s="33"/>
      <c r="G197" s="56">
        <v>20250181</v>
      </c>
    </row>
    <row r="198" spans="1:7">
      <c r="A198" s="73"/>
      <c r="B198" s="69"/>
      <c r="C198" s="20" t="s">
        <v>92</v>
      </c>
      <c r="D198" s="53" t="s">
        <v>304</v>
      </c>
      <c r="E198" s="20" t="s">
        <v>21</v>
      </c>
      <c r="F198" s="21"/>
      <c r="G198" s="56">
        <v>20240702</v>
      </c>
    </row>
    <row r="199" spans="1:7">
      <c r="A199" s="73"/>
      <c r="B199" s="69"/>
      <c r="C199" s="20" t="s">
        <v>95</v>
      </c>
      <c r="D199" s="53" t="s">
        <v>254</v>
      </c>
      <c r="E199" s="20" t="s">
        <v>27</v>
      </c>
      <c r="F199" s="21"/>
      <c r="G199" s="56">
        <v>20240698</v>
      </c>
    </row>
    <row r="200" spans="1:7">
      <c r="A200" s="73"/>
      <c r="B200" s="69"/>
      <c r="C200" s="34" t="s">
        <v>24</v>
      </c>
      <c r="D200" s="55">
        <v>0</v>
      </c>
      <c r="E200" s="16" t="s">
        <v>21</v>
      </c>
      <c r="F200" s="33"/>
      <c r="G200" s="56"/>
    </row>
    <row r="201" spans="1:7">
      <c r="A201" s="73"/>
      <c r="B201" s="69"/>
      <c r="C201" s="34" t="s">
        <v>24</v>
      </c>
      <c r="D201" s="55">
        <v>0</v>
      </c>
      <c r="E201" s="16" t="s">
        <v>27</v>
      </c>
      <c r="F201" s="33"/>
      <c r="G201" s="56"/>
    </row>
    <row r="202" spans="1:7">
      <c r="A202" s="73"/>
      <c r="B202" s="9"/>
      <c r="C202" s="20"/>
      <c r="D202" s="53" t="s">
        <v>254</v>
      </c>
      <c r="E202" s="20"/>
      <c r="F202" s="21"/>
      <c r="G202" s="56"/>
    </row>
    <row r="203" spans="1:7">
      <c r="A203" s="73"/>
      <c r="B203" s="69" t="s">
        <v>105</v>
      </c>
      <c r="C203" s="10" t="s">
        <v>106</v>
      </c>
      <c r="D203" s="10"/>
      <c r="E203" s="10" t="s">
        <v>8</v>
      </c>
      <c r="F203" s="11"/>
      <c r="G203" s="56">
        <v>20240730</v>
      </c>
    </row>
    <row r="204" spans="1:7">
      <c r="A204" s="73"/>
      <c r="B204" s="69"/>
      <c r="C204" s="16" t="s">
        <v>110</v>
      </c>
      <c r="D204" s="55" t="s">
        <v>305</v>
      </c>
      <c r="E204" s="16" t="s">
        <v>111</v>
      </c>
      <c r="F204" s="30"/>
      <c r="G204" s="56">
        <v>20220372</v>
      </c>
    </row>
    <row r="205" spans="1:7">
      <c r="A205" s="73"/>
      <c r="B205" s="69"/>
      <c r="C205" s="20" t="s">
        <v>115</v>
      </c>
      <c r="D205" s="53" t="s">
        <v>306</v>
      </c>
      <c r="E205" s="20" t="s">
        <v>111</v>
      </c>
      <c r="F205" s="21"/>
      <c r="G205" s="56">
        <v>20260044</v>
      </c>
    </row>
    <row r="206" spans="1:7">
      <c r="A206" s="73"/>
      <c r="B206" s="69"/>
      <c r="C206" s="16" t="s">
        <v>119</v>
      </c>
      <c r="D206" s="55" t="s">
        <v>307</v>
      </c>
      <c r="E206" s="16" t="s">
        <v>111</v>
      </c>
      <c r="F206" s="30"/>
      <c r="G206" s="56">
        <v>20000233</v>
      </c>
    </row>
    <row r="207" spans="1:7">
      <c r="A207" s="73"/>
      <c r="B207" s="69"/>
      <c r="C207" s="20" t="s">
        <v>123</v>
      </c>
      <c r="D207" s="53" t="s">
        <v>308</v>
      </c>
      <c r="E207" s="20" t="s">
        <v>111</v>
      </c>
      <c r="F207" s="21"/>
      <c r="G207" s="56">
        <v>20250066</v>
      </c>
    </row>
    <row r="208" spans="1:7">
      <c r="A208" s="73"/>
      <c r="B208" s="69"/>
      <c r="C208" s="16" t="s">
        <v>126</v>
      </c>
      <c r="D208" s="55" t="s">
        <v>254</v>
      </c>
      <c r="E208" s="16" t="s">
        <v>37</v>
      </c>
      <c r="F208" s="30"/>
      <c r="G208" s="56">
        <v>20260087</v>
      </c>
    </row>
    <row r="209" spans="1:7">
      <c r="A209" s="73"/>
      <c r="B209" s="69"/>
      <c r="C209" s="20" t="s">
        <v>129</v>
      </c>
      <c r="D209" s="53" t="s">
        <v>254</v>
      </c>
      <c r="E209" s="20" t="s">
        <v>37</v>
      </c>
      <c r="F209" s="21"/>
      <c r="G209" s="56">
        <v>20250172</v>
      </c>
    </row>
    <row r="210" spans="1:7">
      <c r="A210" s="73"/>
      <c r="B210" s="69"/>
      <c r="C210" s="16" t="s">
        <v>132</v>
      </c>
      <c r="D210" s="55" t="s">
        <v>254</v>
      </c>
      <c r="E210" s="16" t="s">
        <v>45</v>
      </c>
      <c r="F210" s="30"/>
      <c r="G210" s="56">
        <v>20250196</v>
      </c>
    </row>
    <row r="211" spans="1:7">
      <c r="A211" s="73"/>
      <c r="B211" s="69"/>
      <c r="C211" s="10"/>
      <c r="D211" s="10"/>
      <c r="E211" s="10"/>
      <c r="F211" s="11"/>
      <c r="G211" s="56"/>
    </row>
    <row r="212" spans="1:7">
      <c r="A212" s="73"/>
      <c r="B212" s="69"/>
      <c r="C212" s="16" t="s">
        <v>137</v>
      </c>
      <c r="D212" s="55" t="s">
        <v>254</v>
      </c>
      <c r="E212" s="16" t="s">
        <v>138</v>
      </c>
      <c r="F212" s="30"/>
      <c r="G212" s="56">
        <v>20250055</v>
      </c>
    </row>
    <row r="213" spans="1:7">
      <c r="A213" s="73"/>
      <c r="B213" s="69"/>
      <c r="C213" s="16" t="s">
        <v>140</v>
      </c>
      <c r="D213" s="55" t="s">
        <v>254</v>
      </c>
      <c r="E213" s="16" t="s">
        <v>141</v>
      </c>
      <c r="F213" s="30"/>
      <c r="G213" s="56">
        <v>20250103</v>
      </c>
    </row>
    <row r="214" spans="1:7">
      <c r="A214" s="73"/>
      <c r="B214" s="69"/>
      <c r="C214" s="20" t="s">
        <v>144</v>
      </c>
      <c r="D214" s="53" t="s">
        <v>254</v>
      </c>
      <c r="E214" s="20" t="s">
        <v>138</v>
      </c>
      <c r="F214" s="21"/>
      <c r="G214" s="56">
        <v>20200231</v>
      </c>
    </row>
    <row r="215" spans="1:7">
      <c r="A215" s="73"/>
      <c r="B215" s="69"/>
      <c r="C215" s="20" t="s">
        <v>147</v>
      </c>
      <c r="D215" s="53" t="s">
        <v>254</v>
      </c>
      <c r="E215" s="20" t="s">
        <v>141</v>
      </c>
      <c r="F215" s="21"/>
      <c r="G215" s="56">
        <v>20250042</v>
      </c>
    </row>
    <row r="216" spans="1:7">
      <c r="A216" s="73"/>
      <c r="B216" s="69"/>
      <c r="C216" s="16" t="s">
        <v>149</v>
      </c>
      <c r="D216" s="55" t="s">
        <v>254</v>
      </c>
      <c r="E216" s="16" t="s">
        <v>138</v>
      </c>
      <c r="F216" s="30"/>
      <c r="G216" s="56">
        <v>20210264</v>
      </c>
    </row>
    <row r="217" spans="1:7">
      <c r="A217" s="73"/>
      <c r="B217" s="69"/>
      <c r="C217" s="16" t="s">
        <v>152</v>
      </c>
      <c r="D217" s="55" t="s">
        <v>254</v>
      </c>
      <c r="E217" s="16" t="s">
        <v>141</v>
      </c>
      <c r="F217" s="30"/>
      <c r="G217" s="56">
        <v>20250083</v>
      </c>
    </row>
    <row r="218" spans="1:7">
      <c r="A218" s="73"/>
      <c r="B218" s="69"/>
      <c r="C218" s="16" t="s">
        <v>156</v>
      </c>
      <c r="D218" s="55" t="s">
        <v>254</v>
      </c>
      <c r="E218" s="16" t="s">
        <v>138</v>
      </c>
      <c r="F218" s="30"/>
      <c r="G218" s="56">
        <v>20200235</v>
      </c>
    </row>
    <row r="219" spans="1:7">
      <c r="A219" s="73"/>
      <c r="B219" s="69"/>
      <c r="C219" s="10"/>
      <c r="D219" s="10"/>
      <c r="E219" s="10"/>
      <c r="F219" s="11"/>
      <c r="G219" s="56"/>
    </row>
    <row r="220" spans="1:7">
      <c r="A220" s="73"/>
      <c r="B220" s="69"/>
      <c r="C220" s="16" t="s">
        <v>162</v>
      </c>
      <c r="D220" s="55" t="s">
        <v>254</v>
      </c>
      <c r="E220" s="16" t="s">
        <v>163</v>
      </c>
      <c r="F220" s="30"/>
      <c r="G220" s="56">
        <v>20200238</v>
      </c>
    </row>
    <row r="221" spans="1:7">
      <c r="A221" s="73"/>
      <c r="B221" s="26"/>
      <c r="C221" s="27"/>
      <c r="D221" s="53" t="s">
        <v>254</v>
      </c>
      <c r="E221" s="27"/>
      <c r="F221" s="39"/>
      <c r="G221" s="56"/>
    </row>
    <row r="222" spans="1:7">
      <c r="A222" s="73"/>
      <c r="B222" s="69" t="s">
        <v>168</v>
      </c>
      <c r="C222" s="10" t="s">
        <v>169</v>
      </c>
      <c r="D222" s="10"/>
      <c r="E222" s="10" t="s">
        <v>8</v>
      </c>
      <c r="F222" s="40"/>
      <c r="G222" s="56">
        <v>20260008</v>
      </c>
    </row>
    <row r="223" spans="1:7">
      <c r="A223" s="73"/>
      <c r="B223" s="69"/>
      <c r="C223" s="32" t="s">
        <v>173</v>
      </c>
      <c r="D223" s="55" t="s">
        <v>309</v>
      </c>
      <c r="E223" s="32" t="s">
        <v>111</v>
      </c>
      <c r="F223" s="33"/>
      <c r="G223" s="56">
        <v>20230516</v>
      </c>
    </row>
    <row r="224" spans="1:7">
      <c r="A224" s="73"/>
      <c r="B224" s="69"/>
      <c r="C224" s="20" t="s">
        <v>176</v>
      </c>
      <c r="D224" s="53" t="s">
        <v>310</v>
      </c>
      <c r="E224" s="20" t="s">
        <v>111</v>
      </c>
      <c r="F224" s="21"/>
      <c r="G224" s="56">
        <v>20260038</v>
      </c>
    </row>
    <row r="225" spans="1:7">
      <c r="A225" s="73"/>
      <c r="B225" s="69"/>
      <c r="C225" s="16" t="s">
        <v>179</v>
      </c>
      <c r="D225" s="55" t="s">
        <v>311</v>
      </c>
      <c r="E225" s="16" t="s">
        <v>21</v>
      </c>
      <c r="F225" s="30"/>
      <c r="G225" s="56">
        <v>20180240</v>
      </c>
    </row>
    <row r="226" spans="1:7">
      <c r="A226" s="73"/>
      <c r="B226" s="69"/>
      <c r="C226" s="16" t="s">
        <v>182</v>
      </c>
      <c r="D226" s="55" t="s">
        <v>254</v>
      </c>
      <c r="E226" s="16" t="s">
        <v>27</v>
      </c>
      <c r="F226" s="30"/>
      <c r="G226" s="56">
        <v>20260030</v>
      </c>
    </row>
    <row r="227" spans="1:7">
      <c r="A227" s="73"/>
      <c r="B227" s="69"/>
      <c r="C227" s="20" t="s">
        <v>185</v>
      </c>
      <c r="D227" s="53" t="s">
        <v>312</v>
      </c>
      <c r="E227" s="20" t="s">
        <v>21</v>
      </c>
      <c r="F227" s="21"/>
      <c r="G227" s="56">
        <v>20070239</v>
      </c>
    </row>
    <row r="228" spans="1:7">
      <c r="A228" s="73"/>
      <c r="B228" s="69"/>
      <c r="C228" s="20" t="s">
        <v>188</v>
      </c>
      <c r="D228" s="53" t="s">
        <v>254</v>
      </c>
      <c r="E228" s="20" t="s">
        <v>27</v>
      </c>
      <c r="F228" s="21"/>
      <c r="G228" s="56"/>
    </row>
    <row r="229" spans="1:7">
      <c r="A229" s="73"/>
      <c r="B229" s="69"/>
      <c r="C229" s="16" t="s">
        <v>191</v>
      </c>
      <c r="D229" s="55" t="s">
        <v>254</v>
      </c>
      <c r="E229" s="16" t="s">
        <v>37</v>
      </c>
      <c r="F229" s="30"/>
      <c r="G229" s="56">
        <v>20260026</v>
      </c>
    </row>
    <row r="230" spans="1:7">
      <c r="A230" s="73"/>
      <c r="B230" s="69"/>
      <c r="C230" s="20" t="s">
        <v>194</v>
      </c>
      <c r="D230" s="53" t="s">
        <v>254</v>
      </c>
      <c r="E230" s="20" t="s">
        <v>37</v>
      </c>
      <c r="F230" s="21"/>
      <c r="G230" s="56">
        <v>20260024</v>
      </c>
    </row>
    <row r="231" spans="1:7">
      <c r="A231" s="73"/>
      <c r="B231" s="69"/>
      <c r="C231" s="10"/>
      <c r="D231" s="10"/>
      <c r="E231" s="10"/>
      <c r="F231" s="40"/>
      <c r="G231" s="56"/>
    </row>
    <row r="232" spans="1:7">
      <c r="A232" s="73"/>
      <c r="B232" s="69"/>
      <c r="C232" s="16" t="s">
        <v>199</v>
      </c>
      <c r="D232" s="55" t="s">
        <v>254</v>
      </c>
      <c r="E232" s="16" t="s">
        <v>138</v>
      </c>
      <c r="F232" s="30"/>
      <c r="G232" s="56">
        <v>20160241</v>
      </c>
    </row>
    <row r="233" spans="1:7">
      <c r="A233" s="73"/>
      <c r="B233" s="69"/>
      <c r="C233" s="16" t="s">
        <v>202</v>
      </c>
      <c r="D233" s="55" t="s">
        <v>254</v>
      </c>
      <c r="E233" s="16" t="s">
        <v>141</v>
      </c>
      <c r="F233" s="30"/>
      <c r="G233" s="56">
        <v>20130243</v>
      </c>
    </row>
    <row r="234" spans="1:7">
      <c r="A234" s="73"/>
      <c r="B234" s="69"/>
      <c r="C234" s="20" t="s">
        <v>205</v>
      </c>
      <c r="D234" s="53" t="s">
        <v>254</v>
      </c>
      <c r="E234" s="20" t="s">
        <v>138</v>
      </c>
      <c r="F234" s="21"/>
      <c r="G234" s="56">
        <v>20260077</v>
      </c>
    </row>
    <row r="235" spans="1:7">
      <c r="A235" s="73"/>
      <c r="B235" s="41" t="s">
        <v>208</v>
      </c>
      <c r="C235" s="27"/>
      <c r="D235" s="53" t="s">
        <v>254</v>
      </c>
      <c r="E235" s="27"/>
      <c r="F235" s="39"/>
      <c r="G235" s="56"/>
    </row>
    <row r="236" spans="1:7">
      <c r="A236" s="73"/>
      <c r="B236" s="42" t="s">
        <v>168</v>
      </c>
      <c r="C236" s="27" t="s">
        <v>211</v>
      </c>
      <c r="D236" s="53" t="s">
        <v>254</v>
      </c>
      <c r="E236" s="27" t="s">
        <v>27</v>
      </c>
      <c r="F236" s="39"/>
      <c r="G236" s="56">
        <v>20260093</v>
      </c>
    </row>
    <row r="237" spans="1:7">
      <c r="A237" s="73"/>
      <c r="B237" s="44"/>
      <c r="C237" s="27" t="s">
        <v>199</v>
      </c>
      <c r="D237" s="53" t="s">
        <v>254</v>
      </c>
      <c r="E237" s="27" t="s">
        <v>27</v>
      </c>
      <c r="F237" s="39"/>
      <c r="G237" s="56">
        <v>20160241</v>
      </c>
    </row>
    <row r="238" spans="1:7">
      <c r="A238" s="73"/>
      <c r="B238" s="44"/>
      <c r="C238" s="27" t="s">
        <v>182</v>
      </c>
      <c r="D238" s="53" t="s">
        <v>254</v>
      </c>
      <c r="E238" s="27" t="s">
        <v>138</v>
      </c>
      <c r="F238" s="39"/>
      <c r="G238" s="56">
        <v>20260030</v>
      </c>
    </row>
    <row r="239" spans="1:7">
      <c r="A239" s="73"/>
      <c r="B239" s="26"/>
      <c r="C239" s="27"/>
      <c r="D239" s="53" t="s">
        <v>254</v>
      </c>
      <c r="E239" s="27"/>
      <c r="F239" s="39"/>
      <c r="G239" s="39"/>
    </row>
    <row r="240" spans="1:7">
      <c r="A240" s="73"/>
      <c r="B240" s="69" t="s">
        <v>219</v>
      </c>
      <c r="C240" s="10" t="s">
        <v>19</v>
      </c>
      <c r="D240" s="10"/>
      <c r="E240" s="10" t="s">
        <v>220</v>
      </c>
      <c r="F240" s="45"/>
      <c r="G240" s="45"/>
    </row>
    <row r="241" spans="1:7">
      <c r="A241" s="73"/>
      <c r="B241" s="69"/>
      <c r="C241" s="16" t="s">
        <v>222</v>
      </c>
      <c r="D241" s="55">
        <v>0</v>
      </c>
      <c r="E241" s="16" t="s">
        <v>25</v>
      </c>
      <c r="F241" s="46"/>
      <c r="G241" s="46"/>
    </row>
    <row r="242" spans="1:7">
      <c r="A242" s="73"/>
      <c r="B242" s="69"/>
      <c r="C242" s="10" t="s">
        <v>19</v>
      </c>
      <c r="D242" s="10"/>
      <c r="E242" s="10" t="s">
        <v>31</v>
      </c>
      <c r="F242" s="45"/>
      <c r="G242" s="45"/>
    </row>
    <row r="243" spans="1:7">
      <c r="A243" s="73"/>
      <c r="B243" s="69"/>
      <c r="C243" s="16"/>
      <c r="D243" s="55" t="s">
        <v>254</v>
      </c>
      <c r="E243" s="16" t="s">
        <v>38</v>
      </c>
      <c r="F243" s="47"/>
      <c r="G243" s="47"/>
    </row>
    <row r="244" spans="1:7">
      <c r="A244" s="73"/>
      <c r="B244" s="69"/>
      <c r="C244" s="20"/>
      <c r="D244" s="53" t="s">
        <v>254</v>
      </c>
      <c r="E244" s="20" t="s">
        <v>38</v>
      </c>
      <c r="F244" s="48"/>
      <c r="G244" s="48"/>
    </row>
    <row r="245" spans="1:7">
      <c r="A245" s="73"/>
      <c r="B245" s="69"/>
      <c r="C245" s="16"/>
      <c r="D245" s="55" t="s">
        <v>254</v>
      </c>
      <c r="E245" s="16" t="s">
        <v>38</v>
      </c>
      <c r="F245" s="47"/>
      <c r="G245" s="47"/>
    </row>
    <row r="246" spans="1:7">
      <c r="A246" s="73"/>
      <c r="B246" s="69"/>
      <c r="C246" s="20"/>
      <c r="D246" s="53" t="s">
        <v>254</v>
      </c>
      <c r="E246" s="20" t="s">
        <v>38</v>
      </c>
      <c r="F246" s="48"/>
      <c r="G246" s="48"/>
    </row>
  </sheetData>
  <mergeCells count="18">
    <mergeCell ref="A2:A87"/>
    <mergeCell ref="B2:B65"/>
    <mergeCell ref="A90:A158"/>
    <mergeCell ref="B90:B130"/>
    <mergeCell ref="A163:A176"/>
    <mergeCell ref="B132:B147"/>
    <mergeCell ref="B151:B158"/>
    <mergeCell ref="B69:B77"/>
    <mergeCell ref="B79:B87"/>
    <mergeCell ref="A179:A246"/>
    <mergeCell ref="B179:B186"/>
    <mergeCell ref="B170:B176"/>
    <mergeCell ref="B188:B193"/>
    <mergeCell ref="B195:B201"/>
    <mergeCell ref="B203:B220"/>
    <mergeCell ref="B222:B234"/>
    <mergeCell ref="B240:B246"/>
    <mergeCell ref="B163:B1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Team</vt:lpstr>
      <vt:lpstr>Pembagian Insentif</vt:lpstr>
      <vt:lpstr>Sales Team SFA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Agus Sugiman</cp:lastModifiedBy>
  <dcterms:created xsi:type="dcterms:W3CDTF">2026-09-10T08:05:39Z</dcterms:created>
  <dcterms:modified xsi:type="dcterms:W3CDTF">2026-09-24T03:44:27Z</dcterms:modified>
</cp:coreProperties>
</file>